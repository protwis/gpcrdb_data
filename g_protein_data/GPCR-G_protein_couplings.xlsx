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tv489/protwis/gpcr/g_protein_data/"/>
    </mc:Choice>
  </mc:AlternateContent>
  <xr:revisionPtr revIDLastSave="0" documentId="13_ncr:1_{10BFF617-4DA1-004B-A38E-799E55BE8E4D}" xr6:coauthVersionLast="47" xr6:coauthVersionMax="47" xr10:uidLastSave="{00000000-0000-0000-0000-000000000000}"/>
  <bookViews>
    <workbookView xWindow="0" yWindow="760" windowWidth="30240" windowHeight="18880" firstSheet="1" activeTab="2" xr2:uid="{CC63D0C6-4BFA-F94F-B3FA-B3279E89F849}"/>
  </bookViews>
  <sheets>
    <sheet name="INFO" sheetId="44" r:id="rId1"/>
    <sheet name="Metadata" sheetId="48" r:id="rId2"/>
    <sheet name="Bouvier-GEMTA" sheetId="22" r:id="rId3"/>
    <sheet name="Inoue-NanoBiT-G" sheetId="42" r:id="rId4"/>
    <sheet name="Inoue-TGFa" sheetId="50" r:id="rId5"/>
    <sheet name="Lambert-RGB-GDP_Efficacy" sheetId="43" r:id="rId6"/>
    <sheet name="Lambert-RGB-GDP_Econst" sheetId="46" r:id="rId7"/>
    <sheet name="Martemyanov-FreeGβγ-Nluc" sheetId="30" r:id="rId8"/>
    <sheet name="Roth-TRUPATH" sheetId="25" r:id="rId9"/>
    <sheet name="GtoPdb" sheetId="31" r:id="rId10"/>
    <sheet name="Fig4a-Gq" sheetId="41" r:id="rId11"/>
    <sheet name="Fig4b-Econst" sheetId="51" r:id="rId12"/>
    <sheet name="Fig4cd_CouplComp" sheetId="52" r:id="rId13"/>
    <sheet name="Inoue-TGFa_Cutoff" sheetId="47" r:id="rId14"/>
    <sheet name="Inoue-TGFa-NotUsed" sheetId="36" r:id="rId15"/>
    <sheet name="Martemyanov-FreeGβγ-NotUsed" sheetId="40" r:id="rId16"/>
    <sheet name="B-Ligands" sheetId="23" r:id="rId17"/>
    <sheet name="I-Ligands" sheetId="35" r:id="rId18"/>
    <sheet name="DroplistTerms" sheetId="16" r:id="rId19"/>
    <sheet name="RecNamesAll" sheetId="33" r:id="rId20"/>
    <sheet name="LigandIDs" sheetId="19" r:id="rId21"/>
  </sheets>
  <definedNames>
    <definedName name="NewFile" localSheetId="9">GtoPdb!$A$1:$P$400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2" i="22" l="1" a="1"/>
  <c r="AK2" i="22" s="1"/>
  <c r="AG2" i="42" a="1"/>
  <c r="AG2" i="42" s="1"/>
  <c r="T4" i="25"/>
  <c r="T5" i="25"/>
  <c r="T3" i="25"/>
  <c r="T2" i="25"/>
  <c r="AG3" i="42" a="1"/>
  <c r="AG3" i="42" s="1"/>
  <c r="AH3" i="42" a="1"/>
  <c r="AH3" i="42"/>
  <c r="AI3" i="42" a="1"/>
  <c r="AI3" i="42" s="1"/>
  <c r="AJ3" i="42" a="1"/>
  <c r="AJ3" i="42"/>
  <c r="AK3" i="42" a="1"/>
  <c r="AK3" i="42"/>
  <c r="AL3" i="42" a="1"/>
  <c r="AL3" i="42" s="1"/>
  <c r="AM3" i="42" a="1"/>
  <c r="AM3" i="42"/>
  <c r="AN3" i="42" a="1"/>
  <c r="AN3" i="42" s="1"/>
  <c r="AG4" i="42" a="1"/>
  <c r="AG4" i="42" s="1"/>
  <c r="AH4" i="42" a="1"/>
  <c r="AH4" i="42"/>
  <c r="AI4" i="42" a="1"/>
  <c r="AI4" i="42" s="1"/>
  <c r="AJ4" i="42" a="1"/>
  <c r="AJ4" i="42"/>
  <c r="AK4" i="42" a="1"/>
  <c r="AK4" i="42" s="1"/>
  <c r="AL4" i="42" a="1"/>
  <c r="AL4" i="42"/>
  <c r="AM4" i="42" a="1"/>
  <c r="AM4" i="42"/>
  <c r="AN4" i="42" a="1"/>
  <c r="AN4" i="42" s="1"/>
  <c r="AG5" i="42" a="1"/>
  <c r="AG5" i="42"/>
  <c r="AH5" i="42" a="1"/>
  <c r="AH5" i="42" s="1"/>
  <c r="AI5" i="42" a="1"/>
  <c r="AI5" i="42" s="1"/>
  <c r="AJ5" i="42" a="1"/>
  <c r="AJ5" i="42"/>
  <c r="AK5" i="42" a="1"/>
  <c r="AK5" i="42" s="1"/>
  <c r="AL5" i="42" a="1"/>
  <c r="AL5" i="42"/>
  <c r="AM5" i="42" a="1"/>
  <c r="AM5" i="42" s="1"/>
  <c r="AN5" i="42" a="1"/>
  <c r="AN5" i="42"/>
  <c r="AG6" i="42" a="1"/>
  <c r="AG6" i="42"/>
  <c r="AH6" i="42" a="1"/>
  <c r="AH6" i="42" s="1"/>
  <c r="AI6" i="42" a="1"/>
  <c r="AI6" i="42"/>
  <c r="AJ6" i="42" a="1"/>
  <c r="AJ6" i="42" s="1"/>
  <c r="AK6" i="42" a="1"/>
  <c r="AK6" i="42"/>
  <c r="AL6" i="42" a="1"/>
  <c r="AL6" i="42"/>
  <c r="AM6" i="42" a="1"/>
  <c r="AM6" i="42" s="1"/>
  <c r="AN6" i="42" a="1"/>
  <c r="AN6" i="42"/>
  <c r="AG7" i="42" a="1"/>
  <c r="AG7" i="42" s="1"/>
  <c r="AH7" i="42" a="1"/>
  <c r="AH7" i="42"/>
  <c r="AI7" i="42" a="1"/>
  <c r="AI7" i="42"/>
  <c r="AJ7" i="42" a="1"/>
  <c r="AJ7" i="42" s="1"/>
  <c r="AK7" i="42" a="1"/>
  <c r="AK7" i="42"/>
  <c r="AL7" i="42" a="1"/>
  <c r="AL7" i="42" s="1"/>
  <c r="AM7" i="42" a="1"/>
  <c r="AM7" i="42"/>
  <c r="AN7" i="42" a="1"/>
  <c r="AN7" i="42"/>
  <c r="AG8" i="42" a="1"/>
  <c r="AG8" i="42" s="1"/>
  <c r="AH8" i="42" a="1"/>
  <c r="AH8" i="42"/>
  <c r="AI8" i="42" a="1"/>
  <c r="AI8" i="42" s="1"/>
  <c r="AJ8" i="42" a="1"/>
  <c r="AJ8" i="42"/>
  <c r="AK8" i="42" a="1"/>
  <c r="AK8" i="42"/>
  <c r="AL8" i="42" a="1"/>
  <c r="AL8" i="42" s="1"/>
  <c r="AM8" i="42" a="1"/>
  <c r="AM8" i="42"/>
  <c r="AN8" i="42" a="1"/>
  <c r="AN8" i="42" s="1"/>
  <c r="AG9" i="42" a="1"/>
  <c r="AG9" i="42" s="1"/>
  <c r="AH9" i="42" a="1"/>
  <c r="AH9" i="42"/>
  <c r="AI9" i="42" a="1"/>
  <c r="AI9" i="42" s="1"/>
  <c r="AJ9" i="42" a="1"/>
  <c r="AJ9" i="42"/>
  <c r="AK9" i="42" a="1"/>
  <c r="AK9" i="42" s="1"/>
  <c r="AL9" i="42" a="1"/>
  <c r="AL9" i="42" s="1"/>
  <c r="AM9" i="42" a="1"/>
  <c r="AM9" i="42"/>
  <c r="AN9" i="42" a="1"/>
  <c r="AN9" i="42" s="1"/>
  <c r="AH2" i="42" a="1"/>
  <c r="AH2" i="42"/>
  <c r="AI2" i="42" a="1"/>
  <c r="AI2" i="42" s="1"/>
  <c r="AJ2" i="42" a="1"/>
  <c r="AJ2" i="42" s="1"/>
  <c r="AK2" i="42" a="1"/>
  <c r="AK2" i="42"/>
  <c r="AL2" i="42" a="1"/>
  <c r="AL2" i="42" s="1"/>
  <c r="AM2" i="42" a="1"/>
  <c r="AM2" i="42"/>
  <c r="AN2" i="42" a="1"/>
  <c r="AN2" i="42" s="1"/>
  <c r="AQ3" i="46"/>
  <c r="AQ4" i="46"/>
  <c r="AQ5" i="46"/>
  <c r="AQ6" i="46"/>
  <c r="AQ7" i="46"/>
  <c r="AQ8" i="46"/>
  <c r="AQ9" i="46"/>
  <c r="AQ10" i="46"/>
  <c r="AQ11" i="46"/>
  <c r="AQ12" i="46"/>
  <c r="AQ13" i="46"/>
  <c r="AQ14" i="46"/>
  <c r="AQ15" i="46"/>
  <c r="AQ16" i="46"/>
  <c r="AQ17" i="46"/>
  <c r="AQ18" i="46"/>
  <c r="AQ19" i="46"/>
  <c r="AQ20" i="46"/>
  <c r="AQ21" i="46"/>
  <c r="AQ22" i="46"/>
  <c r="AQ23" i="46"/>
  <c r="AQ24" i="46"/>
  <c r="AQ25" i="46"/>
  <c r="AQ26" i="46"/>
  <c r="AQ27" i="46"/>
  <c r="AQ28" i="46"/>
  <c r="AQ29" i="46"/>
  <c r="AQ30" i="46"/>
  <c r="AQ31" i="46"/>
  <c r="AQ32" i="46"/>
  <c r="AQ33" i="46"/>
  <c r="AQ34" i="46"/>
  <c r="AQ35" i="46"/>
  <c r="AQ36" i="46"/>
  <c r="AQ37" i="46"/>
  <c r="AQ38" i="46"/>
  <c r="AQ39" i="46"/>
  <c r="AQ40" i="46"/>
  <c r="AQ41" i="46"/>
  <c r="AQ42" i="46"/>
  <c r="AQ43" i="46"/>
  <c r="AQ44" i="46"/>
  <c r="AQ45" i="46"/>
  <c r="AQ46" i="46"/>
  <c r="AQ47" i="46"/>
  <c r="AQ48" i="46"/>
  <c r="AQ49" i="46"/>
  <c r="AQ50" i="46"/>
  <c r="AQ51" i="46"/>
  <c r="AQ52" i="46"/>
  <c r="AQ53" i="46"/>
  <c r="AQ54" i="46"/>
  <c r="AQ55" i="46"/>
  <c r="AQ56" i="46"/>
  <c r="AQ57" i="46"/>
  <c r="AQ58" i="46"/>
  <c r="AQ59" i="46"/>
  <c r="AQ60" i="46"/>
  <c r="AQ61" i="46"/>
  <c r="AQ62" i="46"/>
  <c r="AQ63" i="46"/>
  <c r="AQ64" i="46"/>
  <c r="AQ65" i="46"/>
  <c r="AQ66" i="46"/>
  <c r="AQ67" i="46"/>
  <c r="AQ68" i="46"/>
  <c r="AQ69" i="46"/>
  <c r="AQ70" i="46"/>
  <c r="AQ71" i="46"/>
  <c r="AQ72" i="46"/>
  <c r="AQ73" i="46"/>
  <c r="AQ74" i="46"/>
  <c r="AQ75" i="46"/>
  <c r="AQ76" i="46"/>
  <c r="AQ2" i="46"/>
  <c r="T2" i="46"/>
  <c r="S2" i="46"/>
  <c r="R2" i="46"/>
  <c r="Q2" i="46"/>
  <c r="U30" i="43"/>
  <c r="Q30" i="43" s="1"/>
  <c r="U35" i="43"/>
  <c r="W37" i="43"/>
  <c r="U40" i="43"/>
  <c r="Q40" i="43" s="1"/>
  <c r="R162" i="31"/>
  <c r="B17" i="51"/>
  <c r="D17" i="51" s="1"/>
  <c r="B25" i="51"/>
  <c r="D25" i="51" s="1"/>
  <c r="B24" i="51"/>
  <c r="D24" i="51" s="1"/>
  <c r="B23" i="51"/>
  <c r="D23" i="51" s="1"/>
  <c r="B8" i="51"/>
  <c r="D8" i="51" s="1"/>
  <c r="B9" i="51"/>
  <c r="D9" i="51" s="1"/>
  <c r="B22" i="51"/>
  <c r="D22" i="51" s="1"/>
  <c r="B21" i="51"/>
  <c r="D21" i="51" s="1"/>
  <c r="B2" i="51"/>
  <c r="D2" i="51" s="1"/>
  <c r="B18" i="51"/>
  <c r="D18" i="51" s="1"/>
  <c r="B4" i="51"/>
  <c r="D4" i="51" s="1"/>
  <c r="B7" i="51"/>
  <c r="D7" i="51" s="1"/>
  <c r="B11" i="51"/>
  <c r="D11" i="51" s="1"/>
  <c r="B6" i="51"/>
  <c r="D6" i="51" s="1"/>
  <c r="B5" i="51"/>
  <c r="D5" i="51" s="1"/>
  <c r="B10" i="51"/>
  <c r="D10" i="51" s="1"/>
  <c r="B27" i="51"/>
  <c r="D27" i="51" s="1"/>
  <c r="B26" i="51"/>
  <c r="D26" i="51" s="1"/>
  <c r="B3" i="51"/>
  <c r="D3" i="51" s="1"/>
  <c r="B28" i="51"/>
  <c r="D28" i="51" s="1"/>
  <c r="B14" i="51"/>
  <c r="D14" i="51" s="1"/>
  <c r="B13" i="51"/>
  <c r="D13" i="51" s="1"/>
  <c r="B12" i="51"/>
  <c r="D12" i="51" s="1"/>
  <c r="B20" i="51"/>
  <c r="D20" i="51" s="1"/>
  <c r="B19" i="51"/>
  <c r="D19" i="51" s="1"/>
  <c r="B15" i="51"/>
  <c r="D15" i="51" s="1"/>
  <c r="B16" i="51"/>
  <c r="D16" i="51" s="1"/>
  <c r="I21" i="41"/>
  <c r="J21" i="41"/>
  <c r="K21" i="41"/>
  <c r="I22" i="41"/>
  <c r="J22" i="41"/>
  <c r="K22" i="41"/>
  <c r="I23" i="41"/>
  <c r="J23" i="41"/>
  <c r="K23" i="41"/>
  <c r="I24" i="41"/>
  <c r="J24" i="41"/>
  <c r="K24" i="41"/>
  <c r="I25" i="41"/>
  <c r="J25" i="41"/>
  <c r="K25" i="41"/>
  <c r="I26" i="41"/>
  <c r="J26" i="41"/>
  <c r="K26" i="41"/>
  <c r="I27" i="41"/>
  <c r="J27" i="41"/>
  <c r="K27" i="41"/>
  <c r="I28" i="41"/>
  <c r="J28" i="41"/>
  <c r="K28" i="41"/>
  <c r="I29" i="41"/>
  <c r="J29" i="41"/>
  <c r="K29" i="41"/>
  <c r="I30" i="41"/>
  <c r="J30" i="41"/>
  <c r="K30" i="41"/>
  <c r="I31" i="41"/>
  <c r="J31" i="41"/>
  <c r="K31" i="41"/>
  <c r="I32" i="41"/>
  <c r="J32" i="41"/>
  <c r="K32" i="41"/>
  <c r="I33" i="41"/>
  <c r="J33" i="41"/>
  <c r="K33" i="41"/>
  <c r="I34" i="41"/>
  <c r="J34" i="41"/>
  <c r="K34" i="41"/>
  <c r="I35" i="41"/>
  <c r="J35" i="41"/>
  <c r="K35" i="41"/>
  <c r="I36" i="41"/>
  <c r="J36" i="41"/>
  <c r="K36" i="41"/>
  <c r="J37" i="41"/>
  <c r="K37" i="41"/>
  <c r="I38" i="41"/>
  <c r="J38" i="41"/>
  <c r="K38" i="41"/>
  <c r="I39" i="41"/>
  <c r="J39" i="41"/>
  <c r="K39" i="41"/>
  <c r="I40" i="41"/>
  <c r="J40" i="41"/>
  <c r="K40" i="41"/>
  <c r="I41" i="41"/>
  <c r="J41" i="41"/>
  <c r="K41" i="41"/>
  <c r="I42" i="41"/>
  <c r="J42" i="41"/>
  <c r="K42" i="41"/>
  <c r="I43" i="41"/>
  <c r="J43" i="41"/>
  <c r="K43" i="41"/>
  <c r="I44" i="41"/>
  <c r="J44" i="41"/>
  <c r="K44" i="41"/>
  <c r="J45" i="41"/>
  <c r="K45" i="41"/>
  <c r="I46" i="41"/>
  <c r="J46" i="41"/>
  <c r="K46" i="41"/>
  <c r="I47" i="41"/>
  <c r="J47" i="41"/>
  <c r="K47" i="41"/>
  <c r="I48" i="41"/>
  <c r="J48" i="41"/>
  <c r="K48" i="41"/>
  <c r="I49" i="41"/>
  <c r="J49" i="41"/>
  <c r="K49" i="41"/>
  <c r="I50" i="41"/>
  <c r="K50" i="41"/>
  <c r="I51" i="41"/>
  <c r="K51" i="41"/>
  <c r="J19" i="41"/>
  <c r="K19" i="41"/>
  <c r="K18" i="41"/>
  <c r="J18" i="41"/>
  <c r="C3" i="41"/>
  <c r="F3" i="41" s="1"/>
  <c r="C4" i="41"/>
  <c r="C5" i="41"/>
  <c r="F5" i="41" s="1"/>
  <c r="C6" i="41"/>
  <c r="F6" i="41" s="1"/>
  <c r="C7" i="41"/>
  <c r="F7" i="41" s="1"/>
  <c r="C8" i="41"/>
  <c r="F8" i="41" s="1"/>
  <c r="C9" i="41"/>
  <c r="F9" i="41" s="1"/>
  <c r="C10" i="41"/>
  <c r="F10" i="41" s="1"/>
  <c r="C11" i="41"/>
  <c r="F11" i="41" s="1"/>
  <c r="C12" i="41"/>
  <c r="C13" i="41"/>
  <c r="F13" i="41" s="1"/>
  <c r="C14" i="41"/>
  <c r="C15" i="41"/>
  <c r="F15" i="41" s="1"/>
  <c r="C16" i="41"/>
  <c r="F16" i="41" s="1"/>
  <c r="C18" i="41"/>
  <c r="F18" i="41" s="1"/>
  <c r="C19" i="41"/>
  <c r="F19" i="41" s="1"/>
  <c r="C17" i="41"/>
  <c r="F17" i="41" s="1"/>
  <c r="J17" i="41" s="1"/>
  <c r="C20" i="41"/>
  <c r="F20" i="41" s="1"/>
  <c r="C21" i="41"/>
  <c r="C22" i="41"/>
  <c r="C23" i="41"/>
  <c r="F23" i="41" s="1"/>
  <c r="C24" i="41"/>
  <c r="C25" i="41"/>
  <c r="C26" i="41"/>
  <c r="C27" i="41"/>
  <c r="C28" i="41"/>
  <c r="C29" i="41"/>
  <c r="F29" i="41" s="1"/>
  <c r="C30" i="41"/>
  <c r="F30" i="41" s="1"/>
  <c r="C31" i="41"/>
  <c r="C32" i="41"/>
  <c r="C33" i="41"/>
  <c r="F33" i="41" s="1"/>
  <c r="C34" i="41"/>
  <c r="C35" i="41"/>
  <c r="F35" i="41" s="1"/>
  <c r="C36" i="41"/>
  <c r="F36" i="41" s="1"/>
  <c r="C37" i="41"/>
  <c r="C38" i="41"/>
  <c r="C39" i="41"/>
  <c r="F39" i="41" s="1"/>
  <c r="C40" i="41"/>
  <c r="F40" i="41" s="1"/>
  <c r="C41" i="41"/>
  <c r="F41" i="41" s="1"/>
  <c r="C42" i="41"/>
  <c r="C43" i="41"/>
  <c r="F43" i="41" s="1"/>
  <c r="C44" i="41"/>
  <c r="C45" i="41"/>
  <c r="C46" i="41"/>
  <c r="C47" i="41"/>
  <c r="F47" i="41" s="1"/>
  <c r="C48" i="41"/>
  <c r="C49" i="41"/>
  <c r="F49" i="41" s="1"/>
  <c r="C50" i="41"/>
  <c r="F50" i="41" s="1"/>
  <c r="C51" i="41"/>
  <c r="F51" i="41" s="1"/>
  <c r="C2" i="41"/>
  <c r="F2" i="41" s="1"/>
  <c r="F21" i="41"/>
  <c r="F22" i="41"/>
  <c r="F31" i="41"/>
  <c r="F32" i="41"/>
  <c r="F37" i="41"/>
  <c r="F4" i="41"/>
  <c r="F12" i="41"/>
  <c r="F14" i="41"/>
  <c r="F24" i="41"/>
  <c r="F25" i="41"/>
  <c r="F26" i="41"/>
  <c r="F27" i="41"/>
  <c r="F28" i="41"/>
  <c r="F34" i="41"/>
  <c r="F38" i="41"/>
  <c r="F42" i="41"/>
  <c r="F44" i="41"/>
  <c r="F45" i="41"/>
  <c r="F46" i="41"/>
  <c r="F48" i="41"/>
  <c r="B3" i="41"/>
  <c r="B4" i="41"/>
  <c r="B5" i="41"/>
  <c r="B6" i="41"/>
  <c r="B7" i="41"/>
  <c r="B8" i="41"/>
  <c r="B9" i="41"/>
  <c r="B17" i="41"/>
  <c r="B10" i="41"/>
  <c r="B11" i="41"/>
  <c r="B12" i="41"/>
  <c r="B13" i="41"/>
  <c r="B14" i="41"/>
  <c r="B15" i="41"/>
  <c r="B16" i="41"/>
  <c r="B20" i="41"/>
  <c r="B21" i="41"/>
  <c r="B22" i="41"/>
  <c r="B23" i="41"/>
  <c r="B24" i="41"/>
  <c r="B25" i="41"/>
  <c r="B26" i="41"/>
  <c r="B27" i="41"/>
  <c r="B18" i="41"/>
  <c r="B28" i="41"/>
  <c r="B29" i="41"/>
  <c r="B30" i="41"/>
  <c r="B31" i="41"/>
  <c r="B32" i="41"/>
  <c r="B19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2" i="41"/>
  <c r="AD3" i="30"/>
  <c r="AE3" i="30"/>
  <c r="AF3" i="30"/>
  <c r="AG3" i="30"/>
  <c r="AH3" i="30"/>
  <c r="AD4" i="30"/>
  <c r="AE4" i="30"/>
  <c r="AF4" i="30"/>
  <c r="AG4" i="30"/>
  <c r="AH4" i="30"/>
  <c r="AD5" i="30"/>
  <c r="AE5" i="30"/>
  <c r="AF5" i="30"/>
  <c r="AG5" i="30"/>
  <c r="AH5" i="30"/>
  <c r="AD6" i="30"/>
  <c r="AE6" i="30"/>
  <c r="AF6" i="30"/>
  <c r="AG6" i="30"/>
  <c r="AH6" i="30"/>
  <c r="AD7" i="30"/>
  <c r="AE7" i="30"/>
  <c r="AF7" i="30"/>
  <c r="AG7" i="30"/>
  <c r="AH7" i="30"/>
  <c r="AD8" i="30"/>
  <c r="AE8" i="30"/>
  <c r="AF8" i="30"/>
  <c r="AG8" i="30"/>
  <c r="AH8" i="30"/>
  <c r="AD9" i="30"/>
  <c r="AE9" i="30"/>
  <c r="AF9" i="30"/>
  <c r="AG9" i="30"/>
  <c r="AH9" i="30"/>
  <c r="AD10" i="30"/>
  <c r="AE10" i="30"/>
  <c r="AF10" i="30"/>
  <c r="D24" i="41" s="1"/>
  <c r="AG10" i="30"/>
  <c r="AH10" i="30"/>
  <c r="AD11" i="30"/>
  <c r="AE11" i="30"/>
  <c r="AF11" i="30"/>
  <c r="AG11" i="30"/>
  <c r="AH11" i="30"/>
  <c r="AD12" i="30"/>
  <c r="AE12" i="30"/>
  <c r="AF12" i="30"/>
  <c r="AG12" i="30"/>
  <c r="AH12" i="30"/>
  <c r="AD13" i="30"/>
  <c r="AE13" i="30"/>
  <c r="AF13" i="30"/>
  <c r="AG13" i="30"/>
  <c r="AH13" i="30"/>
  <c r="AD14" i="30"/>
  <c r="AE14" i="30"/>
  <c r="AF14" i="30"/>
  <c r="AG14" i="30"/>
  <c r="AH14" i="30"/>
  <c r="AD15" i="30"/>
  <c r="AE15" i="30"/>
  <c r="AF15" i="30"/>
  <c r="AG15" i="30"/>
  <c r="AH15" i="30"/>
  <c r="AD16" i="30"/>
  <c r="AE16" i="30"/>
  <c r="AF16" i="30"/>
  <c r="AG16" i="30"/>
  <c r="AH16" i="30"/>
  <c r="AD17" i="30"/>
  <c r="AE17" i="30"/>
  <c r="AF17" i="30"/>
  <c r="AG17" i="30"/>
  <c r="AH17" i="30"/>
  <c r="AD18" i="30"/>
  <c r="AE18" i="30"/>
  <c r="AF18" i="30"/>
  <c r="AG18" i="30"/>
  <c r="AH18" i="30"/>
  <c r="AD19" i="30"/>
  <c r="AE19" i="30"/>
  <c r="AF19" i="30"/>
  <c r="AG19" i="30"/>
  <c r="AH19" i="30"/>
  <c r="AD20" i="30"/>
  <c r="AE20" i="30"/>
  <c r="AF20" i="30"/>
  <c r="AG20" i="30"/>
  <c r="AH20" i="30"/>
  <c r="AD21" i="30"/>
  <c r="AE21" i="30"/>
  <c r="AF21" i="30"/>
  <c r="AG21" i="30"/>
  <c r="AH21" i="30"/>
  <c r="AD22" i="30"/>
  <c r="AE22" i="30"/>
  <c r="AF22" i="30"/>
  <c r="D4" i="41" s="1"/>
  <c r="AG22" i="30"/>
  <c r="AH22" i="30"/>
  <c r="AD23" i="30"/>
  <c r="AE23" i="30"/>
  <c r="AF23" i="30"/>
  <c r="AG23" i="30"/>
  <c r="AH23" i="30"/>
  <c r="AD24" i="30"/>
  <c r="AE24" i="30"/>
  <c r="AF24" i="30"/>
  <c r="AG24" i="30"/>
  <c r="AH24" i="30"/>
  <c r="AD25" i="30"/>
  <c r="AE25" i="30"/>
  <c r="AF25" i="30"/>
  <c r="AG25" i="30"/>
  <c r="AH25" i="30"/>
  <c r="AD26" i="30"/>
  <c r="AE26" i="30"/>
  <c r="AF26" i="30"/>
  <c r="D23" i="41" s="1"/>
  <c r="AG26" i="30"/>
  <c r="AH26" i="30"/>
  <c r="AD27" i="30"/>
  <c r="AE27" i="30"/>
  <c r="AF27" i="30"/>
  <c r="AG27" i="30"/>
  <c r="AH27" i="30"/>
  <c r="AD28" i="30"/>
  <c r="AE28" i="30"/>
  <c r="AF28" i="30"/>
  <c r="AG28" i="30"/>
  <c r="AH28" i="30"/>
  <c r="AD29" i="30"/>
  <c r="AE29" i="30"/>
  <c r="AF29" i="30"/>
  <c r="AG29" i="30"/>
  <c r="AH29" i="30"/>
  <c r="AD30" i="30"/>
  <c r="AE30" i="30"/>
  <c r="AF30" i="30"/>
  <c r="D47" i="41" s="1"/>
  <c r="AG30" i="30"/>
  <c r="AH30" i="30"/>
  <c r="AD31" i="30"/>
  <c r="AE31" i="30"/>
  <c r="AF31" i="30"/>
  <c r="AG31" i="30"/>
  <c r="AH31" i="30"/>
  <c r="AD32" i="30"/>
  <c r="AE32" i="30"/>
  <c r="AF32" i="30"/>
  <c r="AG32" i="30"/>
  <c r="AH32" i="30"/>
  <c r="AD33" i="30"/>
  <c r="AE33" i="30"/>
  <c r="AF33" i="30"/>
  <c r="AG33" i="30"/>
  <c r="AH33" i="30"/>
  <c r="AD34" i="30"/>
  <c r="AE34" i="30"/>
  <c r="AF34" i="30"/>
  <c r="D11" i="41" s="1"/>
  <c r="AG34" i="30"/>
  <c r="AH34" i="30"/>
  <c r="AD35" i="30"/>
  <c r="AE35" i="30"/>
  <c r="AF35" i="30"/>
  <c r="AG35" i="30"/>
  <c r="AH35" i="30"/>
  <c r="AD36" i="30"/>
  <c r="AE36" i="30"/>
  <c r="AF36" i="30"/>
  <c r="AG36" i="30"/>
  <c r="AH36" i="30"/>
  <c r="AD37" i="30"/>
  <c r="AE37" i="30"/>
  <c r="AF37" i="30"/>
  <c r="AG37" i="30"/>
  <c r="AH37" i="30"/>
  <c r="AD38" i="30"/>
  <c r="AE38" i="30"/>
  <c r="AF38" i="30"/>
  <c r="D33" i="41" s="1"/>
  <c r="AG38" i="30"/>
  <c r="AH38" i="30"/>
  <c r="AD39" i="30"/>
  <c r="AE39" i="30"/>
  <c r="AF39" i="30"/>
  <c r="AG39" i="30"/>
  <c r="AH39" i="30"/>
  <c r="AD40" i="30"/>
  <c r="AE40" i="30"/>
  <c r="AF40" i="30"/>
  <c r="D48" i="41" s="1"/>
  <c r="AG40" i="30"/>
  <c r="AH40" i="30"/>
  <c r="AD41" i="30"/>
  <c r="AE41" i="30"/>
  <c r="AF41" i="30"/>
  <c r="AG41" i="30"/>
  <c r="AH41" i="30"/>
  <c r="AD42" i="30"/>
  <c r="AE42" i="30"/>
  <c r="AF42" i="30"/>
  <c r="AG42" i="30"/>
  <c r="AH42" i="30"/>
  <c r="AD43" i="30"/>
  <c r="AE43" i="30"/>
  <c r="AF43" i="30"/>
  <c r="AG43" i="30"/>
  <c r="AH43" i="30"/>
  <c r="AD44" i="30"/>
  <c r="AE44" i="30"/>
  <c r="AF44" i="30"/>
  <c r="D9" i="41" s="1"/>
  <c r="AG44" i="30"/>
  <c r="AH44" i="30"/>
  <c r="AD45" i="30"/>
  <c r="AE45" i="30"/>
  <c r="AF45" i="30"/>
  <c r="AG45" i="30"/>
  <c r="AH45" i="30"/>
  <c r="AD46" i="30"/>
  <c r="AE46" i="30"/>
  <c r="AF46" i="30"/>
  <c r="AG46" i="30"/>
  <c r="AH46" i="30"/>
  <c r="AD47" i="30"/>
  <c r="AE47" i="30"/>
  <c r="AF47" i="30"/>
  <c r="AG47" i="30"/>
  <c r="AH47" i="30"/>
  <c r="AD48" i="30"/>
  <c r="AE48" i="30"/>
  <c r="AF48" i="30"/>
  <c r="AG48" i="30"/>
  <c r="AH48" i="30"/>
  <c r="AD49" i="30"/>
  <c r="AE49" i="30"/>
  <c r="AF49" i="30"/>
  <c r="AG49" i="30"/>
  <c r="AH49" i="30"/>
  <c r="AD50" i="30"/>
  <c r="AE50" i="30"/>
  <c r="AF50" i="30"/>
  <c r="AG50" i="30"/>
  <c r="AH50" i="30"/>
  <c r="AD51" i="30"/>
  <c r="AE51" i="30"/>
  <c r="AF51" i="30"/>
  <c r="AG51" i="30"/>
  <c r="AH51" i="30"/>
  <c r="AD52" i="30"/>
  <c r="AE52" i="30"/>
  <c r="AF52" i="30"/>
  <c r="AG52" i="30"/>
  <c r="AH52" i="30"/>
  <c r="AD53" i="30"/>
  <c r="AE53" i="30"/>
  <c r="AF53" i="30"/>
  <c r="AG53" i="30"/>
  <c r="AH53" i="30"/>
  <c r="AD54" i="30"/>
  <c r="AE54" i="30"/>
  <c r="AF54" i="30"/>
  <c r="AG54" i="30"/>
  <c r="AH54" i="30"/>
  <c r="AD55" i="30"/>
  <c r="AE55" i="30"/>
  <c r="AF55" i="30"/>
  <c r="AG55" i="30"/>
  <c r="AH55" i="30"/>
  <c r="AD56" i="30"/>
  <c r="AE56" i="30"/>
  <c r="AF56" i="30"/>
  <c r="AG56" i="30"/>
  <c r="AH56" i="30"/>
  <c r="AD57" i="30"/>
  <c r="AE57" i="30"/>
  <c r="AF57" i="30"/>
  <c r="AG57" i="30"/>
  <c r="AH57" i="30"/>
  <c r="AD58" i="30"/>
  <c r="AE58" i="30"/>
  <c r="AF58" i="30"/>
  <c r="D12" i="41" s="1"/>
  <c r="AG58" i="30"/>
  <c r="AH58" i="30"/>
  <c r="AD59" i="30"/>
  <c r="AE59" i="30"/>
  <c r="AF59" i="30"/>
  <c r="AG59" i="30"/>
  <c r="AH59" i="30"/>
  <c r="AD60" i="30"/>
  <c r="AE60" i="30"/>
  <c r="AF60" i="30"/>
  <c r="AG60" i="30"/>
  <c r="AH60" i="30"/>
  <c r="AD61" i="30"/>
  <c r="AE61" i="30"/>
  <c r="AF61" i="30"/>
  <c r="AG61" i="30"/>
  <c r="AH61" i="30"/>
  <c r="AD62" i="30"/>
  <c r="AE62" i="30"/>
  <c r="AF62" i="30"/>
  <c r="D51" i="41" s="1"/>
  <c r="AG62" i="30"/>
  <c r="AH62" i="30"/>
  <c r="AD63" i="30"/>
  <c r="AE63" i="30"/>
  <c r="AF63" i="30"/>
  <c r="AG63" i="30"/>
  <c r="AH63" i="30"/>
  <c r="AD64" i="30"/>
  <c r="AE64" i="30"/>
  <c r="AF64" i="30"/>
  <c r="AG64" i="30"/>
  <c r="AH64" i="30"/>
  <c r="AD65" i="30"/>
  <c r="AE65" i="30"/>
  <c r="AF65" i="30"/>
  <c r="AG65" i="30"/>
  <c r="AH65" i="30"/>
  <c r="AD66" i="30"/>
  <c r="AE66" i="30"/>
  <c r="AF66" i="30"/>
  <c r="AG66" i="30"/>
  <c r="AH66" i="30"/>
  <c r="AD67" i="30"/>
  <c r="AE67" i="30"/>
  <c r="AF67" i="30"/>
  <c r="AG67" i="30"/>
  <c r="AH67" i="30"/>
  <c r="AD68" i="30"/>
  <c r="AE68" i="30"/>
  <c r="AF68" i="30"/>
  <c r="AG68" i="30"/>
  <c r="AH68" i="30"/>
  <c r="AD69" i="30"/>
  <c r="AE69" i="30"/>
  <c r="AF69" i="30"/>
  <c r="AG69" i="30"/>
  <c r="AH69" i="30"/>
  <c r="AD70" i="30"/>
  <c r="AE70" i="30"/>
  <c r="AF70" i="30"/>
  <c r="AG70" i="30"/>
  <c r="AH70" i="30"/>
  <c r="AD71" i="30"/>
  <c r="AE71" i="30"/>
  <c r="AF71" i="30"/>
  <c r="AG71" i="30"/>
  <c r="AH71" i="30"/>
  <c r="AD72" i="30"/>
  <c r="AE72" i="30"/>
  <c r="AF72" i="30"/>
  <c r="AG72" i="30"/>
  <c r="AH72" i="30"/>
  <c r="AD73" i="30"/>
  <c r="AE73" i="30"/>
  <c r="AF73" i="30"/>
  <c r="AG73" i="30"/>
  <c r="AH73" i="30"/>
  <c r="AD74" i="30"/>
  <c r="AE74" i="30"/>
  <c r="AF74" i="30"/>
  <c r="AG74" i="30"/>
  <c r="AH74" i="30"/>
  <c r="AD75" i="30"/>
  <c r="AE75" i="30"/>
  <c r="AF75" i="30"/>
  <c r="AG75" i="30"/>
  <c r="AH75" i="30"/>
  <c r="AD76" i="30"/>
  <c r="AE76" i="30"/>
  <c r="AF76" i="30"/>
  <c r="AG76" i="30"/>
  <c r="AH76" i="30"/>
  <c r="AD77" i="30"/>
  <c r="AE77" i="30"/>
  <c r="AF77" i="30"/>
  <c r="AG77" i="30"/>
  <c r="AH77" i="30"/>
  <c r="AD78" i="30"/>
  <c r="AE78" i="30"/>
  <c r="AF78" i="30"/>
  <c r="AG78" i="30"/>
  <c r="AH78" i="30"/>
  <c r="AD79" i="30"/>
  <c r="AE79" i="30"/>
  <c r="AF79" i="30"/>
  <c r="AG79" i="30"/>
  <c r="AH79" i="30"/>
  <c r="AD80" i="30"/>
  <c r="AE80" i="30"/>
  <c r="AF80" i="30"/>
  <c r="AG80" i="30"/>
  <c r="AH80" i="30"/>
  <c r="AD81" i="30"/>
  <c r="AE81" i="30"/>
  <c r="AF81" i="30"/>
  <c r="AG81" i="30"/>
  <c r="AH81" i="30"/>
  <c r="AD82" i="30"/>
  <c r="AE82" i="30"/>
  <c r="AF82" i="30"/>
  <c r="AG82" i="30"/>
  <c r="AH82" i="30"/>
  <c r="AD83" i="30"/>
  <c r="AE83" i="30"/>
  <c r="AF83" i="30"/>
  <c r="AG83" i="30"/>
  <c r="AH83" i="30"/>
  <c r="AD84" i="30"/>
  <c r="AE84" i="30"/>
  <c r="AF84" i="30"/>
  <c r="AG84" i="30"/>
  <c r="AH84" i="30"/>
  <c r="AD85" i="30"/>
  <c r="AE85" i="30"/>
  <c r="AF85" i="30"/>
  <c r="AG85" i="30"/>
  <c r="AH85" i="30"/>
  <c r="AD86" i="30"/>
  <c r="AE86" i="30"/>
  <c r="AF86" i="30"/>
  <c r="D21" i="41" s="1"/>
  <c r="AG86" i="30"/>
  <c r="AH86" i="30"/>
  <c r="AD87" i="30"/>
  <c r="AE87" i="30"/>
  <c r="AF87" i="30"/>
  <c r="AG87" i="30"/>
  <c r="AH87" i="30"/>
  <c r="AD88" i="30"/>
  <c r="AE88" i="30"/>
  <c r="AF88" i="30"/>
  <c r="AG88" i="30"/>
  <c r="AH88" i="30"/>
  <c r="AD89" i="30"/>
  <c r="AE89" i="30"/>
  <c r="AF89" i="30"/>
  <c r="AG89" i="30"/>
  <c r="AH89" i="30"/>
  <c r="AD90" i="30"/>
  <c r="AE90" i="30"/>
  <c r="AF90" i="30"/>
  <c r="D7" i="41" s="1"/>
  <c r="AG90" i="30"/>
  <c r="AH90" i="30"/>
  <c r="AD91" i="30"/>
  <c r="AE91" i="30"/>
  <c r="AF91" i="30"/>
  <c r="AG91" i="30"/>
  <c r="AH91" i="30"/>
  <c r="AD92" i="30"/>
  <c r="AE92" i="30"/>
  <c r="AF92" i="30"/>
  <c r="AG92" i="30"/>
  <c r="AH92" i="30"/>
  <c r="AD93" i="30"/>
  <c r="AE93" i="30"/>
  <c r="AF93" i="30"/>
  <c r="AG93" i="30"/>
  <c r="AH93" i="30"/>
  <c r="AD94" i="30"/>
  <c r="AE94" i="30"/>
  <c r="AF94" i="30"/>
  <c r="D39" i="41" s="1"/>
  <c r="AG94" i="30"/>
  <c r="AH94" i="30"/>
  <c r="AD95" i="30"/>
  <c r="AE95" i="30"/>
  <c r="AF95" i="30"/>
  <c r="AG95" i="30"/>
  <c r="AH95" i="30"/>
  <c r="AD96" i="30"/>
  <c r="AE96" i="30"/>
  <c r="AF96" i="30"/>
  <c r="D45" i="41" s="1"/>
  <c r="AG96" i="30"/>
  <c r="AH96" i="30"/>
  <c r="AD97" i="30"/>
  <c r="AE97" i="30"/>
  <c r="AF97" i="30"/>
  <c r="AG97" i="30"/>
  <c r="AH97" i="30"/>
  <c r="AD98" i="30"/>
  <c r="AE98" i="30"/>
  <c r="AF98" i="30"/>
  <c r="AG98" i="30"/>
  <c r="AH98" i="30"/>
  <c r="AD99" i="30"/>
  <c r="AE99" i="30"/>
  <c r="AF99" i="30"/>
  <c r="AG99" i="30"/>
  <c r="AH99" i="30"/>
  <c r="AD100" i="30"/>
  <c r="AE100" i="30"/>
  <c r="AF100" i="30"/>
  <c r="AG100" i="30"/>
  <c r="AH100" i="30"/>
  <c r="AD101" i="30"/>
  <c r="AE101" i="30"/>
  <c r="AF101" i="30"/>
  <c r="AG101" i="30"/>
  <c r="AH101" i="30"/>
  <c r="AD102" i="30"/>
  <c r="AE102" i="30"/>
  <c r="AF102" i="30"/>
  <c r="AG102" i="30"/>
  <c r="AH102" i="30"/>
  <c r="AD103" i="30"/>
  <c r="AE103" i="30"/>
  <c r="AF103" i="30"/>
  <c r="AG103" i="30"/>
  <c r="AH103" i="30"/>
  <c r="AD104" i="30"/>
  <c r="AE104" i="30"/>
  <c r="AF104" i="30"/>
  <c r="D26" i="41" s="1"/>
  <c r="AG104" i="30"/>
  <c r="AH104" i="30"/>
  <c r="AD105" i="30"/>
  <c r="AE105" i="30"/>
  <c r="AF105" i="30"/>
  <c r="AG105" i="30"/>
  <c r="AH105" i="30"/>
  <c r="AD106" i="30"/>
  <c r="AE106" i="30"/>
  <c r="AF106" i="30"/>
  <c r="AG106" i="30"/>
  <c r="AH106" i="30"/>
  <c r="AD107" i="30"/>
  <c r="AE107" i="30"/>
  <c r="AF107" i="30"/>
  <c r="AG107" i="30"/>
  <c r="AH107" i="30"/>
  <c r="AD108" i="30"/>
  <c r="AE108" i="30"/>
  <c r="AF108" i="30"/>
  <c r="AG108" i="30"/>
  <c r="AH108" i="30"/>
  <c r="AD109" i="30"/>
  <c r="AE109" i="30"/>
  <c r="AF109" i="30"/>
  <c r="AG109" i="30"/>
  <c r="AH109" i="30"/>
  <c r="AD110" i="30"/>
  <c r="AE110" i="30"/>
  <c r="AF110" i="30"/>
  <c r="D6" i="41" s="1"/>
  <c r="AG110" i="30"/>
  <c r="AH110" i="30"/>
  <c r="AD111" i="30"/>
  <c r="AE111" i="30"/>
  <c r="AF111" i="30"/>
  <c r="AG111" i="30"/>
  <c r="AH111" i="30"/>
  <c r="AD112" i="30"/>
  <c r="AE112" i="30"/>
  <c r="AF112" i="30"/>
  <c r="AG112" i="30"/>
  <c r="AH112" i="30"/>
  <c r="AD113" i="30"/>
  <c r="AE113" i="30"/>
  <c r="AF113" i="30"/>
  <c r="AG113" i="30"/>
  <c r="AH113" i="30"/>
  <c r="AD114" i="30"/>
  <c r="AE114" i="30"/>
  <c r="AF114" i="30"/>
  <c r="AG114" i="30"/>
  <c r="AH114" i="30"/>
  <c r="AD115" i="30"/>
  <c r="AE115" i="30"/>
  <c r="AF115" i="30"/>
  <c r="AG115" i="30"/>
  <c r="AH115" i="30"/>
  <c r="AD116" i="30"/>
  <c r="AE116" i="30"/>
  <c r="AF116" i="30"/>
  <c r="AG116" i="30"/>
  <c r="AH116" i="30"/>
  <c r="AD117" i="30"/>
  <c r="AE117" i="30"/>
  <c r="AF117" i="30"/>
  <c r="AG117" i="30"/>
  <c r="AH117" i="30"/>
  <c r="AE2" i="30"/>
  <c r="AF2" i="30"/>
  <c r="D3" i="41" s="1"/>
  <c r="AG2" i="30"/>
  <c r="Y2" i="30" s="1"/>
  <c r="AH2" i="30"/>
  <c r="AD2" i="30"/>
  <c r="D5" i="41"/>
  <c r="D8" i="41"/>
  <c r="D17" i="41"/>
  <c r="D10" i="41"/>
  <c r="D13" i="41"/>
  <c r="D14" i="41"/>
  <c r="D15" i="41"/>
  <c r="D16" i="41"/>
  <c r="D20" i="41"/>
  <c r="D22" i="41"/>
  <c r="D25" i="41"/>
  <c r="D27" i="41"/>
  <c r="D18" i="41"/>
  <c r="D28" i="41"/>
  <c r="D29" i="41"/>
  <c r="D30" i="41"/>
  <c r="D31" i="41"/>
  <c r="D32" i="41"/>
  <c r="D19" i="41"/>
  <c r="D34" i="41"/>
  <c r="D35" i="41"/>
  <c r="D36" i="41"/>
  <c r="D37" i="41"/>
  <c r="D38" i="41"/>
  <c r="D40" i="41"/>
  <c r="D41" i="41"/>
  <c r="D42" i="41"/>
  <c r="D43" i="41"/>
  <c r="D44" i="41"/>
  <c r="D46" i="41"/>
  <c r="D49" i="41"/>
  <c r="D50" i="41"/>
  <c r="D2" i="41"/>
  <c r="J55" i="50" a="1"/>
  <c r="J55" i="50" s="1"/>
  <c r="H55" i="50" s="1"/>
  <c r="J56" i="50" a="1"/>
  <c r="J56" i="50" s="1"/>
  <c r="H56" i="50" s="1"/>
  <c r="J57" i="50" a="1"/>
  <c r="J57" i="50" s="1"/>
  <c r="H57" i="50" s="1"/>
  <c r="H58" i="50"/>
  <c r="J58" i="50" a="1"/>
  <c r="J58" i="50"/>
  <c r="J59" i="50" a="1"/>
  <c r="J59" i="50"/>
  <c r="H59" i="50" s="1"/>
  <c r="J60" i="50" a="1"/>
  <c r="J60" i="50"/>
  <c r="H60" i="50" s="1"/>
  <c r="J61" i="50" a="1"/>
  <c r="J61" i="50" s="1"/>
  <c r="H61" i="50" s="1"/>
  <c r="J62" i="50" a="1"/>
  <c r="J62" i="50"/>
  <c r="H62" i="50" s="1"/>
  <c r="H63" i="50"/>
  <c r="J63" i="50" a="1"/>
  <c r="J63" i="50"/>
  <c r="J3" i="50" a="1"/>
  <c r="J3" i="50" s="1"/>
  <c r="J4" i="50" a="1"/>
  <c r="J4" i="50" s="1"/>
  <c r="J5" i="50" a="1"/>
  <c r="J5" i="50" s="1"/>
  <c r="J6" i="50" a="1"/>
  <c r="J6" i="50" s="1"/>
  <c r="J7" i="50" a="1"/>
  <c r="J7" i="50" s="1"/>
  <c r="J8" i="50" a="1"/>
  <c r="J8" i="50" s="1"/>
  <c r="J9" i="50" a="1"/>
  <c r="J9" i="50" s="1"/>
  <c r="J10" i="50" a="1"/>
  <c r="J10" i="50" s="1"/>
  <c r="J11" i="50" a="1"/>
  <c r="J11" i="50" s="1"/>
  <c r="J12" i="50" a="1"/>
  <c r="J12" i="50" s="1"/>
  <c r="J13" i="50" a="1"/>
  <c r="J13" i="50" s="1"/>
  <c r="J14" i="50" a="1"/>
  <c r="J14" i="50" s="1"/>
  <c r="J15" i="50" a="1"/>
  <c r="J15" i="50" s="1"/>
  <c r="J16" i="50" a="1"/>
  <c r="J16" i="50" s="1"/>
  <c r="J17" i="50" a="1"/>
  <c r="J17" i="50"/>
  <c r="J18" i="50" a="1"/>
  <c r="J18" i="50" s="1"/>
  <c r="J19" i="50" a="1"/>
  <c r="J19" i="50" s="1"/>
  <c r="J20" i="50" a="1"/>
  <c r="J20" i="50" s="1"/>
  <c r="J21" i="50" a="1"/>
  <c r="J21" i="50" s="1"/>
  <c r="J22" i="50" a="1"/>
  <c r="J22" i="50" s="1"/>
  <c r="J23" i="50" a="1"/>
  <c r="J23" i="50" s="1"/>
  <c r="J24" i="50" a="1"/>
  <c r="J24" i="50" s="1"/>
  <c r="J25" i="50" a="1"/>
  <c r="J25" i="50" s="1"/>
  <c r="J26" i="50" a="1"/>
  <c r="J26" i="50" s="1"/>
  <c r="J27" i="50" a="1"/>
  <c r="J27" i="50" s="1"/>
  <c r="J28" i="50" a="1"/>
  <c r="J28" i="50" s="1"/>
  <c r="J29" i="50" a="1"/>
  <c r="J29" i="50" s="1"/>
  <c r="J30" i="50" a="1"/>
  <c r="J30" i="50" s="1"/>
  <c r="J31" i="50" a="1"/>
  <c r="J31" i="50" s="1"/>
  <c r="J32" i="50" a="1"/>
  <c r="J32" i="50" s="1"/>
  <c r="J33" i="50" a="1"/>
  <c r="J33" i="50" s="1"/>
  <c r="J34" i="50" a="1"/>
  <c r="J34" i="50" s="1"/>
  <c r="J35" i="50" a="1"/>
  <c r="J35" i="50" s="1"/>
  <c r="J36" i="50" a="1"/>
  <c r="J36" i="50" s="1"/>
  <c r="J37" i="50" a="1"/>
  <c r="J37" i="50" s="1"/>
  <c r="J38" i="50" a="1"/>
  <c r="J38" i="50" s="1"/>
  <c r="J39" i="50" a="1"/>
  <c r="J39" i="50" s="1"/>
  <c r="J40" i="50" a="1"/>
  <c r="J40" i="50" s="1"/>
  <c r="J41" i="50" a="1"/>
  <c r="J41" i="50" s="1"/>
  <c r="J42" i="50" a="1"/>
  <c r="J42" i="50"/>
  <c r="J43" i="50" a="1"/>
  <c r="J43" i="50" s="1"/>
  <c r="J44" i="50" a="1"/>
  <c r="J44" i="50" s="1"/>
  <c r="J45" i="50" a="1"/>
  <c r="J45" i="50" s="1"/>
  <c r="J46" i="50" a="1"/>
  <c r="J46" i="50" s="1"/>
  <c r="J47" i="50" a="1"/>
  <c r="J47" i="50" s="1"/>
  <c r="J48" i="50" a="1"/>
  <c r="J48" i="50" s="1"/>
  <c r="J49" i="50" a="1"/>
  <c r="J49" i="50" s="1"/>
  <c r="J50" i="50" a="1"/>
  <c r="J50" i="50" s="1"/>
  <c r="J51" i="50" a="1"/>
  <c r="J51" i="50" s="1"/>
  <c r="J52" i="50" a="1"/>
  <c r="J52" i="50" s="1"/>
  <c r="J53" i="50" a="1"/>
  <c r="J53" i="50" s="1"/>
  <c r="J54" i="50" a="1"/>
  <c r="J54" i="50" s="1"/>
  <c r="J2" i="50" a="1"/>
  <c r="J2" i="50" s="1"/>
  <c r="O62" i="50"/>
  <c r="N62" i="50"/>
  <c r="E62" i="50"/>
  <c r="D62" i="50"/>
  <c r="C62" i="50"/>
  <c r="O48" i="50"/>
  <c r="N48" i="50"/>
  <c r="E48" i="50"/>
  <c r="D48" i="50"/>
  <c r="C48" i="50"/>
  <c r="O55" i="50"/>
  <c r="N55" i="50"/>
  <c r="E55" i="50"/>
  <c r="D55" i="50"/>
  <c r="C55" i="50"/>
  <c r="O54" i="50"/>
  <c r="N54" i="50"/>
  <c r="E54" i="50"/>
  <c r="D54" i="50"/>
  <c r="C54" i="50"/>
  <c r="O42" i="50"/>
  <c r="H42" i="50" s="1"/>
  <c r="N42" i="50"/>
  <c r="E42" i="50"/>
  <c r="D42" i="50"/>
  <c r="C42" i="50"/>
  <c r="O39" i="50"/>
  <c r="N39" i="50"/>
  <c r="E39" i="50"/>
  <c r="D39" i="50"/>
  <c r="C39" i="50"/>
  <c r="O35" i="50"/>
  <c r="N35" i="50"/>
  <c r="E35" i="50"/>
  <c r="D35" i="50"/>
  <c r="C35" i="50"/>
  <c r="O34" i="50"/>
  <c r="N34" i="50"/>
  <c r="E34" i="50"/>
  <c r="D34" i="50"/>
  <c r="C34" i="50"/>
  <c r="O26" i="50"/>
  <c r="N26" i="50"/>
  <c r="E26" i="50"/>
  <c r="D26" i="50"/>
  <c r="C26" i="50"/>
  <c r="O21" i="50"/>
  <c r="N21" i="50"/>
  <c r="E21" i="50"/>
  <c r="D21" i="50"/>
  <c r="C21" i="50"/>
  <c r="O12" i="50"/>
  <c r="N12" i="50"/>
  <c r="E12" i="50"/>
  <c r="D12" i="50"/>
  <c r="C12" i="50"/>
  <c r="O14" i="50"/>
  <c r="N14" i="50"/>
  <c r="E14" i="50"/>
  <c r="D14" i="50"/>
  <c r="C14" i="50"/>
  <c r="O9" i="50"/>
  <c r="N9" i="50"/>
  <c r="E9" i="50"/>
  <c r="D9" i="50"/>
  <c r="C9" i="50"/>
  <c r="O6" i="50"/>
  <c r="N6" i="50"/>
  <c r="E6" i="50"/>
  <c r="D6" i="50"/>
  <c r="C6" i="50"/>
  <c r="O28" i="50"/>
  <c r="N28" i="50"/>
  <c r="E28" i="50"/>
  <c r="D28" i="50"/>
  <c r="C28" i="50"/>
  <c r="O27" i="50"/>
  <c r="N27" i="50"/>
  <c r="E27" i="50"/>
  <c r="D27" i="50"/>
  <c r="C27" i="50"/>
  <c r="O41" i="50"/>
  <c r="N41" i="50"/>
  <c r="E41" i="50"/>
  <c r="D41" i="50"/>
  <c r="C41" i="50"/>
  <c r="O60" i="50"/>
  <c r="N60" i="50"/>
  <c r="E60" i="50"/>
  <c r="D60" i="50"/>
  <c r="C60" i="50"/>
  <c r="O52" i="50"/>
  <c r="N52" i="50"/>
  <c r="E52" i="50"/>
  <c r="D52" i="50"/>
  <c r="C52" i="50"/>
  <c r="O50" i="50"/>
  <c r="N50" i="50"/>
  <c r="E50" i="50"/>
  <c r="D50" i="50"/>
  <c r="C50" i="50"/>
  <c r="O49" i="50"/>
  <c r="N49" i="50"/>
  <c r="E49" i="50"/>
  <c r="D49" i="50"/>
  <c r="C49" i="50"/>
  <c r="O10" i="50"/>
  <c r="N10" i="50"/>
  <c r="E10" i="50"/>
  <c r="D10" i="50"/>
  <c r="C10" i="50"/>
  <c r="O51" i="50"/>
  <c r="N51" i="50"/>
  <c r="E51" i="50"/>
  <c r="D51" i="50"/>
  <c r="C51" i="50"/>
  <c r="O30" i="50"/>
  <c r="N30" i="50"/>
  <c r="E30" i="50"/>
  <c r="D30" i="50"/>
  <c r="C30" i="50"/>
  <c r="O31" i="50"/>
  <c r="N31" i="50"/>
  <c r="E31" i="50"/>
  <c r="D31" i="50"/>
  <c r="C31" i="50"/>
  <c r="O43" i="50"/>
  <c r="N43" i="50"/>
  <c r="E43" i="50"/>
  <c r="D43" i="50"/>
  <c r="C43" i="50"/>
  <c r="O53" i="50"/>
  <c r="N53" i="50"/>
  <c r="E53" i="50"/>
  <c r="D53" i="50"/>
  <c r="C53" i="50"/>
  <c r="O4" i="50"/>
  <c r="N4" i="50"/>
  <c r="E4" i="50"/>
  <c r="D4" i="50"/>
  <c r="C4" i="50"/>
  <c r="O32" i="50"/>
  <c r="N32" i="50"/>
  <c r="E32" i="50"/>
  <c r="D32" i="50"/>
  <c r="C32" i="50"/>
  <c r="O44" i="50"/>
  <c r="N44" i="50"/>
  <c r="E44" i="50"/>
  <c r="D44" i="50"/>
  <c r="C44" i="50"/>
  <c r="O57" i="50"/>
  <c r="N57" i="50"/>
  <c r="E57" i="50"/>
  <c r="D57" i="50"/>
  <c r="C57" i="50"/>
  <c r="O22" i="50"/>
  <c r="N22" i="50"/>
  <c r="E22" i="50"/>
  <c r="D22" i="50"/>
  <c r="C22" i="50"/>
  <c r="O58" i="50"/>
  <c r="N58" i="50"/>
  <c r="E58" i="50"/>
  <c r="D58" i="50"/>
  <c r="C58" i="50"/>
  <c r="O5" i="50"/>
  <c r="N5" i="50"/>
  <c r="E5" i="50"/>
  <c r="D5" i="50"/>
  <c r="C5" i="50"/>
  <c r="O38" i="50"/>
  <c r="N38" i="50"/>
  <c r="E38" i="50"/>
  <c r="D38" i="50"/>
  <c r="C38" i="50"/>
  <c r="O2" i="50"/>
  <c r="N2" i="50"/>
  <c r="E2" i="50"/>
  <c r="D2" i="50"/>
  <c r="C2" i="50"/>
  <c r="O33" i="50"/>
  <c r="N33" i="50"/>
  <c r="E33" i="50"/>
  <c r="D33" i="50"/>
  <c r="C33" i="50"/>
  <c r="O46" i="50"/>
  <c r="N46" i="50"/>
  <c r="E46" i="50"/>
  <c r="D46" i="50"/>
  <c r="C46" i="50"/>
  <c r="O45" i="50"/>
  <c r="N45" i="50"/>
  <c r="E45" i="50"/>
  <c r="D45" i="50"/>
  <c r="C45" i="50"/>
  <c r="O19" i="50"/>
  <c r="N19" i="50"/>
  <c r="E19" i="50"/>
  <c r="D19" i="50"/>
  <c r="C19" i="50"/>
  <c r="O47" i="50"/>
  <c r="N47" i="50"/>
  <c r="E47" i="50"/>
  <c r="D47" i="50"/>
  <c r="C47" i="50"/>
  <c r="O11" i="50"/>
  <c r="N11" i="50"/>
  <c r="E11" i="50"/>
  <c r="D11" i="50"/>
  <c r="C11" i="50"/>
  <c r="O3" i="50"/>
  <c r="N3" i="50"/>
  <c r="E3" i="50"/>
  <c r="D3" i="50"/>
  <c r="C3" i="50"/>
  <c r="O23" i="50"/>
  <c r="N23" i="50"/>
  <c r="E23" i="50"/>
  <c r="D23" i="50"/>
  <c r="C23" i="50"/>
  <c r="O29" i="50"/>
  <c r="N29" i="50"/>
  <c r="E29" i="50"/>
  <c r="D29" i="50"/>
  <c r="C29" i="50"/>
  <c r="O63" i="50"/>
  <c r="N63" i="50"/>
  <c r="E63" i="50"/>
  <c r="D63" i="50"/>
  <c r="C63" i="50"/>
  <c r="O61" i="50"/>
  <c r="N61" i="50"/>
  <c r="E61" i="50"/>
  <c r="D61" i="50"/>
  <c r="C61" i="50"/>
  <c r="O20" i="50"/>
  <c r="N20" i="50"/>
  <c r="E20" i="50"/>
  <c r="D20" i="50"/>
  <c r="C20" i="50"/>
  <c r="O56" i="50"/>
  <c r="N56" i="50"/>
  <c r="E56" i="50"/>
  <c r="D56" i="50"/>
  <c r="C56" i="50"/>
  <c r="O37" i="50"/>
  <c r="N37" i="50"/>
  <c r="E37" i="50"/>
  <c r="D37" i="50"/>
  <c r="C37" i="50"/>
  <c r="O59" i="50"/>
  <c r="N59" i="50"/>
  <c r="E59" i="50"/>
  <c r="D59" i="50"/>
  <c r="C59" i="50"/>
  <c r="O24" i="50"/>
  <c r="N24" i="50"/>
  <c r="E24" i="50"/>
  <c r="D24" i="50"/>
  <c r="C24" i="50"/>
  <c r="O15" i="50"/>
  <c r="N15" i="50"/>
  <c r="E15" i="50"/>
  <c r="D15" i="50"/>
  <c r="C15" i="50"/>
  <c r="O17" i="50"/>
  <c r="N17" i="50"/>
  <c r="E17" i="50"/>
  <c r="D17" i="50"/>
  <c r="C17" i="50"/>
  <c r="O36" i="50"/>
  <c r="N36" i="50"/>
  <c r="E36" i="50"/>
  <c r="D36" i="50"/>
  <c r="C36" i="50"/>
  <c r="O13" i="50"/>
  <c r="N13" i="50"/>
  <c r="E13" i="50"/>
  <c r="D13" i="50"/>
  <c r="C13" i="50"/>
  <c r="O25" i="50"/>
  <c r="N25" i="50"/>
  <c r="E25" i="50"/>
  <c r="D25" i="50"/>
  <c r="C25" i="50"/>
  <c r="O7" i="50"/>
  <c r="N7" i="50"/>
  <c r="E7" i="50"/>
  <c r="D7" i="50"/>
  <c r="C7" i="50"/>
  <c r="O8" i="50"/>
  <c r="N8" i="50"/>
  <c r="E8" i="50"/>
  <c r="D8" i="50"/>
  <c r="C8" i="50"/>
  <c r="O18" i="50"/>
  <c r="N18" i="50"/>
  <c r="E18" i="50"/>
  <c r="D18" i="50"/>
  <c r="C18" i="50"/>
  <c r="O40" i="50"/>
  <c r="N40" i="50"/>
  <c r="E40" i="50"/>
  <c r="D40" i="50"/>
  <c r="C40" i="50"/>
  <c r="O16" i="50"/>
  <c r="N16" i="50"/>
  <c r="E16" i="50"/>
  <c r="D16" i="50"/>
  <c r="C16" i="50"/>
  <c r="AY2" i="25"/>
  <c r="AW2" i="22" a="1"/>
  <c r="AW2" i="22" s="1"/>
  <c r="F3" i="36" a="1"/>
  <c r="F3" i="36" s="1"/>
  <c r="G3" i="36" a="1"/>
  <c r="G3" i="36"/>
  <c r="H3" i="36" a="1"/>
  <c r="H3" i="36" s="1"/>
  <c r="I3" i="36" a="1"/>
  <c r="I3" i="36" s="1"/>
  <c r="J3" i="36" a="1"/>
  <c r="J3" i="36"/>
  <c r="K3" i="36" a="1"/>
  <c r="K3" i="36" s="1"/>
  <c r="L3" i="36" a="1"/>
  <c r="L3" i="36"/>
  <c r="M3" i="36" a="1"/>
  <c r="M3" i="36" s="1"/>
  <c r="N3" i="36" a="1"/>
  <c r="N3" i="36" s="1"/>
  <c r="O3" i="36" a="1"/>
  <c r="O3" i="36"/>
  <c r="P3" i="36" a="1"/>
  <c r="P3" i="36" s="1"/>
  <c r="Q3" i="36" a="1"/>
  <c r="Q3" i="36"/>
  <c r="R3" i="36" a="1"/>
  <c r="R3" i="36" s="1"/>
  <c r="S3" i="36" a="1"/>
  <c r="S3" i="36" s="1"/>
  <c r="F4" i="36" a="1"/>
  <c r="F4" i="36"/>
  <c r="G4" i="36" a="1"/>
  <c r="G4" i="36" s="1"/>
  <c r="H4" i="36" a="1"/>
  <c r="H4" i="36"/>
  <c r="I4" i="36" a="1"/>
  <c r="I4" i="36"/>
  <c r="J4" i="36" a="1"/>
  <c r="J4" i="36" s="1"/>
  <c r="K4" i="36" a="1"/>
  <c r="K4" i="36"/>
  <c r="L4" i="36" a="1"/>
  <c r="L4" i="36" s="1"/>
  <c r="M4" i="36" a="1"/>
  <c r="M4" i="36"/>
  <c r="N4" i="36" a="1"/>
  <c r="N4" i="36"/>
  <c r="O4" i="36" a="1"/>
  <c r="O4" i="36" s="1"/>
  <c r="P4" i="36" a="1"/>
  <c r="P4" i="36"/>
  <c r="Q4" i="36" a="1"/>
  <c r="Q4" i="36" s="1"/>
  <c r="R4" i="36" a="1"/>
  <c r="R4" i="36"/>
  <c r="S4" i="36" a="1"/>
  <c r="S4" i="36"/>
  <c r="F5" i="36" a="1"/>
  <c r="F5" i="36"/>
  <c r="G5" i="36" a="1"/>
  <c r="G5" i="36" s="1"/>
  <c r="H5" i="36" a="1"/>
  <c r="H5" i="36" s="1"/>
  <c r="I5" i="36" a="1"/>
  <c r="I5" i="36"/>
  <c r="J5" i="36" a="1"/>
  <c r="J5" i="36" s="1"/>
  <c r="K5" i="36" a="1"/>
  <c r="K5" i="36" s="1"/>
  <c r="L5" i="36" a="1"/>
  <c r="L5" i="36" s="1"/>
  <c r="M5" i="36" a="1"/>
  <c r="M5" i="36" s="1"/>
  <c r="N5" i="36" a="1"/>
  <c r="N5" i="36"/>
  <c r="O5" i="36" a="1"/>
  <c r="O5" i="36"/>
  <c r="P5" i="36" a="1"/>
  <c r="P5" i="36"/>
  <c r="Q5" i="36" a="1"/>
  <c r="Q5" i="36"/>
  <c r="R5" i="36" a="1"/>
  <c r="R5" i="36" s="1"/>
  <c r="S5" i="36" a="1"/>
  <c r="S5" i="36"/>
  <c r="F6" i="36" a="1"/>
  <c r="F6" i="36"/>
  <c r="G6" i="36" a="1"/>
  <c r="G6" i="36"/>
  <c r="H6" i="36" a="1"/>
  <c r="H6" i="36" s="1"/>
  <c r="I6" i="36" a="1"/>
  <c r="I6" i="36" s="1"/>
  <c r="J6" i="36" a="1"/>
  <c r="J6" i="36"/>
  <c r="K6" i="36" a="1"/>
  <c r="K6" i="36" s="1"/>
  <c r="L6" i="36" a="1"/>
  <c r="L6" i="36"/>
  <c r="M6" i="36" a="1"/>
  <c r="M6" i="36"/>
  <c r="N6" i="36" a="1"/>
  <c r="N6" i="36" s="1"/>
  <c r="O6" i="36" a="1"/>
  <c r="O6" i="36"/>
  <c r="P6" i="36" a="1"/>
  <c r="P6" i="36" s="1"/>
  <c r="Q6" i="36" a="1"/>
  <c r="Q6" i="36"/>
  <c r="R6" i="36" a="1"/>
  <c r="R6" i="36" s="1"/>
  <c r="S6" i="36" a="1"/>
  <c r="S6" i="36" s="1"/>
  <c r="F7" i="36" a="1"/>
  <c r="F7" i="36"/>
  <c r="G7" i="36" a="1"/>
  <c r="G7" i="36" s="1"/>
  <c r="H7" i="36" a="1"/>
  <c r="H7" i="36" s="1"/>
  <c r="I7" i="36" a="1"/>
  <c r="I7" i="36"/>
  <c r="J7" i="36" a="1"/>
  <c r="J7" i="36" s="1"/>
  <c r="K7" i="36" a="1"/>
  <c r="K7" i="36"/>
  <c r="L7" i="36" a="1"/>
  <c r="L7" i="36" s="1"/>
  <c r="M7" i="36" a="1"/>
  <c r="M7" i="36" s="1"/>
  <c r="N7" i="36" a="1"/>
  <c r="N7" i="36"/>
  <c r="O7" i="36" a="1"/>
  <c r="O7" i="36" s="1"/>
  <c r="P7" i="36" a="1"/>
  <c r="P7" i="36"/>
  <c r="Q7" i="36" a="1"/>
  <c r="Q7" i="36"/>
  <c r="R7" i="36" a="1"/>
  <c r="R7" i="36" s="1"/>
  <c r="S7" i="36" a="1"/>
  <c r="S7" i="36" s="1"/>
  <c r="F8" i="36" a="1"/>
  <c r="F8" i="36" s="1"/>
  <c r="G8" i="36" a="1"/>
  <c r="G8" i="36"/>
  <c r="H8" i="36" a="1"/>
  <c r="H8" i="36" s="1"/>
  <c r="I8" i="36" a="1"/>
  <c r="I8" i="36" s="1"/>
  <c r="J8" i="36" a="1"/>
  <c r="J8" i="36" s="1"/>
  <c r="K8" i="36" a="1"/>
  <c r="K8" i="36" s="1"/>
  <c r="L8" i="36" a="1"/>
  <c r="L8" i="36"/>
  <c r="M8" i="36" a="1"/>
  <c r="M8" i="36"/>
  <c r="N8" i="36" a="1"/>
  <c r="N8" i="36"/>
  <c r="O8" i="36" a="1"/>
  <c r="O8" i="36" s="1"/>
  <c r="P8" i="36" a="1"/>
  <c r="P8" i="36" s="1"/>
  <c r="Q8" i="36" a="1"/>
  <c r="Q8" i="36"/>
  <c r="R8" i="36" a="1"/>
  <c r="R8" i="36" s="1"/>
  <c r="S8" i="36" a="1"/>
  <c r="S8" i="36" s="1"/>
  <c r="F9" i="36" a="1"/>
  <c r="F9" i="36" s="1"/>
  <c r="G9" i="36" a="1"/>
  <c r="G9" i="36" s="1"/>
  <c r="H9" i="36" a="1"/>
  <c r="H9" i="36" s="1"/>
  <c r="I9" i="36" a="1"/>
  <c r="I9" i="36"/>
  <c r="J9" i="36" a="1"/>
  <c r="J9" i="36"/>
  <c r="K9" i="36" a="1"/>
  <c r="K9" i="36" s="1"/>
  <c r="L9" i="36" a="1"/>
  <c r="L9" i="36" s="1"/>
  <c r="M9" i="36" a="1"/>
  <c r="M9" i="36" s="1"/>
  <c r="N9" i="36" a="1"/>
  <c r="N9" i="36" s="1"/>
  <c r="O9" i="36" a="1"/>
  <c r="O9" i="36" s="1"/>
  <c r="P9" i="36" a="1"/>
  <c r="P9" i="36" s="1"/>
  <c r="Q9" i="36" a="1"/>
  <c r="Q9" i="36" s="1"/>
  <c r="R9" i="36" a="1"/>
  <c r="R9" i="36" s="1"/>
  <c r="S9" i="36" a="1"/>
  <c r="S9" i="36" s="1"/>
  <c r="F10" i="36" a="1"/>
  <c r="F10" i="36"/>
  <c r="G10" i="36" a="1"/>
  <c r="G10" i="36"/>
  <c r="H10" i="36" a="1"/>
  <c r="H10" i="36" s="1"/>
  <c r="I10" i="36" a="1"/>
  <c r="I10" i="36" s="1"/>
  <c r="J10" i="36" a="1"/>
  <c r="J10" i="36" s="1"/>
  <c r="K10" i="36" a="1"/>
  <c r="K10" i="36" s="1"/>
  <c r="L10" i="36" a="1"/>
  <c r="L10" i="36" s="1"/>
  <c r="M10" i="36" a="1"/>
  <c r="M10" i="36" s="1"/>
  <c r="N10" i="36" a="1"/>
  <c r="N10" i="36" s="1"/>
  <c r="O10" i="36" a="1"/>
  <c r="O10" i="36" s="1"/>
  <c r="P10" i="36" a="1"/>
  <c r="P10" i="36" s="1"/>
  <c r="Q10" i="36" a="1"/>
  <c r="Q10" i="36"/>
  <c r="R10" i="36" a="1"/>
  <c r="R10" i="36" s="1"/>
  <c r="S10" i="36" a="1"/>
  <c r="S10" i="36" s="1"/>
  <c r="F11" i="36" a="1"/>
  <c r="F11" i="36" s="1"/>
  <c r="G11" i="36" a="1"/>
  <c r="G11" i="36" s="1"/>
  <c r="H11" i="36" a="1"/>
  <c r="H11" i="36" s="1"/>
  <c r="I11" i="36" a="1"/>
  <c r="I11" i="36" s="1"/>
  <c r="J11" i="36" a="1"/>
  <c r="J11" i="36"/>
  <c r="K11" i="36" a="1"/>
  <c r="K11" i="36" s="1"/>
  <c r="L11" i="36" a="1"/>
  <c r="L11" i="36" s="1"/>
  <c r="M11" i="36" a="1"/>
  <c r="M11" i="36" s="1"/>
  <c r="N11" i="36" a="1"/>
  <c r="N11" i="36" s="1"/>
  <c r="O11" i="36" a="1"/>
  <c r="O11" i="36" s="1"/>
  <c r="P11" i="36" a="1"/>
  <c r="P11" i="36"/>
  <c r="Q11" i="36" a="1"/>
  <c r="Q11" i="36" s="1"/>
  <c r="R11" i="36" a="1"/>
  <c r="R11" i="36" s="1"/>
  <c r="S11" i="36" a="1"/>
  <c r="S11" i="36" s="1"/>
  <c r="F12" i="36" a="1"/>
  <c r="F12" i="36"/>
  <c r="G12" i="36" a="1"/>
  <c r="G12" i="36"/>
  <c r="H12" i="36" a="1"/>
  <c r="H12" i="36" s="1"/>
  <c r="I12" i="36" a="1"/>
  <c r="I12" i="36" s="1"/>
  <c r="J12" i="36" a="1"/>
  <c r="J12" i="36" s="1"/>
  <c r="K12" i="36" a="1"/>
  <c r="K12" i="36" s="1"/>
  <c r="L12" i="36" a="1"/>
  <c r="L12" i="36" s="1"/>
  <c r="M12" i="36" a="1"/>
  <c r="M12" i="36"/>
  <c r="N12" i="36" a="1"/>
  <c r="N12" i="36" s="1"/>
  <c r="O12" i="36" a="1"/>
  <c r="O12" i="36" s="1"/>
  <c r="P12" i="36" a="1"/>
  <c r="P12" i="36" s="1"/>
  <c r="Q12" i="36" a="1"/>
  <c r="Q12" i="36"/>
  <c r="R12" i="36" a="1"/>
  <c r="R12" i="36"/>
  <c r="S12" i="36" a="1"/>
  <c r="S12" i="36" s="1"/>
  <c r="F13" i="36" a="1"/>
  <c r="F13" i="36" s="1"/>
  <c r="G13" i="36" a="1"/>
  <c r="G13" i="36"/>
  <c r="H13" i="36" a="1"/>
  <c r="H13" i="36" s="1"/>
  <c r="I13" i="36" a="1"/>
  <c r="I13" i="36" s="1"/>
  <c r="J13" i="36" a="1"/>
  <c r="J13" i="36" s="1"/>
  <c r="K13" i="36" a="1"/>
  <c r="K13" i="36" s="1"/>
  <c r="L13" i="36" a="1"/>
  <c r="L13" i="36" s="1"/>
  <c r="M13" i="36" a="1"/>
  <c r="M13" i="36" s="1"/>
  <c r="N13" i="36" a="1"/>
  <c r="N13" i="36"/>
  <c r="O13" i="36" a="1"/>
  <c r="O13" i="36"/>
  <c r="P13" i="36" a="1"/>
  <c r="P13" i="36" s="1"/>
  <c r="Q13" i="36" a="1"/>
  <c r="Q13" i="36" s="1"/>
  <c r="R13" i="36" a="1"/>
  <c r="R13" i="36" s="1"/>
  <c r="S13" i="36" a="1"/>
  <c r="S13" i="36" s="1"/>
  <c r="F14" i="36" a="1"/>
  <c r="F14" i="36" s="1"/>
  <c r="G14" i="36" a="1"/>
  <c r="G14" i="36" s="1"/>
  <c r="H14" i="36" a="1"/>
  <c r="H14" i="36" s="1"/>
  <c r="I14" i="36" a="1"/>
  <c r="I14" i="36" s="1"/>
  <c r="J14" i="36" a="1"/>
  <c r="J14" i="36" s="1"/>
  <c r="K14" i="36" a="1"/>
  <c r="K14" i="36"/>
  <c r="L14" i="36" a="1"/>
  <c r="L14" i="36" s="1"/>
  <c r="M14" i="36" a="1"/>
  <c r="M14" i="36"/>
  <c r="N14" i="36" a="1"/>
  <c r="N14" i="36" s="1"/>
  <c r="O14" i="36" a="1"/>
  <c r="O14" i="36" s="1"/>
  <c r="P14" i="36" a="1"/>
  <c r="P14" i="36" s="1"/>
  <c r="Q14" i="36" a="1"/>
  <c r="Q14" i="36" s="1"/>
  <c r="R14" i="36" a="1"/>
  <c r="R14" i="36"/>
  <c r="S14" i="36" a="1"/>
  <c r="S14" i="36" s="1"/>
  <c r="F15" i="36" a="1"/>
  <c r="F15" i="36" s="1"/>
  <c r="G15" i="36" a="1"/>
  <c r="G15" i="36" s="1"/>
  <c r="H15" i="36" a="1"/>
  <c r="H15" i="36" s="1"/>
  <c r="I15" i="36" a="1"/>
  <c r="I15" i="36" s="1"/>
  <c r="J15" i="36" a="1"/>
  <c r="J15" i="36"/>
  <c r="K15" i="36" a="1"/>
  <c r="K15" i="36" s="1"/>
  <c r="L15" i="36" a="1"/>
  <c r="L15" i="36" s="1"/>
  <c r="M15" i="36" a="1"/>
  <c r="M15" i="36" s="1"/>
  <c r="N15" i="36" a="1"/>
  <c r="N15" i="36"/>
  <c r="O15" i="36" a="1"/>
  <c r="O15" i="36"/>
  <c r="P15" i="36" a="1"/>
  <c r="P15" i="36" s="1"/>
  <c r="Q15" i="36" a="1"/>
  <c r="Q15" i="36" s="1"/>
  <c r="R15" i="36" a="1"/>
  <c r="R15" i="36" s="1"/>
  <c r="S15" i="36" a="1"/>
  <c r="S15" i="36" s="1"/>
  <c r="F16" i="36" a="1"/>
  <c r="F16" i="36" s="1"/>
  <c r="G16" i="36" a="1"/>
  <c r="G16" i="36"/>
  <c r="H16" i="36" a="1"/>
  <c r="H16" i="36" s="1"/>
  <c r="I16" i="36" a="1"/>
  <c r="I16" i="36" s="1"/>
  <c r="J16" i="36" a="1"/>
  <c r="J16" i="36" s="1"/>
  <c r="K16" i="36" a="1"/>
  <c r="K16" i="36"/>
  <c r="L16" i="36" a="1"/>
  <c r="L16" i="36"/>
  <c r="M16" i="36" a="1"/>
  <c r="M16" i="36" s="1"/>
  <c r="N16" i="36" a="1"/>
  <c r="N16" i="36" s="1"/>
  <c r="O16" i="36" a="1"/>
  <c r="O16" i="36"/>
  <c r="P16" i="36" a="1"/>
  <c r="P16" i="36" s="1"/>
  <c r="Q16" i="36" a="1"/>
  <c r="Q16" i="36" s="1"/>
  <c r="R16" i="36" a="1"/>
  <c r="R16" i="36"/>
  <c r="S16" i="36" a="1"/>
  <c r="S16" i="36" s="1"/>
  <c r="F17" i="36" a="1"/>
  <c r="F17" i="36" s="1"/>
  <c r="G17" i="36" a="1"/>
  <c r="G17" i="36" s="1"/>
  <c r="H17" i="36" a="1"/>
  <c r="H17" i="36"/>
  <c r="I17" i="36" a="1"/>
  <c r="I17" i="36"/>
  <c r="J17" i="36" a="1"/>
  <c r="J17" i="36" s="1"/>
  <c r="K17" i="36" a="1"/>
  <c r="K17" i="36" s="1"/>
  <c r="L17" i="36" a="1"/>
  <c r="L17" i="36" s="1"/>
  <c r="M17" i="36" a="1"/>
  <c r="M17" i="36" s="1"/>
  <c r="N17" i="36" a="1"/>
  <c r="N17" i="36" s="1"/>
  <c r="O17" i="36" a="1"/>
  <c r="O17" i="36" s="1"/>
  <c r="P17" i="36" a="1"/>
  <c r="P17" i="36"/>
  <c r="Q17" i="36" a="1"/>
  <c r="Q17" i="36" s="1"/>
  <c r="R17" i="36" a="1"/>
  <c r="R17" i="36" s="1"/>
  <c r="S17" i="36" a="1"/>
  <c r="S17" i="36"/>
  <c r="F18" i="36" a="1"/>
  <c r="F18" i="36" s="1"/>
  <c r="G18" i="36" a="1"/>
  <c r="G18" i="36"/>
  <c r="H18" i="36" a="1"/>
  <c r="H18" i="36" s="1"/>
  <c r="I18" i="36" a="1"/>
  <c r="I18" i="36" s="1"/>
  <c r="J18" i="36" a="1"/>
  <c r="J18" i="36" s="1"/>
  <c r="K18" i="36" a="1"/>
  <c r="K18" i="36" s="1"/>
  <c r="L18" i="36" a="1"/>
  <c r="L18" i="36"/>
  <c r="M18" i="36" a="1"/>
  <c r="M18" i="36"/>
  <c r="N18" i="36" a="1"/>
  <c r="N18" i="36" s="1"/>
  <c r="O18" i="36" a="1"/>
  <c r="O18" i="36" s="1"/>
  <c r="P18" i="36" a="1"/>
  <c r="P18" i="36" s="1"/>
  <c r="Q18" i="36" a="1"/>
  <c r="Q18" i="36" s="1"/>
  <c r="R18" i="36" a="1"/>
  <c r="R18" i="36" s="1"/>
  <c r="S18" i="36" a="1"/>
  <c r="S18" i="36" s="1"/>
  <c r="F19" i="36" a="1"/>
  <c r="F19" i="36"/>
  <c r="G19" i="36" a="1"/>
  <c r="G19" i="36" s="1"/>
  <c r="H19" i="36" a="1"/>
  <c r="H19" i="36"/>
  <c r="I19" i="36" a="1"/>
  <c r="I19" i="36"/>
  <c r="J19" i="36" a="1"/>
  <c r="J19" i="36" s="1"/>
  <c r="K19" i="36" a="1"/>
  <c r="K19" i="36" s="1"/>
  <c r="L19" i="36" a="1"/>
  <c r="L19" i="36" s="1"/>
  <c r="M19" i="36" a="1"/>
  <c r="M19" i="36" s="1"/>
  <c r="N19" i="36" a="1"/>
  <c r="N19" i="36" s="1"/>
  <c r="O19" i="36" a="1"/>
  <c r="O19" i="36"/>
  <c r="P19" i="36" a="1"/>
  <c r="P19" i="36" s="1"/>
  <c r="Q19" i="36" a="1"/>
  <c r="Q19" i="36" s="1"/>
  <c r="R19" i="36" a="1"/>
  <c r="R19" i="36" s="1"/>
  <c r="S19" i="36" a="1"/>
  <c r="S19" i="36"/>
  <c r="F20" i="36" a="1"/>
  <c r="F20" i="36"/>
  <c r="G20" i="36" a="1"/>
  <c r="G20" i="36"/>
  <c r="H20" i="36" a="1"/>
  <c r="H20" i="36" s="1"/>
  <c r="I20" i="36" a="1"/>
  <c r="I20" i="36"/>
  <c r="J20" i="36" a="1"/>
  <c r="J20" i="36" s="1"/>
  <c r="K20" i="36" a="1"/>
  <c r="K20" i="36" s="1"/>
  <c r="L20" i="36" a="1"/>
  <c r="L20" i="36" s="1"/>
  <c r="M20" i="36" a="1"/>
  <c r="M20" i="36" s="1"/>
  <c r="N20" i="36" a="1"/>
  <c r="N20" i="36" s="1"/>
  <c r="O20" i="36" a="1"/>
  <c r="O20" i="36" s="1"/>
  <c r="P20" i="36" a="1"/>
  <c r="P20" i="36"/>
  <c r="Q20" i="36" a="1"/>
  <c r="Q20" i="36"/>
  <c r="R20" i="36" a="1"/>
  <c r="R20" i="36" s="1"/>
  <c r="S20" i="36" a="1"/>
  <c r="S20" i="36" s="1"/>
  <c r="F21" i="36" a="1"/>
  <c r="F21" i="36" s="1"/>
  <c r="G21" i="36" a="1"/>
  <c r="G21" i="36" s="1"/>
  <c r="H21" i="36" a="1"/>
  <c r="H21" i="36" s="1"/>
  <c r="I21" i="36" a="1"/>
  <c r="I21" i="36" s="1"/>
  <c r="J21" i="36" a="1"/>
  <c r="J21" i="36" s="1"/>
  <c r="K21" i="36" a="1"/>
  <c r="K21" i="36" s="1"/>
  <c r="L21" i="36" a="1"/>
  <c r="L21" i="36" s="1"/>
  <c r="M21" i="36" a="1"/>
  <c r="M21" i="36"/>
  <c r="N21" i="36" a="1"/>
  <c r="N21" i="36" s="1"/>
  <c r="O21" i="36" a="1"/>
  <c r="O21" i="36"/>
  <c r="P21" i="36" a="1"/>
  <c r="P21" i="36" s="1"/>
  <c r="Q21" i="36" a="1"/>
  <c r="Q21" i="36" s="1"/>
  <c r="R21" i="36" a="1"/>
  <c r="R21" i="36" s="1"/>
  <c r="S21" i="36" a="1"/>
  <c r="S21" i="36" s="1"/>
  <c r="F22" i="36" a="1"/>
  <c r="F22" i="36"/>
  <c r="G22" i="36" a="1"/>
  <c r="G22" i="36" s="1"/>
  <c r="H22" i="36" a="1"/>
  <c r="H22" i="36"/>
  <c r="I22" i="36" a="1"/>
  <c r="I22" i="36" s="1"/>
  <c r="J22" i="36" a="1"/>
  <c r="J22" i="36" s="1"/>
  <c r="K22" i="36" a="1"/>
  <c r="K22" i="36" s="1"/>
  <c r="L22" i="36" a="1"/>
  <c r="L22" i="36"/>
  <c r="M22" i="36" a="1"/>
  <c r="M22" i="36" s="1"/>
  <c r="N22" i="36" a="1"/>
  <c r="N22" i="36" s="1"/>
  <c r="O22" i="36" a="1"/>
  <c r="O22" i="36" s="1"/>
  <c r="P22" i="36" a="1"/>
  <c r="P22" i="36"/>
  <c r="Q22" i="36" a="1"/>
  <c r="Q22" i="36"/>
  <c r="R22" i="36" a="1"/>
  <c r="R22" i="36"/>
  <c r="S22" i="36" a="1"/>
  <c r="S22" i="36"/>
  <c r="F23" i="36" a="1"/>
  <c r="F23" i="36" s="1"/>
  <c r="G23" i="36" a="1"/>
  <c r="G23" i="36" s="1"/>
  <c r="H23" i="36" a="1"/>
  <c r="H23" i="36" s="1"/>
  <c r="I23" i="36" a="1"/>
  <c r="I23" i="36" s="1"/>
  <c r="J23" i="36" a="1"/>
  <c r="J23" i="36" s="1"/>
  <c r="K23" i="36" a="1"/>
  <c r="K23" i="36" s="1"/>
  <c r="L23" i="36" a="1"/>
  <c r="L23" i="36" s="1"/>
  <c r="M23" i="36" a="1"/>
  <c r="M23" i="36"/>
  <c r="N23" i="36" a="1"/>
  <c r="N23" i="36"/>
  <c r="O23" i="36" a="1"/>
  <c r="O23" i="36"/>
  <c r="P23" i="36" a="1"/>
  <c r="P23" i="36" s="1"/>
  <c r="Q23" i="36" a="1"/>
  <c r="Q23" i="36" s="1"/>
  <c r="R23" i="36" a="1"/>
  <c r="R23" i="36" s="1"/>
  <c r="S23" i="36" a="1"/>
  <c r="S23" i="36" s="1"/>
  <c r="F24" i="36" a="1"/>
  <c r="F24" i="36" s="1"/>
  <c r="G24" i="36" a="1"/>
  <c r="G24" i="36" s="1"/>
  <c r="H24" i="36" a="1"/>
  <c r="H24" i="36"/>
  <c r="I24" i="36" a="1"/>
  <c r="I24" i="36" s="1"/>
  <c r="J24" i="36" a="1"/>
  <c r="J24" i="36"/>
  <c r="K24" i="36" a="1"/>
  <c r="K24" i="36"/>
  <c r="L24" i="36" a="1"/>
  <c r="L24" i="36" s="1"/>
  <c r="M24" i="36" a="1"/>
  <c r="M24" i="36" s="1"/>
  <c r="N24" i="36" a="1"/>
  <c r="N24" i="36" s="1"/>
  <c r="O24" i="36" a="1"/>
  <c r="O24" i="36" s="1"/>
  <c r="P24" i="36" a="1"/>
  <c r="P24" i="36" s="1"/>
  <c r="Q24" i="36" a="1"/>
  <c r="Q24" i="36" s="1"/>
  <c r="R24" i="36" a="1"/>
  <c r="R24" i="36"/>
  <c r="S24" i="36" a="1"/>
  <c r="S24" i="36"/>
  <c r="F25" i="36" a="1"/>
  <c r="F25" i="36" s="1"/>
  <c r="G25" i="36" a="1"/>
  <c r="G25" i="36"/>
  <c r="H25" i="36" a="1"/>
  <c r="H25" i="36" s="1"/>
  <c r="I25" i="36" a="1"/>
  <c r="I25" i="36"/>
  <c r="J25" i="36" a="1"/>
  <c r="J25" i="36" s="1"/>
  <c r="K25" i="36" a="1"/>
  <c r="K25" i="36" s="1"/>
  <c r="L25" i="36" a="1"/>
  <c r="L25" i="36" s="1"/>
  <c r="M25" i="36" a="1"/>
  <c r="M25" i="36" s="1"/>
  <c r="N25" i="36" a="1"/>
  <c r="N25" i="36"/>
  <c r="O25" i="36" a="1"/>
  <c r="O25" i="36" s="1"/>
  <c r="P25" i="36" a="1"/>
  <c r="P25" i="36"/>
  <c r="Q25" i="36" a="1"/>
  <c r="Q25" i="36" s="1"/>
  <c r="R25" i="36" a="1"/>
  <c r="R25" i="36" s="1"/>
  <c r="S25" i="36" a="1"/>
  <c r="S25" i="36" s="1"/>
  <c r="F26" i="36" a="1"/>
  <c r="F26" i="36"/>
  <c r="G26" i="36" a="1"/>
  <c r="G26" i="36" s="1"/>
  <c r="H26" i="36" a="1"/>
  <c r="H26" i="36" s="1"/>
  <c r="I26" i="36" a="1"/>
  <c r="I26" i="36" s="1"/>
  <c r="J26" i="36" a="1"/>
  <c r="J26" i="36"/>
  <c r="K26" i="36" a="1"/>
  <c r="K26" i="36"/>
  <c r="L26" i="36" a="1"/>
  <c r="L26" i="36"/>
  <c r="M26" i="36" a="1"/>
  <c r="M26" i="36"/>
  <c r="N26" i="36" a="1"/>
  <c r="N26" i="36" s="1"/>
  <c r="O26" i="36" a="1"/>
  <c r="O26" i="36" s="1"/>
  <c r="P26" i="36" a="1"/>
  <c r="P26" i="36" s="1"/>
  <c r="Q26" i="36" a="1"/>
  <c r="Q26" i="36" s="1"/>
  <c r="R26" i="36" a="1"/>
  <c r="R26" i="36" s="1"/>
  <c r="S26" i="36" a="1"/>
  <c r="S26" i="36" s="1"/>
  <c r="F27" i="36" a="1"/>
  <c r="F27" i="36" s="1"/>
  <c r="G27" i="36" a="1"/>
  <c r="G27" i="36"/>
  <c r="H27" i="36" a="1"/>
  <c r="H27" i="36"/>
  <c r="I27" i="36" a="1"/>
  <c r="I27" i="36"/>
  <c r="J27" i="36" a="1"/>
  <c r="J27" i="36" s="1"/>
  <c r="K27" i="36" a="1"/>
  <c r="K27" i="36" s="1"/>
  <c r="L27" i="36" a="1"/>
  <c r="L27" i="36" s="1"/>
  <c r="M27" i="36" a="1"/>
  <c r="M27" i="36" s="1"/>
  <c r="N27" i="36" a="1"/>
  <c r="N27" i="36" s="1"/>
  <c r="O27" i="36" a="1"/>
  <c r="O27" i="36" s="1"/>
  <c r="P27" i="36" a="1"/>
  <c r="P27" i="36" s="1"/>
  <c r="Q27" i="36" a="1"/>
  <c r="Q27" i="36" s="1"/>
  <c r="R27" i="36" a="1"/>
  <c r="R27" i="36"/>
  <c r="S27" i="36" a="1"/>
  <c r="S27" i="36"/>
  <c r="F28" i="36" a="1"/>
  <c r="F28" i="36" s="1"/>
  <c r="G28" i="36" a="1"/>
  <c r="G28" i="36" s="1"/>
  <c r="H28" i="36" a="1"/>
  <c r="H28" i="36" s="1"/>
  <c r="I28" i="36" a="1"/>
  <c r="I28" i="36" s="1"/>
  <c r="J28" i="36" a="1"/>
  <c r="J28" i="36" s="1"/>
  <c r="K28" i="36" a="1"/>
  <c r="K28" i="36" s="1"/>
  <c r="L28" i="36" a="1"/>
  <c r="L28" i="36" s="1"/>
  <c r="M28" i="36" a="1"/>
  <c r="M28" i="36" s="1"/>
  <c r="N28" i="36" a="1"/>
  <c r="N28" i="36" s="1"/>
  <c r="O28" i="36" a="1"/>
  <c r="O28" i="36"/>
  <c r="P28" i="36" a="1"/>
  <c r="P28" i="36" s="1"/>
  <c r="Q28" i="36" a="1"/>
  <c r="Q28" i="36" s="1"/>
  <c r="R28" i="36" a="1"/>
  <c r="R28" i="36" s="1"/>
  <c r="S28" i="36" a="1"/>
  <c r="S28" i="36" s="1"/>
  <c r="F29" i="36" a="1"/>
  <c r="F29" i="36" s="1"/>
  <c r="G29" i="36" a="1"/>
  <c r="G29" i="36" s="1"/>
  <c r="H29" i="36" a="1"/>
  <c r="H29" i="36"/>
  <c r="I29" i="36" a="1"/>
  <c r="I29" i="36" s="1"/>
  <c r="J29" i="36" a="1"/>
  <c r="J29" i="36" s="1"/>
  <c r="K29" i="36" a="1"/>
  <c r="K29" i="36" s="1"/>
  <c r="L29" i="36" a="1"/>
  <c r="L29" i="36" s="1"/>
  <c r="M29" i="36" a="1"/>
  <c r="M29" i="36" s="1"/>
  <c r="N29" i="36" a="1"/>
  <c r="N29" i="36" s="1"/>
  <c r="O29" i="36" a="1"/>
  <c r="O29" i="36" s="1"/>
  <c r="P29" i="36" a="1"/>
  <c r="P29" i="36" s="1"/>
  <c r="Q29" i="36" a="1"/>
  <c r="Q29" i="36" s="1"/>
  <c r="R29" i="36" a="1"/>
  <c r="R29" i="36"/>
  <c r="S29" i="36" a="1"/>
  <c r="S29" i="36"/>
  <c r="F30" i="36" a="1"/>
  <c r="F30" i="36" s="1"/>
  <c r="G30" i="36" a="1"/>
  <c r="G30" i="36" s="1"/>
  <c r="H30" i="36" a="1"/>
  <c r="H30" i="36" s="1"/>
  <c r="I30" i="36" a="1"/>
  <c r="I30" i="36" s="1"/>
  <c r="J30" i="36" a="1"/>
  <c r="J30" i="36" s="1"/>
  <c r="K30" i="36" a="1"/>
  <c r="K30" i="36"/>
  <c r="L30" i="36" a="1"/>
  <c r="L30" i="36" s="1"/>
  <c r="M30" i="36" a="1"/>
  <c r="M30" i="36" s="1"/>
  <c r="N30" i="36" a="1"/>
  <c r="N30" i="36" s="1"/>
  <c r="O30" i="36" a="1"/>
  <c r="O30" i="36"/>
  <c r="P30" i="36" a="1"/>
  <c r="P30" i="36"/>
  <c r="Q30" i="36" a="1"/>
  <c r="Q30" i="36" s="1"/>
  <c r="R30" i="36" a="1"/>
  <c r="R30" i="36" s="1"/>
  <c r="S30" i="36" a="1"/>
  <c r="S30" i="36"/>
  <c r="F31" i="36" a="1"/>
  <c r="F31" i="36" s="1"/>
  <c r="G31" i="36" a="1"/>
  <c r="G31" i="36" s="1"/>
  <c r="H31" i="36" a="1"/>
  <c r="H31" i="36" s="1"/>
  <c r="I31" i="36" a="1"/>
  <c r="I31" i="36" s="1"/>
  <c r="J31" i="36" a="1"/>
  <c r="J31" i="36" s="1"/>
  <c r="K31" i="36" a="1"/>
  <c r="K31" i="36" s="1"/>
  <c r="L31" i="36" a="1"/>
  <c r="L31" i="36"/>
  <c r="M31" i="36" a="1"/>
  <c r="M31" i="36"/>
  <c r="N31" i="36" a="1"/>
  <c r="N31" i="36" s="1"/>
  <c r="O31" i="36" a="1"/>
  <c r="O31" i="36" s="1"/>
  <c r="P31" i="36" a="1"/>
  <c r="P31" i="36" s="1"/>
  <c r="Q31" i="36" a="1"/>
  <c r="Q31" i="36" s="1"/>
  <c r="R31" i="36" a="1"/>
  <c r="R31" i="36" s="1"/>
  <c r="S31" i="36" a="1"/>
  <c r="S31" i="36" s="1"/>
  <c r="F32" i="36" a="1"/>
  <c r="F32" i="36"/>
  <c r="G32" i="36" a="1"/>
  <c r="G32" i="36" s="1"/>
  <c r="H32" i="36" a="1"/>
  <c r="H32" i="36" s="1"/>
  <c r="I32" i="36" a="1"/>
  <c r="I32" i="36"/>
  <c r="J32" i="36" a="1"/>
  <c r="J32" i="36" s="1"/>
  <c r="K32" i="36" a="1"/>
  <c r="K32" i="36"/>
  <c r="L32" i="36" a="1"/>
  <c r="L32" i="36"/>
  <c r="M32" i="36" a="1"/>
  <c r="M32" i="36" s="1"/>
  <c r="N32" i="36" a="1"/>
  <c r="N32" i="36" s="1"/>
  <c r="O32" i="36" a="1"/>
  <c r="O32" i="36" s="1"/>
  <c r="P32" i="36" a="1"/>
  <c r="P32" i="36"/>
  <c r="Q32" i="36" a="1"/>
  <c r="Q32" i="36" s="1"/>
  <c r="R32" i="36" a="1"/>
  <c r="R32" i="36" s="1"/>
  <c r="S32" i="36" a="1"/>
  <c r="S32" i="36" s="1"/>
  <c r="F33" i="36" a="1"/>
  <c r="F33" i="36" s="1"/>
  <c r="G33" i="36" a="1"/>
  <c r="G33" i="36" s="1"/>
  <c r="H33" i="36" a="1"/>
  <c r="H33" i="36" s="1"/>
  <c r="I33" i="36" a="1"/>
  <c r="I33" i="36"/>
  <c r="J33" i="36" a="1"/>
  <c r="J33" i="36" s="1"/>
  <c r="K33" i="36" a="1"/>
  <c r="K33" i="36" s="1"/>
  <c r="L33" i="36" a="1"/>
  <c r="L33" i="36" s="1"/>
  <c r="M33" i="36" a="1"/>
  <c r="M33" i="36"/>
  <c r="N33" i="36" a="1"/>
  <c r="N33" i="36" s="1"/>
  <c r="O33" i="36" a="1"/>
  <c r="O33" i="36" s="1"/>
  <c r="P33" i="36" a="1"/>
  <c r="P33" i="36" s="1"/>
  <c r="Q33" i="36" a="1"/>
  <c r="Q33" i="36" s="1"/>
  <c r="R33" i="36" a="1"/>
  <c r="R33" i="36"/>
  <c r="S33" i="36" a="1"/>
  <c r="S33" i="36"/>
  <c r="F34" i="36" a="1"/>
  <c r="F34" i="36" s="1"/>
  <c r="G34" i="36" a="1"/>
  <c r="G34" i="36" s="1"/>
  <c r="H34" i="36" a="1"/>
  <c r="H34" i="36" s="1"/>
  <c r="I34" i="36" a="1"/>
  <c r="I34" i="36"/>
  <c r="J34" i="36" a="1"/>
  <c r="J34" i="36" s="1"/>
  <c r="K34" i="36" a="1"/>
  <c r="K34" i="36" s="1"/>
  <c r="L34" i="36" a="1"/>
  <c r="L34" i="36" s="1"/>
  <c r="M34" i="36" a="1"/>
  <c r="M34" i="36" s="1"/>
  <c r="N34" i="36" a="1"/>
  <c r="N34" i="36" s="1"/>
  <c r="O34" i="36" a="1"/>
  <c r="O34" i="36" s="1"/>
  <c r="P34" i="36" a="1"/>
  <c r="P34" i="36" s="1"/>
  <c r="Q34" i="36" a="1"/>
  <c r="Q34" i="36" s="1"/>
  <c r="R34" i="36" a="1"/>
  <c r="R34" i="36" s="1"/>
  <c r="S34" i="36" a="1"/>
  <c r="S34" i="36" s="1"/>
  <c r="F35" i="36" a="1"/>
  <c r="F35" i="36"/>
  <c r="G35" i="36" a="1"/>
  <c r="G35" i="36" s="1"/>
  <c r="H35" i="36" a="1"/>
  <c r="H35" i="36" s="1"/>
  <c r="I35" i="36" a="1"/>
  <c r="I35" i="36" s="1"/>
  <c r="J35" i="36" a="1"/>
  <c r="J35" i="36"/>
  <c r="K35" i="36" a="1"/>
  <c r="K35" i="36"/>
  <c r="L35" i="36" a="1"/>
  <c r="L35" i="36"/>
  <c r="M35" i="36" a="1"/>
  <c r="M35" i="36" s="1"/>
  <c r="N35" i="36" a="1"/>
  <c r="N35" i="36" s="1"/>
  <c r="O35" i="36" a="1"/>
  <c r="O35" i="36"/>
  <c r="P35" i="36" a="1"/>
  <c r="P35" i="36" s="1"/>
  <c r="Q35" i="36" a="1"/>
  <c r="Q35" i="36" s="1"/>
  <c r="R35" i="36" a="1"/>
  <c r="R35" i="36" s="1"/>
  <c r="S35" i="36" a="1"/>
  <c r="S35" i="36" s="1"/>
  <c r="F36" i="36" a="1"/>
  <c r="F36" i="36" s="1"/>
  <c r="G36" i="36" a="1"/>
  <c r="G36" i="36" s="1"/>
  <c r="H36" i="36" a="1"/>
  <c r="H36" i="36"/>
  <c r="I36" i="36" a="1"/>
  <c r="I36" i="36" s="1"/>
  <c r="J36" i="36" a="1"/>
  <c r="J36" i="36"/>
  <c r="K36" i="36" a="1"/>
  <c r="K36" i="36" s="1"/>
  <c r="L36" i="36" a="1"/>
  <c r="L36" i="36"/>
  <c r="M36" i="36" a="1"/>
  <c r="M36" i="36" s="1"/>
  <c r="N36" i="36" a="1"/>
  <c r="N36" i="36" s="1"/>
  <c r="O36" i="36" a="1"/>
  <c r="O36" i="36"/>
  <c r="P36" i="36" a="1"/>
  <c r="P36" i="36" s="1"/>
  <c r="Q36" i="36" a="1"/>
  <c r="Q36" i="36" s="1"/>
  <c r="R36" i="36" a="1"/>
  <c r="R36" i="36" s="1"/>
  <c r="S36" i="36" a="1"/>
  <c r="S36" i="36" s="1"/>
  <c r="F37" i="36" a="1"/>
  <c r="F37" i="36" s="1"/>
  <c r="G37" i="36" a="1"/>
  <c r="G37" i="36"/>
  <c r="H37" i="36" a="1"/>
  <c r="H37" i="36" s="1"/>
  <c r="I37" i="36" a="1"/>
  <c r="I37" i="36"/>
  <c r="J37" i="36" a="1"/>
  <c r="J37" i="36" s="1"/>
  <c r="K37" i="36" a="1"/>
  <c r="K37" i="36"/>
  <c r="L37" i="36" a="1"/>
  <c r="L37" i="36"/>
  <c r="M37" i="36" a="1"/>
  <c r="M37" i="36" s="1"/>
  <c r="N37" i="36" a="1"/>
  <c r="N37" i="36" s="1"/>
  <c r="O37" i="36" a="1"/>
  <c r="O37" i="36" s="1"/>
  <c r="P37" i="36" a="1"/>
  <c r="P37" i="36" s="1"/>
  <c r="Q37" i="36" a="1"/>
  <c r="Q37" i="36" s="1"/>
  <c r="R37" i="36" a="1"/>
  <c r="R37" i="36"/>
  <c r="S37" i="36" a="1"/>
  <c r="S37" i="36" s="1"/>
  <c r="F38" i="36" a="1"/>
  <c r="F38" i="36" s="1"/>
  <c r="G38" i="36" a="1"/>
  <c r="G38" i="36"/>
  <c r="H38" i="36" a="1"/>
  <c r="H38" i="36"/>
  <c r="I38" i="36" a="1"/>
  <c r="I38" i="36"/>
  <c r="J38" i="36" a="1"/>
  <c r="J38" i="36" s="1"/>
  <c r="K38" i="36" a="1"/>
  <c r="K38" i="36" s="1"/>
  <c r="L38" i="36" a="1"/>
  <c r="L38" i="36"/>
  <c r="M38" i="36" a="1"/>
  <c r="M38" i="36" s="1"/>
  <c r="N38" i="36" a="1"/>
  <c r="N38" i="36" s="1"/>
  <c r="O38" i="36" a="1"/>
  <c r="O38" i="36"/>
  <c r="P38" i="36" a="1"/>
  <c r="P38" i="36" s="1"/>
  <c r="Q38" i="36" a="1"/>
  <c r="Q38" i="36" s="1"/>
  <c r="R38" i="36" a="1"/>
  <c r="R38" i="36"/>
  <c r="S38" i="36" a="1"/>
  <c r="S38" i="36"/>
  <c r="F39" i="36" a="1"/>
  <c r="F39" i="36"/>
  <c r="G39" i="36" a="1"/>
  <c r="G39" i="36" s="1"/>
  <c r="H39" i="36" a="1"/>
  <c r="H39" i="36" s="1"/>
  <c r="I39" i="36" a="1"/>
  <c r="I39" i="36"/>
  <c r="J39" i="36" a="1"/>
  <c r="J39" i="36" s="1"/>
  <c r="K39" i="36" a="1"/>
  <c r="K39" i="36" s="1"/>
  <c r="L39" i="36" a="1"/>
  <c r="L39" i="36" s="1"/>
  <c r="M39" i="36" a="1"/>
  <c r="M39" i="36" s="1"/>
  <c r="N39" i="36" a="1"/>
  <c r="N39" i="36" s="1"/>
  <c r="O39" i="36" a="1"/>
  <c r="O39" i="36" s="1"/>
  <c r="P39" i="36" a="1"/>
  <c r="P39" i="36"/>
  <c r="Q39" i="36" a="1"/>
  <c r="Q39" i="36" s="1"/>
  <c r="R39" i="36" a="1"/>
  <c r="R39" i="36"/>
  <c r="S39" i="36" a="1"/>
  <c r="S39" i="36" s="1"/>
  <c r="F40" i="36" a="1"/>
  <c r="F40" i="36"/>
  <c r="G40" i="36" a="1"/>
  <c r="G40" i="36" s="1"/>
  <c r="H40" i="36" a="1"/>
  <c r="H40" i="36" s="1"/>
  <c r="I40" i="36" a="1"/>
  <c r="I40" i="36"/>
  <c r="J40" i="36" a="1"/>
  <c r="J40" i="36" s="1"/>
  <c r="K40" i="36" a="1"/>
  <c r="K40" i="36" s="1"/>
  <c r="L40" i="36" a="1"/>
  <c r="L40" i="36" s="1"/>
  <c r="M40" i="36" a="1"/>
  <c r="M40" i="36" s="1"/>
  <c r="N40" i="36" a="1"/>
  <c r="N40" i="36" s="1"/>
  <c r="O40" i="36" a="1"/>
  <c r="O40" i="36"/>
  <c r="P40" i="36" a="1"/>
  <c r="P40" i="36" s="1"/>
  <c r="Q40" i="36" a="1"/>
  <c r="Q40" i="36"/>
  <c r="R40" i="36" a="1"/>
  <c r="R40" i="36" s="1"/>
  <c r="S40" i="36" a="1"/>
  <c r="S40" i="36"/>
  <c r="F41" i="36" a="1"/>
  <c r="F41" i="36"/>
  <c r="G41" i="36" a="1"/>
  <c r="G41" i="36" s="1"/>
  <c r="H41" i="36" a="1"/>
  <c r="H41" i="36" s="1"/>
  <c r="I41" i="36" a="1"/>
  <c r="I41" i="36" s="1"/>
  <c r="J41" i="36" a="1"/>
  <c r="J41" i="36" s="1"/>
  <c r="K41" i="36" a="1"/>
  <c r="K41" i="36" s="1"/>
  <c r="L41" i="36" a="1"/>
  <c r="L41" i="36"/>
  <c r="M41" i="36" a="1"/>
  <c r="M41" i="36" s="1"/>
  <c r="N41" i="36" a="1"/>
  <c r="N41" i="36" s="1"/>
  <c r="O41" i="36" a="1"/>
  <c r="O41" i="36"/>
  <c r="P41" i="36" a="1"/>
  <c r="P41" i="36"/>
  <c r="Q41" i="36" a="1"/>
  <c r="Q41" i="36"/>
  <c r="R41" i="36" a="1"/>
  <c r="R41" i="36" s="1"/>
  <c r="S41" i="36" a="1"/>
  <c r="S41" i="36" s="1"/>
  <c r="F42" i="36" a="1"/>
  <c r="F42" i="36"/>
  <c r="G42" i="36" a="1"/>
  <c r="G42" i="36" s="1"/>
  <c r="H42" i="36" a="1"/>
  <c r="H42" i="36" s="1"/>
  <c r="I42" i="36" a="1"/>
  <c r="I42" i="36"/>
  <c r="J42" i="36" a="1"/>
  <c r="J42" i="36" s="1"/>
  <c r="K42" i="36" a="1"/>
  <c r="K42" i="36" s="1"/>
  <c r="L42" i="36" a="1"/>
  <c r="L42" i="36"/>
  <c r="M42" i="36" a="1"/>
  <c r="M42" i="36"/>
  <c r="N42" i="36" a="1"/>
  <c r="N42" i="36"/>
  <c r="O42" i="36" a="1"/>
  <c r="O42" i="36" s="1"/>
  <c r="P42" i="36" a="1"/>
  <c r="P42" i="36" s="1"/>
  <c r="Q42" i="36" a="1"/>
  <c r="Q42" i="36"/>
  <c r="R42" i="36" a="1"/>
  <c r="R42" i="36" s="1"/>
  <c r="S42" i="36" a="1"/>
  <c r="S42" i="36" s="1"/>
  <c r="F43" i="36" a="1"/>
  <c r="F43" i="36" s="1"/>
  <c r="G43" i="36" a="1"/>
  <c r="G43" i="36" s="1"/>
  <c r="H43" i="36" a="1"/>
  <c r="H43" i="36" s="1"/>
  <c r="I43" i="36" a="1"/>
  <c r="I43" i="36" s="1"/>
  <c r="J43" i="36" a="1"/>
  <c r="J43" i="36"/>
  <c r="K43" i="36" a="1"/>
  <c r="K43" i="36" s="1"/>
  <c r="L43" i="36" a="1"/>
  <c r="L43" i="36"/>
  <c r="M43" i="36" a="1"/>
  <c r="M43" i="36" s="1"/>
  <c r="N43" i="36" a="1"/>
  <c r="N43" i="36"/>
  <c r="O43" i="36" a="1"/>
  <c r="O43" i="36" s="1"/>
  <c r="P43" i="36" a="1"/>
  <c r="P43" i="36" s="1"/>
  <c r="Q43" i="36" a="1"/>
  <c r="Q43" i="36"/>
  <c r="R43" i="36" a="1"/>
  <c r="R43" i="36" s="1"/>
  <c r="S43" i="36" a="1"/>
  <c r="S43" i="36"/>
  <c r="F44" i="36" a="1"/>
  <c r="F44" i="36"/>
  <c r="G44" i="36" a="1"/>
  <c r="G44" i="36" s="1"/>
  <c r="H44" i="36" a="1"/>
  <c r="H44" i="36" s="1"/>
  <c r="I44" i="36" a="1"/>
  <c r="I44" i="36"/>
  <c r="J44" i="36" a="1"/>
  <c r="J44" i="36" s="1"/>
  <c r="K44" i="36" a="1"/>
  <c r="K44" i="36"/>
  <c r="L44" i="36" a="1"/>
  <c r="L44" i="36" s="1"/>
  <c r="M44" i="36" a="1"/>
  <c r="M44" i="36"/>
  <c r="N44" i="36" a="1"/>
  <c r="N44" i="36"/>
  <c r="O44" i="36" a="1"/>
  <c r="O44" i="36" s="1"/>
  <c r="P44" i="36" a="1"/>
  <c r="P44" i="36" s="1"/>
  <c r="Q44" i="36" a="1"/>
  <c r="Q44" i="36" s="1"/>
  <c r="R44" i="36" a="1"/>
  <c r="R44" i="36" s="1"/>
  <c r="S44" i="36" a="1"/>
  <c r="S44" i="36" s="1"/>
  <c r="F45" i="36" a="1"/>
  <c r="F45" i="36"/>
  <c r="G45" i="36" a="1"/>
  <c r="G45" i="36" s="1"/>
  <c r="H45" i="36" a="1"/>
  <c r="H45" i="36" s="1"/>
  <c r="I45" i="36" a="1"/>
  <c r="I45" i="36" s="1"/>
  <c r="J45" i="36" a="1"/>
  <c r="J45" i="36"/>
  <c r="K45" i="36" a="1"/>
  <c r="K45" i="36"/>
  <c r="L45" i="36" a="1"/>
  <c r="L45" i="36" s="1"/>
  <c r="M45" i="36" a="1"/>
  <c r="M45" i="36" s="1"/>
  <c r="N45" i="36" a="1"/>
  <c r="N45" i="36"/>
  <c r="O45" i="36" a="1"/>
  <c r="O45" i="36" s="1"/>
  <c r="P45" i="36" a="1"/>
  <c r="P45" i="36" s="1"/>
  <c r="Q45" i="36" a="1"/>
  <c r="Q45" i="36"/>
  <c r="R45" i="36" a="1"/>
  <c r="R45" i="36" s="1"/>
  <c r="S45" i="36" a="1"/>
  <c r="S45" i="36" s="1"/>
  <c r="F46" i="36" a="1"/>
  <c r="F46" i="36" s="1"/>
  <c r="G46" i="36" a="1"/>
  <c r="G46" i="36"/>
  <c r="H46" i="36" a="1"/>
  <c r="H46" i="36"/>
  <c r="I46" i="36" a="1"/>
  <c r="I46" i="36" s="1"/>
  <c r="J46" i="36" a="1"/>
  <c r="J46" i="36" s="1"/>
  <c r="K46" i="36" a="1"/>
  <c r="K46" i="36"/>
  <c r="L46" i="36" a="1"/>
  <c r="L46" i="36" s="1"/>
  <c r="M46" i="36" a="1"/>
  <c r="M46" i="36" s="1"/>
  <c r="N46" i="36" a="1"/>
  <c r="N46" i="36" s="1"/>
  <c r="O46" i="36" a="1"/>
  <c r="O46" i="36" s="1"/>
  <c r="P46" i="36" a="1"/>
  <c r="P46" i="36" s="1"/>
  <c r="Q46" i="36" a="1"/>
  <c r="Q46" i="36" s="1"/>
  <c r="R46" i="36" a="1"/>
  <c r="R46" i="36"/>
  <c r="S46" i="36" a="1"/>
  <c r="S46" i="36" s="1"/>
  <c r="F47" i="36" a="1"/>
  <c r="F47" i="36"/>
  <c r="G47" i="36" a="1"/>
  <c r="G47" i="36" s="1"/>
  <c r="H47" i="36" a="1"/>
  <c r="H47" i="36"/>
  <c r="I47" i="36" a="1"/>
  <c r="I47" i="36" s="1"/>
  <c r="J47" i="36" a="1"/>
  <c r="J47" i="36" s="1"/>
  <c r="K47" i="36" a="1"/>
  <c r="K47" i="36"/>
  <c r="L47" i="36" a="1"/>
  <c r="L47" i="36" s="1"/>
  <c r="M47" i="36" a="1"/>
  <c r="M47" i="36" s="1"/>
  <c r="N47" i="36" a="1"/>
  <c r="N47" i="36"/>
  <c r="O47" i="36" a="1"/>
  <c r="O47" i="36" s="1"/>
  <c r="P47" i="36" a="1"/>
  <c r="P47" i="36" s="1"/>
  <c r="Q47" i="36" a="1"/>
  <c r="Q47" i="36"/>
  <c r="R47" i="36" a="1"/>
  <c r="R47" i="36" s="1"/>
  <c r="S47" i="36" a="1"/>
  <c r="S47" i="36"/>
  <c r="F48" i="36" a="1"/>
  <c r="F48" i="36" s="1"/>
  <c r="G48" i="36" a="1"/>
  <c r="G48" i="36"/>
  <c r="H48" i="36" a="1"/>
  <c r="H48" i="36"/>
  <c r="I48" i="36" a="1"/>
  <c r="I48" i="36" s="1"/>
  <c r="J48" i="36" a="1"/>
  <c r="J48" i="36"/>
  <c r="K48" i="36" a="1"/>
  <c r="K48" i="36" s="1"/>
  <c r="L48" i="36" a="1"/>
  <c r="L48" i="36" s="1"/>
  <c r="M48" i="36" a="1"/>
  <c r="M48" i="36" s="1"/>
  <c r="N48" i="36" a="1"/>
  <c r="N48" i="36"/>
  <c r="O48" i="36" a="1"/>
  <c r="O48" i="36" s="1"/>
  <c r="P48" i="36" a="1"/>
  <c r="P48" i="36" s="1"/>
  <c r="Q48" i="36" a="1"/>
  <c r="Q48" i="36" s="1"/>
  <c r="R48" i="36" a="1"/>
  <c r="R48" i="36"/>
  <c r="S48" i="36" a="1"/>
  <c r="S48" i="36"/>
  <c r="F49" i="36" a="1"/>
  <c r="F49" i="36" s="1"/>
  <c r="G49" i="36" a="1"/>
  <c r="G49" i="36" s="1"/>
  <c r="H49" i="36" a="1"/>
  <c r="H49" i="36"/>
  <c r="I49" i="36" a="1"/>
  <c r="I49" i="36" s="1"/>
  <c r="J49" i="36" a="1"/>
  <c r="J49" i="36" s="1"/>
  <c r="K49" i="36" a="1"/>
  <c r="K49" i="36"/>
  <c r="L49" i="36" a="1"/>
  <c r="L49" i="36" s="1"/>
  <c r="M49" i="36" a="1"/>
  <c r="M49" i="36" s="1"/>
  <c r="N49" i="36" a="1"/>
  <c r="N49" i="36"/>
  <c r="O49" i="36" a="1"/>
  <c r="O49" i="36"/>
  <c r="P49" i="36" a="1"/>
  <c r="P49" i="36"/>
  <c r="Q49" i="36" a="1"/>
  <c r="Q49" i="36" s="1"/>
  <c r="R49" i="36" a="1"/>
  <c r="R49" i="36" s="1"/>
  <c r="S49" i="36" a="1"/>
  <c r="S49" i="36"/>
  <c r="F50" i="36" a="1"/>
  <c r="F50" i="36" s="1"/>
  <c r="G50" i="36" a="1"/>
  <c r="G50" i="36" s="1"/>
  <c r="H50" i="36" a="1"/>
  <c r="H50" i="36" s="1"/>
  <c r="I50" i="36" a="1"/>
  <c r="I50" i="36" s="1"/>
  <c r="J50" i="36" a="1"/>
  <c r="J50" i="36" s="1"/>
  <c r="K50" i="36" a="1"/>
  <c r="K50" i="36" s="1"/>
  <c r="L50" i="36" a="1"/>
  <c r="L50" i="36"/>
  <c r="M50" i="36" a="1"/>
  <c r="M50" i="36" s="1"/>
  <c r="N50" i="36" a="1"/>
  <c r="N50" i="36"/>
  <c r="O50" i="36" a="1"/>
  <c r="O50" i="36" s="1"/>
  <c r="P50" i="36" a="1"/>
  <c r="P50" i="36"/>
  <c r="Q50" i="36" a="1"/>
  <c r="Q50" i="36" s="1"/>
  <c r="R50" i="36" a="1"/>
  <c r="R50" i="36" s="1"/>
  <c r="S50" i="36" a="1"/>
  <c r="S50" i="36"/>
  <c r="F51" i="36" a="1"/>
  <c r="F51" i="36" s="1"/>
  <c r="G51" i="36" a="1"/>
  <c r="G51" i="36" s="1"/>
  <c r="H51" i="36" a="1"/>
  <c r="H51" i="36" s="1"/>
  <c r="I51" i="36" a="1"/>
  <c r="I51" i="36" s="1"/>
  <c r="J51" i="36" a="1"/>
  <c r="J51" i="36" s="1"/>
  <c r="K51" i="36" a="1"/>
  <c r="K51" i="36"/>
  <c r="L51" i="36" a="1"/>
  <c r="L51" i="36" s="1"/>
  <c r="M51" i="36" a="1"/>
  <c r="M51" i="36"/>
  <c r="N51" i="36" a="1"/>
  <c r="N51" i="36" s="1"/>
  <c r="O51" i="36" a="1"/>
  <c r="O51" i="36"/>
  <c r="P51" i="36" a="1"/>
  <c r="P51" i="36"/>
  <c r="Q51" i="36" a="1"/>
  <c r="Q51" i="36" s="1"/>
  <c r="R51" i="36" a="1"/>
  <c r="R51" i="36" s="1"/>
  <c r="S51" i="36" a="1"/>
  <c r="S51" i="36" s="1"/>
  <c r="F52" i="36" a="1"/>
  <c r="F52" i="36" s="1"/>
  <c r="G52" i="36" a="1"/>
  <c r="G52" i="36" s="1"/>
  <c r="H52" i="36" a="1"/>
  <c r="H52" i="36"/>
  <c r="I52" i="36" a="1"/>
  <c r="I52" i="36" s="1"/>
  <c r="J52" i="36" a="1"/>
  <c r="J52" i="36" s="1"/>
  <c r="K52" i="36" a="1"/>
  <c r="K52" i="36" s="1"/>
  <c r="L52" i="36" a="1"/>
  <c r="L52" i="36"/>
  <c r="M52" i="36" a="1"/>
  <c r="M52" i="36"/>
  <c r="N52" i="36" a="1"/>
  <c r="N52" i="36" s="1"/>
  <c r="O52" i="36" a="1"/>
  <c r="O52" i="36" s="1"/>
  <c r="P52" i="36" a="1"/>
  <c r="P52" i="36"/>
  <c r="Q52" i="36" a="1"/>
  <c r="Q52" i="36" s="1"/>
  <c r="R52" i="36" a="1"/>
  <c r="R52" i="36" s="1"/>
  <c r="S52" i="36" a="1"/>
  <c r="S52" i="36"/>
  <c r="F53" i="36" a="1"/>
  <c r="F53" i="36" s="1"/>
  <c r="G53" i="36" a="1"/>
  <c r="G53" i="36" s="1"/>
  <c r="H53" i="36" a="1"/>
  <c r="H53" i="36"/>
  <c r="I53" i="36" a="1"/>
  <c r="I53" i="36"/>
  <c r="J53" i="36" a="1"/>
  <c r="J53" i="36"/>
  <c r="K53" i="36" a="1"/>
  <c r="K53" i="36" s="1"/>
  <c r="L53" i="36" a="1"/>
  <c r="L53" i="36" s="1"/>
  <c r="M53" i="36" a="1"/>
  <c r="M53" i="36"/>
  <c r="N53" i="36" a="1"/>
  <c r="N53" i="36" s="1"/>
  <c r="O53" i="36" a="1"/>
  <c r="O53" i="36" s="1"/>
  <c r="P53" i="36" a="1"/>
  <c r="P53" i="36" s="1"/>
  <c r="Q53" i="36" a="1"/>
  <c r="Q53" i="36" s="1"/>
  <c r="R53" i="36" a="1"/>
  <c r="R53" i="36"/>
  <c r="S53" i="36" a="1"/>
  <c r="S53" i="36"/>
  <c r="F54" i="36" a="1"/>
  <c r="F54" i="36"/>
  <c r="G54" i="36" a="1"/>
  <c r="G54" i="36"/>
  <c r="H54" i="36" a="1"/>
  <c r="H54" i="36" s="1"/>
  <c r="I54" i="36" a="1"/>
  <c r="I54" i="36" s="1"/>
  <c r="J54" i="36" a="1"/>
  <c r="J54" i="36" s="1"/>
  <c r="K54" i="36" a="1"/>
  <c r="K54" i="36"/>
  <c r="L54" i="36" a="1"/>
  <c r="L54" i="36"/>
  <c r="M54" i="36" a="1"/>
  <c r="M54" i="36" s="1"/>
  <c r="N54" i="36" a="1"/>
  <c r="N54" i="36" s="1"/>
  <c r="O54" i="36" a="1"/>
  <c r="O54" i="36"/>
  <c r="P54" i="36" a="1"/>
  <c r="P54" i="36"/>
  <c r="Q54" i="36" a="1"/>
  <c r="Q54" i="36"/>
  <c r="R54" i="36" a="1"/>
  <c r="R54" i="36" s="1"/>
  <c r="S54" i="36" a="1"/>
  <c r="S54" i="36" s="1"/>
  <c r="F55" i="36" a="1"/>
  <c r="F55" i="36"/>
  <c r="G55" i="36" a="1"/>
  <c r="G55" i="36"/>
  <c r="H55" i="36" a="1"/>
  <c r="H55" i="36"/>
  <c r="I55" i="36" a="1"/>
  <c r="I55" i="36" s="1"/>
  <c r="J55" i="36" a="1"/>
  <c r="J55" i="36" s="1"/>
  <c r="K55" i="36" a="1"/>
  <c r="K55" i="36"/>
  <c r="L55" i="36" a="1"/>
  <c r="L55" i="36"/>
  <c r="M55" i="36" a="1"/>
  <c r="M55" i="36"/>
  <c r="N55" i="36" a="1"/>
  <c r="N55" i="36" s="1"/>
  <c r="O55" i="36" a="1"/>
  <c r="O55" i="36" s="1"/>
  <c r="P55" i="36" a="1"/>
  <c r="P55" i="36"/>
  <c r="Q55" i="36" a="1"/>
  <c r="Q55" i="36"/>
  <c r="R55" i="36" a="1"/>
  <c r="R55" i="36"/>
  <c r="S55" i="36" a="1"/>
  <c r="S55" i="36" s="1"/>
  <c r="F56" i="36" a="1"/>
  <c r="F56" i="36" s="1"/>
  <c r="G56" i="36" a="1"/>
  <c r="G56" i="36" s="1"/>
  <c r="H56" i="36" a="1"/>
  <c r="H56" i="36"/>
  <c r="I56" i="36" a="1"/>
  <c r="I56" i="36"/>
  <c r="J56" i="36" a="1"/>
  <c r="J56" i="36" s="1"/>
  <c r="K56" i="36" a="1"/>
  <c r="K56" i="36" s="1"/>
  <c r="L56" i="36" a="1"/>
  <c r="L56" i="36"/>
  <c r="M56" i="36" a="1"/>
  <c r="M56" i="36"/>
  <c r="N56" i="36" a="1"/>
  <c r="N56" i="36"/>
  <c r="O56" i="36" a="1"/>
  <c r="O56" i="36" s="1"/>
  <c r="P56" i="36" a="1"/>
  <c r="P56" i="36" s="1"/>
  <c r="Q56" i="36" a="1"/>
  <c r="Q56" i="36"/>
  <c r="R56" i="36" a="1"/>
  <c r="R56" i="36"/>
  <c r="S56" i="36" a="1"/>
  <c r="S56" i="36"/>
  <c r="F57" i="36" a="1"/>
  <c r="F57" i="36" s="1"/>
  <c r="G57" i="36" a="1"/>
  <c r="G57" i="36" s="1"/>
  <c r="H57" i="36" a="1"/>
  <c r="H57" i="36"/>
  <c r="I57" i="36" a="1"/>
  <c r="I57" i="36"/>
  <c r="J57" i="36" a="1"/>
  <c r="J57" i="36" s="1"/>
  <c r="K57" i="36" a="1"/>
  <c r="K57" i="36" s="1"/>
  <c r="L57" i="36" a="1"/>
  <c r="L57" i="36" s="1"/>
  <c r="M57" i="36" a="1"/>
  <c r="M57" i="36" s="1"/>
  <c r="N57" i="36" a="1"/>
  <c r="N57" i="36"/>
  <c r="O57" i="36" a="1"/>
  <c r="O57" i="36" s="1"/>
  <c r="P57" i="36" a="1"/>
  <c r="P57" i="36" s="1"/>
  <c r="Q57" i="36" a="1"/>
  <c r="Q57" i="36" s="1"/>
  <c r="R57" i="36" a="1"/>
  <c r="R57" i="36"/>
  <c r="S57" i="36" a="1"/>
  <c r="S57" i="36"/>
  <c r="F58" i="36" a="1"/>
  <c r="F58" i="36" s="1"/>
  <c r="G58" i="36" a="1"/>
  <c r="G58" i="36" s="1"/>
  <c r="H58" i="36" a="1"/>
  <c r="H58" i="36" s="1"/>
  <c r="I58" i="36" a="1"/>
  <c r="I58" i="36" s="1"/>
  <c r="J58" i="36" a="1"/>
  <c r="J58" i="36"/>
  <c r="K58" i="36" a="1"/>
  <c r="K58" i="36" s="1"/>
  <c r="L58" i="36" a="1"/>
  <c r="L58" i="36" s="1"/>
  <c r="M58" i="36" a="1"/>
  <c r="M58" i="36" s="1"/>
  <c r="N58" i="36" a="1"/>
  <c r="N58" i="36"/>
  <c r="O58" i="36" a="1"/>
  <c r="O58" i="36"/>
  <c r="P58" i="36" a="1"/>
  <c r="P58" i="36" s="1"/>
  <c r="Q58" i="36" a="1"/>
  <c r="Q58" i="36" s="1"/>
  <c r="R58" i="36" a="1"/>
  <c r="R58" i="36" s="1"/>
  <c r="S58" i="36" a="1"/>
  <c r="S58" i="36"/>
  <c r="F59" i="36" a="1"/>
  <c r="F59" i="36"/>
  <c r="G59" i="36" a="1"/>
  <c r="G59" i="36" s="1"/>
  <c r="H59" i="36" a="1"/>
  <c r="H59" i="36" s="1"/>
  <c r="I59" i="36" a="1"/>
  <c r="I59" i="36" s="1"/>
  <c r="J59" i="36" a="1"/>
  <c r="J59" i="36"/>
  <c r="K59" i="36" a="1"/>
  <c r="K59" i="36"/>
  <c r="L59" i="36" a="1"/>
  <c r="L59" i="36" s="1"/>
  <c r="M59" i="36" a="1"/>
  <c r="M59" i="36" s="1"/>
  <c r="N59" i="36" a="1"/>
  <c r="N59" i="36" s="1"/>
  <c r="O59" i="36" a="1"/>
  <c r="O59" i="36"/>
  <c r="P59" i="36" a="1"/>
  <c r="P59" i="36"/>
  <c r="Q59" i="36" a="1"/>
  <c r="Q59" i="36" s="1"/>
  <c r="R59" i="36" a="1"/>
  <c r="R59" i="36" s="1"/>
  <c r="S59" i="36" a="1"/>
  <c r="S59" i="36" s="1"/>
  <c r="F60" i="36" a="1"/>
  <c r="F60" i="36" s="1"/>
  <c r="G60" i="36" a="1"/>
  <c r="G60" i="36"/>
  <c r="H60" i="36" a="1"/>
  <c r="H60" i="36" s="1"/>
  <c r="I60" i="36" a="1"/>
  <c r="I60" i="36" s="1"/>
  <c r="J60" i="36" a="1"/>
  <c r="J60" i="36" s="1"/>
  <c r="K60" i="36" a="1"/>
  <c r="K60" i="36" s="1"/>
  <c r="L60" i="36" a="1"/>
  <c r="L60" i="36"/>
  <c r="M60" i="36" a="1"/>
  <c r="M60" i="36" s="1"/>
  <c r="N60" i="36" a="1"/>
  <c r="N60" i="36" s="1"/>
  <c r="O60" i="36" a="1"/>
  <c r="O60" i="36" s="1"/>
  <c r="P60" i="36" a="1"/>
  <c r="P60" i="36"/>
  <c r="Q60" i="36" a="1"/>
  <c r="Q60" i="36"/>
  <c r="R60" i="36" a="1"/>
  <c r="R60" i="36" s="1"/>
  <c r="S60" i="36" a="1"/>
  <c r="S60" i="36" s="1"/>
  <c r="F61" i="36" a="1"/>
  <c r="F61" i="36" s="1"/>
  <c r="G61" i="36" a="1"/>
  <c r="G61" i="36" s="1"/>
  <c r="H61" i="36" a="1"/>
  <c r="H61" i="36"/>
  <c r="I61" i="36" a="1"/>
  <c r="I61" i="36" s="1"/>
  <c r="J61" i="36" a="1"/>
  <c r="J61" i="36" s="1"/>
  <c r="K61" i="36" a="1"/>
  <c r="K61" i="36" s="1"/>
  <c r="L61" i="36" a="1"/>
  <c r="L61" i="36"/>
  <c r="M61" i="36" a="1"/>
  <c r="M61" i="36"/>
  <c r="N61" i="36" a="1"/>
  <c r="N61" i="36" s="1"/>
  <c r="O61" i="36" a="1"/>
  <c r="O61" i="36" s="1"/>
  <c r="P61" i="36" a="1"/>
  <c r="P61" i="36" s="1"/>
  <c r="Q61" i="36" a="1"/>
  <c r="Q61" i="36" s="1"/>
  <c r="R61" i="36" a="1"/>
  <c r="R61" i="36"/>
  <c r="S61" i="36" a="1"/>
  <c r="S61" i="36" s="1"/>
  <c r="F62" i="36" a="1"/>
  <c r="F62" i="36" s="1"/>
  <c r="G62" i="36" a="1"/>
  <c r="G62" i="36" s="1"/>
  <c r="H62" i="36" a="1"/>
  <c r="H62" i="36"/>
  <c r="I62" i="36" a="1"/>
  <c r="I62" i="36"/>
  <c r="J62" i="36" a="1"/>
  <c r="J62" i="36" s="1"/>
  <c r="K62" i="36" a="1"/>
  <c r="K62" i="36" s="1"/>
  <c r="L62" i="36" a="1"/>
  <c r="L62" i="36" s="1"/>
  <c r="M62" i="36" a="1"/>
  <c r="M62" i="36"/>
  <c r="N62" i="36" a="1"/>
  <c r="N62" i="36"/>
  <c r="O62" i="36" a="1"/>
  <c r="O62" i="36" s="1"/>
  <c r="P62" i="36" a="1"/>
  <c r="P62" i="36" s="1"/>
  <c r="Q62" i="36" a="1"/>
  <c r="Q62" i="36" s="1"/>
  <c r="R62" i="36" a="1"/>
  <c r="R62" i="36"/>
  <c r="S62" i="36" a="1"/>
  <c r="S62" i="36"/>
  <c r="F63" i="36" a="1"/>
  <c r="F63" i="36" s="1"/>
  <c r="G63" i="36" a="1"/>
  <c r="G63" i="36" s="1"/>
  <c r="H63" i="36" a="1"/>
  <c r="H63" i="36" s="1"/>
  <c r="I63" i="36" a="1"/>
  <c r="I63" i="36" s="1"/>
  <c r="J63" i="36" a="1"/>
  <c r="J63" i="36"/>
  <c r="K63" i="36" a="1"/>
  <c r="K63" i="36" s="1"/>
  <c r="L63" i="36" a="1"/>
  <c r="L63" i="36" s="1"/>
  <c r="M63" i="36" a="1"/>
  <c r="M63" i="36" s="1"/>
  <c r="N63" i="36" a="1"/>
  <c r="N63" i="36" s="1"/>
  <c r="O63" i="36" a="1"/>
  <c r="O63" i="36"/>
  <c r="P63" i="36" a="1"/>
  <c r="P63" i="36" s="1"/>
  <c r="Q63" i="36" a="1"/>
  <c r="Q63" i="36" s="1"/>
  <c r="R63" i="36" a="1"/>
  <c r="R63" i="36" s="1"/>
  <c r="S63" i="36" a="1"/>
  <c r="S63" i="36" s="1"/>
  <c r="F64" i="36" a="1"/>
  <c r="F64" i="36"/>
  <c r="G64" i="36" a="1"/>
  <c r="G64" i="36" s="1"/>
  <c r="H64" i="36" a="1"/>
  <c r="H64" i="36" s="1"/>
  <c r="I64" i="36" a="1"/>
  <c r="I64" i="36" s="1"/>
  <c r="J64" i="36" a="1"/>
  <c r="J64" i="36"/>
  <c r="K64" i="36" a="1"/>
  <c r="K64" i="36"/>
  <c r="L64" i="36" a="1"/>
  <c r="L64" i="36" s="1"/>
  <c r="M64" i="36" a="1"/>
  <c r="M64" i="36" s="1"/>
  <c r="N64" i="36" a="1"/>
  <c r="N64" i="36" s="1"/>
  <c r="O64" i="36" a="1"/>
  <c r="O64" i="36" s="1"/>
  <c r="P64" i="36" a="1"/>
  <c r="P64" i="36"/>
  <c r="Q64" i="36" a="1"/>
  <c r="Q64" i="36" s="1"/>
  <c r="R64" i="36" a="1"/>
  <c r="R64" i="36" s="1"/>
  <c r="S64" i="36" a="1"/>
  <c r="S64" i="36" s="1"/>
  <c r="F65" i="36" a="1"/>
  <c r="F65" i="36" s="1"/>
  <c r="G65" i="36" a="1"/>
  <c r="G65" i="36"/>
  <c r="H65" i="36" a="1"/>
  <c r="H65" i="36" s="1"/>
  <c r="I65" i="36" a="1"/>
  <c r="I65" i="36" s="1"/>
  <c r="J65" i="36" a="1"/>
  <c r="J65" i="36" s="1"/>
  <c r="K65" i="36" a="1"/>
  <c r="K65" i="36" s="1"/>
  <c r="L65" i="36" a="1"/>
  <c r="L65" i="36"/>
  <c r="M65" i="36" a="1"/>
  <c r="M65" i="36" s="1"/>
  <c r="N65" i="36" a="1"/>
  <c r="N65" i="36" s="1"/>
  <c r="O65" i="36" a="1"/>
  <c r="O65" i="36" s="1"/>
  <c r="P65" i="36" a="1"/>
  <c r="P65" i="36"/>
  <c r="Q65" i="36" a="1"/>
  <c r="Q65" i="36"/>
  <c r="R65" i="36" a="1"/>
  <c r="R65" i="36" s="1"/>
  <c r="S65" i="36" a="1"/>
  <c r="S65" i="36" s="1"/>
  <c r="F66" i="36" a="1"/>
  <c r="F66" i="36" s="1"/>
  <c r="G66" i="36" a="1"/>
  <c r="G66" i="36" s="1"/>
  <c r="H66" i="36" a="1"/>
  <c r="H66" i="36"/>
  <c r="I66" i="36" a="1"/>
  <c r="I66" i="36" s="1"/>
  <c r="J66" i="36" a="1"/>
  <c r="J66" i="36" s="1"/>
  <c r="K66" i="36" a="1"/>
  <c r="K66" i="36" s="1"/>
  <c r="L66" i="36" a="1"/>
  <c r="L66" i="36"/>
  <c r="M66" i="36" a="1"/>
  <c r="M66" i="36" s="1"/>
  <c r="N66" i="36" a="1"/>
  <c r="N66" i="36" s="1"/>
  <c r="O66" i="36" a="1"/>
  <c r="O66" i="36" s="1"/>
  <c r="P66" i="36" a="1"/>
  <c r="P66" i="36" s="1"/>
  <c r="Q66" i="36" a="1"/>
  <c r="Q66" i="36" s="1"/>
  <c r="R66" i="36" a="1"/>
  <c r="R66" i="36" s="1"/>
  <c r="S66" i="36" a="1"/>
  <c r="S66" i="36" s="1"/>
  <c r="F67" i="36" a="1"/>
  <c r="F67" i="36" s="1"/>
  <c r="G67" i="36" a="1"/>
  <c r="G67" i="36" s="1"/>
  <c r="H67" i="36" a="1"/>
  <c r="H67" i="36" s="1"/>
  <c r="I67" i="36" a="1"/>
  <c r="I67" i="36"/>
  <c r="J67" i="36" a="1"/>
  <c r="J67" i="36" s="1"/>
  <c r="K67" i="36" a="1"/>
  <c r="K67" i="36" s="1"/>
  <c r="L67" i="36" a="1"/>
  <c r="L67" i="36" s="1"/>
  <c r="M67" i="36" a="1"/>
  <c r="M67" i="36" s="1"/>
  <c r="N67" i="36" a="1"/>
  <c r="N67" i="36" s="1"/>
  <c r="O67" i="36" a="1"/>
  <c r="O67" i="36" s="1"/>
  <c r="P67" i="36" a="1"/>
  <c r="P67" i="36" s="1"/>
  <c r="Q67" i="36" a="1"/>
  <c r="Q67" i="36" s="1"/>
  <c r="R67" i="36" a="1"/>
  <c r="R67" i="36"/>
  <c r="S67" i="36" a="1"/>
  <c r="S67" i="36" s="1"/>
  <c r="F68" i="36" a="1"/>
  <c r="F68" i="36" s="1"/>
  <c r="G68" i="36" a="1"/>
  <c r="G68" i="36" s="1"/>
  <c r="H68" i="36" a="1"/>
  <c r="H68" i="36" s="1"/>
  <c r="I68" i="36" a="1"/>
  <c r="I68" i="36" s="1"/>
  <c r="J68" i="36" a="1"/>
  <c r="J68" i="36" s="1"/>
  <c r="K68" i="36" a="1"/>
  <c r="K68" i="36" s="1"/>
  <c r="L68" i="36" a="1"/>
  <c r="L68" i="36" s="1"/>
  <c r="M68" i="36" a="1"/>
  <c r="M68" i="36" s="1"/>
  <c r="N68" i="36" a="1"/>
  <c r="N68" i="36" s="1"/>
  <c r="O68" i="36" a="1"/>
  <c r="O68" i="36" s="1"/>
  <c r="P68" i="36" a="1"/>
  <c r="P68" i="36" s="1"/>
  <c r="Q68" i="36" a="1"/>
  <c r="Q68" i="36" s="1"/>
  <c r="R68" i="36" a="1"/>
  <c r="R68" i="36" s="1"/>
  <c r="S68" i="36" a="1"/>
  <c r="S68" i="36" s="1"/>
  <c r="F69" i="36" a="1"/>
  <c r="F69" i="36" s="1"/>
  <c r="G69" i="36" a="1"/>
  <c r="G69" i="36" s="1"/>
  <c r="H69" i="36" a="1"/>
  <c r="H69" i="36" s="1"/>
  <c r="I69" i="36" a="1"/>
  <c r="I69" i="36" s="1"/>
  <c r="J69" i="36" a="1"/>
  <c r="J69" i="36"/>
  <c r="K69" i="36" a="1"/>
  <c r="K69" i="36"/>
  <c r="L69" i="36" a="1"/>
  <c r="L69" i="36" s="1"/>
  <c r="M69" i="36" a="1"/>
  <c r="M69" i="36" s="1"/>
  <c r="N69" i="36" a="1"/>
  <c r="N69" i="36" s="1"/>
  <c r="O69" i="36" a="1"/>
  <c r="O69" i="36" s="1"/>
  <c r="P69" i="36" a="1"/>
  <c r="P69" i="36" s="1"/>
  <c r="Q69" i="36" a="1"/>
  <c r="Q69" i="36" s="1"/>
  <c r="R69" i="36" a="1"/>
  <c r="R69" i="36" s="1"/>
  <c r="S69" i="36" a="1"/>
  <c r="S69" i="36" s="1"/>
  <c r="F70" i="36" a="1"/>
  <c r="F70" i="36" s="1"/>
  <c r="G70" i="36" a="1"/>
  <c r="G70" i="36" s="1"/>
  <c r="H70" i="36" a="1"/>
  <c r="H70" i="36" s="1"/>
  <c r="I70" i="36" a="1"/>
  <c r="I70" i="36" s="1"/>
  <c r="J70" i="36" a="1"/>
  <c r="J70" i="36" s="1"/>
  <c r="K70" i="36" a="1"/>
  <c r="K70" i="36" s="1"/>
  <c r="L70" i="36" a="1"/>
  <c r="L70" i="36" s="1"/>
  <c r="M70" i="36" a="1"/>
  <c r="M70" i="36" s="1"/>
  <c r="N70" i="36" a="1"/>
  <c r="N70" i="36" s="1"/>
  <c r="O70" i="36" a="1"/>
  <c r="O70" i="36" s="1"/>
  <c r="P70" i="36" a="1"/>
  <c r="P70" i="36" s="1"/>
  <c r="Q70" i="36" a="1"/>
  <c r="Q70" i="36"/>
  <c r="R70" i="36" a="1"/>
  <c r="R70" i="36" s="1"/>
  <c r="S70" i="36" a="1"/>
  <c r="S70" i="36" s="1"/>
  <c r="F71" i="36" a="1"/>
  <c r="F71" i="36" s="1"/>
  <c r="G71" i="36" a="1"/>
  <c r="G71" i="36" s="1"/>
  <c r="H71" i="36" a="1"/>
  <c r="H71" i="36" s="1"/>
  <c r="I71" i="36" a="1"/>
  <c r="I71" i="36" s="1"/>
  <c r="J71" i="36" a="1"/>
  <c r="J71" i="36" s="1"/>
  <c r="K71" i="36" a="1"/>
  <c r="K71" i="36" s="1"/>
  <c r="L71" i="36" a="1"/>
  <c r="L71" i="36"/>
  <c r="M71" i="36" a="1"/>
  <c r="M71" i="36" s="1"/>
  <c r="N71" i="36" a="1"/>
  <c r="N71" i="36" s="1"/>
  <c r="O71" i="36" a="1"/>
  <c r="O71" i="36" s="1"/>
  <c r="P71" i="36" a="1"/>
  <c r="P71" i="36" s="1"/>
  <c r="Q71" i="36" a="1"/>
  <c r="Q71" i="36" s="1"/>
  <c r="R71" i="36" a="1"/>
  <c r="R71" i="36" s="1"/>
  <c r="S71" i="36" a="1"/>
  <c r="S71" i="36" s="1"/>
  <c r="F72" i="36" a="1"/>
  <c r="F72" i="36" s="1"/>
  <c r="G72" i="36" a="1"/>
  <c r="G72" i="36" s="1"/>
  <c r="H72" i="36" a="1"/>
  <c r="H72" i="36" s="1"/>
  <c r="I72" i="36" a="1"/>
  <c r="I72" i="36" s="1"/>
  <c r="J72" i="36" a="1"/>
  <c r="J72" i="36" s="1"/>
  <c r="K72" i="36" a="1"/>
  <c r="K72" i="36" s="1"/>
  <c r="L72" i="36" a="1"/>
  <c r="L72" i="36" s="1"/>
  <c r="M72" i="36" a="1"/>
  <c r="M72" i="36" s="1"/>
  <c r="N72" i="36" a="1"/>
  <c r="N72" i="36" s="1"/>
  <c r="O72" i="36" a="1"/>
  <c r="O72" i="36" s="1"/>
  <c r="P72" i="36" a="1"/>
  <c r="P72" i="36" s="1"/>
  <c r="Q72" i="36" a="1"/>
  <c r="Q72" i="36" s="1"/>
  <c r="R72" i="36" a="1"/>
  <c r="R72" i="36"/>
  <c r="S72" i="36" a="1"/>
  <c r="S72" i="36"/>
  <c r="F73" i="36" a="1"/>
  <c r="F73" i="36" s="1"/>
  <c r="G73" i="36" a="1"/>
  <c r="G73" i="36" s="1"/>
  <c r="H73" i="36" a="1"/>
  <c r="H73" i="36" s="1"/>
  <c r="I73" i="36" a="1"/>
  <c r="I73" i="36" s="1"/>
  <c r="J73" i="36" a="1"/>
  <c r="J73" i="36" s="1"/>
  <c r="K73" i="36" a="1"/>
  <c r="K73" i="36" s="1"/>
  <c r="L73" i="36" a="1"/>
  <c r="L73" i="36" s="1"/>
  <c r="M73" i="36" a="1"/>
  <c r="M73" i="36" s="1"/>
  <c r="N73" i="36" a="1"/>
  <c r="N73" i="36"/>
  <c r="O73" i="36" a="1"/>
  <c r="O73" i="36" s="1"/>
  <c r="P73" i="36" a="1"/>
  <c r="P73" i="36" s="1"/>
  <c r="Q73" i="36" a="1"/>
  <c r="Q73" i="36" s="1"/>
  <c r="R73" i="36" a="1"/>
  <c r="R73" i="36" s="1"/>
  <c r="S73" i="36" a="1"/>
  <c r="S73" i="36"/>
  <c r="F74" i="36" a="1"/>
  <c r="F74" i="36"/>
  <c r="G74" i="36" a="1"/>
  <c r="G74" i="36" s="1"/>
  <c r="H74" i="36" a="1"/>
  <c r="H74" i="36" s="1"/>
  <c r="I74" i="36" a="1"/>
  <c r="I74" i="36" s="1"/>
  <c r="J74" i="36" a="1"/>
  <c r="J74" i="36" s="1"/>
  <c r="K74" i="36" a="1"/>
  <c r="K74" i="36" s="1"/>
  <c r="L74" i="36" a="1"/>
  <c r="L74" i="36" s="1"/>
  <c r="M74" i="36" a="1"/>
  <c r="M74" i="36" s="1"/>
  <c r="N74" i="36" a="1"/>
  <c r="N74" i="36" s="1"/>
  <c r="O74" i="36" a="1"/>
  <c r="O74" i="36"/>
  <c r="P74" i="36" a="1"/>
  <c r="P74" i="36"/>
  <c r="Q74" i="36" a="1"/>
  <c r="Q74" i="36" s="1"/>
  <c r="R74" i="36" a="1"/>
  <c r="R74" i="36" s="1"/>
  <c r="S74" i="36" a="1"/>
  <c r="S74" i="36" s="1"/>
  <c r="F75" i="36" a="1"/>
  <c r="F75" i="36" s="1"/>
  <c r="G75" i="36" a="1"/>
  <c r="G75" i="36" s="1"/>
  <c r="H75" i="36" a="1"/>
  <c r="H75" i="36" s="1"/>
  <c r="I75" i="36" a="1"/>
  <c r="I75" i="36" s="1"/>
  <c r="J75" i="36" a="1"/>
  <c r="J75" i="36" s="1"/>
  <c r="K75" i="36" a="1"/>
  <c r="K75" i="36" s="1"/>
  <c r="L75" i="36" a="1"/>
  <c r="L75" i="36"/>
  <c r="M75" i="36" a="1"/>
  <c r="M75" i="36" s="1"/>
  <c r="N75" i="36" a="1"/>
  <c r="N75" i="36"/>
  <c r="O75" i="36" a="1"/>
  <c r="O75" i="36" s="1"/>
  <c r="P75" i="36" a="1"/>
  <c r="P75" i="36" s="1"/>
  <c r="Q75" i="36" a="1"/>
  <c r="Q75" i="36" s="1"/>
  <c r="R75" i="36" a="1"/>
  <c r="R75" i="36" s="1"/>
  <c r="S75" i="36" a="1"/>
  <c r="S75" i="36"/>
  <c r="F76" i="36" a="1"/>
  <c r="F76" i="36" s="1"/>
  <c r="G76" i="36" a="1"/>
  <c r="G76" i="36" s="1"/>
  <c r="H76" i="36" a="1"/>
  <c r="H76" i="36" s="1"/>
  <c r="I76" i="36" a="1"/>
  <c r="I76" i="36" s="1"/>
  <c r="J76" i="36" a="1"/>
  <c r="J76" i="36" s="1"/>
  <c r="K76" i="36" a="1"/>
  <c r="K76" i="36"/>
  <c r="L76" i="36" a="1"/>
  <c r="L76" i="36" s="1"/>
  <c r="M76" i="36" a="1"/>
  <c r="M76" i="36" s="1"/>
  <c r="N76" i="36" a="1"/>
  <c r="N76" i="36" s="1"/>
  <c r="O76" i="36" a="1"/>
  <c r="O76" i="36"/>
  <c r="P76" i="36" a="1"/>
  <c r="P76" i="36"/>
  <c r="Q76" i="36" a="1"/>
  <c r="Q76" i="36" s="1"/>
  <c r="R76" i="36" a="1"/>
  <c r="R76" i="36" s="1"/>
  <c r="S76" i="36" a="1"/>
  <c r="S76" i="36" s="1"/>
  <c r="F77" i="36" a="1"/>
  <c r="F77" i="36" s="1"/>
  <c r="G77" i="36" a="1"/>
  <c r="G77" i="36" s="1"/>
  <c r="H77" i="36" a="1"/>
  <c r="H77" i="36"/>
  <c r="I77" i="36" a="1"/>
  <c r="I77" i="36" s="1"/>
  <c r="J77" i="36" a="1"/>
  <c r="J77" i="36" s="1"/>
  <c r="K77" i="36" a="1"/>
  <c r="K77" i="36" s="1"/>
  <c r="L77" i="36" a="1"/>
  <c r="L77" i="36"/>
  <c r="M77" i="36" a="1"/>
  <c r="M77" i="36"/>
  <c r="N77" i="36" a="1"/>
  <c r="N77" i="36" s="1"/>
  <c r="O77" i="36" a="1"/>
  <c r="O77" i="36" s="1"/>
  <c r="P77" i="36" a="1"/>
  <c r="P77" i="36" s="1"/>
  <c r="Q77" i="36" a="1"/>
  <c r="Q77" i="36" s="1"/>
  <c r="R77" i="36" a="1"/>
  <c r="R77" i="36" s="1"/>
  <c r="S77" i="36" a="1"/>
  <c r="S77" i="36" s="1"/>
  <c r="F78" i="36" a="1"/>
  <c r="F78" i="36" s="1"/>
  <c r="G78" i="36" a="1"/>
  <c r="G78" i="36" s="1"/>
  <c r="H78" i="36" a="1"/>
  <c r="H78" i="36" s="1"/>
  <c r="I78" i="36" a="1"/>
  <c r="I78" i="36"/>
  <c r="J78" i="36" a="1"/>
  <c r="J78" i="36"/>
  <c r="K78" i="36" a="1"/>
  <c r="K78" i="36" s="1"/>
  <c r="L78" i="36" a="1"/>
  <c r="L78" i="36" s="1"/>
  <c r="M78" i="36" a="1"/>
  <c r="M78" i="36" s="1"/>
  <c r="N78" i="36" a="1"/>
  <c r="N78" i="36" s="1"/>
  <c r="O78" i="36" a="1"/>
  <c r="O78" i="36" s="1"/>
  <c r="P78" i="36" a="1"/>
  <c r="P78" i="36" s="1"/>
  <c r="Q78" i="36" a="1"/>
  <c r="Q78" i="36"/>
  <c r="R78" i="36" a="1"/>
  <c r="R78" i="36" s="1"/>
  <c r="S78" i="36" a="1"/>
  <c r="S78" i="36" s="1"/>
  <c r="F79" i="36" a="1"/>
  <c r="F79" i="36"/>
  <c r="G79" i="36" a="1"/>
  <c r="G79" i="36" s="1"/>
  <c r="H79" i="36" a="1"/>
  <c r="H79" i="36" s="1"/>
  <c r="I79" i="36" a="1"/>
  <c r="I79" i="36" s="1"/>
  <c r="J79" i="36" a="1"/>
  <c r="J79" i="36" s="1"/>
  <c r="K79" i="36" a="1"/>
  <c r="K79" i="36" s="1"/>
  <c r="L79" i="36" a="1"/>
  <c r="L79" i="36" s="1"/>
  <c r="M79" i="36" a="1"/>
  <c r="M79" i="36"/>
  <c r="N79" i="36" a="1"/>
  <c r="N79" i="36" s="1"/>
  <c r="O79" i="36" a="1"/>
  <c r="O79" i="36" s="1"/>
  <c r="P79" i="36" a="1"/>
  <c r="P79" i="36" s="1"/>
  <c r="Q79" i="36" a="1"/>
  <c r="Q79" i="36" s="1"/>
  <c r="R79" i="36" a="1"/>
  <c r="R79" i="36"/>
  <c r="S79" i="36" a="1"/>
  <c r="S79" i="36" s="1"/>
  <c r="F80" i="36" a="1"/>
  <c r="F80" i="36" s="1"/>
  <c r="G80" i="36" a="1"/>
  <c r="G80" i="36" s="1"/>
  <c r="H80" i="36" a="1"/>
  <c r="H80" i="36" s="1"/>
  <c r="I80" i="36" a="1"/>
  <c r="I80" i="36"/>
  <c r="J80" i="36" a="1"/>
  <c r="J80" i="36"/>
  <c r="K80" i="36" a="1"/>
  <c r="K80" i="36"/>
  <c r="L80" i="36" a="1"/>
  <c r="L80" i="36" s="1"/>
  <c r="M80" i="36" a="1"/>
  <c r="M80" i="36" s="1"/>
  <c r="N80" i="36" a="1"/>
  <c r="N80" i="36" s="1"/>
  <c r="O80" i="36" a="1"/>
  <c r="O80" i="36"/>
  <c r="P80" i="36" a="1"/>
  <c r="P80" i="36"/>
  <c r="Q80" i="36" a="1"/>
  <c r="Q80" i="36" s="1"/>
  <c r="R80" i="36" a="1"/>
  <c r="R80" i="36" s="1"/>
  <c r="S80" i="36" a="1"/>
  <c r="S80" i="36" s="1"/>
  <c r="F81" i="36" a="1"/>
  <c r="F81" i="36"/>
  <c r="G81" i="36" a="1"/>
  <c r="G81" i="36"/>
  <c r="H81" i="36" a="1"/>
  <c r="H81" i="36" s="1"/>
  <c r="I81" i="36" a="1"/>
  <c r="I81" i="36" s="1"/>
  <c r="J81" i="36" a="1"/>
  <c r="J81" i="36" s="1"/>
  <c r="K81" i="36" a="1"/>
  <c r="K81" i="36" s="1"/>
  <c r="L81" i="36" a="1"/>
  <c r="L81" i="36" s="1"/>
  <c r="M81" i="36" a="1"/>
  <c r="M81" i="36"/>
  <c r="N81" i="36" a="1"/>
  <c r="N81" i="36" s="1"/>
  <c r="O81" i="36" a="1"/>
  <c r="O81" i="36" s="1"/>
  <c r="P81" i="36" a="1"/>
  <c r="P81" i="36" s="1"/>
  <c r="Q81" i="36" a="1"/>
  <c r="Q81" i="36"/>
  <c r="R81" i="36" a="1"/>
  <c r="R81" i="36"/>
  <c r="S81" i="36" a="1"/>
  <c r="S81" i="36" s="1"/>
  <c r="F82" i="36" a="1"/>
  <c r="F82" i="36" s="1"/>
  <c r="G82" i="36" a="1"/>
  <c r="G82" i="36" s="1"/>
  <c r="H82" i="36" a="1"/>
  <c r="H82" i="36" s="1"/>
  <c r="I82" i="36" a="1"/>
  <c r="I82" i="36" s="1"/>
  <c r="J82" i="36" a="1"/>
  <c r="J82" i="36" s="1"/>
  <c r="K82" i="36" a="1"/>
  <c r="K82" i="36"/>
  <c r="L82" i="36" a="1"/>
  <c r="L82" i="36" s="1"/>
  <c r="M82" i="36" a="1"/>
  <c r="M82" i="36" s="1"/>
  <c r="N82" i="36" a="1"/>
  <c r="N82" i="36"/>
  <c r="O82" i="36" a="1"/>
  <c r="O82" i="36" s="1"/>
  <c r="P82" i="36" a="1"/>
  <c r="P82" i="36" s="1"/>
  <c r="Q82" i="36" a="1"/>
  <c r="Q82" i="36" s="1"/>
  <c r="R82" i="36" a="1"/>
  <c r="R82" i="36" s="1"/>
  <c r="S82" i="36" a="1"/>
  <c r="S82" i="36" s="1"/>
  <c r="F83" i="36" a="1"/>
  <c r="F83" i="36" s="1"/>
  <c r="G83" i="36" a="1"/>
  <c r="G83" i="36"/>
  <c r="H83" i="36" a="1"/>
  <c r="H83" i="36"/>
  <c r="I83" i="36" a="1"/>
  <c r="I83" i="36" s="1"/>
  <c r="J83" i="36" a="1"/>
  <c r="J83" i="36" s="1"/>
  <c r="K83" i="36" a="1"/>
  <c r="K83" i="36" s="1"/>
  <c r="L83" i="36" a="1"/>
  <c r="L83" i="36" s="1"/>
  <c r="M83" i="36" a="1"/>
  <c r="M83" i="36" s="1"/>
  <c r="N83" i="36" a="1"/>
  <c r="N83" i="36" s="1"/>
  <c r="O83" i="36" a="1"/>
  <c r="O83" i="36" s="1"/>
  <c r="P83" i="36" a="1"/>
  <c r="P83" i="36" s="1"/>
  <c r="Q83" i="36" a="1"/>
  <c r="Q83" i="36"/>
  <c r="R83" i="36" a="1"/>
  <c r="R83" i="36"/>
  <c r="S83" i="36" a="1"/>
  <c r="S83" i="36"/>
  <c r="F84" i="36" a="1"/>
  <c r="F84" i="36"/>
  <c r="G84" i="36" a="1"/>
  <c r="G84" i="36" s="1"/>
  <c r="H84" i="36" a="1"/>
  <c r="H84" i="36" s="1"/>
  <c r="I84" i="36" a="1"/>
  <c r="I84" i="36" s="1"/>
  <c r="J84" i="36" a="1"/>
  <c r="J84" i="36" s="1"/>
  <c r="K84" i="36" a="1"/>
  <c r="K84" i="36" s="1"/>
  <c r="L84" i="36" a="1"/>
  <c r="L84" i="36" s="1"/>
  <c r="M84" i="36" a="1"/>
  <c r="M84" i="36" s="1"/>
  <c r="N84" i="36" a="1"/>
  <c r="N84" i="36"/>
  <c r="O84" i="36" a="1"/>
  <c r="O84" i="36"/>
  <c r="P84" i="36" a="1"/>
  <c r="P84" i="36" s="1"/>
  <c r="Q84" i="36" a="1"/>
  <c r="Q84" i="36" s="1"/>
  <c r="R84" i="36" a="1"/>
  <c r="R84" i="36" s="1"/>
  <c r="S84" i="36" a="1"/>
  <c r="S84" i="36" s="1"/>
  <c r="F85" i="36" a="1"/>
  <c r="F85" i="36" s="1"/>
  <c r="G85" i="36" a="1"/>
  <c r="G85" i="36"/>
  <c r="H85" i="36" a="1"/>
  <c r="H85" i="36" s="1"/>
  <c r="I85" i="36" a="1"/>
  <c r="I85" i="36" s="1"/>
  <c r="J85" i="36" a="1"/>
  <c r="J85" i="36" s="1"/>
  <c r="K85" i="36" a="1"/>
  <c r="K85" i="36"/>
  <c r="L85" i="36" a="1"/>
  <c r="L85" i="36"/>
  <c r="M85" i="36" a="1"/>
  <c r="M85" i="36" s="1"/>
  <c r="N85" i="36" a="1"/>
  <c r="N85" i="36" s="1"/>
  <c r="O85" i="36" a="1"/>
  <c r="O85" i="36" s="1"/>
  <c r="P85" i="36" a="1"/>
  <c r="P85" i="36" s="1"/>
  <c r="Q85" i="36" a="1"/>
  <c r="Q85" i="36" s="1"/>
  <c r="R85" i="36" a="1"/>
  <c r="R85" i="36" s="1"/>
  <c r="S85" i="36" a="1"/>
  <c r="S85" i="36" s="1"/>
  <c r="F86" i="36" a="1"/>
  <c r="F86" i="36" s="1"/>
  <c r="G86" i="36" a="1"/>
  <c r="G86" i="36" s="1"/>
  <c r="H86" i="36" a="1"/>
  <c r="H86" i="36"/>
  <c r="I86" i="36" a="1"/>
  <c r="I86" i="36" s="1"/>
  <c r="J86" i="36" a="1"/>
  <c r="J86" i="36" s="1"/>
  <c r="K86" i="36" a="1"/>
  <c r="K86" i="36" s="1"/>
  <c r="L86" i="36" a="1"/>
  <c r="L86" i="36" s="1"/>
  <c r="M86" i="36" a="1"/>
  <c r="M86" i="36" s="1"/>
  <c r="N86" i="36" a="1"/>
  <c r="N86" i="36" s="1"/>
  <c r="O86" i="36" a="1"/>
  <c r="O86" i="36"/>
  <c r="P86" i="36" a="1"/>
  <c r="P86" i="36"/>
  <c r="Q86" i="36" a="1"/>
  <c r="Q86" i="36" s="1"/>
  <c r="R86" i="36" a="1"/>
  <c r="R86" i="36" s="1"/>
  <c r="S86" i="36" a="1"/>
  <c r="S86" i="36" s="1"/>
  <c r="F87" i="36" a="1"/>
  <c r="F87" i="36" s="1"/>
  <c r="G87" i="36" a="1"/>
  <c r="G87" i="36" s="1"/>
  <c r="H87" i="36" a="1"/>
  <c r="H87" i="36" s="1"/>
  <c r="I87" i="36" a="1"/>
  <c r="I87" i="36" s="1"/>
  <c r="J87" i="36" a="1"/>
  <c r="J87" i="36" s="1"/>
  <c r="K87" i="36" a="1"/>
  <c r="K87" i="36"/>
  <c r="L87" i="36" a="1"/>
  <c r="L87" i="36"/>
  <c r="M87" i="36" a="1"/>
  <c r="M87" i="36" s="1"/>
  <c r="N87" i="36" a="1"/>
  <c r="N87" i="36" s="1"/>
  <c r="O87" i="36" a="1"/>
  <c r="O87" i="36" s="1"/>
  <c r="P87" i="36" a="1"/>
  <c r="P87" i="36" s="1"/>
  <c r="Q87" i="36" a="1"/>
  <c r="Q87" i="36" s="1"/>
  <c r="R87" i="36" a="1"/>
  <c r="R87" i="36"/>
  <c r="S87" i="36" a="1"/>
  <c r="S87" i="36" s="1"/>
  <c r="F88" i="36" a="1"/>
  <c r="F88" i="36" s="1"/>
  <c r="G88" i="36" a="1"/>
  <c r="G88" i="36" s="1"/>
  <c r="H88" i="36" a="1"/>
  <c r="H88" i="36"/>
  <c r="I88" i="36" a="1"/>
  <c r="I88" i="36"/>
  <c r="J88" i="36" a="1"/>
  <c r="J88" i="36"/>
  <c r="K88" i="36" a="1"/>
  <c r="K88" i="36" s="1"/>
  <c r="L88" i="36" a="1"/>
  <c r="L88" i="36" s="1"/>
  <c r="M88" i="36" a="1"/>
  <c r="M88" i="36" s="1"/>
  <c r="N88" i="36" a="1"/>
  <c r="N88" i="36" s="1"/>
  <c r="O88" i="36" a="1"/>
  <c r="O88" i="36" s="1"/>
  <c r="P88" i="36" a="1"/>
  <c r="P88" i="36" s="1"/>
  <c r="Q88" i="36" a="1"/>
  <c r="Q88" i="36"/>
  <c r="R88" i="36" a="1"/>
  <c r="R88" i="36" s="1"/>
  <c r="S88" i="36" a="1"/>
  <c r="S88" i="36"/>
  <c r="F89" i="36" a="1"/>
  <c r="F89" i="36"/>
  <c r="G89" i="36" a="1"/>
  <c r="G89" i="36" s="1"/>
  <c r="H89" i="36" a="1"/>
  <c r="H89" i="36" s="1"/>
  <c r="I89" i="36" a="1"/>
  <c r="I89" i="36" s="1"/>
  <c r="J89" i="36" a="1"/>
  <c r="J89" i="36" s="1"/>
  <c r="K89" i="36" a="1"/>
  <c r="K89" i="36" s="1"/>
  <c r="L89" i="36" a="1"/>
  <c r="L89" i="36" s="1"/>
  <c r="M89" i="36" a="1"/>
  <c r="M89" i="36" s="1"/>
  <c r="N89" i="36" a="1"/>
  <c r="N89" i="36" s="1"/>
  <c r="O89" i="36" a="1"/>
  <c r="O89" i="36" s="1"/>
  <c r="P89" i="36" a="1"/>
  <c r="P89" i="36"/>
  <c r="Q89" i="36" a="1"/>
  <c r="Q89" i="36" s="1"/>
  <c r="R89" i="36" a="1"/>
  <c r="R89" i="36" s="1"/>
  <c r="S89" i="36" a="1"/>
  <c r="S89" i="36" s="1"/>
  <c r="F90" i="36" a="1"/>
  <c r="F90" i="36" s="1"/>
  <c r="G90" i="36" a="1"/>
  <c r="G90" i="36" s="1"/>
  <c r="H90" i="36" a="1"/>
  <c r="H90" i="36" s="1"/>
  <c r="I90" i="36" a="1"/>
  <c r="I90" i="36"/>
  <c r="J90" i="36" a="1"/>
  <c r="J90" i="36" s="1"/>
  <c r="K90" i="36" a="1"/>
  <c r="K90" i="36" s="1"/>
  <c r="L90" i="36" a="1"/>
  <c r="L90" i="36" s="1"/>
  <c r="M90" i="36" a="1"/>
  <c r="M90" i="36"/>
  <c r="N90" i="36" a="1"/>
  <c r="N90" i="36"/>
  <c r="O90" i="36" a="1"/>
  <c r="O90" i="36" s="1"/>
  <c r="P90" i="36" a="1"/>
  <c r="P90" i="36" s="1"/>
  <c r="Q90" i="36" a="1"/>
  <c r="Q90" i="36" s="1"/>
  <c r="R90" i="36" a="1"/>
  <c r="R90" i="36"/>
  <c r="S90" i="36" a="1"/>
  <c r="S90" i="36"/>
  <c r="F91" i="36" a="1"/>
  <c r="F91" i="36"/>
  <c r="G91" i="36" a="1"/>
  <c r="G91" i="36" s="1"/>
  <c r="H91" i="36" a="1"/>
  <c r="H91" i="36" s="1"/>
  <c r="I91" i="36" a="1"/>
  <c r="I91" i="36"/>
  <c r="J91" i="36" a="1"/>
  <c r="J91" i="36"/>
  <c r="K91" i="36" a="1"/>
  <c r="K91" i="36"/>
  <c r="L91" i="36" a="1"/>
  <c r="L91" i="36" s="1"/>
  <c r="M91" i="36" a="1"/>
  <c r="M91" i="36" s="1"/>
  <c r="N91" i="36" a="1"/>
  <c r="N91" i="36"/>
  <c r="O91" i="36" a="1"/>
  <c r="O91" i="36"/>
  <c r="P91" i="36" a="1"/>
  <c r="P91" i="36" s="1"/>
  <c r="Q91" i="36" a="1"/>
  <c r="Q91" i="36" s="1"/>
  <c r="R91" i="36" a="1"/>
  <c r="R91" i="36" s="1"/>
  <c r="S91" i="36" a="1"/>
  <c r="S91" i="36"/>
  <c r="F92" i="36" a="1"/>
  <c r="F92" i="36"/>
  <c r="G92" i="36" a="1"/>
  <c r="G92" i="36" s="1"/>
  <c r="H92" i="36" a="1"/>
  <c r="H92" i="36" s="1"/>
  <c r="I92" i="36" a="1"/>
  <c r="I92" i="36" s="1"/>
  <c r="J92" i="36" a="1"/>
  <c r="J92" i="36"/>
  <c r="K92" i="36" a="1"/>
  <c r="K92" i="36"/>
  <c r="L92" i="36" a="1"/>
  <c r="L92" i="36" s="1"/>
  <c r="M92" i="36" a="1"/>
  <c r="M92" i="36" s="1"/>
  <c r="N92" i="36" a="1"/>
  <c r="N92" i="36" s="1"/>
  <c r="O92" i="36" a="1"/>
  <c r="O92" i="36"/>
  <c r="P92" i="36" a="1"/>
  <c r="P92" i="36"/>
  <c r="Q92" i="36" a="1"/>
  <c r="Q92" i="36"/>
  <c r="R92" i="36" a="1"/>
  <c r="R92" i="36" s="1"/>
  <c r="S92" i="36" a="1"/>
  <c r="S92" i="36" s="1"/>
  <c r="F93" i="36" a="1"/>
  <c r="F93" i="36"/>
  <c r="G93" i="36" a="1"/>
  <c r="G93" i="36"/>
  <c r="H93" i="36" a="1"/>
  <c r="H93" i="36" s="1"/>
  <c r="I93" i="36" a="1"/>
  <c r="I93" i="36" s="1"/>
  <c r="J93" i="36" a="1"/>
  <c r="J93" i="36" s="1"/>
  <c r="K93" i="36" a="1"/>
  <c r="K93" i="36"/>
  <c r="L93" i="36" a="1"/>
  <c r="L93" i="36"/>
  <c r="M93" i="36" a="1"/>
  <c r="M93" i="36" s="1"/>
  <c r="N93" i="36" a="1"/>
  <c r="N93" i="36" s="1"/>
  <c r="O93" i="36" a="1"/>
  <c r="O93" i="36" s="1"/>
  <c r="P93" i="36" a="1"/>
  <c r="P93" i="36"/>
  <c r="Q93" i="36" a="1"/>
  <c r="Q93" i="36"/>
  <c r="R93" i="36" a="1"/>
  <c r="R93" i="36" s="1"/>
  <c r="S93" i="36" a="1"/>
  <c r="S93" i="36" s="1"/>
  <c r="F94" i="36" a="1"/>
  <c r="F94" i="36" s="1"/>
  <c r="G94" i="36" a="1"/>
  <c r="G94" i="36"/>
  <c r="H94" i="36" a="1"/>
  <c r="H94" i="36"/>
  <c r="I94" i="36" a="1"/>
  <c r="I94" i="36" s="1"/>
  <c r="J94" i="36" a="1"/>
  <c r="J94" i="36" s="1"/>
  <c r="K94" i="36" a="1"/>
  <c r="K94" i="36" s="1"/>
  <c r="L94" i="36" a="1"/>
  <c r="L94" i="36"/>
  <c r="M94" i="36" a="1"/>
  <c r="M94" i="36"/>
  <c r="N94" i="36" a="1"/>
  <c r="N94" i="36"/>
  <c r="O94" i="36" a="1"/>
  <c r="O94" i="36" s="1"/>
  <c r="P94" i="36" a="1"/>
  <c r="P94" i="36" s="1"/>
  <c r="Q94" i="36" a="1"/>
  <c r="Q94" i="36"/>
  <c r="R94" i="36" a="1"/>
  <c r="R94" i="36"/>
  <c r="S94" i="36" a="1"/>
  <c r="S94" i="36" s="1"/>
  <c r="F95" i="36" a="1"/>
  <c r="F95" i="36" s="1"/>
  <c r="G95" i="36" a="1"/>
  <c r="G95" i="36" s="1"/>
  <c r="H95" i="36" a="1"/>
  <c r="H95" i="36"/>
  <c r="I95" i="36" a="1"/>
  <c r="I95" i="36"/>
  <c r="J95" i="36" a="1"/>
  <c r="J95" i="36" s="1"/>
  <c r="K95" i="36" a="1"/>
  <c r="K95" i="36" s="1"/>
  <c r="L95" i="36" a="1"/>
  <c r="L95" i="36" s="1"/>
  <c r="M95" i="36" a="1"/>
  <c r="M95" i="36"/>
  <c r="N95" i="36" a="1"/>
  <c r="N95" i="36"/>
  <c r="O95" i="36" a="1"/>
  <c r="O95" i="36" s="1"/>
  <c r="P95" i="36" a="1"/>
  <c r="P95" i="36" s="1"/>
  <c r="Q95" i="36" a="1"/>
  <c r="Q95" i="36" s="1"/>
  <c r="R95" i="36" a="1"/>
  <c r="R95" i="36"/>
  <c r="S95" i="36" a="1"/>
  <c r="S95" i="36"/>
  <c r="F96" i="36" a="1"/>
  <c r="F96" i="36" s="1"/>
  <c r="G96" i="36" a="1"/>
  <c r="G96" i="36" s="1"/>
  <c r="H96" i="36" a="1"/>
  <c r="H96" i="36" s="1"/>
  <c r="I96" i="36" a="1"/>
  <c r="I96" i="36"/>
  <c r="J96" i="36" a="1"/>
  <c r="J96" i="36"/>
  <c r="K96" i="36" a="1"/>
  <c r="K96" i="36"/>
  <c r="L96" i="36" a="1"/>
  <c r="L96" i="36" s="1"/>
  <c r="M96" i="36" a="1"/>
  <c r="M96" i="36" s="1"/>
  <c r="N96" i="36" a="1"/>
  <c r="N96" i="36"/>
  <c r="O96" i="36" a="1"/>
  <c r="O96" i="36"/>
  <c r="P96" i="36" a="1"/>
  <c r="P96" i="36" s="1"/>
  <c r="Q96" i="36" a="1"/>
  <c r="Q96" i="36" s="1"/>
  <c r="R96" i="36" a="1"/>
  <c r="R96" i="36" s="1"/>
  <c r="S96" i="36" a="1"/>
  <c r="S96" i="36"/>
  <c r="F97" i="36" a="1"/>
  <c r="F97" i="36" s="1"/>
  <c r="G97" i="36" a="1"/>
  <c r="G97" i="36" s="1"/>
  <c r="H97" i="36" a="1"/>
  <c r="H97" i="36" s="1"/>
  <c r="I97" i="36" a="1"/>
  <c r="I97" i="36" s="1"/>
  <c r="J97" i="36" a="1"/>
  <c r="J97" i="36"/>
  <c r="K97" i="36" a="1"/>
  <c r="K97" i="36" s="1"/>
  <c r="L97" i="36" a="1"/>
  <c r="L97" i="36" s="1"/>
  <c r="M97" i="36" a="1"/>
  <c r="M97" i="36" s="1"/>
  <c r="N97" i="36" a="1"/>
  <c r="N97" i="36" s="1"/>
  <c r="O97" i="36" a="1"/>
  <c r="O97" i="36"/>
  <c r="P97" i="36" a="1"/>
  <c r="P97" i="36"/>
  <c r="Q97" i="36" a="1"/>
  <c r="Q97" i="36" s="1"/>
  <c r="R97" i="36" a="1"/>
  <c r="R97" i="36" s="1"/>
  <c r="S97" i="36" a="1"/>
  <c r="S97" i="36" s="1"/>
  <c r="F98" i="36" a="1"/>
  <c r="F98" i="36"/>
  <c r="G98" i="36" a="1"/>
  <c r="G98" i="36" s="1"/>
  <c r="H98" i="36" a="1"/>
  <c r="H98" i="36"/>
  <c r="I98" i="36" a="1"/>
  <c r="I98" i="36" s="1"/>
  <c r="J98" i="36" a="1"/>
  <c r="J98" i="36" s="1"/>
  <c r="K98" i="36" a="1"/>
  <c r="K98" i="36"/>
  <c r="L98" i="36" a="1"/>
  <c r="L98" i="36" s="1"/>
  <c r="M98" i="36" a="1"/>
  <c r="M98" i="36" s="1"/>
  <c r="N98" i="36" a="1"/>
  <c r="N98" i="36" s="1"/>
  <c r="O98" i="36" a="1"/>
  <c r="O98" i="36" s="1"/>
  <c r="P98" i="36" a="1"/>
  <c r="P98" i="36"/>
  <c r="Q98" i="36" a="1"/>
  <c r="Q98" i="36" s="1"/>
  <c r="R98" i="36" a="1"/>
  <c r="R98" i="36" s="1"/>
  <c r="S98" i="36" a="1"/>
  <c r="S98" i="36" s="1"/>
  <c r="F99" i="36" a="1"/>
  <c r="F99" i="36" s="1"/>
  <c r="G99" i="36" a="1"/>
  <c r="G99" i="36"/>
  <c r="H99" i="36" a="1"/>
  <c r="H99" i="36" s="1"/>
  <c r="I99" i="36" a="1"/>
  <c r="I99" i="36" s="1"/>
  <c r="J99" i="36" a="1"/>
  <c r="J99" i="36" s="1"/>
  <c r="K99" i="36" a="1"/>
  <c r="K99" i="36" s="1"/>
  <c r="L99" i="36" a="1"/>
  <c r="L99" i="36"/>
  <c r="M99" i="36" a="1"/>
  <c r="M99" i="36"/>
  <c r="N99" i="36" a="1"/>
  <c r="N99" i="36" s="1"/>
  <c r="O99" i="36" a="1"/>
  <c r="O99" i="36" s="1"/>
  <c r="P99" i="36" a="1"/>
  <c r="P99" i="36" s="1"/>
  <c r="Q99" i="36" a="1"/>
  <c r="Q99" i="36"/>
  <c r="R99" i="36" a="1"/>
  <c r="R99" i="36" s="1"/>
  <c r="S99" i="36" a="1"/>
  <c r="S99" i="36"/>
  <c r="F100" i="36" a="1"/>
  <c r="F100" i="36" s="1"/>
  <c r="G100" i="36" a="1"/>
  <c r="G100" i="36" s="1"/>
  <c r="H100" i="36" a="1"/>
  <c r="H100" i="36"/>
  <c r="I100" i="36" a="1"/>
  <c r="I100" i="36" s="1"/>
  <c r="J100" i="36" a="1"/>
  <c r="J100" i="36" s="1"/>
  <c r="K100" i="36" a="1"/>
  <c r="K100" i="36" s="1"/>
  <c r="L100" i="36" a="1"/>
  <c r="L100" i="36" s="1"/>
  <c r="M100" i="36" a="1"/>
  <c r="M100" i="36"/>
  <c r="N100" i="36" a="1"/>
  <c r="N100" i="36" s="1"/>
  <c r="O100" i="36" a="1"/>
  <c r="O100" i="36" s="1"/>
  <c r="P100" i="36" a="1"/>
  <c r="P100" i="36" s="1"/>
  <c r="Q100" i="36" a="1"/>
  <c r="Q100" i="36" s="1"/>
  <c r="R100" i="36" a="1"/>
  <c r="R100" i="36"/>
  <c r="S100" i="36" a="1"/>
  <c r="S100" i="36" s="1"/>
  <c r="F101" i="36" a="1"/>
  <c r="F101" i="36" s="1"/>
  <c r="G101" i="36" a="1"/>
  <c r="G101" i="36" s="1"/>
  <c r="H101" i="36" a="1"/>
  <c r="H101" i="36" s="1"/>
  <c r="I101" i="36" a="1"/>
  <c r="I101" i="36"/>
  <c r="J101" i="36" a="1"/>
  <c r="J101" i="36"/>
  <c r="K101" i="36" a="1"/>
  <c r="K101" i="36" s="1"/>
  <c r="L101" i="36" a="1"/>
  <c r="L101" i="36" s="1"/>
  <c r="M101" i="36" a="1"/>
  <c r="M101" i="36" s="1"/>
  <c r="N101" i="36" a="1"/>
  <c r="N101" i="36"/>
  <c r="O101" i="36" a="1"/>
  <c r="O101" i="36" s="1"/>
  <c r="P101" i="36" a="1"/>
  <c r="P101" i="36"/>
  <c r="Q101" i="36" a="1"/>
  <c r="Q101" i="36" s="1"/>
  <c r="R101" i="36" a="1"/>
  <c r="R101" i="36" s="1"/>
  <c r="S101" i="36" a="1"/>
  <c r="S101" i="36"/>
  <c r="F102" i="36" a="1"/>
  <c r="F102" i="36" s="1"/>
  <c r="G102" i="36" a="1"/>
  <c r="G102" i="36" s="1"/>
  <c r="H102" i="36" a="1"/>
  <c r="H102" i="36" s="1"/>
  <c r="I102" i="36" a="1"/>
  <c r="I102" i="36" s="1"/>
  <c r="J102" i="36" a="1"/>
  <c r="J102" i="36" s="1"/>
  <c r="K102" i="36" a="1"/>
  <c r="K102" i="36" s="1"/>
  <c r="L102" i="36" a="1"/>
  <c r="L102" i="36"/>
  <c r="M102" i="36" a="1"/>
  <c r="M102" i="36" s="1"/>
  <c r="N102" i="36" a="1"/>
  <c r="N102" i="36" s="1"/>
  <c r="O102" i="36" a="1"/>
  <c r="O102" i="36" s="1"/>
  <c r="P102" i="36" a="1"/>
  <c r="P102" i="36"/>
  <c r="Q102" i="36" a="1"/>
  <c r="Q102" i="36" s="1"/>
  <c r="R102" i="36" a="1"/>
  <c r="R102" i="36" s="1"/>
  <c r="S102" i="36" a="1"/>
  <c r="S102" i="36" s="1"/>
  <c r="F103" i="36" a="1"/>
  <c r="F103" i="36" s="1"/>
  <c r="G103" i="36" a="1"/>
  <c r="G103" i="36"/>
  <c r="H103" i="36" a="1"/>
  <c r="H103" i="36" s="1"/>
  <c r="I103" i="36" a="1"/>
  <c r="I103" i="36" s="1"/>
  <c r="J103" i="36" a="1"/>
  <c r="J103" i="36" s="1"/>
  <c r="K103" i="36" a="1"/>
  <c r="K103" i="36" s="1"/>
  <c r="L103" i="36" a="1"/>
  <c r="L103" i="36" s="1"/>
  <c r="M103" i="36" a="1"/>
  <c r="M103" i="36" s="1"/>
  <c r="N103" i="36" a="1"/>
  <c r="N103" i="36" s="1"/>
  <c r="O103" i="36" a="1"/>
  <c r="O103" i="36" s="1"/>
  <c r="P103" i="36" a="1"/>
  <c r="P103" i="36" s="1"/>
  <c r="Q103" i="36" a="1"/>
  <c r="Q103" i="36" s="1"/>
  <c r="R103" i="36" a="1"/>
  <c r="R103" i="36"/>
  <c r="S103" i="36" a="1"/>
  <c r="S103" i="36" s="1"/>
  <c r="F104" i="36" a="1"/>
  <c r="F104" i="36" s="1"/>
  <c r="G104" i="36" a="1"/>
  <c r="G104" i="36" s="1"/>
  <c r="H104" i="36" a="1"/>
  <c r="H104" i="36" s="1"/>
  <c r="I104" i="36" a="1"/>
  <c r="I104" i="36"/>
  <c r="J104" i="36" a="1"/>
  <c r="J104" i="36" s="1"/>
  <c r="K104" i="36" a="1"/>
  <c r="K104" i="36" s="1"/>
  <c r="L104" i="36" a="1"/>
  <c r="L104" i="36" s="1"/>
  <c r="M104" i="36" a="1"/>
  <c r="M104" i="36" s="1"/>
  <c r="N104" i="36" a="1"/>
  <c r="N104" i="36"/>
  <c r="O104" i="36" a="1"/>
  <c r="O104" i="36" s="1"/>
  <c r="P104" i="36" a="1"/>
  <c r="P104" i="36" s="1"/>
  <c r="Q104" i="36" a="1"/>
  <c r="Q104" i="36" s="1"/>
  <c r="R104" i="36" a="1"/>
  <c r="R104" i="36" s="1"/>
  <c r="S104" i="36" a="1"/>
  <c r="S104" i="36" s="1"/>
  <c r="F105" i="36" a="1"/>
  <c r="F105" i="36" s="1"/>
  <c r="G105" i="36" a="1"/>
  <c r="G105" i="36" s="1"/>
  <c r="H105" i="36" a="1"/>
  <c r="H105" i="36" s="1"/>
  <c r="I105" i="36" a="1"/>
  <c r="I105" i="36" s="1"/>
  <c r="J105" i="36" a="1"/>
  <c r="J105" i="36" s="1"/>
  <c r="K105" i="36" a="1"/>
  <c r="K105" i="36" s="1"/>
  <c r="L105" i="36" a="1"/>
  <c r="L105" i="36" s="1"/>
  <c r="M105" i="36" a="1"/>
  <c r="M105" i="36" s="1"/>
  <c r="N105" i="36" a="1"/>
  <c r="N105" i="36" s="1"/>
  <c r="O105" i="36" a="1"/>
  <c r="O105" i="36" s="1"/>
  <c r="P105" i="36" a="1"/>
  <c r="P105" i="36" s="1"/>
  <c r="Q105" i="36" a="1"/>
  <c r="Q105" i="36" s="1"/>
  <c r="R105" i="36" a="1"/>
  <c r="R105" i="36" s="1"/>
  <c r="S105" i="36" a="1"/>
  <c r="S105" i="36" s="1"/>
  <c r="F106" i="36" a="1"/>
  <c r="F106" i="36" s="1"/>
  <c r="G106" i="36" a="1"/>
  <c r="G106" i="36" s="1"/>
  <c r="H106" i="36" a="1"/>
  <c r="H106" i="36" s="1"/>
  <c r="I106" i="36" a="1"/>
  <c r="I106" i="36" s="1"/>
  <c r="J106" i="36" a="1"/>
  <c r="J106" i="36"/>
  <c r="K106" i="36" a="1"/>
  <c r="K106" i="36" s="1"/>
  <c r="L106" i="36" a="1"/>
  <c r="L106" i="36" s="1"/>
  <c r="M106" i="36" a="1"/>
  <c r="M106" i="36" s="1"/>
  <c r="N106" i="36" a="1"/>
  <c r="N106" i="36" s="1"/>
  <c r="O106" i="36" a="1"/>
  <c r="O106" i="36"/>
  <c r="P106" i="36" a="1"/>
  <c r="P106" i="36" s="1"/>
  <c r="Q106" i="36" a="1"/>
  <c r="Q106" i="36" s="1"/>
  <c r="R106" i="36" a="1"/>
  <c r="R106" i="36" s="1"/>
  <c r="S106" i="36" a="1"/>
  <c r="S106" i="36" s="1"/>
  <c r="F107" i="36" a="1"/>
  <c r="F107" i="36" s="1"/>
  <c r="G107" i="36" a="1"/>
  <c r="G107" i="36" s="1"/>
  <c r="H107" i="36" a="1"/>
  <c r="H107" i="36" s="1"/>
  <c r="I107" i="36" a="1"/>
  <c r="I107" i="36" s="1"/>
  <c r="J107" i="36" a="1"/>
  <c r="J107" i="36" s="1"/>
  <c r="K107" i="36" a="1"/>
  <c r="K107" i="36" s="1"/>
  <c r="L107" i="36" a="1"/>
  <c r="L107" i="36" s="1"/>
  <c r="M107" i="36" a="1"/>
  <c r="M107" i="36" s="1"/>
  <c r="N107" i="36" a="1"/>
  <c r="N107" i="36" s="1"/>
  <c r="O107" i="36" a="1"/>
  <c r="O107" i="36" s="1"/>
  <c r="P107" i="36" a="1"/>
  <c r="P107" i="36" s="1"/>
  <c r="Q107" i="36" a="1"/>
  <c r="Q107" i="36"/>
  <c r="R107" i="36" a="1"/>
  <c r="R107" i="36" s="1"/>
  <c r="S107" i="36" a="1"/>
  <c r="S107" i="36" s="1"/>
  <c r="F108" i="36" a="1"/>
  <c r="F108" i="36" s="1"/>
  <c r="G108" i="36" a="1"/>
  <c r="G108" i="36" s="1"/>
  <c r="H108" i="36" a="1"/>
  <c r="H108" i="36"/>
  <c r="I108" i="36" a="1"/>
  <c r="I108" i="36" s="1"/>
  <c r="J108" i="36" a="1"/>
  <c r="J108" i="36" s="1"/>
  <c r="K108" i="36" a="1"/>
  <c r="K108" i="36" s="1"/>
  <c r="L108" i="36" a="1"/>
  <c r="L108" i="36" s="1"/>
  <c r="M108" i="36" a="1"/>
  <c r="M108" i="36" s="1"/>
  <c r="N108" i="36" a="1"/>
  <c r="N108" i="36" s="1"/>
  <c r="O108" i="36" a="1"/>
  <c r="O108" i="36" s="1"/>
  <c r="P108" i="36" a="1"/>
  <c r="P108" i="36" s="1"/>
  <c r="Q108" i="36" a="1"/>
  <c r="Q108" i="36" s="1"/>
  <c r="R108" i="36" a="1"/>
  <c r="R108" i="36" s="1"/>
  <c r="S108" i="36" a="1"/>
  <c r="S108" i="36" s="1"/>
  <c r="F109" i="36" a="1"/>
  <c r="F109" i="36" s="1"/>
  <c r="G109" i="36" a="1"/>
  <c r="G109" i="36" s="1"/>
  <c r="H109" i="36" a="1"/>
  <c r="H109" i="36" s="1"/>
  <c r="I109" i="36" a="1"/>
  <c r="I109" i="36" s="1"/>
  <c r="J109" i="36" a="1"/>
  <c r="J109" i="36" s="1"/>
  <c r="K109" i="36" a="1"/>
  <c r="K109" i="36" s="1"/>
  <c r="L109" i="36" a="1"/>
  <c r="L109" i="36" s="1"/>
  <c r="M109" i="36" a="1"/>
  <c r="M109" i="36" s="1"/>
  <c r="N109" i="36" a="1"/>
  <c r="N109" i="36" s="1"/>
  <c r="O109" i="36" a="1"/>
  <c r="O109" i="36" s="1"/>
  <c r="P109" i="36" a="1"/>
  <c r="P109" i="36" s="1"/>
  <c r="Q109" i="36" a="1"/>
  <c r="Q109" i="36" s="1"/>
  <c r="R109" i="36" a="1"/>
  <c r="R109" i="36"/>
  <c r="S109" i="36" a="1"/>
  <c r="S109" i="36" s="1"/>
  <c r="F110" i="36" a="1"/>
  <c r="F110" i="36" s="1"/>
  <c r="G110" i="36" a="1"/>
  <c r="G110" i="36" s="1"/>
  <c r="H110" i="36" a="1"/>
  <c r="H110" i="36" s="1"/>
  <c r="I110" i="36" a="1"/>
  <c r="I110" i="36" s="1"/>
  <c r="J110" i="36" a="1"/>
  <c r="J110" i="36"/>
  <c r="K110" i="36" a="1"/>
  <c r="K110" i="36" s="1"/>
  <c r="L110" i="36" a="1"/>
  <c r="L110" i="36" s="1"/>
  <c r="M110" i="36" a="1"/>
  <c r="M110" i="36" s="1"/>
  <c r="N110" i="36" a="1"/>
  <c r="N110" i="36" s="1"/>
  <c r="O110" i="36" a="1"/>
  <c r="O110" i="36" s="1"/>
  <c r="P110" i="36" a="1"/>
  <c r="P110" i="36"/>
  <c r="Q110" i="36" a="1"/>
  <c r="Q110" i="36" s="1"/>
  <c r="R110" i="36" a="1"/>
  <c r="R110" i="36" s="1"/>
  <c r="S110" i="36" a="1"/>
  <c r="S110" i="36" s="1"/>
  <c r="F111" i="36" a="1"/>
  <c r="F111" i="36" s="1"/>
  <c r="G111" i="36" a="1"/>
  <c r="G111" i="36" s="1"/>
  <c r="H111" i="36" a="1"/>
  <c r="H111" i="36" s="1"/>
  <c r="I111" i="36" a="1"/>
  <c r="I111" i="36" s="1"/>
  <c r="J111" i="36" a="1"/>
  <c r="J111" i="36" s="1"/>
  <c r="K111" i="36" a="1"/>
  <c r="K111" i="36" s="1"/>
  <c r="L111" i="36" a="1"/>
  <c r="L111" i="36" s="1"/>
  <c r="M111" i="36" a="1"/>
  <c r="M111" i="36" s="1"/>
  <c r="N111" i="36" a="1"/>
  <c r="N111" i="36" s="1"/>
  <c r="O111" i="36" a="1"/>
  <c r="O111" i="36"/>
  <c r="P111" i="36" a="1"/>
  <c r="P111" i="36" s="1"/>
  <c r="Q111" i="36" a="1"/>
  <c r="Q111" i="36" s="1"/>
  <c r="R111" i="36" a="1"/>
  <c r="R111" i="36" s="1"/>
  <c r="S111" i="36" a="1"/>
  <c r="S111" i="36" s="1"/>
  <c r="F112" i="36" a="1"/>
  <c r="F112" i="36" s="1"/>
  <c r="G112" i="36" a="1"/>
  <c r="G112" i="36"/>
  <c r="H112" i="36" a="1"/>
  <c r="H112" i="36" s="1"/>
  <c r="I112" i="36" a="1"/>
  <c r="I112" i="36" s="1"/>
  <c r="J112" i="36" a="1"/>
  <c r="J112" i="36" s="1"/>
  <c r="K112" i="36" a="1"/>
  <c r="K112" i="36" s="1"/>
  <c r="L112" i="36" a="1"/>
  <c r="L112" i="36" s="1"/>
  <c r="M112" i="36" a="1"/>
  <c r="M112" i="36"/>
  <c r="N112" i="36" a="1"/>
  <c r="N112" i="36" s="1"/>
  <c r="O112" i="36" a="1"/>
  <c r="O112" i="36" s="1"/>
  <c r="P112" i="36" a="1"/>
  <c r="P112" i="36" s="1"/>
  <c r="Q112" i="36" a="1"/>
  <c r="Q112" i="36" s="1"/>
  <c r="R112" i="36" a="1"/>
  <c r="R112" i="36" s="1"/>
  <c r="S112" i="36" a="1"/>
  <c r="S112" i="36" s="1"/>
  <c r="F113" i="36" a="1"/>
  <c r="F113" i="36" s="1"/>
  <c r="G113" i="36" a="1"/>
  <c r="G113" i="36" s="1"/>
  <c r="H113" i="36" a="1"/>
  <c r="H113" i="36" s="1"/>
  <c r="I113" i="36" a="1"/>
  <c r="I113" i="36" s="1"/>
  <c r="J113" i="36" a="1"/>
  <c r="J113" i="36" s="1"/>
  <c r="K113" i="36" a="1"/>
  <c r="K113" i="36" s="1"/>
  <c r="L113" i="36" a="1"/>
  <c r="L113" i="36"/>
  <c r="M113" i="36" a="1"/>
  <c r="M113" i="36" s="1"/>
  <c r="N113" i="36" a="1"/>
  <c r="N113" i="36" s="1"/>
  <c r="O113" i="36" a="1"/>
  <c r="O113" i="36" s="1"/>
  <c r="P113" i="36" a="1"/>
  <c r="P113" i="36" s="1"/>
  <c r="Q113" i="36" a="1"/>
  <c r="Q113" i="36" s="1"/>
  <c r="R113" i="36" a="1"/>
  <c r="R113" i="36"/>
  <c r="S113" i="36" a="1"/>
  <c r="S113" i="36" s="1"/>
  <c r="F114" i="36" a="1"/>
  <c r="F114" i="36" s="1"/>
  <c r="G114" i="36" a="1"/>
  <c r="G114" i="36" s="1"/>
  <c r="H114" i="36" a="1"/>
  <c r="H114" i="36" s="1"/>
  <c r="I114" i="36" a="1"/>
  <c r="I114" i="36" s="1"/>
  <c r="J114" i="36" a="1"/>
  <c r="J114" i="36"/>
  <c r="K114" i="36" a="1"/>
  <c r="K114" i="36" s="1"/>
  <c r="L114" i="36" a="1"/>
  <c r="L114" i="36" s="1"/>
  <c r="M114" i="36" a="1"/>
  <c r="M114" i="36" s="1"/>
  <c r="N114" i="36" a="1"/>
  <c r="N114" i="36" s="1"/>
  <c r="O114" i="36" a="1"/>
  <c r="O114" i="36" s="1"/>
  <c r="P114" i="36" a="1"/>
  <c r="P114" i="36" s="1"/>
  <c r="Q114" i="36" a="1"/>
  <c r="Q114" i="36" s="1"/>
  <c r="R114" i="36" a="1"/>
  <c r="R114" i="36" s="1"/>
  <c r="S114" i="36" a="1"/>
  <c r="S114" i="36" s="1"/>
  <c r="F115" i="36" a="1"/>
  <c r="F115" i="36" s="1"/>
  <c r="G115" i="36" a="1"/>
  <c r="G115" i="36" s="1"/>
  <c r="H115" i="36" a="1"/>
  <c r="H115" i="36" s="1"/>
  <c r="I115" i="36" a="1"/>
  <c r="I115" i="36"/>
  <c r="J115" i="36" a="1"/>
  <c r="J115" i="36" s="1"/>
  <c r="K115" i="36" a="1"/>
  <c r="K115" i="36" s="1"/>
  <c r="L115" i="36" a="1"/>
  <c r="L115" i="36" s="1"/>
  <c r="M115" i="36" a="1"/>
  <c r="M115" i="36" s="1"/>
  <c r="N115" i="36" a="1"/>
  <c r="N115" i="36" s="1"/>
  <c r="O115" i="36" a="1"/>
  <c r="O115" i="36"/>
  <c r="P115" i="36" a="1"/>
  <c r="P115" i="36" s="1"/>
  <c r="Q115" i="36" a="1"/>
  <c r="Q115" i="36" s="1"/>
  <c r="R115" i="36" a="1"/>
  <c r="R115" i="36" s="1"/>
  <c r="S115" i="36" a="1"/>
  <c r="S115" i="36" s="1"/>
  <c r="F116" i="36" a="1"/>
  <c r="F116" i="36" s="1"/>
  <c r="G116" i="36" a="1"/>
  <c r="G116" i="36"/>
  <c r="H116" i="36" a="1"/>
  <c r="H116" i="36" s="1"/>
  <c r="I116" i="36" a="1"/>
  <c r="I116" i="36" s="1"/>
  <c r="J116" i="36" a="1"/>
  <c r="J116" i="36" s="1"/>
  <c r="K116" i="36" a="1"/>
  <c r="K116" i="36" s="1"/>
  <c r="L116" i="36" a="1"/>
  <c r="L116" i="36" s="1"/>
  <c r="M116" i="36" a="1"/>
  <c r="M116" i="36" s="1"/>
  <c r="N116" i="36" a="1"/>
  <c r="N116" i="36" s="1"/>
  <c r="O116" i="36" a="1"/>
  <c r="O116" i="36" s="1"/>
  <c r="P116" i="36" a="1"/>
  <c r="P116" i="36" s="1"/>
  <c r="Q116" i="36" a="1"/>
  <c r="Q116" i="36" s="1"/>
  <c r="R116" i="36" a="1"/>
  <c r="R116" i="36" s="1"/>
  <c r="S116" i="36" a="1"/>
  <c r="S116" i="36" s="1"/>
  <c r="F117" i="36" a="1"/>
  <c r="F117" i="36"/>
  <c r="G117" i="36" a="1"/>
  <c r="G117" i="36" s="1"/>
  <c r="H117" i="36" a="1"/>
  <c r="H117" i="36" s="1"/>
  <c r="I117" i="36" a="1"/>
  <c r="I117" i="36" s="1"/>
  <c r="J117" i="36" a="1"/>
  <c r="J117" i="36" s="1"/>
  <c r="K117" i="36" a="1"/>
  <c r="K117" i="36" s="1"/>
  <c r="L117" i="36" a="1"/>
  <c r="L117" i="36"/>
  <c r="M117" i="36" a="1"/>
  <c r="M117" i="36" s="1"/>
  <c r="N117" i="36" a="1"/>
  <c r="N117" i="36" s="1"/>
  <c r="O117" i="36" a="1"/>
  <c r="O117" i="36" s="1"/>
  <c r="P117" i="36" a="1"/>
  <c r="P117" i="36" s="1"/>
  <c r="Q117" i="36" a="1"/>
  <c r="Q117" i="36" s="1"/>
  <c r="R117" i="36" a="1"/>
  <c r="R117" i="36"/>
  <c r="S117" i="36" a="1"/>
  <c r="S117" i="36" s="1"/>
  <c r="F118" i="36" a="1"/>
  <c r="F118" i="36" s="1"/>
  <c r="G118" i="36" a="1"/>
  <c r="G118" i="36" s="1"/>
  <c r="H118" i="36" a="1"/>
  <c r="H118" i="36" s="1"/>
  <c r="I118" i="36" a="1"/>
  <c r="I118" i="36" s="1"/>
  <c r="J118" i="36" a="1"/>
  <c r="J118" i="36" s="1"/>
  <c r="K118" i="36" a="1"/>
  <c r="K118" i="36" s="1"/>
  <c r="L118" i="36" a="1"/>
  <c r="L118" i="36" s="1"/>
  <c r="M118" i="36" a="1"/>
  <c r="M118" i="36" s="1"/>
  <c r="N118" i="36" a="1"/>
  <c r="N118" i="36" s="1"/>
  <c r="O118" i="36" a="1"/>
  <c r="O118" i="36" s="1"/>
  <c r="P118" i="36" a="1"/>
  <c r="P118" i="36" s="1"/>
  <c r="Q118" i="36" a="1"/>
  <c r="Q118" i="36"/>
  <c r="R118" i="36" a="1"/>
  <c r="R118" i="36" s="1"/>
  <c r="S118" i="36" a="1"/>
  <c r="S118" i="36" s="1"/>
  <c r="F119" i="36" a="1"/>
  <c r="F119" i="36" s="1"/>
  <c r="G119" i="36" a="1"/>
  <c r="G119" i="36" s="1"/>
  <c r="H119" i="36" a="1"/>
  <c r="H119" i="36" s="1"/>
  <c r="I119" i="36" a="1"/>
  <c r="I119" i="36"/>
  <c r="J119" i="36" a="1"/>
  <c r="J119" i="36" s="1"/>
  <c r="K119" i="36" a="1"/>
  <c r="K119" i="36" s="1"/>
  <c r="L119" i="36" a="1"/>
  <c r="L119" i="36" s="1"/>
  <c r="M119" i="36" a="1"/>
  <c r="M119" i="36" s="1"/>
  <c r="N119" i="36" a="1"/>
  <c r="N119" i="36" s="1"/>
  <c r="O119" i="36" a="1"/>
  <c r="O119" i="36"/>
  <c r="P119" i="36" a="1"/>
  <c r="P119" i="36" s="1"/>
  <c r="Q119" i="36" a="1"/>
  <c r="Q119" i="36" s="1"/>
  <c r="R119" i="36" a="1"/>
  <c r="R119" i="36" s="1"/>
  <c r="S119" i="36" a="1"/>
  <c r="S119" i="36" s="1"/>
  <c r="F120" i="36" a="1"/>
  <c r="F120" i="36" s="1"/>
  <c r="G120" i="36" a="1"/>
  <c r="G120" i="36" s="1"/>
  <c r="H120" i="36" a="1"/>
  <c r="H120" i="36" s="1"/>
  <c r="I120" i="36" a="1"/>
  <c r="I120" i="36" s="1"/>
  <c r="J120" i="36" a="1"/>
  <c r="J120" i="36" s="1"/>
  <c r="K120" i="36" a="1"/>
  <c r="K120" i="36" s="1"/>
  <c r="L120" i="36" a="1"/>
  <c r="L120" i="36" s="1"/>
  <c r="M120" i="36" a="1"/>
  <c r="M120" i="36" s="1"/>
  <c r="N120" i="36" a="1"/>
  <c r="N120" i="36"/>
  <c r="O120" i="36" a="1"/>
  <c r="O120" i="36" s="1"/>
  <c r="P120" i="36" a="1"/>
  <c r="P120" i="36" s="1"/>
  <c r="Q120" i="36" a="1"/>
  <c r="Q120" i="36" s="1"/>
  <c r="R120" i="36" a="1"/>
  <c r="R120" i="36" s="1"/>
  <c r="S120" i="36" a="1"/>
  <c r="S120" i="36" s="1"/>
  <c r="F121" i="36" a="1"/>
  <c r="F121" i="36"/>
  <c r="G121" i="36" a="1"/>
  <c r="G121" i="36" s="1"/>
  <c r="H121" i="36" a="1"/>
  <c r="H121" i="36" s="1"/>
  <c r="I121" i="36" a="1"/>
  <c r="I121" i="36" s="1"/>
  <c r="J121" i="36" a="1"/>
  <c r="J121" i="36" s="1"/>
  <c r="K121" i="36" a="1"/>
  <c r="K121" i="36" s="1"/>
  <c r="L121" i="36" a="1"/>
  <c r="L121" i="36"/>
  <c r="M121" i="36" a="1"/>
  <c r="M121" i="36" s="1"/>
  <c r="N121" i="36" a="1"/>
  <c r="N121" i="36" s="1"/>
  <c r="O121" i="36" a="1"/>
  <c r="O121" i="36" s="1"/>
  <c r="P121" i="36" a="1"/>
  <c r="P121" i="36" s="1"/>
  <c r="Q121" i="36" a="1"/>
  <c r="Q121" i="36" s="1"/>
  <c r="R121" i="36" a="1"/>
  <c r="R121" i="36" s="1"/>
  <c r="S121" i="36" a="1"/>
  <c r="S121" i="36" s="1"/>
  <c r="F122" i="36" a="1"/>
  <c r="F122" i="36" s="1"/>
  <c r="G122" i="36" a="1"/>
  <c r="G122" i="36" s="1"/>
  <c r="H122" i="36" a="1"/>
  <c r="H122" i="36" s="1"/>
  <c r="I122" i="36" a="1"/>
  <c r="I122" i="36" s="1"/>
  <c r="J122" i="36" a="1"/>
  <c r="J122" i="36" s="1"/>
  <c r="K122" i="36" a="1"/>
  <c r="K122" i="36"/>
  <c r="L122" i="36" a="1"/>
  <c r="L122" i="36" s="1"/>
  <c r="M122" i="36" a="1"/>
  <c r="M122" i="36" s="1"/>
  <c r="N122" i="36" a="1"/>
  <c r="N122" i="36" s="1"/>
  <c r="O122" i="36" a="1"/>
  <c r="O122" i="36" s="1"/>
  <c r="P122" i="36" a="1"/>
  <c r="P122" i="36" s="1"/>
  <c r="Q122" i="36" a="1"/>
  <c r="Q122" i="36"/>
  <c r="R122" i="36" a="1"/>
  <c r="R122" i="36" s="1"/>
  <c r="S122" i="36" a="1"/>
  <c r="S122" i="36" s="1"/>
  <c r="F123" i="36" a="1"/>
  <c r="F123" i="36" s="1"/>
  <c r="G123" i="36" a="1"/>
  <c r="G123" i="36" s="1"/>
  <c r="H123" i="36" a="1"/>
  <c r="H123" i="36" s="1"/>
  <c r="I123" i="36" a="1"/>
  <c r="I123" i="36"/>
  <c r="J123" i="36" a="1"/>
  <c r="J123" i="36" s="1"/>
  <c r="K123" i="36" a="1"/>
  <c r="K123" i="36" s="1"/>
  <c r="L123" i="36" a="1"/>
  <c r="L123" i="36" s="1"/>
  <c r="M123" i="36" a="1"/>
  <c r="M123" i="36" s="1"/>
  <c r="N123" i="36" a="1"/>
  <c r="N123" i="36" s="1"/>
  <c r="O123" i="36" a="1"/>
  <c r="O123" i="36" s="1"/>
  <c r="P123" i="36" a="1"/>
  <c r="P123" i="36" s="1"/>
  <c r="Q123" i="36" a="1"/>
  <c r="Q123" i="36" s="1"/>
  <c r="R123" i="36" a="1"/>
  <c r="R123" i="36" s="1"/>
  <c r="S123" i="36" a="1"/>
  <c r="S123" i="36" s="1"/>
  <c r="F124" i="36" a="1"/>
  <c r="F124" i="36" s="1"/>
  <c r="G124" i="36" a="1"/>
  <c r="G124" i="36" s="1"/>
  <c r="H124" i="36" a="1"/>
  <c r="H124" i="36"/>
  <c r="I124" i="36" a="1"/>
  <c r="I124" i="36" s="1"/>
  <c r="J124" i="36" a="1"/>
  <c r="J124" i="36" s="1"/>
  <c r="K124" i="36" a="1"/>
  <c r="K124" i="36" s="1"/>
  <c r="L124" i="36" a="1"/>
  <c r="L124" i="36" s="1"/>
  <c r="M124" i="36" a="1"/>
  <c r="M124" i="36" s="1"/>
  <c r="N124" i="36" a="1"/>
  <c r="N124" i="36"/>
  <c r="O124" i="36" a="1"/>
  <c r="O124" i="36" s="1"/>
  <c r="P124" i="36" a="1"/>
  <c r="P124" i="36" s="1"/>
  <c r="Q124" i="36" a="1"/>
  <c r="Q124" i="36" s="1"/>
  <c r="R124" i="36" a="1"/>
  <c r="R124" i="36" s="1"/>
  <c r="S124" i="36" a="1"/>
  <c r="S124" i="36" s="1"/>
  <c r="F125" i="36" a="1"/>
  <c r="F125" i="36"/>
  <c r="G125" i="36" a="1"/>
  <c r="G125" i="36" s="1"/>
  <c r="H125" i="36" a="1"/>
  <c r="H125" i="36" s="1"/>
  <c r="I125" i="36" a="1"/>
  <c r="I125" i="36" s="1"/>
  <c r="J125" i="36" a="1"/>
  <c r="J125" i="36" s="1"/>
  <c r="K125" i="36" a="1"/>
  <c r="K125" i="36" s="1"/>
  <c r="L125" i="36" a="1"/>
  <c r="L125" i="36" s="1"/>
  <c r="M125" i="36" a="1"/>
  <c r="M125" i="36" s="1"/>
  <c r="N125" i="36" a="1"/>
  <c r="N125" i="36" s="1"/>
  <c r="O125" i="36" a="1"/>
  <c r="O125" i="36" s="1"/>
  <c r="P125" i="36" a="1"/>
  <c r="P125" i="36" s="1"/>
  <c r="Q125" i="36" a="1"/>
  <c r="Q125" i="36" s="1"/>
  <c r="R125" i="36" a="1"/>
  <c r="R125" i="36" s="1"/>
  <c r="S125" i="36" a="1"/>
  <c r="S125" i="36"/>
  <c r="F126" i="36" a="1"/>
  <c r="F126" i="36" s="1"/>
  <c r="G126" i="36" a="1"/>
  <c r="G126" i="36" s="1"/>
  <c r="H126" i="36" a="1"/>
  <c r="H126" i="36" s="1"/>
  <c r="I126" i="36" a="1"/>
  <c r="I126" i="36" s="1"/>
  <c r="J126" i="36" a="1"/>
  <c r="J126" i="36" s="1"/>
  <c r="K126" i="36" a="1"/>
  <c r="K126" i="36"/>
  <c r="L126" i="36" a="1"/>
  <c r="L126" i="36" s="1"/>
  <c r="M126" i="36" a="1"/>
  <c r="M126" i="36" s="1"/>
  <c r="N126" i="36" a="1"/>
  <c r="N126" i="36" s="1"/>
  <c r="O126" i="36" a="1"/>
  <c r="O126" i="36" s="1"/>
  <c r="P126" i="36" a="1"/>
  <c r="P126" i="36" s="1"/>
  <c r="Q126" i="36" a="1"/>
  <c r="Q126" i="36"/>
  <c r="R126" i="36" a="1"/>
  <c r="R126" i="36" s="1"/>
  <c r="S126" i="36" a="1"/>
  <c r="S126" i="36" s="1"/>
  <c r="F127" i="36" a="1"/>
  <c r="F127" i="36" s="1"/>
  <c r="G127" i="36" a="1"/>
  <c r="G127" i="36" s="1"/>
  <c r="H127" i="36" a="1"/>
  <c r="H127" i="36" s="1"/>
  <c r="I127" i="36" a="1"/>
  <c r="I127" i="36" s="1"/>
  <c r="J127" i="36" a="1"/>
  <c r="J127" i="36" s="1"/>
  <c r="K127" i="36" a="1"/>
  <c r="K127" i="36" s="1"/>
  <c r="L127" i="36" a="1"/>
  <c r="L127" i="36" s="1"/>
  <c r="M127" i="36" a="1"/>
  <c r="M127" i="36" s="1"/>
  <c r="N127" i="36" a="1"/>
  <c r="N127" i="36" s="1"/>
  <c r="O127" i="36" a="1"/>
  <c r="O127" i="36" s="1"/>
  <c r="P127" i="36" a="1"/>
  <c r="P127" i="36"/>
  <c r="Q127" i="36" a="1"/>
  <c r="Q127" i="36" s="1"/>
  <c r="R127" i="36" a="1"/>
  <c r="R127" i="36" s="1"/>
  <c r="S127" i="36" a="1"/>
  <c r="S127" i="36" s="1"/>
  <c r="F128" i="36" a="1"/>
  <c r="F128" i="36" s="1"/>
  <c r="G128" i="36" a="1"/>
  <c r="G128" i="36" s="1"/>
  <c r="H128" i="36" a="1"/>
  <c r="H128" i="36"/>
  <c r="I128" i="36" a="1"/>
  <c r="I128" i="36" s="1"/>
  <c r="J128" i="36" a="1"/>
  <c r="J128" i="36" s="1"/>
  <c r="K128" i="36" a="1"/>
  <c r="K128" i="36" s="1"/>
  <c r="L128" i="36" a="1"/>
  <c r="L128" i="36" s="1"/>
  <c r="M128" i="36" a="1"/>
  <c r="M128" i="36" s="1"/>
  <c r="N128" i="36" a="1"/>
  <c r="N128" i="36"/>
  <c r="O128" i="36" a="1"/>
  <c r="O128" i="36" s="1"/>
  <c r="P128" i="36" a="1"/>
  <c r="P128" i="36" s="1"/>
  <c r="Q128" i="36" a="1"/>
  <c r="Q128" i="36" s="1"/>
  <c r="R128" i="36" a="1"/>
  <c r="R128" i="36" s="1"/>
  <c r="S128" i="36" a="1"/>
  <c r="S128" i="36" s="1"/>
  <c r="F129" i="36" a="1"/>
  <c r="F129" i="36" s="1"/>
  <c r="G129" i="36" a="1"/>
  <c r="G129" i="36" s="1"/>
  <c r="H129" i="36" a="1"/>
  <c r="H129" i="36" s="1"/>
  <c r="I129" i="36" a="1"/>
  <c r="I129" i="36" s="1"/>
  <c r="J129" i="36" a="1"/>
  <c r="J129" i="36" s="1"/>
  <c r="K129" i="36" a="1"/>
  <c r="K129" i="36" s="1"/>
  <c r="L129" i="36" a="1"/>
  <c r="L129" i="36" s="1"/>
  <c r="M129" i="36" a="1"/>
  <c r="M129" i="36"/>
  <c r="N129" i="36" a="1"/>
  <c r="N129" i="36" s="1"/>
  <c r="O129" i="36" a="1"/>
  <c r="O129" i="36" s="1"/>
  <c r="P129" i="36" a="1"/>
  <c r="P129" i="36" s="1"/>
  <c r="Q129" i="36" a="1"/>
  <c r="Q129" i="36" s="1"/>
  <c r="R129" i="36" a="1"/>
  <c r="R129" i="36" s="1"/>
  <c r="S129" i="36" a="1"/>
  <c r="S129" i="36"/>
  <c r="F130" i="36" a="1"/>
  <c r="F130" i="36" s="1"/>
  <c r="G130" i="36" a="1"/>
  <c r="G130" i="36" s="1"/>
  <c r="H130" i="36" a="1"/>
  <c r="H130" i="36" s="1"/>
  <c r="I130" i="36" a="1"/>
  <c r="I130" i="36" s="1"/>
  <c r="J130" i="36" a="1"/>
  <c r="J130" i="36" s="1"/>
  <c r="K130" i="36" a="1"/>
  <c r="K130" i="36"/>
  <c r="L130" i="36" a="1"/>
  <c r="L130" i="36" s="1"/>
  <c r="M130" i="36" a="1"/>
  <c r="M130" i="36" s="1"/>
  <c r="N130" i="36" a="1"/>
  <c r="N130" i="36" s="1"/>
  <c r="O130" i="36" a="1"/>
  <c r="O130" i="36" s="1"/>
  <c r="P130" i="36" a="1"/>
  <c r="P130" i="36" s="1"/>
  <c r="Q130" i="36" a="1"/>
  <c r="Q130" i="36" s="1"/>
  <c r="R130" i="36" a="1"/>
  <c r="R130" i="36" s="1"/>
  <c r="S130" i="36" a="1"/>
  <c r="S130" i="36" s="1"/>
  <c r="F131" i="36" a="1"/>
  <c r="F131" i="36" s="1"/>
  <c r="G131" i="36" a="1"/>
  <c r="G131" i="36" s="1"/>
  <c r="H131" i="36" a="1"/>
  <c r="H131" i="36" s="1"/>
  <c r="I131" i="36" a="1"/>
  <c r="I131" i="36" s="1"/>
  <c r="J131" i="36" a="1"/>
  <c r="J131" i="36"/>
  <c r="K131" i="36" a="1"/>
  <c r="K131" i="36" s="1"/>
  <c r="L131" i="36" a="1"/>
  <c r="L131" i="36" s="1"/>
  <c r="M131" i="36" a="1"/>
  <c r="M131" i="36" s="1"/>
  <c r="N131" i="36" a="1"/>
  <c r="N131" i="36" s="1"/>
  <c r="O131" i="36" a="1"/>
  <c r="O131" i="36" s="1"/>
  <c r="P131" i="36" a="1"/>
  <c r="P131" i="36"/>
  <c r="Q131" i="36" a="1"/>
  <c r="Q131" i="36" s="1"/>
  <c r="R131" i="36" a="1"/>
  <c r="R131" i="36" s="1"/>
  <c r="S131" i="36" a="1"/>
  <c r="S131" i="36" s="1"/>
  <c r="F132" i="36" a="1"/>
  <c r="F132" i="36" s="1"/>
  <c r="G132" i="36" a="1"/>
  <c r="G132" i="36" s="1"/>
  <c r="H132" i="36" a="1"/>
  <c r="H132" i="36"/>
  <c r="I132" i="36" a="1"/>
  <c r="I132" i="36" s="1"/>
  <c r="J132" i="36" a="1"/>
  <c r="J132" i="36" s="1"/>
  <c r="K132" i="36" a="1"/>
  <c r="K132" i="36" s="1"/>
  <c r="L132" i="36" a="1"/>
  <c r="L132" i="36" s="1"/>
  <c r="M132" i="36" a="1"/>
  <c r="M132" i="36" s="1"/>
  <c r="N132" i="36" a="1"/>
  <c r="N132" i="36" s="1"/>
  <c r="O132" i="36" a="1"/>
  <c r="O132" i="36" s="1"/>
  <c r="P132" i="36" a="1"/>
  <c r="P132" i="36"/>
  <c r="Q132" i="36" a="1"/>
  <c r="Q132" i="36"/>
  <c r="R132" i="36" a="1"/>
  <c r="R132" i="36"/>
  <c r="S132" i="36" a="1"/>
  <c r="S132" i="36" s="1"/>
  <c r="F133" i="36" a="1"/>
  <c r="F133" i="36"/>
  <c r="G133" i="36" a="1"/>
  <c r="G133" i="36" s="1"/>
  <c r="H133" i="36" a="1"/>
  <c r="H133" i="36" s="1"/>
  <c r="I133" i="36" a="1"/>
  <c r="I133" i="36" s="1"/>
  <c r="J133" i="36" a="1"/>
  <c r="J133" i="36" s="1"/>
  <c r="K133" i="36" a="1"/>
  <c r="K133" i="36" s="1"/>
  <c r="L133" i="36" a="1"/>
  <c r="L133" i="36" s="1"/>
  <c r="M133" i="36" a="1"/>
  <c r="M133" i="36"/>
  <c r="N133" i="36" a="1"/>
  <c r="N133" i="36"/>
  <c r="O133" i="36" a="1"/>
  <c r="O133" i="36" s="1"/>
  <c r="P133" i="36" a="1"/>
  <c r="P133" i="36" s="1"/>
  <c r="Q133" i="36" a="1"/>
  <c r="Q133" i="36"/>
  <c r="R133" i="36" a="1"/>
  <c r="R133" i="36" s="1"/>
  <c r="S133" i="36" a="1"/>
  <c r="S133" i="36" s="1"/>
  <c r="F134" i="36" a="1"/>
  <c r="F134" i="36" s="1"/>
  <c r="G134" i="36" a="1"/>
  <c r="G134" i="36"/>
  <c r="H134" i="36" a="1"/>
  <c r="H134" i="36" s="1"/>
  <c r="I134" i="36" a="1"/>
  <c r="I134" i="36" s="1"/>
  <c r="J134" i="36" a="1"/>
  <c r="J134" i="36"/>
  <c r="K134" i="36" a="1"/>
  <c r="K134" i="36" s="1"/>
  <c r="L134" i="36" a="1"/>
  <c r="L134" i="36" s="1"/>
  <c r="M134" i="36" a="1"/>
  <c r="M134" i="36" s="1"/>
  <c r="N134" i="36" a="1"/>
  <c r="N134" i="36"/>
  <c r="O134" i="36" a="1"/>
  <c r="O134" i="36" s="1"/>
  <c r="P134" i="36" a="1"/>
  <c r="P134" i="36" s="1"/>
  <c r="Q134" i="36" a="1"/>
  <c r="Q134" i="36"/>
  <c r="R134" i="36" a="1"/>
  <c r="R134" i="36"/>
  <c r="S134" i="36" a="1"/>
  <c r="S134" i="36" s="1"/>
  <c r="F135" i="36" a="1"/>
  <c r="F135" i="36" s="1"/>
  <c r="G135" i="36" a="1"/>
  <c r="G135" i="36"/>
  <c r="H135" i="36" a="1"/>
  <c r="H135" i="36"/>
  <c r="I135" i="36" a="1"/>
  <c r="I135" i="36"/>
  <c r="J135" i="36" a="1"/>
  <c r="J135" i="36" s="1"/>
  <c r="K135" i="36" a="1"/>
  <c r="K135" i="36" s="1"/>
  <c r="L135" i="36" a="1"/>
  <c r="L135" i="36"/>
  <c r="M135" i="36" a="1"/>
  <c r="M135" i="36"/>
  <c r="N135" i="36" a="1"/>
  <c r="N135" i="36"/>
  <c r="O135" i="36" a="1"/>
  <c r="O135" i="36" s="1"/>
  <c r="P135" i="36" a="1"/>
  <c r="P135" i="36" s="1"/>
  <c r="Q135" i="36" a="1"/>
  <c r="Q135" i="36"/>
  <c r="R135" i="36" a="1"/>
  <c r="R135" i="36"/>
  <c r="S135" i="36" a="1"/>
  <c r="S135" i="36"/>
  <c r="F136" i="36" a="1"/>
  <c r="F136" i="36" s="1"/>
  <c r="G136" i="36" a="1"/>
  <c r="G136" i="36" s="1"/>
  <c r="H136" i="36" a="1"/>
  <c r="H136" i="36"/>
  <c r="I136" i="36" a="1"/>
  <c r="I136" i="36"/>
  <c r="J136" i="36" a="1"/>
  <c r="J136" i="36"/>
  <c r="K136" i="36" a="1"/>
  <c r="K136" i="36" s="1"/>
  <c r="L136" i="36" a="1"/>
  <c r="L136" i="36" s="1"/>
  <c r="M136" i="36" a="1"/>
  <c r="M136" i="36"/>
  <c r="N136" i="36" a="1"/>
  <c r="N136" i="36"/>
  <c r="O136" i="36" a="1"/>
  <c r="O136" i="36"/>
  <c r="P136" i="36" a="1"/>
  <c r="P136" i="36" s="1"/>
  <c r="Q136" i="36" a="1"/>
  <c r="Q136" i="36" s="1"/>
  <c r="R136" i="36" a="1"/>
  <c r="R136" i="36"/>
  <c r="S136" i="36" a="1"/>
  <c r="S136" i="36"/>
  <c r="F137" i="36" a="1"/>
  <c r="F137" i="36"/>
  <c r="G137" i="36" a="1"/>
  <c r="G137" i="36" s="1"/>
  <c r="H137" i="36" a="1"/>
  <c r="H137" i="36" s="1"/>
  <c r="I137" i="36" a="1"/>
  <c r="I137" i="36"/>
  <c r="J137" i="36" a="1"/>
  <c r="J137" i="36"/>
  <c r="K137" i="36" a="1"/>
  <c r="K137" i="36"/>
  <c r="L137" i="36" a="1"/>
  <c r="L137" i="36" s="1"/>
  <c r="M137" i="36" a="1"/>
  <c r="M137" i="36" s="1"/>
  <c r="N137" i="36" a="1"/>
  <c r="N137" i="36"/>
  <c r="O137" i="36" a="1"/>
  <c r="O137" i="36"/>
  <c r="P137" i="36" a="1"/>
  <c r="P137" i="36"/>
  <c r="Q137" i="36" a="1"/>
  <c r="Q137" i="36" s="1"/>
  <c r="R137" i="36" a="1"/>
  <c r="R137" i="36" s="1"/>
  <c r="S137" i="36" a="1"/>
  <c r="S137" i="36"/>
  <c r="F138" i="36" a="1"/>
  <c r="F138" i="36"/>
  <c r="G138" i="36" a="1"/>
  <c r="G138" i="36"/>
  <c r="H138" i="36" a="1"/>
  <c r="H138" i="36" s="1"/>
  <c r="I138" i="36" a="1"/>
  <c r="I138" i="36" s="1"/>
  <c r="J138" i="36" a="1"/>
  <c r="J138" i="36"/>
  <c r="K138" i="36" a="1"/>
  <c r="K138" i="36"/>
  <c r="L138" i="36" a="1"/>
  <c r="L138" i="36"/>
  <c r="M138" i="36" a="1"/>
  <c r="M138" i="36" s="1"/>
  <c r="N138" i="36" a="1"/>
  <c r="N138" i="36" s="1"/>
  <c r="O138" i="36" a="1"/>
  <c r="O138" i="36"/>
  <c r="P138" i="36" a="1"/>
  <c r="P138" i="36"/>
  <c r="Q138" i="36" a="1"/>
  <c r="Q138" i="36"/>
  <c r="R138" i="36" a="1"/>
  <c r="R138" i="36" s="1"/>
  <c r="S138" i="36" a="1"/>
  <c r="S138" i="36" s="1"/>
  <c r="F139" i="36" a="1"/>
  <c r="F139" i="36"/>
  <c r="G139" i="36" a="1"/>
  <c r="G139" i="36"/>
  <c r="H139" i="36" a="1"/>
  <c r="H139" i="36"/>
  <c r="I139" i="36" a="1"/>
  <c r="I139" i="36" s="1"/>
  <c r="J139" i="36" a="1"/>
  <c r="J139" i="36" s="1"/>
  <c r="K139" i="36" a="1"/>
  <c r="K139" i="36"/>
  <c r="L139" i="36" a="1"/>
  <c r="L139" i="36"/>
  <c r="M139" i="36" a="1"/>
  <c r="M139" i="36"/>
  <c r="N139" i="36" a="1"/>
  <c r="N139" i="36" s="1"/>
  <c r="O139" i="36" a="1"/>
  <c r="O139" i="36" s="1"/>
  <c r="P139" i="36" a="1"/>
  <c r="P139" i="36"/>
  <c r="Q139" i="36" a="1"/>
  <c r="Q139" i="36"/>
  <c r="R139" i="36" a="1"/>
  <c r="R139" i="36"/>
  <c r="S139" i="36" a="1"/>
  <c r="S139" i="36" s="1"/>
  <c r="F140" i="36" a="1"/>
  <c r="F140" i="36" s="1"/>
  <c r="G140" i="36" a="1"/>
  <c r="G140" i="36"/>
  <c r="H140" i="36" a="1"/>
  <c r="H140" i="36"/>
  <c r="I140" i="36" a="1"/>
  <c r="I140" i="36"/>
  <c r="J140" i="36" a="1"/>
  <c r="J140" i="36" s="1"/>
  <c r="K140" i="36" a="1"/>
  <c r="K140" i="36" s="1"/>
  <c r="L140" i="36" a="1"/>
  <c r="L140" i="36"/>
  <c r="M140" i="36" a="1"/>
  <c r="M140" i="36"/>
  <c r="N140" i="36" a="1"/>
  <c r="N140" i="36"/>
  <c r="O140" i="36" a="1"/>
  <c r="O140" i="36" s="1"/>
  <c r="P140" i="36" a="1"/>
  <c r="P140" i="36" s="1"/>
  <c r="Q140" i="36" a="1"/>
  <c r="Q140" i="36"/>
  <c r="R140" i="36" a="1"/>
  <c r="R140" i="36"/>
  <c r="S140" i="36" a="1"/>
  <c r="S140" i="36"/>
  <c r="F141" i="36" a="1"/>
  <c r="F141" i="36" s="1"/>
  <c r="G141" i="36" a="1"/>
  <c r="G141" i="36" s="1"/>
  <c r="H141" i="36" a="1"/>
  <c r="H141" i="36"/>
  <c r="I141" i="36" a="1"/>
  <c r="I141" i="36" s="1"/>
  <c r="J141" i="36" a="1"/>
  <c r="J141" i="36"/>
  <c r="K141" i="36" a="1"/>
  <c r="K141" i="36" s="1"/>
  <c r="L141" i="36" a="1"/>
  <c r="L141" i="36" s="1"/>
  <c r="M141" i="36" a="1"/>
  <c r="M141" i="36"/>
  <c r="N141" i="36" a="1"/>
  <c r="N141" i="36" s="1"/>
  <c r="O141" i="36" a="1"/>
  <c r="O141" i="36"/>
  <c r="P141" i="36" a="1"/>
  <c r="P141" i="36" s="1"/>
  <c r="Q141" i="36" a="1"/>
  <c r="Q141" i="36" s="1"/>
  <c r="R141" i="36" a="1"/>
  <c r="R141" i="36"/>
  <c r="S141" i="36" a="1"/>
  <c r="S141" i="36" s="1"/>
  <c r="F142" i="36" a="1"/>
  <c r="F142" i="36"/>
  <c r="G142" i="36" a="1"/>
  <c r="G142" i="36" s="1"/>
  <c r="H142" i="36" a="1"/>
  <c r="H142" i="36" s="1"/>
  <c r="I142" i="36" a="1"/>
  <c r="I142" i="36"/>
  <c r="J142" i="36" a="1"/>
  <c r="J142" i="36" s="1"/>
  <c r="K142" i="36" a="1"/>
  <c r="K142" i="36"/>
  <c r="L142" i="36" a="1"/>
  <c r="L142" i="36" s="1"/>
  <c r="M142" i="36" a="1"/>
  <c r="M142" i="36" s="1"/>
  <c r="N142" i="36" a="1"/>
  <c r="N142" i="36"/>
  <c r="O142" i="36" a="1"/>
  <c r="O142" i="36" s="1"/>
  <c r="P142" i="36" a="1"/>
  <c r="P142" i="36"/>
  <c r="Q142" i="36" a="1"/>
  <c r="Q142" i="36" s="1"/>
  <c r="R142" i="36" a="1"/>
  <c r="R142" i="36" s="1"/>
  <c r="S142" i="36" a="1"/>
  <c r="S142" i="36"/>
  <c r="F143" i="36" a="1"/>
  <c r="F143" i="36" s="1"/>
  <c r="G143" i="36" a="1"/>
  <c r="G143" i="36"/>
  <c r="H143" i="36" a="1"/>
  <c r="H143" i="36" s="1"/>
  <c r="I143" i="36" a="1"/>
  <c r="I143" i="36" s="1"/>
  <c r="J143" i="36" a="1"/>
  <c r="J143" i="36"/>
  <c r="K143" i="36" a="1"/>
  <c r="K143" i="36" s="1"/>
  <c r="L143" i="36" a="1"/>
  <c r="L143" i="36"/>
  <c r="M143" i="36" a="1"/>
  <c r="M143" i="36" s="1"/>
  <c r="N143" i="36" a="1"/>
  <c r="N143" i="36" s="1"/>
  <c r="O143" i="36" a="1"/>
  <c r="O143" i="36"/>
  <c r="P143" i="36" a="1"/>
  <c r="P143" i="36" s="1"/>
  <c r="Q143" i="36" a="1"/>
  <c r="Q143" i="36"/>
  <c r="R143" i="36" a="1"/>
  <c r="R143" i="36" s="1"/>
  <c r="S143" i="36" a="1"/>
  <c r="S143" i="36" s="1"/>
  <c r="F144" i="36" a="1"/>
  <c r="F144" i="36"/>
  <c r="G144" i="36" a="1"/>
  <c r="G144" i="36" s="1"/>
  <c r="H144" i="36" a="1"/>
  <c r="H144" i="36"/>
  <c r="I144" i="36" a="1"/>
  <c r="I144" i="36" s="1"/>
  <c r="J144" i="36" a="1"/>
  <c r="J144" i="36" s="1"/>
  <c r="K144" i="36" a="1"/>
  <c r="K144" i="36"/>
  <c r="L144" i="36" a="1"/>
  <c r="L144" i="36" s="1"/>
  <c r="M144" i="36" a="1"/>
  <c r="M144" i="36"/>
  <c r="N144" i="36" a="1"/>
  <c r="N144" i="36" s="1"/>
  <c r="O144" i="36" a="1"/>
  <c r="O144" i="36" s="1"/>
  <c r="P144" i="36" a="1"/>
  <c r="P144" i="36"/>
  <c r="Q144" i="36" a="1"/>
  <c r="Q144" i="36" s="1"/>
  <c r="R144" i="36" a="1"/>
  <c r="R144" i="36"/>
  <c r="S144" i="36" a="1"/>
  <c r="S144" i="36" s="1"/>
  <c r="F145" i="36" a="1"/>
  <c r="F145" i="36" s="1"/>
  <c r="G145" i="36" a="1"/>
  <c r="G145" i="36"/>
  <c r="H145" i="36" a="1"/>
  <c r="H145" i="36" s="1"/>
  <c r="I145" i="36" a="1"/>
  <c r="I145" i="36"/>
  <c r="J145" i="36" a="1"/>
  <c r="J145" i="36" s="1"/>
  <c r="K145" i="36" a="1"/>
  <c r="K145" i="36" s="1"/>
  <c r="L145" i="36" a="1"/>
  <c r="L145" i="36"/>
  <c r="M145" i="36" a="1"/>
  <c r="M145" i="36" s="1"/>
  <c r="N145" i="36" a="1"/>
  <c r="N145" i="36"/>
  <c r="O145" i="36" a="1"/>
  <c r="O145" i="36" s="1"/>
  <c r="P145" i="36" a="1"/>
  <c r="P145" i="36" s="1"/>
  <c r="Q145" i="36" a="1"/>
  <c r="Q145" i="36"/>
  <c r="R145" i="36" a="1"/>
  <c r="R145" i="36" s="1"/>
  <c r="S145" i="36" a="1"/>
  <c r="S145" i="36"/>
  <c r="F146" i="36" a="1"/>
  <c r="F146" i="36" s="1"/>
  <c r="G146" i="36" a="1"/>
  <c r="G146" i="36" s="1"/>
  <c r="H146" i="36" a="1"/>
  <c r="H146" i="36"/>
  <c r="I146" i="36" a="1"/>
  <c r="I146" i="36" s="1"/>
  <c r="J146" i="36" a="1"/>
  <c r="J146" i="36"/>
  <c r="K146" i="36" a="1"/>
  <c r="K146" i="36" s="1"/>
  <c r="L146" i="36" a="1"/>
  <c r="L146" i="36" s="1"/>
  <c r="M146" i="36" a="1"/>
  <c r="M146" i="36"/>
  <c r="N146" i="36" a="1"/>
  <c r="N146" i="36" s="1"/>
  <c r="O146" i="36" a="1"/>
  <c r="O146" i="36"/>
  <c r="P146" i="36" a="1"/>
  <c r="P146" i="36" s="1"/>
  <c r="Q146" i="36" a="1"/>
  <c r="Q146" i="36" s="1"/>
  <c r="R146" i="36" a="1"/>
  <c r="R146" i="36"/>
  <c r="S146" i="36" a="1"/>
  <c r="S146" i="36" s="1"/>
  <c r="F147" i="36" a="1"/>
  <c r="F147" i="36"/>
  <c r="G147" i="36" a="1"/>
  <c r="G147" i="36" s="1"/>
  <c r="H147" i="36" a="1"/>
  <c r="H147" i="36" s="1"/>
  <c r="I147" i="36" a="1"/>
  <c r="I147" i="36"/>
  <c r="J147" i="36" a="1"/>
  <c r="J147" i="36" s="1"/>
  <c r="K147" i="36" a="1"/>
  <c r="K147" i="36"/>
  <c r="L147" i="36" a="1"/>
  <c r="L147" i="36" s="1"/>
  <c r="M147" i="36" a="1"/>
  <c r="M147" i="36" s="1"/>
  <c r="N147" i="36" a="1"/>
  <c r="N147" i="36" s="1"/>
  <c r="O147" i="36" a="1"/>
  <c r="O147" i="36" s="1"/>
  <c r="P147" i="36" a="1"/>
  <c r="P147" i="36"/>
  <c r="Q147" i="36" a="1"/>
  <c r="Q147" i="36" s="1"/>
  <c r="R147" i="36" a="1"/>
  <c r="R147" i="36" s="1"/>
  <c r="S147" i="36" a="1"/>
  <c r="S147" i="36" s="1"/>
  <c r="F148" i="36" a="1"/>
  <c r="F148" i="36" s="1"/>
  <c r="G148" i="36" a="1"/>
  <c r="G148" i="36"/>
  <c r="H148" i="36" a="1"/>
  <c r="H148" i="36" s="1"/>
  <c r="I148" i="36" a="1"/>
  <c r="I148" i="36" s="1"/>
  <c r="J148" i="36" a="1"/>
  <c r="J148" i="36" s="1"/>
  <c r="K148" i="36" a="1"/>
  <c r="K148" i="36" s="1"/>
  <c r="L148" i="36" a="1"/>
  <c r="L148" i="36"/>
  <c r="M148" i="36" a="1"/>
  <c r="M148" i="36" s="1"/>
  <c r="N148" i="36" a="1"/>
  <c r="N148" i="36" s="1"/>
  <c r="O148" i="36" a="1"/>
  <c r="O148" i="36" s="1"/>
  <c r="P148" i="36" a="1"/>
  <c r="P148" i="36" s="1"/>
  <c r="Q148" i="36" a="1"/>
  <c r="Q148" i="36"/>
  <c r="R148" i="36" a="1"/>
  <c r="R148" i="36" s="1"/>
  <c r="S148" i="36" a="1"/>
  <c r="S148" i="36" s="1"/>
  <c r="F149" i="36" a="1"/>
  <c r="F149" i="36" s="1"/>
  <c r="G149" i="36" a="1"/>
  <c r="G149" i="36" s="1"/>
  <c r="H149" i="36" a="1"/>
  <c r="H149" i="36"/>
  <c r="I149" i="36" a="1"/>
  <c r="I149" i="36" s="1"/>
  <c r="J149" i="36" a="1"/>
  <c r="J149" i="36" s="1"/>
  <c r="K149" i="36" a="1"/>
  <c r="K149" i="36" s="1"/>
  <c r="L149" i="36" a="1"/>
  <c r="L149" i="36" s="1"/>
  <c r="M149" i="36" a="1"/>
  <c r="M149" i="36"/>
  <c r="N149" i="36" a="1"/>
  <c r="N149" i="36" s="1"/>
  <c r="O149" i="36" a="1"/>
  <c r="O149" i="36" s="1"/>
  <c r="P149" i="36" a="1"/>
  <c r="P149" i="36" s="1"/>
  <c r="Q149" i="36" a="1"/>
  <c r="Q149" i="36" s="1"/>
  <c r="R149" i="36" a="1"/>
  <c r="R149" i="36"/>
  <c r="S149" i="36" a="1"/>
  <c r="S149" i="36" s="1"/>
  <c r="F150" i="36" a="1"/>
  <c r="F150" i="36" s="1"/>
  <c r="G150" i="36" a="1"/>
  <c r="G150" i="36" s="1"/>
  <c r="H150" i="36" a="1"/>
  <c r="H150" i="36" s="1"/>
  <c r="I150" i="36" a="1"/>
  <c r="I150" i="36"/>
  <c r="J150" i="36" a="1"/>
  <c r="J150" i="36" s="1"/>
  <c r="K150" i="36" a="1"/>
  <c r="K150" i="36" s="1"/>
  <c r="L150" i="36" a="1"/>
  <c r="L150" i="36" s="1"/>
  <c r="M150" i="36" a="1"/>
  <c r="M150" i="36" s="1"/>
  <c r="N150" i="36" a="1"/>
  <c r="N150" i="36"/>
  <c r="O150" i="36" a="1"/>
  <c r="O150" i="36" s="1"/>
  <c r="P150" i="36" a="1"/>
  <c r="P150" i="36" s="1"/>
  <c r="Q150" i="36" a="1"/>
  <c r="Q150" i="36" s="1"/>
  <c r="R150" i="36" a="1"/>
  <c r="R150" i="36" s="1"/>
  <c r="S150" i="36" a="1"/>
  <c r="S150" i="36"/>
  <c r="F151" i="36" a="1"/>
  <c r="F151" i="36" s="1"/>
  <c r="G151" i="36" a="1"/>
  <c r="G151" i="36" s="1"/>
  <c r="H151" i="36" a="1"/>
  <c r="H151" i="36" s="1"/>
  <c r="I151" i="36" a="1"/>
  <c r="I151" i="36" s="1"/>
  <c r="J151" i="36" a="1"/>
  <c r="J151" i="36"/>
  <c r="K151" i="36" a="1"/>
  <c r="K151" i="36" s="1"/>
  <c r="L151" i="36" a="1"/>
  <c r="L151" i="36" s="1"/>
  <c r="M151" i="36" a="1"/>
  <c r="M151" i="36" s="1"/>
  <c r="N151" i="36" a="1"/>
  <c r="N151" i="36" s="1"/>
  <c r="O151" i="36" a="1"/>
  <c r="O151" i="36"/>
  <c r="P151" i="36" a="1"/>
  <c r="P151" i="36" s="1"/>
  <c r="Q151" i="36" a="1"/>
  <c r="Q151" i="36" s="1"/>
  <c r="R151" i="36" a="1"/>
  <c r="R151" i="36" s="1"/>
  <c r="S151" i="36" a="1"/>
  <c r="S151" i="36" s="1"/>
  <c r="G2" i="36" a="1"/>
  <c r="G2" i="36" s="1"/>
  <c r="H2" i="36" a="1"/>
  <c r="H2" i="36"/>
  <c r="I2" i="36" a="1"/>
  <c r="I2" i="36" s="1"/>
  <c r="J2" i="36" a="1"/>
  <c r="J2" i="36"/>
  <c r="K2" i="36" a="1"/>
  <c r="K2" i="36" s="1"/>
  <c r="L2" i="36" a="1"/>
  <c r="L2" i="36" s="1"/>
  <c r="M2" i="36" a="1"/>
  <c r="M2" i="36"/>
  <c r="N2" i="36" a="1"/>
  <c r="N2" i="36" s="1"/>
  <c r="O2" i="36" a="1"/>
  <c r="O2" i="36"/>
  <c r="P2" i="36" a="1"/>
  <c r="P2" i="36" s="1"/>
  <c r="Q2" i="36" a="1"/>
  <c r="Q2" i="36" s="1"/>
  <c r="R2" i="36" a="1"/>
  <c r="R2" i="36"/>
  <c r="S2" i="36" a="1"/>
  <c r="S2" i="36" s="1"/>
  <c r="F2" i="36" a="1"/>
  <c r="F2" i="36" s="1"/>
  <c r="H2" i="47"/>
  <c r="J2" i="47"/>
  <c r="BL3" i="22"/>
  <c r="BM3" i="22"/>
  <c r="BN3" i="22"/>
  <c r="BL4" i="22"/>
  <c r="BM4" i="22"/>
  <c r="BN4" i="22"/>
  <c r="BL5" i="22"/>
  <c r="BM5" i="22"/>
  <c r="BN5" i="22"/>
  <c r="BL6" i="22"/>
  <c r="BM6" i="22"/>
  <c r="BN6" i="22"/>
  <c r="BL7" i="22"/>
  <c r="BM7" i="22"/>
  <c r="BN7" i="22"/>
  <c r="BL8" i="22"/>
  <c r="BM8" i="22"/>
  <c r="BN8" i="22"/>
  <c r="BL9" i="22"/>
  <c r="BM9" i="22"/>
  <c r="BN9" i="22"/>
  <c r="BL10" i="22"/>
  <c r="BM10" i="22"/>
  <c r="BN10" i="22"/>
  <c r="BL11" i="22"/>
  <c r="BM11" i="22"/>
  <c r="BN11" i="22"/>
  <c r="BL12" i="22"/>
  <c r="BM12" i="22"/>
  <c r="BN12" i="22"/>
  <c r="BL13" i="22"/>
  <c r="BM13" i="22"/>
  <c r="BN13" i="22"/>
  <c r="BL14" i="22"/>
  <c r="BM14" i="22"/>
  <c r="BN14" i="22"/>
  <c r="BL15" i="22"/>
  <c r="BM15" i="22"/>
  <c r="BN15" i="22"/>
  <c r="BL16" i="22"/>
  <c r="BM16" i="22"/>
  <c r="BN16" i="22"/>
  <c r="BL17" i="22"/>
  <c r="BM17" i="22"/>
  <c r="BN17" i="22"/>
  <c r="BL18" i="22"/>
  <c r="BM18" i="22"/>
  <c r="BN18" i="22"/>
  <c r="BL19" i="22"/>
  <c r="BM19" i="22"/>
  <c r="BN19" i="22"/>
  <c r="BL20" i="22"/>
  <c r="BM20" i="22"/>
  <c r="BN20" i="22"/>
  <c r="BL21" i="22"/>
  <c r="BM21" i="22"/>
  <c r="BN21" i="22"/>
  <c r="BL22" i="22"/>
  <c r="BM22" i="22"/>
  <c r="BN22" i="22"/>
  <c r="BL23" i="22"/>
  <c r="BM23" i="22"/>
  <c r="BN23" i="22"/>
  <c r="BL24" i="22"/>
  <c r="BM24" i="22"/>
  <c r="BN24" i="22"/>
  <c r="BL25" i="22"/>
  <c r="BM25" i="22"/>
  <c r="BN25" i="22"/>
  <c r="BL26" i="22"/>
  <c r="BM26" i="22"/>
  <c r="BN26" i="22"/>
  <c r="BL27" i="22"/>
  <c r="BM27" i="22"/>
  <c r="BN27" i="22"/>
  <c r="BL28" i="22"/>
  <c r="BM28" i="22"/>
  <c r="BN28" i="22"/>
  <c r="BL29" i="22"/>
  <c r="BM29" i="22"/>
  <c r="BN29" i="22"/>
  <c r="BL30" i="22"/>
  <c r="BM30" i="22"/>
  <c r="BN30" i="22"/>
  <c r="BL31" i="22"/>
  <c r="BM31" i="22"/>
  <c r="BN31" i="22"/>
  <c r="BL32" i="22"/>
  <c r="BM32" i="22"/>
  <c r="BN32" i="22"/>
  <c r="BL33" i="22"/>
  <c r="BM33" i="22"/>
  <c r="BN33" i="22"/>
  <c r="BL34" i="22"/>
  <c r="BM34" i="22"/>
  <c r="BN34" i="22"/>
  <c r="BL35" i="22"/>
  <c r="BM35" i="22"/>
  <c r="BN35" i="22"/>
  <c r="BL36" i="22"/>
  <c r="BM36" i="22"/>
  <c r="BN36" i="22"/>
  <c r="BL37" i="22"/>
  <c r="BM37" i="22"/>
  <c r="BN37" i="22"/>
  <c r="BL38" i="22"/>
  <c r="BM38" i="22"/>
  <c r="BN38" i="22"/>
  <c r="BL39" i="22"/>
  <c r="BM39" i="22"/>
  <c r="BN39" i="22"/>
  <c r="BL40" i="22"/>
  <c r="BM40" i="22"/>
  <c r="BN40" i="22"/>
  <c r="BL41" i="22"/>
  <c r="BM41" i="22"/>
  <c r="BN41" i="22"/>
  <c r="BL42" i="22"/>
  <c r="BM42" i="22"/>
  <c r="BN42" i="22"/>
  <c r="BL43" i="22"/>
  <c r="BM43" i="22"/>
  <c r="BN43" i="22"/>
  <c r="BL44" i="22"/>
  <c r="BM44" i="22"/>
  <c r="BN44" i="22"/>
  <c r="BL45" i="22"/>
  <c r="BM45" i="22"/>
  <c r="BN45" i="22"/>
  <c r="BL46" i="22"/>
  <c r="BM46" i="22"/>
  <c r="BN46" i="22"/>
  <c r="BL47" i="22"/>
  <c r="BM47" i="22"/>
  <c r="BN47" i="22"/>
  <c r="BL48" i="22"/>
  <c r="BM48" i="22"/>
  <c r="BN48" i="22"/>
  <c r="BL49" i="22"/>
  <c r="BM49" i="22"/>
  <c r="BN49" i="22"/>
  <c r="BL50" i="22"/>
  <c r="BM50" i="22"/>
  <c r="BN50" i="22"/>
  <c r="BL51" i="22"/>
  <c r="BM51" i="22"/>
  <c r="BN51" i="22"/>
  <c r="BL52" i="22"/>
  <c r="BM52" i="22"/>
  <c r="BN52" i="22"/>
  <c r="BL53" i="22"/>
  <c r="BM53" i="22"/>
  <c r="BN53" i="22"/>
  <c r="BL54" i="22"/>
  <c r="BM54" i="22"/>
  <c r="BN54" i="22"/>
  <c r="BL55" i="22"/>
  <c r="BM55" i="22"/>
  <c r="BN55" i="22"/>
  <c r="BL56" i="22"/>
  <c r="BM56" i="22"/>
  <c r="BN56" i="22"/>
  <c r="BL57" i="22"/>
  <c r="BM57" i="22"/>
  <c r="BN57" i="22"/>
  <c r="BL58" i="22"/>
  <c r="BM58" i="22"/>
  <c r="BN58" i="22"/>
  <c r="BL59" i="22"/>
  <c r="BM59" i="22"/>
  <c r="BN59" i="22"/>
  <c r="BL60" i="22"/>
  <c r="BM60" i="22"/>
  <c r="BN60" i="22"/>
  <c r="BL61" i="22"/>
  <c r="BM61" i="22"/>
  <c r="BN61" i="22"/>
  <c r="BL62" i="22"/>
  <c r="BM62" i="22"/>
  <c r="BN62" i="22"/>
  <c r="BL63" i="22"/>
  <c r="BM63" i="22"/>
  <c r="BN63" i="22"/>
  <c r="BL64" i="22"/>
  <c r="BM64" i="22"/>
  <c r="BN64" i="22"/>
  <c r="BL65" i="22"/>
  <c r="BM65" i="22"/>
  <c r="BN65" i="22"/>
  <c r="BL66" i="22"/>
  <c r="BM66" i="22"/>
  <c r="BN66" i="22"/>
  <c r="BL67" i="22"/>
  <c r="BM67" i="22"/>
  <c r="BN67" i="22"/>
  <c r="BL68" i="22"/>
  <c r="BM68" i="22"/>
  <c r="BN68" i="22"/>
  <c r="BL69" i="22"/>
  <c r="BM69" i="22"/>
  <c r="BN69" i="22"/>
  <c r="BL70" i="22"/>
  <c r="BM70" i="22"/>
  <c r="BN70" i="22"/>
  <c r="BL71" i="22"/>
  <c r="BM71" i="22"/>
  <c r="BN71" i="22"/>
  <c r="BL72" i="22"/>
  <c r="BM72" i="22"/>
  <c r="BN72" i="22"/>
  <c r="BL73" i="22"/>
  <c r="BM73" i="22"/>
  <c r="BN73" i="22"/>
  <c r="BL74" i="22"/>
  <c r="BM74" i="22"/>
  <c r="BN74" i="22"/>
  <c r="BL75" i="22"/>
  <c r="BM75" i="22"/>
  <c r="BN75" i="22"/>
  <c r="BL76" i="22"/>
  <c r="BM76" i="22"/>
  <c r="BN76" i="22"/>
  <c r="BL77" i="22"/>
  <c r="BM77" i="22"/>
  <c r="BN77" i="22"/>
  <c r="BL78" i="22"/>
  <c r="BM78" i="22"/>
  <c r="BN78" i="22"/>
  <c r="BL79" i="22"/>
  <c r="BM79" i="22"/>
  <c r="BN79" i="22"/>
  <c r="BL80" i="22"/>
  <c r="BM80" i="22"/>
  <c r="BN80" i="22"/>
  <c r="BL81" i="22"/>
  <c r="BM81" i="22"/>
  <c r="BN81" i="22"/>
  <c r="BL82" i="22"/>
  <c r="BM82" i="22"/>
  <c r="BN82" i="22"/>
  <c r="BL83" i="22"/>
  <c r="BM83" i="22"/>
  <c r="BN83" i="22"/>
  <c r="BL84" i="22"/>
  <c r="BM84" i="22"/>
  <c r="BN84" i="22"/>
  <c r="BL85" i="22"/>
  <c r="BM85" i="22"/>
  <c r="BN85" i="22"/>
  <c r="BL86" i="22"/>
  <c r="BM86" i="22"/>
  <c r="BN86" i="22"/>
  <c r="BL87" i="22"/>
  <c r="BM87" i="22"/>
  <c r="BN87" i="22"/>
  <c r="BL88" i="22"/>
  <c r="BM88" i="22"/>
  <c r="BN88" i="22"/>
  <c r="BL89" i="22"/>
  <c r="BM89" i="22"/>
  <c r="BN89" i="22"/>
  <c r="BL90" i="22"/>
  <c r="BM90" i="22"/>
  <c r="BN90" i="22"/>
  <c r="BL91" i="22"/>
  <c r="BM91" i="22"/>
  <c r="BN91" i="22"/>
  <c r="BL92" i="22"/>
  <c r="BM92" i="22"/>
  <c r="BN92" i="22"/>
  <c r="BL93" i="22"/>
  <c r="BM93" i="22"/>
  <c r="BN93" i="22"/>
  <c r="BL94" i="22"/>
  <c r="BM94" i="22"/>
  <c r="BN94" i="22"/>
  <c r="BL95" i="22"/>
  <c r="BM95" i="22"/>
  <c r="BN95" i="22"/>
  <c r="BL96" i="22"/>
  <c r="BM96" i="22"/>
  <c r="BN96" i="22"/>
  <c r="BL97" i="22"/>
  <c r="BM97" i="22"/>
  <c r="BN97" i="22"/>
  <c r="BL98" i="22"/>
  <c r="BM98" i="22"/>
  <c r="BN98" i="22"/>
  <c r="BL99" i="22"/>
  <c r="BM99" i="22"/>
  <c r="BN99" i="22"/>
  <c r="BL100" i="22"/>
  <c r="BM100" i="22"/>
  <c r="BN100" i="22"/>
  <c r="BL101" i="22"/>
  <c r="BM101" i="22"/>
  <c r="BN101" i="22"/>
  <c r="BM2" i="22"/>
  <c r="BN2" i="22"/>
  <c r="BL2" i="22"/>
  <c r="BJ3" i="22"/>
  <c r="BK3" i="22"/>
  <c r="BJ4" i="22"/>
  <c r="BK4" i="22"/>
  <c r="BJ5" i="22"/>
  <c r="BK5" i="22"/>
  <c r="BJ6" i="22"/>
  <c r="BK6" i="22"/>
  <c r="BJ7" i="22"/>
  <c r="BK7" i="22"/>
  <c r="BJ8" i="22"/>
  <c r="BK8" i="22"/>
  <c r="BJ9" i="22"/>
  <c r="BK9" i="22"/>
  <c r="BJ10" i="22"/>
  <c r="BK10" i="22"/>
  <c r="BJ11" i="22"/>
  <c r="BK11" i="22"/>
  <c r="BJ12" i="22"/>
  <c r="BK12" i="22"/>
  <c r="BJ13" i="22"/>
  <c r="BK13" i="22"/>
  <c r="BJ14" i="22"/>
  <c r="BK14" i="22"/>
  <c r="BJ15" i="22"/>
  <c r="BK15" i="22"/>
  <c r="BJ16" i="22"/>
  <c r="BK16" i="22"/>
  <c r="BJ17" i="22"/>
  <c r="BK17" i="22"/>
  <c r="BJ18" i="22"/>
  <c r="BK18" i="22"/>
  <c r="BJ19" i="22"/>
  <c r="BK19" i="22"/>
  <c r="BJ20" i="22"/>
  <c r="BK20" i="22"/>
  <c r="BJ21" i="22"/>
  <c r="BK21" i="22"/>
  <c r="BJ22" i="22"/>
  <c r="BK22" i="22"/>
  <c r="BJ23" i="22"/>
  <c r="BK23" i="22"/>
  <c r="BJ24" i="22"/>
  <c r="BK24" i="22"/>
  <c r="BJ25" i="22"/>
  <c r="BK25" i="22"/>
  <c r="BJ26" i="22"/>
  <c r="BK26" i="22"/>
  <c r="BJ27" i="22"/>
  <c r="BK27" i="22"/>
  <c r="BJ28" i="22"/>
  <c r="BK28" i="22"/>
  <c r="BJ29" i="22"/>
  <c r="BK29" i="22"/>
  <c r="BJ30" i="22"/>
  <c r="BK30" i="22"/>
  <c r="BJ31" i="22"/>
  <c r="BK31" i="22"/>
  <c r="BJ32" i="22"/>
  <c r="BK32" i="22"/>
  <c r="BJ33" i="22"/>
  <c r="BK33" i="22"/>
  <c r="BJ34" i="22"/>
  <c r="BK34" i="22"/>
  <c r="BJ35" i="22"/>
  <c r="BK35" i="22"/>
  <c r="BJ36" i="22"/>
  <c r="BK36" i="22"/>
  <c r="BJ37" i="22"/>
  <c r="BK37" i="22"/>
  <c r="BJ38" i="22"/>
  <c r="BK38" i="22"/>
  <c r="BJ39" i="22"/>
  <c r="BK39" i="22"/>
  <c r="BJ40" i="22"/>
  <c r="BK40" i="22"/>
  <c r="BJ41" i="22"/>
  <c r="BK41" i="22"/>
  <c r="BJ42" i="22"/>
  <c r="BK42" i="22"/>
  <c r="BJ43" i="22"/>
  <c r="BK43" i="22"/>
  <c r="BJ44" i="22"/>
  <c r="BK44" i="22"/>
  <c r="BJ45" i="22"/>
  <c r="BK45" i="22"/>
  <c r="BJ46" i="22"/>
  <c r="BK46" i="22"/>
  <c r="BJ47" i="22"/>
  <c r="BK47" i="22"/>
  <c r="BJ48" i="22"/>
  <c r="BK48" i="22"/>
  <c r="BJ49" i="22"/>
  <c r="BK49" i="22"/>
  <c r="BJ50" i="22"/>
  <c r="BK50" i="22"/>
  <c r="BJ51" i="22"/>
  <c r="BK51" i="22"/>
  <c r="BJ52" i="22"/>
  <c r="BK52" i="22"/>
  <c r="BJ53" i="22"/>
  <c r="BK53" i="22"/>
  <c r="BJ54" i="22"/>
  <c r="BK54" i="22"/>
  <c r="BJ55" i="22"/>
  <c r="BK55" i="22"/>
  <c r="BJ56" i="22"/>
  <c r="BK56" i="22"/>
  <c r="BJ57" i="22"/>
  <c r="BK57" i="22"/>
  <c r="BJ58" i="22"/>
  <c r="BK58" i="22"/>
  <c r="BJ59" i="22"/>
  <c r="BK59" i="22"/>
  <c r="BJ60" i="22"/>
  <c r="BK60" i="22"/>
  <c r="BJ61" i="22"/>
  <c r="BK61" i="22"/>
  <c r="BJ62" i="22"/>
  <c r="BK62" i="22"/>
  <c r="BJ63" i="22"/>
  <c r="BK63" i="22"/>
  <c r="BJ64" i="22"/>
  <c r="BK64" i="22"/>
  <c r="BJ65" i="22"/>
  <c r="BK65" i="22"/>
  <c r="BJ66" i="22"/>
  <c r="BK66" i="22"/>
  <c r="BJ67" i="22"/>
  <c r="BK67" i="22"/>
  <c r="BJ68" i="22"/>
  <c r="BK68" i="22"/>
  <c r="BJ69" i="22"/>
  <c r="BK69" i="22"/>
  <c r="BJ70" i="22"/>
  <c r="BK70" i="22"/>
  <c r="BJ71" i="22"/>
  <c r="BK71" i="22"/>
  <c r="BJ72" i="22"/>
  <c r="BK72" i="22"/>
  <c r="BJ73" i="22"/>
  <c r="BK73" i="22"/>
  <c r="BJ74" i="22"/>
  <c r="BK74" i="22"/>
  <c r="BJ75" i="22"/>
  <c r="BK75" i="22"/>
  <c r="BJ76" i="22"/>
  <c r="BK76" i="22"/>
  <c r="BJ77" i="22"/>
  <c r="BK77" i="22"/>
  <c r="BJ78" i="22"/>
  <c r="BK78" i="22"/>
  <c r="BJ79" i="22"/>
  <c r="BK79" i="22"/>
  <c r="BJ80" i="22"/>
  <c r="BK80" i="22"/>
  <c r="BJ81" i="22"/>
  <c r="BK81" i="22"/>
  <c r="BJ82" i="22"/>
  <c r="BK82" i="22"/>
  <c r="BJ83" i="22"/>
  <c r="BK83" i="22"/>
  <c r="BJ84" i="22"/>
  <c r="BK84" i="22"/>
  <c r="BJ85" i="22"/>
  <c r="BK85" i="22"/>
  <c r="BJ86" i="22"/>
  <c r="BK86" i="22"/>
  <c r="BJ87" i="22"/>
  <c r="BK87" i="22"/>
  <c r="BJ88" i="22"/>
  <c r="BK88" i="22"/>
  <c r="BJ89" i="22"/>
  <c r="BK89" i="22"/>
  <c r="BJ90" i="22"/>
  <c r="BK90" i="22"/>
  <c r="BJ91" i="22"/>
  <c r="BK91" i="22"/>
  <c r="BJ92" i="22"/>
  <c r="BK92" i="22"/>
  <c r="BJ93" i="22"/>
  <c r="BK93" i="22"/>
  <c r="BJ94" i="22"/>
  <c r="BK94" i="22"/>
  <c r="BJ95" i="22"/>
  <c r="BK95" i="22"/>
  <c r="BJ96" i="22"/>
  <c r="BK96" i="22"/>
  <c r="BJ97" i="22"/>
  <c r="BK97" i="22"/>
  <c r="BJ98" i="22"/>
  <c r="BK98" i="22"/>
  <c r="BJ99" i="22"/>
  <c r="BK99" i="22"/>
  <c r="BJ100" i="22"/>
  <c r="BK100" i="22"/>
  <c r="BJ101" i="22"/>
  <c r="BK101" i="22"/>
  <c r="BK2" i="22"/>
  <c r="BJ2" i="22"/>
  <c r="BF3" i="22"/>
  <c r="BG3" i="22"/>
  <c r="BH3" i="22"/>
  <c r="BI3" i="22"/>
  <c r="BF4" i="22"/>
  <c r="BG4" i="22"/>
  <c r="BH4" i="22"/>
  <c r="BI4" i="22"/>
  <c r="BF5" i="22"/>
  <c r="BG5" i="22"/>
  <c r="BH5" i="22"/>
  <c r="BI5" i="22"/>
  <c r="BF6" i="22"/>
  <c r="BG6" i="22"/>
  <c r="BH6" i="22"/>
  <c r="BI6" i="22"/>
  <c r="BF7" i="22"/>
  <c r="BG7" i="22"/>
  <c r="BH7" i="22"/>
  <c r="BI7" i="22"/>
  <c r="BF8" i="22"/>
  <c r="BG8" i="22"/>
  <c r="BH8" i="22"/>
  <c r="BI8" i="22"/>
  <c r="BF9" i="22"/>
  <c r="BG9" i="22"/>
  <c r="BH9" i="22"/>
  <c r="BI9" i="22"/>
  <c r="BF10" i="22"/>
  <c r="BG10" i="22"/>
  <c r="BH10" i="22"/>
  <c r="BI10" i="22"/>
  <c r="BF11" i="22"/>
  <c r="BG11" i="22"/>
  <c r="BH11" i="22"/>
  <c r="BI11" i="22"/>
  <c r="BF12" i="22"/>
  <c r="BG12" i="22"/>
  <c r="BH12" i="22"/>
  <c r="BI12" i="22"/>
  <c r="BF13" i="22"/>
  <c r="BG13" i="22"/>
  <c r="BH13" i="22"/>
  <c r="BI13" i="22"/>
  <c r="BF14" i="22"/>
  <c r="BG14" i="22"/>
  <c r="BH14" i="22"/>
  <c r="BI14" i="22"/>
  <c r="BF15" i="22"/>
  <c r="BG15" i="22"/>
  <c r="BH15" i="22"/>
  <c r="BI15" i="22"/>
  <c r="BF16" i="22"/>
  <c r="BG16" i="22"/>
  <c r="BH16" i="22"/>
  <c r="BI16" i="22"/>
  <c r="BF17" i="22"/>
  <c r="BG17" i="22"/>
  <c r="BH17" i="22"/>
  <c r="BI17" i="22"/>
  <c r="BF18" i="22"/>
  <c r="BG18" i="22"/>
  <c r="BH18" i="22"/>
  <c r="BI18" i="22"/>
  <c r="BF19" i="22"/>
  <c r="BG19" i="22"/>
  <c r="BH19" i="22"/>
  <c r="BI19" i="22"/>
  <c r="BF20" i="22"/>
  <c r="BG20" i="22"/>
  <c r="BH20" i="22"/>
  <c r="BI20" i="22"/>
  <c r="BF21" i="22"/>
  <c r="BG21" i="22"/>
  <c r="BH21" i="22"/>
  <c r="BI21" i="22"/>
  <c r="BF22" i="22"/>
  <c r="BG22" i="22"/>
  <c r="BH22" i="22"/>
  <c r="BI22" i="22"/>
  <c r="BF23" i="22"/>
  <c r="BG23" i="22"/>
  <c r="BH23" i="22"/>
  <c r="BI23" i="22"/>
  <c r="BF24" i="22"/>
  <c r="BG24" i="22"/>
  <c r="BH24" i="22"/>
  <c r="BI24" i="22"/>
  <c r="BF25" i="22"/>
  <c r="BG25" i="22"/>
  <c r="BH25" i="22"/>
  <c r="BI25" i="22"/>
  <c r="BF26" i="22"/>
  <c r="BG26" i="22"/>
  <c r="BH26" i="22"/>
  <c r="BI26" i="22"/>
  <c r="BF27" i="22"/>
  <c r="BG27" i="22"/>
  <c r="BH27" i="22"/>
  <c r="BI27" i="22"/>
  <c r="BF28" i="22"/>
  <c r="BG28" i="22"/>
  <c r="BH28" i="22"/>
  <c r="BI28" i="22"/>
  <c r="BF29" i="22"/>
  <c r="BG29" i="22"/>
  <c r="BH29" i="22"/>
  <c r="BI29" i="22"/>
  <c r="BF30" i="22"/>
  <c r="BG30" i="22"/>
  <c r="BH30" i="22"/>
  <c r="BI30" i="22"/>
  <c r="BF31" i="22"/>
  <c r="BG31" i="22"/>
  <c r="BH31" i="22"/>
  <c r="BI31" i="22"/>
  <c r="BF32" i="22"/>
  <c r="BG32" i="22"/>
  <c r="BH32" i="22"/>
  <c r="BI32" i="22"/>
  <c r="BF33" i="22"/>
  <c r="BG33" i="22"/>
  <c r="BH33" i="22"/>
  <c r="BI33" i="22"/>
  <c r="BF34" i="22"/>
  <c r="BG34" i="22"/>
  <c r="BH34" i="22"/>
  <c r="BI34" i="22"/>
  <c r="BF35" i="22"/>
  <c r="BG35" i="22"/>
  <c r="BH35" i="22"/>
  <c r="BI35" i="22"/>
  <c r="BF36" i="22"/>
  <c r="BG36" i="22"/>
  <c r="BH36" i="22"/>
  <c r="BI36" i="22"/>
  <c r="BF37" i="22"/>
  <c r="BG37" i="22"/>
  <c r="BH37" i="22"/>
  <c r="BI37" i="22"/>
  <c r="BF38" i="22"/>
  <c r="BG38" i="22"/>
  <c r="BH38" i="22"/>
  <c r="BI38" i="22"/>
  <c r="BF39" i="22"/>
  <c r="BG39" i="22"/>
  <c r="BH39" i="22"/>
  <c r="BI39" i="22"/>
  <c r="BF40" i="22"/>
  <c r="BG40" i="22"/>
  <c r="BH40" i="22"/>
  <c r="BI40" i="22"/>
  <c r="BF41" i="22"/>
  <c r="BG41" i="22"/>
  <c r="BH41" i="22"/>
  <c r="BI41" i="22"/>
  <c r="BF42" i="22"/>
  <c r="BG42" i="22"/>
  <c r="BH42" i="22"/>
  <c r="BI42" i="22"/>
  <c r="BF43" i="22"/>
  <c r="BG43" i="22"/>
  <c r="BH43" i="22"/>
  <c r="BI43" i="22"/>
  <c r="BF44" i="22"/>
  <c r="BG44" i="22"/>
  <c r="BH44" i="22"/>
  <c r="BI44" i="22"/>
  <c r="BF45" i="22"/>
  <c r="BG45" i="22"/>
  <c r="BH45" i="22"/>
  <c r="BI45" i="22"/>
  <c r="BF46" i="22"/>
  <c r="BG46" i="22"/>
  <c r="BH46" i="22"/>
  <c r="BI46" i="22"/>
  <c r="BF47" i="22"/>
  <c r="BG47" i="22"/>
  <c r="BH47" i="22"/>
  <c r="BI47" i="22"/>
  <c r="BF48" i="22"/>
  <c r="BG48" i="22"/>
  <c r="BH48" i="22"/>
  <c r="BI48" i="22"/>
  <c r="BF49" i="22"/>
  <c r="BG49" i="22"/>
  <c r="BH49" i="22"/>
  <c r="BI49" i="22"/>
  <c r="BF50" i="22"/>
  <c r="BG50" i="22"/>
  <c r="BH50" i="22"/>
  <c r="BI50" i="22"/>
  <c r="BF51" i="22"/>
  <c r="BG51" i="22"/>
  <c r="BH51" i="22"/>
  <c r="BI51" i="22"/>
  <c r="BF52" i="22"/>
  <c r="BG52" i="22"/>
  <c r="BH52" i="22"/>
  <c r="BI52" i="22"/>
  <c r="BF53" i="22"/>
  <c r="BG53" i="22"/>
  <c r="BH53" i="22"/>
  <c r="BI53" i="22"/>
  <c r="BF54" i="22"/>
  <c r="BG54" i="22"/>
  <c r="BH54" i="22"/>
  <c r="BI54" i="22"/>
  <c r="BF55" i="22"/>
  <c r="BG55" i="22"/>
  <c r="BH55" i="22"/>
  <c r="BI55" i="22"/>
  <c r="BF56" i="22"/>
  <c r="BG56" i="22"/>
  <c r="BH56" i="22"/>
  <c r="BI56" i="22"/>
  <c r="BF57" i="22"/>
  <c r="BG57" i="22"/>
  <c r="BH57" i="22"/>
  <c r="BI57" i="22"/>
  <c r="BF58" i="22"/>
  <c r="BG58" i="22"/>
  <c r="BH58" i="22"/>
  <c r="BI58" i="22"/>
  <c r="BF59" i="22"/>
  <c r="BG59" i="22"/>
  <c r="BH59" i="22"/>
  <c r="BI59" i="22"/>
  <c r="BF60" i="22"/>
  <c r="BG60" i="22"/>
  <c r="BH60" i="22"/>
  <c r="BI60" i="22"/>
  <c r="BF61" i="22"/>
  <c r="BG61" i="22"/>
  <c r="BH61" i="22"/>
  <c r="BI61" i="22"/>
  <c r="BF62" i="22"/>
  <c r="BG62" i="22"/>
  <c r="BH62" i="22"/>
  <c r="BI62" i="22"/>
  <c r="BF63" i="22"/>
  <c r="BG63" i="22"/>
  <c r="BH63" i="22"/>
  <c r="BI63" i="22"/>
  <c r="BF64" i="22"/>
  <c r="BG64" i="22"/>
  <c r="BH64" i="22"/>
  <c r="BI64" i="22"/>
  <c r="BF65" i="22"/>
  <c r="BG65" i="22"/>
  <c r="BH65" i="22"/>
  <c r="BI65" i="22"/>
  <c r="BF66" i="22"/>
  <c r="BG66" i="22"/>
  <c r="BH66" i="22"/>
  <c r="BI66" i="22"/>
  <c r="BF67" i="22"/>
  <c r="BG67" i="22"/>
  <c r="BH67" i="22"/>
  <c r="BI67" i="22"/>
  <c r="BF68" i="22"/>
  <c r="BG68" i="22"/>
  <c r="BH68" i="22"/>
  <c r="BI68" i="22"/>
  <c r="BF69" i="22"/>
  <c r="BG69" i="22"/>
  <c r="BH69" i="22"/>
  <c r="BI69" i="22"/>
  <c r="BF70" i="22"/>
  <c r="BG70" i="22"/>
  <c r="BH70" i="22"/>
  <c r="BI70" i="22"/>
  <c r="BF71" i="22"/>
  <c r="BG71" i="22"/>
  <c r="BH71" i="22"/>
  <c r="BI71" i="22"/>
  <c r="BF72" i="22"/>
  <c r="BG72" i="22"/>
  <c r="BH72" i="22"/>
  <c r="BI72" i="22"/>
  <c r="BF73" i="22"/>
  <c r="BG73" i="22"/>
  <c r="BH73" i="22"/>
  <c r="BI73" i="22"/>
  <c r="BF74" i="22"/>
  <c r="BG74" i="22"/>
  <c r="BH74" i="22"/>
  <c r="BI74" i="22"/>
  <c r="BF75" i="22"/>
  <c r="BG75" i="22"/>
  <c r="BH75" i="22"/>
  <c r="BI75" i="22"/>
  <c r="BF76" i="22"/>
  <c r="BG76" i="22"/>
  <c r="BH76" i="22"/>
  <c r="BI76" i="22"/>
  <c r="BF77" i="22"/>
  <c r="BG77" i="22"/>
  <c r="BH77" i="22"/>
  <c r="BI77" i="22"/>
  <c r="BF78" i="22"/>
  <c r="BG78" i="22"/>
  <c r="BH78" i="22"/>
  <c r="BI78" i="22"/>
  <c r="BF79" i="22"/>
  <c r="BG79" i="22"/>
  <c r="BH79" i="22"/>
  <c r="BI79" i="22"/>
  <c r="BF80" i="22"/>
  <c r="BG80" i="22"/>
  <c r="BH80" i="22"/>
  <c r="BI80" i="22"/>
  <c r="BF81" i="22"/>
  <c r="BG81" i="22"/>
  <c r="BH81" i="22"/>
  <c r="BI81" i="22"/>
  <c r="BF82" i="22"/>
  <c r="BG82" i="22"/>
  <c r="BH82" i="22"/>
  <c r="BI82" i="22"/>
  <c r="BF83" i="22"/>
  <c r="BG83" i="22"/>
  <c r="BH83" i="22"/>
  <c r="BI83" i="22"/>
  <c r="BF84" i="22"/>
  <c r="BG84" i="22"/>
  <c r="BH84" i="22"/>
  <c r="BI84" i="22"/>
  <c r="BF85" i="22"/>
  <c r="BG85" i="22"/>
  <c r="BH85" i="22"/>
  <c r="BI85" i="22"/>
  <c r="BF86" i="22"/>
  <c r="BG86" i="22"/>
  <c r="BH86" i="22"/>
  <c r="BI86" i="22"/>
  <c r="BF87" i="22"/>
  <c r="BG87" i="22"/>
  <c r="BH87" i="22"/>
  <c r="BI87" i="22"/>
  <c r="BF88" i="22"/>
  <c r="BG88" i="22"/>
  <c r="BH88" i="22"/>
  <c r="BI88" i="22"/>
  <c r="BF89" i="22"/>
  <c r="BG89" i="22"/>
  <c r="BH89" i="22"/>
  <c r="BI89" i="22"/>
  <c r="BF90" i="22"/>
  <c r="BG90" i="22"/>
  <c r="BH90" i="22"/>
  <c r="BI90" i="22"/>
  <c r="BF91" i="22"/>
  <c r="BG91" i="22"/>
  <c r="BH91" i="22"/>
  <c r="BI91" i="22"/>
  <c r="BF92" i="22"/>
  <c r="BG92" i="22"/>
  <c r="BH92" i="22"/>
  <c r="BI92" i="22"/>
  <c r="BF93" i="22"/>
  <c r="BG93" i="22"/>
  <c r="BH93" i="22"/>
  <c r="BI93" i="22"/>
  <c r="BF94" i="22"/>
  <c r="BG94" i="22"/>
  <c r="BH94" i="22"/>
  <c r="BI94" i="22"/>
  <c r="BF95" i="22"/>
  <c r="BG95" i="22"/>
  <c r="BH95" i="22"/>
  <c r="BI95" i="22"/>
  <c r="BF96" i="22"/>
  <c r="BG96" i="22"/>
  <c r="BH96" i="22"/>
  <c r="BI96" i="22"/>
  <c r="BF97" i="22"/>
  <c r="BG97" i="22"/>
  <c r="BH97" i="22"/>
  <c r="BI97" i="22"/>
  <c r="BF98" i="22"/>
  <c r="BG98" i="22"/>
  <c r="BH98" i="22"/>
  <c r="BI98" i="22"/>
  <c r="BF99" i="22"/>
  <c r="BG99" i="22"/>
  <c r="BH99" i="22"/>
  <c r="BI99" i="22"/>
  <c r="BF100" i="22"/>
  <c r="BG100" i="22"/>
  <c r="BH100" i="22"/>
  <c r="BI100" i="22"/>
  <c r="BF101" i="22"/>
  <c r="BG101" i="22"/>
  <c r="BH101" i="22"/>
  <c r="BI101" i="22"/>
  <c r="BG2" i="22"/>
  <c r="BH2" i="22"/>
  <c r="BI2" i="22"/>
  <c r="BF2" i="22"/>
  <c r="BA3" i="22"/>
  <c r="BB3" i="22"/>
  <c r="BC3" i="22"/>
  <c r="BD3" i="22"/>
  <c r="BE3" i="22"/>
  <c r="BA4" i="22"/>
  <c r="BB4" i="22"/>
  <c r="BC4" i="22"/>
  <c r="BD4" i="22"/>
  <c r="BE4" i="22"/>
  <c r="BA5" i="22"/>
  <c r="BB5" i="22"/>
  <c r="BC5" i="22"/>
  <c r="BD5" i="22"/>
  <c r="BE5" i="22"/>
  <c r="BA6" i="22"/>
  <c r="BB6" i="22"/>
  <c r="BC6" i="22"/>
  <c r="BD6" i="22"/>
  <c r="BE6" i="22"/>
  <c r="BA7" i="22"/>
  <c r="BB7" i="22"/>
  <c r="BC7" i="22"/>
  <c r="BD7" i="22"/>
  <c r="BE7" i="22"/>
  <c r="BA8" i="22"/>
  <c r="BB8" i="22"/>
  <c r="BC8" i="22"/>
  <c r="BD8" i="22"/>
  <c r="BE8" i="22"/>
  <c r="BA9" i="22"/>
  <c r="BB9" i="22"/>
  <c r="BC9" i="22"/>
  <c r="BD9" i="22"/>
  <c r="BE9" i="22"/>
  <c r="BA10" i="22"/>
  <c r="BB10" i="22"/>
  <c r="BC10" i="22"/>
  <c r="BD10" i="22"/>
  <c r="BE10" i="22"/>
  <c r="BA11" i="22"/>
  <c r="BB11" i="22"/>
  <c r="BC11" i="22"/>
  <c r="BD11" i="22"/>
  <c r="BE11" i="22"/>
  <c r="BA12" i="22"/>
  <c r="BB12" i="22"/>
  <c r="BC12" i="22"/>
  <c r="BD12" i="22"/>
  <c r="BE12" i="22"/>
  <c r="BA13" i="22"/>
  <c r="BB13" i="22"/>
  <c r="BC13" i="22"/>
  <c r="BD13" i="22"/>
  <c r="BE13" i="22"/>
  <c r="BA14" i="22"/>
  <c r="BB14" i="22"/>
  <c r="BC14" i="22"/>
  <c r="BD14" i="22"/>
  <c r="BE14" i="22"/>
  <c r="BA15" i="22"/>
  <c r="BB15" i="22"/>
  <c r="BC15" i="22"/>
  <c r="BD15" i="22"/>
  <c r="BE15" i="22"/>
  <c r="BA16" i="22"/>
  <c r="BB16" i="22"/>
  <c r="BC16" i="22"/>
  <c r="BD16" i="22"/>
  <c r="BE16" i="22"/>
  <c r="BA17" i="22"/>
  <c r="BB17" i="22"/>
  <c r="BC17" i="22"/>
  <c r="BD17" i="22"/>
  <c r="BE17" i="22"/>
  <c r="BA18" i="22"/>
  <c r="BB18" i="22"/>
  <c r="BC18" i="22"/>
  <c r="BD18" i="22"/>
  <c r="BE18" i="22"/>
  <c r="BA19" i="22"/>
  <c r="BB19" i="22"/>
  <c r="BC19" i="22"/>
  <c r="BD19" i="22"/>
  <c r="BE19" i="22"/>
  <c r="BA20" i="22"/>
  <c r="BB20" i="22"/>
  <c r="BC20" i="22"/>
  <c r="BD20" i="22"/>
  <c r="BE20" i="22"/>
  <c r="BA21" i="22"/>
  <c r="BB21" i="22"/>
  <c r="BC21" i="22"/>
  <c r="BD21" i="22"/>
  <c r="BE21" i="22"/>
  <c r="BA22" i="22"/>
  <c r="BB22" i="22"/>
  <c r="BC22" i="22"/>
  <c r="BD22" i="22"/>
  <c r="BE22" i="22"/>
  <c r="BA23" i="22"/>
  <c r="BB23" i="22"/>
  <c r="BC23" i="22"/>
  <c r="BD23" i="22"/>
  <c r="BE23" i="22"/>
  <c r="BA24" i="22"/>
  <c r="BB24" i="22"/>
  <c r="BC24" i="22"/>
  <c r="BD24" i="22"/>
  <c r="BE24" i="22"/>
  <c r="BA25" i="22"/>
  <c r="BB25" i="22"/>
  <c r="BC25" i="22"/>
  <c r="BD25" i="22"/>
  <c r="BE25" i="22"/>
  <c r="BA26" i="22"/>
  <c r="BB26" i="22"/>
  <c r="BC26" i="22"/>
  <c r="BD26" i="22"/>
  <c r="BE26" i="22"/>
  <c r="BA27" i="22"/>
  <c r="BB27" i="22"/>
  <c r="BC27" i="22"/>
  <c r="BD27" i="22"/>
  <c r="BE27" i="22"/>
  <c r="BA28" i="22"/>
  <c r="BB28" i="22"/>
  <c r="BC28" i="22"/>
  <c r="BD28" i="22"/>
  <c r="BE28" i="22"/>
  <c r="BA29" i="22"/>
  <c r="BB29" i="22"/>
  <c r="BC29" i="22"/>
  <c r="BD29" i="22"/>
  <c r="BE29" i="22"/>
  <c r="BA30" i="22"/>
  <c r="BB30" i="22"/>
  <c r="BC30" i="22"/>
  <c r="BD30" i="22"/>
  <c r="BE30" i="22"/>
  <c r="BA31" i="22"/>
  <c r="BB31" i="22"/>
  <c r="BC31" i="22"/>
  <c r="BD31" i="22"/>
  <c r="BE31" i="22"/>
  <c r="BA32" i="22"/>
  <c r="BB32" i="22"/>
  <c r="BC32" i="22"/>
  <c r="BD32" i="22"/>
  <c r="BE32" i="22"/>
  <c r="BA33" i="22"/>
  <c r="BB33" i="22"/>
  <c r="BC33" i="22"/>
  <c r="BD33" i="22"/>
  <c r="BE33" i="22"/>
  <c r="BA34" i="22"/>
  <c r="BB34" i="22"/>
  <c r="BC34" i="22"/>
  <c r="BD34" i="22"/>
  <c r="BE34" i="22"/>
  <c r="BA35" i="22"/>
  <c r="BB35" i="22"/>
  <c r="BC35" i="22"/>
  <c r="BD35" i="22"/>
  <c r="BE35" i="22"/>
  <c r="BA36" i="22"/>
  <c r="BB36" i="22"/>
  <c r="BC36" i="22"/>
  <c r="BD36" i="22"/>
  <c r="BE36" i="22"/>
  <c r="BA37" i="22"/>
  <c r="BB37" i="22"/>
  <c r="BC37" i="22"/>
  <c r="BD37" i="22"/>
  <c r="BE37" i="22"/>
  <c r="BA38" i="22"/>
  <c r="BB38" i="22"/>
  <c r="BC38" i="22"/>
  <c r="BD38" i="22"/>
  <c r="BE38" i="22"/>
  <c r="BA39" i="22"/>
  <c r="BB39" i="22"/>
  <c r="BC39" i="22"/>
  <c r="BD39" i="22"/>
  <c r="BE39" i="22"/>
  <c r="BA40" i="22"/>
  <c r="BB40" i="22"/>
  <c r="BC40" i="22"/>
  <c r="BD40" i="22"/>
  <c r="BE40" i="22"/>
  <c r="BA41" i="22"/>
  <c r="BB41" i="22"/>
  <c r="BC41" i="22"/>
  <c r="BD41" i="22"/>
  <c r="BE41" i="22"/>
  <c r="BA42" i="22"/>
  <c r="BB42" i="22"/>
  <c r="BC42" i="22"/>
  <c r="BD42" i="22"/>
  <c r="BE42" i="22"/>
  <c r="BA43" i="22"/>
  <c r="BB43" i="22"/>
  <c r="BC43" i="22"/>
  <c r="BD43" i="22"/>
  <c r="BE43" i="22"/>
  <c r="BA44" i="22"/>
  <c r="BB44" i="22"/>
  <c r="BC44" i="22"/>
  <c r="BD44" i="22"/>
  <c r="BE44" i="22"/>
  <c r="BA45" i="22"/>
  <c r="BB45" i="22"/>
  <c r="BC45" i="22"/>
  <c r="BD45" i="22"/>
  <c r="BE45" i="22"/>
  <c r="BA46" i="22"/>
  <c r="BB46" i="22"/>
  <c r="BC46" i="22"/>
  <c r="BD46" i="22"/>
  <c r="BE46" i="22"/>
  <c r="BA47" i="22"/>
  <c r="BB47" i="22"/>
  <c r="BC47" i="22"/>
  <c r="BD47" i="22"/>
  <c r="BE47" i="22"/>
  <c r="BA48" i="22"/>
  <c r="BB48" i="22"/>
  <c r="BC48" i="22"/>
  <c r="BD48" i="22"/>
  <c r="BE48" i="22"/>
  <c r="BA49" i="22"/>
  <c r="BB49" i="22"/>
  <c r="BC49" i="22"/>
  <c r="BD49" i="22"/>
  <c r="BE49" i="22"/>
  <c r="BA50" i="22"/>
  <c r="BB50" i="22"/>
  <c r="BC50" i="22"/>
  <c r="BD50" i="22"/>
  <c r="BE50" i="22"/>
  <c r="BA51" i="22"/>
  <c r="BB51" i="22"/>
  <c r="BC51" i="22"/>
  <c r="BD51" i="22"/>
  <c r="BE51" i="22"/>
  <c r="BA52" i="22"/>
  <c r="BB52" i="22"/>
  <c r="BC52" i="22"/>
  <c r="BD52" i="22"/>
  <c r="BE52" i="22"/>
  <c r="BA53" i="22"/>
  <c r="BB53" i="22"/>
  <c r="BC53" i="22"/>
  <c r="BD53" i="22"/>
  <c r="BE53" i="22"/>
  <c r="BA54" i="22"/>
  <c r="BB54" i="22"/>
  <c r="BC54" i="22"/>
  <c r="BD54" i="22"/>
  <c r="BE54" i="22"/>
  <c r="BA55" i="22"/>
  <c r="BB55" i="22"/>
  <c r="BC55" i="22"/>
  <c r="BD55" i="22"/>
  <c r="BE55" i="22"/>
  <c r="BA56" i="22"/>
  <c r="BB56" i="22"/>
  <c r="BC56" i="22"/>
  <c r="BD56" i="22"/>
  <c r="BE56" i="22"/>
  <c r="BA57" i="22"/>
  <c r="BB57" i="22"/>
  <c r="BC57" i="22"/>
  <c r="BD57" i="22"/>
  <c r="BE57" i="22"/>
  <c r="BA58" i="22"/>
  <c r="BB58" i="22"/>
  <c r="BC58" i="22"/>
  <c r="BD58" i="22"/>
  <c r="BE58" i="22"/>
  <c r="BA59" i="22"/>
  <c r="BB59" i="22"/>
  <c r="BC59" i="22"/>
  <c r="BD59" i="22"/>
  <c r="BE59" i="22"/>
  <c r="BA60" i="22"/>
  <c r="BB60" i="22"/>
  <c r="BC60" i="22"/>
  <c r="BD60" i="22"/>
  <c r="BE60" i="22"/>
  <c r="BA61" i="22"/>
  <c r="BB61" i="22"/>
  <c r="BC61" i="22"/>
  <c r="BD61" i="22"/>
  <c r="BE61" i="22"/>
  <c r="BA62" i="22"/>
  <c r="BB62" i="22"/>
  <c r="BC62" i="22"/>
  <c r="BD62" i="22"/>
  <c r="BE62" i="22"/>
  <c r="BA63" i="22"/>
  <c r="BB63" i="22"/>
  <c r="BC63" i="22"/>
  <c r="BD63" i="22"/>
  <c r="BE63" i="22"/>
  <c r="BA64" i="22"/>
  <c r="BB64" i="22"/>
  <c r="BC64" i="22"/>
  <c r="BD64" i="22"/>
  <c r="BE64" i="22"/>
  <c r="BA65" i="22"/>
  <c r="BB65" i="22"/>
  <c r="BC65" i="22"/>
  <c r="BD65" i="22"/>
  <c r="BE65" i="22"/>
  <c r="BA66" i="22"/>
  <c r="BB66" i="22"/>
  <c r="BC66" i="22"/>
  <c r="BD66" i="22"/>
  <c r="BE66" i="22"/>
  <c r="BA67" i="22"/>
  <c r="BB67" i="22"/>
  <c r="BC67" i="22"/>
  <c r="BD67" i="22"/>
  <c r="BE67" i="22"/>
  <c r="BA68" i="22"/>
  <c r="BB68" i="22"/>
  <c r="BC68" i="22"/>
  <c r="BD68" i="22"/>
  <c r="BE68" i="22"/>
  <c r="BA69" i="22"/>
  <c r="BB69" i="22"/>
  <c r="BC69" i="22"/>
  <c r="BD69" i="22"/>
  <c r="BE69" i="22"/>
  <c r="BA70" i="22"/>
  <c r="BB70" i="22"/>
  <c r="BC70" i="22"/>
  <c r="BD70" i="22"/>
  <c r="BE70" i="22"/>
  <c r="BA71" i="22"/>
  <c r="BB71" i="22"/>
  <c r="BC71" i="22"/>
  <c r="BD71" i="22"/>
  <c r="BE71" i="22"/>
  <c r="BA72" i="22"/>
  <c r="BB72" i="22"/>
  <c r="BC72" i="22"/>
  <c r="BD72" i="22"/>
  <c r="BE72" i="22"/>
  <c r="BA73" i="22"/>
  <c r="BB73" i="22"/>
  <c r="BC73" i="22"/>
  <c r="BD73" i="22"/>
  <c r="BE73" i="22"/>
  <c r="BA74" i="22"/>
  <c r="BB74" i="22"/>
  <c r="BC74" i="22"/>
  <c r="BD74" i="22"/>
  <c r="BE74" i="22"/>
  <c r="BA75" i="22"/>
  <c r="BB75" i="22"/>
  <c r="BC75" i="22"/>
  <c r="BD75" i="22"/>
  <c r="BE75" i="22"/>
  <c r="BA76" i="22"/>
  <c r="BB76" i="22"/>
  <c r="BC76" i="22"/>
  <c r="BD76" i="22"/>
  <c r="BE76" i="22"/>
  <c r="BA77" i="22"/>
  <c r="BB77" i="22"/>
  <c r="BC77" i="22"/>
  <c r="BD77" i="22"/>
  <c r="BE77" i="22"/>
  <c r="BA78" i="22"/>
  <c r="BB78" i="22"/>
  <c r="BC78" i="22"/>
  <c r="BD78" i="22"/>
  <c r="BE78" i="22"/>
  <c r="BA79" i="22"/>
  <c r="BB79" i="22"/>
  <c r="BC79" i="22"/>
  <c r="BD79" i="22"/>
  <c r="BE79" i="22"/>
  <c r="BA80" i="22"/>
  <c r="BB80" i="22"/>
  <c r="BC80" i="22"/>
  <c r="BD80" i="22"/>
  <c r="BE80" i="22"/>
  <c r="BA81" i="22"/>
  <c r="BB81" i="22"/>
  <c r="BC81" i="22"/>
  <c r="BD81" i="22"/>
  <c r="BE81" i="22"/>
  <c r="BA82" i="22"/>
  <c r="BB82" i="22"/>
  <c r="BC82" i="22"/>
  <c r="BD82" i="22"/>
  <c r="BE82" i="22"/>
  <c r="BA83" i="22"/>
  <c r="BB83" i="22"/>
  <c r="BC83" i="22"/>
  <c r="BD83" i="22"/>
  <c r="BE83" i="22"/>
  <c r="BA84" i="22"/>
  <c r="BB84" i="22"/>
  <c r="BC84" i="22"/>
  <c r="BD84" i="22"/>
  <c r="BE84" i="22"/>
  <c r="BA85" i="22"/>
  <c r="BB85" i="22"/>
  <c r="BC85" i="22"/>
  <c r="BD85" i="22"/>
  <c r="BE85" i="22"/>
  <c r="BA86" i="22"/>
  <c r="BB86" i="22"/>
  <c r="BC86" i="22"/>
  <c r="BD86" i="22"/>
  <c r="BE86" i="22"/>
  <c r="BA87" i="22"/>
  <c r="BB87" i="22"/>
  <c r="BC87" i="22"/>
  <c r="BD87" i="22"/>
  <c r="BE87" i="22"/>
  <c r="BA88" i="22"/>
  <c r="BB88" i="22"/>
  <c r="BC88" i="22"/>
  <c r="BD88" i="22"/>
  <c r="BE88" i="22"/>
  <c r="BA89" i="22"/>
  <c r="BB89" i="22"/>
  <c r="BC89" i="22"/>
  <c r="BD89" i="22"/>
  <c r="BE89" i="22"/>
  <c r="BA90" i="22"/>
  <c r="BB90" i="22"/>
  <c r="BC90" i="22"/>
  <c r="BD90" i="22"/>
  <c r="BE90" i="22"/>
  <c r="BA91" i="22"/>
  <c r="BB91" i="22"/>
  <c r="BC91" i="22"/>
  <c r="BD91" i="22"/>
  <c r="BE91" i="22"/>
  <c r="BA92" i="22"/>
  <c r="BB92" i="22"/>
  <c r="BC92" i="22"/>
  <c r="BD92" i="22"/>
  <c r="BE92" i="22"/>
  <c r="BA93" i="22"/>
  <c r="BB93" i="22"/>
  <c r="BC93" i="22"/>
  <c r="BD93" i="22"/>
  <c r="BE93" i="22"/>
  <c r="BA94" i="22"/>
  <c r="BB94" i="22"/>
  <c r="BC94" i="22"/>
  <c r="BD94" i="22"/>
  <c r="BE94" i="22"/>
  <c r="BA95" i="22"/>
  <c r="BB95" i="22"/>
  <c r="BC95" i="22"/>
  <c r="BD95" i="22"/>
  <c r="BE95" i="22"/>
  <c r="BA96" i="22"/>
  <c r="BB96" i="22"/>
  <c r="BC96" i="22"/>
  <c r="BD96" i="22"/>
  <c r="BE96" i="22"/>
  <c r="BA97" i="22"/>
  <c r="BB97" i="22"/>
  <c r="BC97" i="22"/>
  <c r="BD97" i="22"/>
  <c r="BE97" i="22"/>
  <c r="BA98" i="22"/>
  <c r="BB98" i="22"/>
  <c r="BC98" i="22"/>
  <c r="BD98" i="22"/>
  <c r="BE98" i="22"/>
  <c r="BA99" i="22"/>
  <c r="BB99" i="22"/>
  <c r="BC99" i="22"/>
  <c r="BD99" i="22"/>
  <c r="BE99" i="22"/>
  <c r="BA100" i="22"/>
  <c r="BB100" i="22"/>
  <c r="BC100" i="22"/>
  <c r="BD100" i="22"/>
  <c r="BE100" i="22"/>
  <c r="BA101" i="22"/>
  <c r="BB101" i="22"/>
  <c r="BC101" i="22"/>
  <c r="BD101" i="22"/>
  <c r="BE101" i="22"/>
  <c r="BB2" i="22"/>
  <c r="BC2" i="22"/>
  <c r="BD2" i="22"/>
  <c r="BE2" i="22"/>
  <c r="BA2" i="22"/>
  <c r="AZ2" i="22"/>
  <c r="AN2" i="25"/>
  <c r="H2" i="46"/>
  <c r="H3" i="46"/>
  <c r="H4" i="46"/>
  <c r="H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U2" i="46"/>
  <c r="U3" i="46"/>
  <c r="U4" i="46"/>
  <c r="U5" i="46"/>
  <c r="U6" i="46"/>
  <c r="U7" i="46"/>
  <c r="U8" i="46"/>
  <c r="U9" i="46"/>
  <c r="U10" i="46"/>
  <c r="U11" i="46"/>
  <c r="U12" i="46"/>
  <c r="U13" i="46"/>
  <c r="U14" i="46"/>
  <c r="U15" i="46"/>
  <c r="U16" i="46"/>
  <c r="U17" i="46"/>
  <c r="U18" i="46"/>
  <c r="U19" i="46"/>
  <c r="U20" i="46"/>
  <c r="U21" i="46"/>
  <c r="U22" i="46"/>
  <c r="U23" i="46"/>
  <c r="U24" i="46"/>
  <c r="U25" i="46"/>
  <c r="U26" i="46"/>
  <c r="U27" i="46"/>
  <c r="U28" i="46"/>
  <c r="U29" i="46"/>
  <c r="U30" i="46"/>
  <c r="U31" i="46"/>
  <c r="U32" i="46"/>
  <c r="U33" i="46"/>
  <c r="U34" i="46"/>
  <c r="U35" i="46"/>
  <c r="U36" i="46"/>
  <c r="U37" i="46"/>
  <c r="U38" i="46"/>
  <c r="U39" i="46"/>
  <c r="U40" i="46"/>
  <c r="U41" i="46"/>
  <c r="U42" i="46"/>
  <c r="U43" i="46"/>
  <c r="U44" i="46"/>
  <c r="U45" i="46"/>
  <c r="U46" i="46"/>
  <c r="U47" i="46"/>
  <c r="U48" i="46"/>
  <c r="U49" i="46"/>
  <c r="U50" i="46"/>
  <c r="U51" i="46"/>
  <c r="U52" i="46"/>
  <c r="U53" i="46"/>
  <c r="U54" i="46"/>
  <c r="U55" i="46"/>
  <c r="U56" i="46"/>
  <c r="U57" i="46"/>
  <c r="U58" i="46"/>
  <c r="U59" i="46"/>
  <c r="U60" i="46"/>
  <c r="U61" i="46"/>
  <c r="U62" i="46"/>
  <c r="U63" i="46"/>
  <c r="U64" i="46"/>
  <c r="U65" i="46"/>
  <c r="U66" i="46"/>
  <c r="U67" i="46"/>
  <c r="U68" i="46"/>
  <c r="U69" i="46"/>
  <c r="U70" i="46"/>
  <c r="U71" i="46"/>
  <c r="U72" i="46"/>
  <c r="U73" i="46"/>
  <c r="U74" i="46"/>
  <c r="U75" i="46"/>
  <c r="U76" i="46"/>
  <c r="X39" i="43"/>
  <c r="Y14" i="43"/>
  <c r="AA26" i="43"/>
  <c r="Z2" i="43"/>
  <c r="Y29" i="43"/>
  <c r="Z30" i="43"/>
  <c r="AA30" i="43"/>
  <c r="AB36" i="43"/>
  <c r="AD36" i="43"/>
  <c r="Y39" i="43"/>
  <c r="Z40" i="43"/>
  <c r="AA40" i="43"/>
  <c r="AC40" i="43"/>
  <c r="V2" i="46"/>
  <c r="AE29" i="43"/>
  <c r="T29" i="43" s="1"/>
  <c r="AF29" i="43"/>
  <c r="Z29" i="43" s="1"/>
  <c r="AG29" i="43"/>
  <c r="AA29" i="43" s="1"/>
  <c r="AH29" i="43"/>
  <c r="AB29" i="43" s="1"/>
  <c r="AI29" i="43"/>
  <c r="AJ29" i="43"/>
  <c r="AD29" i="43" s="1"/>
  <c r="AE30" i="43"/>
  <c r="Y30" i="43" s="1"/>
  <c r="AF30" i="43"/>
  <c r="AG30" i="43"/>
  <c r="V30" i="43" s="1"/>
  <c r="H30" i="43" s="1"/>
  <c r="AH30" i="43"/>
  <c r="AB30" i="43" s="1"/>
  <c r="AI30" i="43"/>
  <c r="W30" i="43" s="1"/>
  <c r="AJ30" i="43"/>
  <c r="AD30" i="43" s="1"/>
  <c r="AE31" i="43"/>
  <c r="Y31" i="43" s="1"/>
  <c r="AF31" i="43"/>
  <c r="Z31" i="43" s="1"/>
  <c r="AG31" i="43"/>
  <c r="V31" i="43" s="1"/>
  <c r="AH31" i="43"/>
  <c r="AB31" i="43" s="1"/>
  <c r="AI31" i="43"/>
  <c r="W31" i="43" s="1"/>
  <c r="AJ31" i="43"/>
  <c r="AE32" i="43"/>
  <c r="X32" i="43" s="1"/>
  <c r="AF32" i="43"/>
  <c r="U32" i="43" s="1"/>
  <c r="AG32" i="43"/>
  <c r="AA32" i="43" s="1"/>
  <c r="AH32" i="43"/>
  <c r="AB32" i="43" s="1"/>
  <c r="AI32" i="43"/>
  <c r="AC32" i="43" s="1"/>
  <c r="AJ32" i="43"/>
  <c r="W32" i="43" s="1"/>
  <c r="AE33" i="43"/>
  <c r="Y33" i="43" s="1"/>
  <c r="AF33" i="43"/>
  <c r="AG33" i="43"/>
  <c r="AH33" i="43"/>
  <c r="AI33" i="43"/>
  <c r="W33" i="43" s="1"/>
  <c r="AJ33" i="43"/>
  <c r="AE34" i="43"/>
  <c r="X34" i="43" s="1"/>
  <c r="AF34" i="43"/>
  <c r="Z34" i="43" s="1"/>
  <c r="AG34" i="43"/>
  <c r="V34" i="43" s="1"/>
  <c r="R34" i="43" s="1"/>
  <c r="AH34" i="43"/>
  <c r="AB34" i="43" s="1"/>
  <c r="AI34" i="43"/>
  <c r="AC34" i="43" s="1"/>
  <c r="AJ34" i="43"/>
  <c r="AE35" i="43"/>
  <c r="Y35" i="43" s="1"/>
  <c r="AF35" i="43"/>
  <c r="X35" i="43" s="1"/>
  <c r="AG35" i="43"/>
  <c r="V35" i="43" s="1"/>
  <c r="AH35" i="43"/>
  <c r="AB35" i="43" s="1"/>
  <c r="AI35" i="43"/>
  <c r="AC35" i="43" s="1"/>
  <c r="AJ35" i="43"/>
  <c r="AE36" i="43"/>
  <c r="T36" i="43" s="1"/>
  <c r="AF36" i="43"/>
  <c r="Z36" i="43" s="1"/>
  <c r="AG36" i="43"/>
  <c r="AA36" i="43" s="1"/>
  <c r="AH36" i="43"/>
  <c r="AI36" i="43"/>
  <c r="W36" i="43" s="1"/>
  <c r="AJ36" i="43"/>
  <c r="AE37" i="43"/>
  <c r="Y37" i="43" s="1"/>
  <c r="AF37" i="43"/>
  <c r="Z37" i="43" s="1"/>
  <c r="AG37" i="43"/>
  <c r="V37" i="43" s="1"/>
  <c r="AH37" i="43"/>
  <c r="AB37" i="43" s="1"/>
  <c r="AI37" i="43"/>
  <c r="AC37" i="43" s="1"/>
  <c r="AJ37" i="43"/>
  <c r="AD37" i="43" s="1"/>
  <c r="AE38" i="43"/>
  <c r="T38" i="43" s="1"/>
  <c r="AF38" i="43"/>
  <c r="Z38" i="43" s="1"/>
  <c r="AG38" i="43"/>
  <c r="AA38" i="43" s="1"/>
  <c r="AH38" i="43"/>
  <c r="AB38" i="43" s="1"/>
  <c r="AI38" i="43"/>
  <c r="AC38" i="43" s="1"/>
  <c r="AJ38" i="43"/>
  <c r="AD38" i="43" s="1"/>
  <c r="AE39" i="43"/>
  <c r="T39" i="43" s="1"/>
  <c r="AF39" i="43"/>
  <c r="Z39" i="43" s="1"/>
  <c r="AG39" i="43"/>
  <c r="AA39" i="43" s="1"/>
  <c r="AH39" i="43"/>
  <c r="AB39" i="43" s="1"/>
  <c r="AI39" i="43"/>
  <c r="AC39" i="43" s="1"/>
  <c r="AJ39" i="43"/>
  <c r="AD39" i="43" s="1"/>
  <c r="AE40" i="43"/>
  <c r="T40" i="43" s="1"/>
  <c r="AF40" i="43"/>
  <c r="AG40" i="43"/>
  <c r="V40" i="43" s="1"/>
  <c r="H40" i="43" s="1"/>
  <c r="AH40" i="43"/>
  <c r="AB40" i="43" s="1"/>
  <c r="AI40" i="43"/>
  <c r="AJ40" i="43"/>
  <c r="AD40" i="43" s="1"/>
  <c r="AE41" i="43"/>
  <c r="Y41" i="43" s="1"/>
  <c r="AF41" i="43"/>
  <c r="Z41" i="43" s="1"/>
  <c r="AG41" i="43"/>
  <c r="V41" i="43" s="1"/>
  <c r="AH41" i="43"/>
  <c r="AB41" i="43" s="1"/>
  <c r="AI41" i="43"/>
  <c r="W41" i="43" s="1"/>
  <c r="AJ41" i="43"/>
  <c r="AE42" i="43"/>
  <c r="X42" i="43" s="1"/>
  <c r="AF42" i="43"/>
  <c r="U42" i="43" s="1"/>
  <c r="AG42" i="43"/>
  <c r="AA42" i="43" s="1"/>
  <c r="AH42" i="43"/>
  <c r="AB42" i="43" s="1"/>
  <c r="AI42" i="43"/>
  <c r="AC42" i="43" s="1"/>
  <c r="AJ42" i="43"/>
  <c r="W42" i="43" s="1"/>
  <c r="S42" i="43" s="1"/>
  <c r="AE6" i="43"/>
  <c r="Y6" i="43" s="1"/>
  <c r="AF6" i="43"/>
  <c r="AG6" i="43"/>
  <c r="AA6" i="43" s="1"/>
  <c r="AI6" i="43"/>
  <c r="W6" i="43" s="1"/>
  <c r="AE11" i="43"/>
  <c r="T11" i="43" s="1"/>
  <c r="AF11" i="43"/>
  <c r="U11" i="43" s="1"/>
  <c r="AG11" i="43"/>
  <c r="AA11" i="43" s="1"/>
  <c r="AI11" i="43"/>
  <c r="AC11" i="43" s="1"/>
  <c r="AE12" i="43"/>
  <c r="AF12" i="43"/>
  <c r="U12" i="43" s="1"/>
  <c r="AG12" i="43"/>
  <c r="AI12" i="43"/>
  <c r="AC12" i="43" s="1"/>
  <c r="AE3" i="43"/>
  <c r="T3" i="43" s="1"/>
  <c r="AF3" i="43"/>
  <c r="U3" i="43" s="1"/>
  <c r="AG3" i="43"/>
  <c r="V3" i="43" s="1"/>
  <c r="AI3" i="43"/>
  <c r="AC3" i="43" s="1"/>
  <c r="AE4" i="43"/>
  <c r="AF4" i="43"/>
  <c r="AG4" i="43"/>
  <c r="AI4" i="43"/>
  <c r="W4" i="43" s="1"/>
  <c r="AE5" i="43"/>
  <c r="AF5" i="43"/>
  <c r="AG5" i="43"/>
  <c r="V5" i="43" s="1"/>
  <c r="AI5" i="43"/>
  <c r="W5" i="43" s="1"/>
  <c r="AE24" i="43"/>
  <c r="T24" i="43" s="1"/>
  <c r="AF24" i="43"/>
  <c r="AG24" i="43"/>
  <c r="AA24" i="43" s="1"/>
  <c r="AI24" i="43"/>
  <c r="AC24" i="43" s="1"/>
  <c r="AE8" i="43"/>
  <c r="AF8" i="43"/>
  <c r="U8" i="43" s="1"/>
  <c r="AG8" i="43"/>
  <c r="AI8" i="43"/>
  <c r="AC8" i="43" s="1"/>
  <c r="AE22" i="43"/>
  <c r="AA22" i="43" s="1"/>
  <c r="AF22" i="43"/>
  <c r="U22" i="43" s="1"/>
  <c r="AG22" i="43"/>
  <c r="V22" i="43" s="1"/>
  <c r="AI22" i="43"/>
  <c r="AC22" i="43" s="1"/>
  <c r="AE23" i="43"/>
  <c r="AF23" i="43"/>
  <c r="AG23" i="43"/>
  <c r="AI23" i="43"/>
  <c r="AC23" i="43" s="1"/>
  <c r="AE28" i="43"/>
  <c r="X28" i="43" s="1"/>
  <c r="AF28" i="43"/>
  <c r="AG28" i="43"/>
  <c r="V28" i="43" s="1"/>
  <c r="AI28" i="43"/>
  <c r="AC28" i="43" s="1"/>
  <c r="AE14" i="43"/>
  <c r="T14" i="43" s="1"/>
  <c r="AF14" i="43"/>
  <c r="U14" i="43" s="1"/>
  <c r="AG14" i="43"/>
  <c r="AI14" i="43"/>
  <c r="AE15" i="43"/>
  <c r="AF15" i="43"/>
  <c r="U15" i="43" s="1"/>
  <c r="AG15" i="43"/>
  <c r="AI15" i="43"/>
  <c r="AE26" i="43"/>
  <c r="T26" i="43" s="1"/>
  <c r="AF26" i="43"/>
  <c r="U26" i="43" s="1"/>
  <c r="AG26" i="43"/>
  <c r="V26" i="43" s="1"/>
  <c r="AI26" i="43"/>
  <c r="AE18" i="43"/>
  <c r="Y18" i="43" s="1"/>
  <c r="AF18" i="43"/>
  <c r="Z18" i="43" s="1"/>
  <c r="AG18" i="43"/>
  <c r="AA18" i="43" s="1"/>
  <c r="AI18" i="43"/>
  <c r="W18" i="43" s="1"/>
  <c r="AE13" i="43"/>
  <c r="AF13" i="43"/>
  <c r="AG13" i="43"/>
  <c r="V13" i="43" s="1"/>
  <c r="AI13" i="43"/>
  <c r="W13" i="43" s="1"/>
  <c r="AE10" i="43"/>
  <c r="T10" i="43" s="1"/>
  <c r="AF10" i="43"/>
  <c r="U10" i="43" s="1"/>
  <c r="AG10" i="43"/>
  <c r="AI10" i="43"/>
  <c r="AE2" i="43"/>
  <c r="Y2" i="43" s="1"/>
  <c r="AF2" i="43"/>
  <c r="U2" i="43" s="1"/>
  <c r="AG2" i="43"/>
  <c r="AI2" i="43"/>
  <c r="AC2" i="43" s="1"/>
  <c r="AE16" i="43"/>
  <c r="X16" i="43" s="1"/>
  <c r="AF16" i="43"/>
  <c r="U16" i="43" s="1"/>
  <c r="AG16" i="43"/>
  <c r="AA16" i="43" s="1"/>
  <c r="AI16" i="43"/>
  <c r="AC16" i="43" s="1"/>
  <c r="AE17" i="43"/>
  <c r="Y17" i="43" s="1"/>
  <c r="AF17" i="43"/>
  <c r="AG17" i="43"/>
  <c r="AA17" i="43" s="1"/>
  <c r="AI17" i="43"/>
  <c r="AC17" i="43" s="1"/>
  <c r="AE27" i="43"/>
  <c r="Y27" i="43" s="1"/>
  <c r="AF27" i="43"/>
  <c r="Z27" i="43" s="1"/>
  <c r="AG27" i="43"/>
  <c r="V27" i="43" s="1"/>
  <c r="AI27" i="43"/>
  <c r="W27" i="43" s="1"/>
  <c r="AE25" i="43"/>
  <c r="Y25" i="43" s="1"/>
  <c r="AF25" i="43"/>
  <c r="U25" i="43" s="1"/>
  <c r="AG25" i="43"/>
  <c r="AI25" i="43"/>
  <c r="AC25" i="43" s="1"/>
  <c r="AE19" i="43"/>
  <c r="AF19" i="43"/>
  <c r="U19" i="43" s="1"/>
  <c r="AG19" i="43"/>
  <c r="AA19" i="43" s="1"/>
  <c r="AI19" i="43"/>
  <c r="AC19" i="43" s="1"/>
  <c r="AE20" i="43"/>
  <c r="T20" i="43" s="1"/>
  <c r="AF20" i="43"/>
  <c r="U20" i="43" s="1"/>
  <c r="AG20" i="43"/>
  <c r="V20" i="43" s="1"/>
  <c r="AI20" i="43"/>
  <c r="AC20" i="43" s="1"/>
  <c r="AE21" i="43"/>
  <c r="Y21" i="43" s="1"/>
  <c r="AF21" i="43"/>
  <c r="AG21" i="43"/>
  <c r="AA21" i="43" s="1"/>
  <c r="AI21" i="43"/>
  <c r="W21" i="43" s="1"/>
  <c r="AE9" i="43"/>
  <c r="Y9" i="43" s="1"/>
  <c r="AF9" i="43"/>
  <c r="AG9" i="43"/>
  <c r="V9" i="43" s="1"/>
  <c r="AI9" i="43"/>
  <c r="W9" i="43" s="1"/>
  <c r="AF7" i="43"/>
  <c r="U7" i="43" s="1"/>
  <c r="AG7" i="43"/>
  <c r="V7" i="43" s="1"/>
  <c r="AI7" i="43"/>
  <c r="AC7" i="43" s="1"/>
  <c r="AE7" i="43"/>
  <c r="AB2" i="46"/>
  <c r="N4" i="46"/>
  <c r="N14" i="46"/>
  <c r="N19" i="46"/>
  <c r="N29" i="46"/>
  <c r="N34" i="46"/>
  <c r="N39" i="46"/>
  <c r="N49" i="46"/>
  <c r="N52" i="46"/>
  <c r="P54" i="46"/>
  <c r="P56" i="46"/>
  <c r="P59" i="46"/>
  <c r="P61" i="46"/>
  <c r="N62" i="46"/>
  <c r="P69" i="46"/>
  <c r="O71" i="46"/>
  <c r="P71" i="46"/>
  <c r="N72" i="46"/>
  <c r="P73" i="46"/>
  <c r="P74" i="46"/>
  <c r="R3" i="46"/>
  <c r="N3" i="46" s="1"/>
  <c r="R4" i="46"/>
  <c r="R5" i="46"/>
  <c r="T5" i="46"/>
  <c r="P5" i="46" s="1"/>
  <c r="Q6" i="46"/>
  <c r="R6" i="46"/>
  <c r="N6" i="46" s="1"/>
  <c r="R8" i="46"/>
  <c r="S8" i="46"/>
  <c r="O8" i="46" s="1"/>
  <c r="T8" i="46"/>
  <c r="P8" i="46" s="1"/>
  <c r="R10" i="46"/>
  <c r="N10" i="46" s="1"/>
  <c r="S10" i="46"/>
  <c r="O10" i="46" s="1"/>
  <c r="T10" i="46"/>
  <c r="P10" i="46" s="1"/>
  <c r="R11" i="46"/>
  <c r="N11" i="46" s="1"/>
  <c r="S12" i="46"/>
  <c r="T12" i="46"/>
  <c r="P12" i="46" s="1"/>
  <c r="R13" i="46"/>
  <c r="T13" i="46"/>
  <c r="P13" i="46" s="1"/>
  <c r="Q15" i="46"/>
  <c r="M15" i="46" s="1"/>
  <c r="R16" i="46"/>
  <c r="N16" i="46" s="1"/>
  <c r="R18" i="46"/>
  <c r="S18" i="46"/>
  <c r="T18" i="46"/>
  <c r="P18" i="46" s="1"/>
  <c r="R20" i="46"/>
  <c r="S20" i="46"/>
  <c r="O20" i="46" s="1"/>
  <c r="T20" i="46"/>
  <c r="R21" i="46"/>
  <c r="S22" i="46"/>
  <c r="O22" i="46" s="1"/>
  <c r="T22" i="46"/>
  <c r="P22" i="46" s="1"/>
  <c r="R25" i="46"/>
  <c r="N25" i="46" s="1"/>
  <c r="R26" i="46"/>
  <c r="S27" i="46"/>
  <c r="O27" i="46" s="1"/>
  <c r="R28" i="46"/>
  <c r="S28" i="46"/>
  <c r="O28" i="46" s="1"/>
  <c r="T28" i="46"/>
  <c r="R30" i="46"/>
  <c r="S30" i="46"/>
  <c r="T30" i="46"/>
  <c r="S32" i="46"/>
  <c r="O32" i="46" s="1"/>
  <c r="T32" i="46"/>
  <c r="P32" i="46" s="1"/>
  <c r="R33" i="46"/>
  <c r="N33" i="46" s="1"/>
  <c r="R35" i="46"/>
  <c r="N35" i="46" s="1"/>
  <c r="S35" i="46"/>
  <c r="O35" i="46" s="1"/>
  <c r="R36" i="46"/>
  <c r="N36" i="46" s="1"/>
  <c r="R38" i="46"/>
  <c r="N38" i="46" s="1"/>
  <c r="S38" i="46"/>
  <c r="O38" i="46" s="1"/>
  <c r="T38" i="46"/>
  <c r="P38" i="46" s="1"/>
  <c r="Q40" i="46"/>
  <c r="M40" i="46" s="1"/>
  <c r="R40" i="46"/>
  <c r="N40" i="46" s="1"/>
  <c r="S40" i="46"/>
  <c r="O40" i="46" s="1"/>
  <c r="T40" i="46"/>
  <c r="P40" i="46" s="1"/>
  <c r="R41" i="46"/>
  <c r="N41" i="46" s="1"/>
  <c r="S42" i="46"/>
  <c r="O42" i="46" s="1"/>
  <c r="T42" i="46"/>
  <c r="P42" i="46" s="1"/>
  <c r="R43" i="46"/>
  <c r="N43" i="46" s="1"/>
  <c r="S43" i="46"/>
  <c r="O43" i="46" s="1"/>
  <c r="R45" i="46"/>
  <c r="N45" i="46" s="1"/>
  <c r="R46" i="46"/>
  <c r="T47" i="46"/>
  <c r="P47" i="46" s="1"/>
  <c r="Q48" i="46"/>
  <c r="M48" i="46" s="1"/>
  <c r="R48" i="46"/>
  <c r="N48" i="46" s="1"/>
  <c r="S48" i="46"/>
  <c r="O48" i="46" s="1"/>
  <c r="T48" i="46"/>
  <c r="P48" i="46" s="1"/>
  <c r="R50" i="46"/>
  <c r="N50" i="46" s="1"/>
  <c r="S50" i="46"/>
  <c r="O50" i="46" s="1"/>
  <c r="T50" i="46"/>
  <c r="P50" i="46" s="1"/>
  <c r="Q51" i="46"/>
  <c r="M51" i="46" s="1"/>
  <c r="S52" i="46"/>
  <c r="O52" i="46" s="1"/>
  <c r="S53" i="46"/>
  <c r="O53" i="46" s="1"/>
  <c r="T53" i="46"/>
  <c r="P53" i="46" s="1"/>
  <c r="R54" i="46"/>
  <c r="Q55" i="46"/>
  <c r="M55" i="46" s="1"/>
  <c r="S55" i="46"/>
  <c r="T55" i="46"/>
  <c r="P55" i="46" s="1"/>
  <c r="Q56" i="46"/>
  <c r="M56" i="46" s="1"/>
  <c r="R56" i="46"/>
  <c r="T56" i="46"/>
  <c r="R58" i="46"/>
  <c r="N58" i="46" s="1"/>
  <c r="S58" i="46"/>
  <c r="O58" i="46" s="1"/>
  <c r="T58" i="46"/>
  <c r="P58" i="46" s="1"/>
  <c r="R59" i="46"/>
  <c r="N59" i="46" s="1"/>
  <c r="Q61" i="46"/>
  <c r="M61" i="46" s="1"/>
  <c r="R61" i="46"/>
  <c r="N61" i="46" s="1"/>
  <c r="T61" i="46"/>
  <c r="T62" i="46"/>
  <c r="P62" i="46" s="1"/>
  <c r="Q63" i="46"/>
  <c r="M63" i="46" s="1"/>
  <c r="S63" i="46"/>
  <c r="O63" i="46" s="1"/>
  <c r="T63" i="46"/>
  <c r="P63" i="46" s="1"/>
  <c r="R64" i="46"/>
  <c r="Q66" i="46"/>
  <c r="M66" i="46" s="1"/>
  <c r="R66" i="46"/>
  <c r="N66" i="46" s="1"/>
  <c r="T66" i="46"/>
  <c r="P66" i="46" s="1"/>
  <c r="S68" i="46"/>
  <c r="O68" i="46" s="1"/>
  <c r="T68" i="46"/>
  <c r="P68" i="46" s="1"/>
  <c r="R69" i="46"/>
  <c r="Q70" i="46"/>
  <c r="M70" i="46" s="1"/>
  <c r="R70" i="46"/>
  <c r="Q71" i="46"/>
  <c r="M71" i="46" s="1"/>
  <c r="R71" i="46"/>
  <c r="N71" i="46" s="1"/>
  <c r="T71" i="46"/>
  <c r="T72" i="46"/>
  <c r="P72" i="46" s="1"/>
  <c r="R73" i="46"/>
  <c r="S73" i="46"/>
  <c r="O73" i="46" s="1"/>
  <c r="T73" i="46"/>
  <c r="R74" i="46"/>
  <c r="Q76" i="46"/>
  <c r="M76" i="46" s="1"/>
  <c r="R76" i="46"/>
  <c r="T76" i="46"/>
  <c r="P76" i="46" s="1"/>
  <c r="W4" i="46"/>
  <c r="AA4" i="46"/>
  <c r="W6" i="46"/>
  <c r="AA6" i="46"/>
  <c r="W10" i="46"/>
  <c r="W14" i="46"/>
  <c r="AA14" i="46"/>
  <c r="W16" i="46"/>
  <c r="AA16" i="46"/>
  <c r="AA18" i="46"/>
  <c r="X22" i="46"/>
  <c r="W32" i="46"/>
  <c r="AA32" i="46"/>
  <c r="W34" i="46"/>
  <c r="X34" i="46"/>
  <c r="W36" i="46"/>
  <c r="W38" i="46"/>
  <c r="AA38" i="46"/>
  <c r="W40" i="46"/>
  <c r="W42" i="46"/>
  <c r="X44" i="46"/>
  <c r="W48" i="46"/>
  <c r="X53" i="46"/>
  <c r="Z54" i="46"/>
  <c r="V56" i="46"/>
  <c r="X58" i="46"/>
  <c r="V66" i="46"/>
  <c r="X68" i="46"/>
  <c r="V71" i="46"/>
  <c r="X73" i="46"/>
  <c r="AB52" i="46"/>
  <c r="AC52" i="46"/>
  <c r="R52" i="46" s="1"/>
  <c r="AD52" i="46"/>
  <c r="X52" i="46" s="1"/>
  <c r="AF52" i="46"/>
  <c r="T52" i="46" s="1"/>
  <c r="P52" i="46" s="1"/>
  <c r="AB53" i="46"/>
  <c r="AC53" i="46"/>
  <c r="R53" i="46" s="1"/>
  <c r="AD53" i="46"/>
  <c r="AF53" i="46"/>
  <c r="Z53" i="46" s="1"/>
  <c r="AB54" i="46"/>
  <c r="V54" i="46" s="1"/>
  <c r="AC54" i="46"/>
  <c r="AD54" i="46"/>
  <c r="S54" i="46" s="1"/>
  <c r="O54" i="46" s="1"/>
  <c r="AF54" i="46"/>
  <c r="T54" i="46" s="1"/>
  <c r="AB55" i="46"/>
  <c r="AC55" i="46"/>
  <c r="R55" i="46" s="1"/>
  <c r="N55" i="46" s="1"/>
  <c r="AD55" i="46"/>
  <c r="AF55" i="46"/>
  <c r="Z55" i="46" s="1"/>
  <c r="AB56" i="46"/>
  <c r="AC56" i="46"/>
  <c r="W56" i="46" s="1"/>
  <c r="AD56" i="46"/>
  <c r="S56" i="46" s="1"/>
  <c r="O56" i="46" s="1"/>
  <c r="AF56" i="46"/>
  <c r="Z56" i="46" s="1"/>
  <c r="AB57" i="46"/>
  <c r="Q57" i="46" s="1"/>
  <c r="M57" i="46" s="1"/>
  <c r="AC57" i="46"/>
  <c r="AD57" i="46"/>
  <c r="X57" i="46" s="1"/>
  <c r="AF57" i="46"/>
  <c r="T57" i="46" s="1"/>
  <c r="P57" i="46" s="1"/>
  <c r="AB58" i="46"/>
  <c r="Q58" i="46" s="1"/>
  <c r="M58" i="46" s="1"/>
  <c r="AC58" i="46"/>
  <c r="AD58" i="46"/>
  <c r="AF58" i="46"/>
  <c r="Z58" i="46" s="1"/>
  <c r="AB59" i="46"/>
  <c r="V59" i="46" s="1"/>
  <c r="AC59" i="46"/>
  <c r="W59" i="46" s="1"/>
  <c r="AD59" i="46"/>
  <c r="S59" i="46" s="1"/>
  <c r="AF59" i="46"/>
  <c r="T59" i="46" s="1"/>
  <c r="AB60" i="46"/>
  <c r="AC60" i="46"/>
  <c r="R60" i="46" s="1"/>
  <c r="N60" i="46" s="1"/>
  <c r="AD60" i="46"/>
  <c r="X60" i="46" s="1"/>
  <c r="AF60" i="46"/>
  <c r="Z60" i="46" s="1"/>
  <c r="AB61" i="46"/>
  <c r="V61" i="46" s="1"/>
  <c r="AC61" i="46"/>
  <c r="W61" i="46" s="1"/>
  <c r="AD61" i="46"/>
  <c r="S61" i="46" s="1"/>
  <c r="O61" i="46" s="1"/>
  <c r="AF61" i="46"/>
  <c r="Z61" i="46" s="1"/>
  <c r="AB62" i="46"/>
  <c r="AC62" i="46"/>
  <c r="R62" i="46" s="1"/>
  <c r="AD62" i="46"/>
  <c r="X62" i="46" s="1"/>
  <c r="AF62" i="46"/>
  <c r="Z62" i="46" s="1"/>
  <c r="AB63" i="46"/>
  <c r="AC63" i="46"/>
  <c r="R63" i="46" s="1"/>
  <c r="N63" i="46" s="1"/>
  <c r="AD63" i="46"/>
  <c r="X63" i="46" s="1"/>
  <c r="AF63" i="46"/>
  <c r="Z63" i="46" s="1"/>
  <c r="AB64" i="46"/>
  <c r="V64" i="46" s="1"/>
  <c r="AC64" i="46"/>
  <c r="AD64" i="46"/>
  <c r="S64" i="46" s="1"/>
  <c r="O64" i="46" s="1"/>
  <c r="AF64" i="46"/>
  <c r="T64" i="46" s="1"/>
  <c r="AB65" i="46"/>
  <c r="Q65" i="46" s="1"/>
  <c r="M65" i="46" s="1"/>
  <c r="AC65" i="46"/>
  <c r="W65" i="46" s="1"/>
  <c r="AD65" i="46"/>
  <c r="X65" i="46" s="1"/>
  <c r="AF65" i="46"/>
  <c r="Z65" i="46" s="1"/>
  <c r="AB66" i="46"/>
  <c r="AC66" i="46"/>
  <c r="W66" i="46" s="1"/>
  <c r="AD66" i="46"/>
  <c r="S66" i="46" s="1"/>
  <c r="O66" i="46" s="1"/>
  <c r="AF66" i="46"/>
  <c r="Z66" i="46" s="1"/>
  <c r="AB67" i="46"/>
  <c r="Q67" i="46" s="1"/>
  <c r="AC67" i="46"/>
  <c r="R67" i="46" s="1"/>
  <c r="AD67" i="46"/>
  <c r="X67" i="46" s="1"/>
  <c r="AF67" i="46"/>
  <c r="T67" i="46" s="1"/>
  <c r="AB68" i="46"/>
  <c r="Q68" i="46" s="1"/>
  <c r="M68" i="46" s="1"/>
  <c r="AC68" i="46"/>
  <c r="R68" i="46" s="1"/>
  <c r="N68" i="46" s="1"/>
  <c r="AD68" i="46"/>
  <c r="AF68" i="46"/>
  <c r="Z68" i="46" s="1"/>
  <c r="AB69" i="46"/>
  <c r="V69" i="46" s="1"/>
  <c r="AC69" i="46"/>
  <c r="AD69" i="46"/>
  <c r="S69" i="46" s="1"/>
  <c r="O69" i="46" s="1"/>
  <c r="AF69" i="46"/>
  <c r="T69" i="46" s="1"/>
  <c r="AB70" i="46"/>
  <c r="AC70" i="46"/>
  <c r="AD70" i="46"/>
  <c r="X70" i="46" s="1"/>
  <c r="AF70" i="46"/>
  <c r="Z70" i="46" s="1"/>
  <c r="AB71" i="46"/>
  <c r="AC71" i="46"/>
  <c r="W71" i="46" s="1"/>
  <c r="AD71" i="46"/>
  <c r="S71" i="46" s="1"/>
  <c r="AF71" i="46"/>
  <c r="Z71" i="46" s="1"/>
  <c r="AB72" i="46"/>
  <c r="V72" i="46" s="1"/>
  <c r="AC72" i="46"/>
  <c r="R72" i="46" s="1"/>
  <c r="AD72" i="46"/>
  <c r="X72" i="46" s="1"/>
  <c r="AF72" i="46"/>
  <c r="AB73" i="46"/>
  <c r="AC73" i="46"/>
  <c r="AD73" i="46"/>
  <c r="AF73" i="46"/>
  <c r="Z73" i="46" s="1"/>
  <c r="AB74" i="46"/>
  <c r="V74" i="46" s="1"/>
  <c r="AC74" i="46"/>
  <c r="AD74" i="46"/>
  <c r="AF74" i="46"/>
  <c r="T74" i="46" s="1"/>
  <c r="AB75" i="46"/>
  <c r="Q75" i="46" s="1"/>
  <c r="M75" i="46" s="1"/>
  <c r="AC75" i="46"/>
  <c r="R75" i="46" s="1"/>
  <c r="AD75" i="46"/>
  <c r="W75" i="46" s="1"/>
  <c r="AF75" i="46"/>
  <c r="Z75" i="46" s="1"/>
  <c r="AB76" i="46"/>
  <c r="V76" i="46" s="1"/>
  <c r="AC76" i="46"/>
  <c r="W76" i="46" s="1"/>
  <c r="AD76" i="46"/>
  <c r="S76" i="46" s="1"/>
  <c r="O76" i="46" s="1"/>
  <c r="AF76" i="46"/>
  <c r="Z76" i="46" s="1"/>
  <c r="AB3" i="46"/>
  <c r="AC3" i="46"/>
  <c r="W3" i="46" s="1"/>
  <c r="AD3" i="46"/>
  <c r="X3" i="46" s="1"/>
  <c r="AE3" i="46"/>
  <c r="Y3" i="46" s="1"/>
  <c r="AG3" i="46"/>
  <c r="AA3" i="46" s="1"/>
  <c r="AB4" i="46"/>
  <c r="AC4" i="46"/>
  <c r="AD4" i="46"/>
  <c r="S4" i="46" s="1"/>
  <c r="O4" i="46" s="1"/>
  <c r="AE4" i="46"/>
  <c r="Y4" i="46" s="1"/>
  <c r="AG4" i="46"/>
  <c r="T4" i="46" s="1"/>
  <c r="P4" i="46" s="1"/>
  <c r="AB5" i="46"/>
  <c r="AC5" i="46"/>
  <c r="AD5" i="46"/>
  <c r="S5" i="46" s="1"/>
  <c r="O5" i="46" s="1"/>
  <c r="AE5" i="46"/>
  <c r="Y5" i="46" s="1"/>
  <c r="AG5" i="46"/>
  <c r="AB6" i="46"/>
  <c r="AC6" i="46"/>
  <c r="AD6" i="46"/>
  <c r="X6" i="46" s="1"/>
  <c r="AE6" i="46"/>
  <c r="AG6" i="46"/>
  <c r="T6" i="46" s="1"/>
  <c r="P6" i="46" s="1"/>
  <c r="AB7" i="46"/>
  <c r="AC7" i="46"/>
  <c r="R7" i="46" s="1"/>
  <c r="AD7" i="46"/>
  <c r="S7" i="46" s="1"/>
  <c r="O7" i="46" s="1"/>
  <c r="AE7" i="46"/>
  <c r="AG7" i="46"/>
  <c r="T7" i="46" s="1"/>
  <c r="P7" i="46" s="1"/>
  <c r="AB8" i="46"/>
  <c r="W8" i="46" s="1"/>
  <c r="AC8" i="46"/>
  <c r="AD8" i="46"/>
  <c r="X8" i="46" s="1"/>
  <c r="AE8" i="46"/>
  <c r="Y8" i="46" s="1"/>
  <c r="AG8" i="46"/>
  <c r="AA8" i="46" s="1"/>
  <c r="AB9" i="46"/>
  <c r="Q9" i="46" s="1"/>
  <c r="AC9" i="46"/>
  <c r="R9" i="46" s="1"/>
  <c r="AD9" i="46"/>
  <c r="AE9" i="46"/>
  <c r="AG9" i="46"/>
  <c r="AB10" i="46"/>
  <c r="V10" i="46" s="1"/>
  <c r="AC10" i="46"/>
  <c r="AD10" i="46"/>
  <c r="AE10" i="46"/>
  <c r="Y10" i="46" s="1"/>
  <c r="AG10" i="46"/>
  <c r="AA10" i="46" s="1"/>
  <c r="AB11" i="46"/>
  <c r="V11" i="46" s="1"/>
  <c r="AC11" i="46"/>
  <c r="W11" i="46" s="1"/>
  <c r="AD11" i="46"/>
  <c r="AE11" i="46"/>
  <c r="Y11" i="46" s="1"/>
  <c r="AG11" i="46"/>
  <c r="T11" i="46" s="1"/>
  <c r="P11" i="46" s="1"/>
  <c r="AB12" i="46"/>
  <c r="AC12" i="46"/>
  <c r="R12" i="46" s="1"/>
  <c r="AD12" i="46"/>
  <c r="AE12" i="46"/>
  <c r="AG12" i="46"/>
  <c r="AA12" i="46" s="1"/>
  <c r="AB13" i="46"/>
  <c r="Q13" i="46" s="1"/>
  <c r="M13" i="46" s="1"/>
  <c r="AC13" i="46"/>
  <c r="AD13" i="46"/>
  <c r="X13" i="46" s="1"/>
  <c r="AE13" i="46"/>
  <c r="Y13" i="46" s="1"/>
  <c r="AG13" i="46"/>
  <c r="AA13" i="46" s="1"/>
  <c r="AB14" i="46"/>
  <c r="AC14" i="46"/>
  <c r="R14" i="46" s="1"/>
  <c r="AD14" i="46"/>
  <c r="S14" i="46" s="1"/>
  <c r="O14" i="46" s="1"/>
  <c r="AE14" i="46"/>
  <c r="Y14" i="46" s="1"/>
  <c r="AG14" i="46"/>
  <c r="T14" i="46" s="1"/>
  <c r="P14" i="46" s="1"/>
  <c r="AB15" i="46"/>
  <c r="AC15" i="46"/>
  <c r="W15" i="46" s="1"/>
  <c r="AD15" i="46"/>
  <c r="S15" i="46" s="1"/>
  <c r="O15" i="46" s="1"/>
  <c r="AE15" i="46"/>
  <c r="Y15" i="46" s="1"/>
  <c r="AG15" i="46"/>
  <c r="T15" i="46" s="1"/>
  <c r="P15" i="46" s="1"/>
  <c r="AB16" i="46"/>
  <c r="AC16" i="46"/>
  <c r="AD16" i="46"/>
  <c r="X16" i="46" s="1"/>
  <c r="AE16" i="46"/>
  <c r="AG16" i="46"/>
  <c r="T16" i="46" s="1"/>
  <c r="P16" i="46" s="1"/>
  <c r="AB17" i="46"/>
  <c r="AC17" i="46"/>
  <c r="AD17" i="46"/>
  <c r="S17" i="46" s="1"/>
  <c r="AE17" i="46"/>
  <c r="AG17" i="46"/>
  <c r="AA17" i="46" s="1"/>
  <c r="AB18" i="46"/>
  <c r="AC18" i="46"/>
  <c r="AD18" i="46"/>
  <c r="AE18" i="46"/>
  <c r="AG18" i="46"/>
  <c r="AB19" i="46"/>
  <c r="AC19" i="46"/>
  <c r="R19" i="46" s="1"/>
  <c r="AD19" i="46"/>
  <c r="AE19" i="46"/>
  <c r="Y19" i="46" s="1"/>
  <c r="AG19" i="46"/>
  <c r="AB20" i="46"/>
  <c r="AA20" i="46" s="1"/>
  <c r="AC20" i="46"/>
  <c r="AD20" i="46"/>
  <c r="AE20" i="46"/>
  <c r="Y20" i="46" s="1"/>
  <c r="AG20" i="46"/>
  <c r="AB21" i="46"/>
  <c r="V21" i="46" s="1"/>
  <c r="AC21" i="46"/>
  <c r="AD21" i="46"/>
  <c r="AE21" i="46"/>
  <c r="Y21" i="46" s="1"/>
  <c r="AG21" i="46"/>
  <c r="AB22" i="46"/>
  <c r="AC22" i="46"/>
  <c r="R22" i="46" s="1"/>
  <c r="AD22" i="46"/>
  <c r="AE22" i="46"/>
  <c r="Y22" i="46" s="1"/>
  <c r="AG22" i="46"/>
  <c r="AA22" i="46" s="1"/>
  <c r="AB23" i="46"/>
  <c r="AC23" i="46"/>
  <c r="W23" i="46" s="1"/>
  <c r="AD23" i="46"/>
  <c r="X23" i="46" s="1"/>
  <c r="AE23" i="46"/>
  <c r="Y23" i="46" s="1"/>
  <c r="AG23" i="46"/>
  <c r="AA23" i="46" s="1"/>
  <c r="AB24" i="46"/>
  <c r="AC24" i="46"/>
  <c r="R24" i="46" s="1"/>
  <c r="AD24" i="46"/>
  <c r="S24" i="46" s="1"/>
  <c r="O24" i="46" s="1"/>
  <c r="AE24" i="46"/>
  <c r="Y24" i="46" s="1"/>
  <c r="AG24" i="46"/>
  <c r="AA24" i="46" s="1"/>
  <c r="AB25" i="46"/>
  <c r="AC25" i="46"/>
  <c r="W25" i="46" s="1"/>
  <c r="AD25" i="46"/>
  <c r="S25" i="46" s="1"/>
  <c r="O25" i="46" s="1"/>
  <c r="AE25" i="46"/>
  <c r="Y25" i="46" s="1"/>
  <c r="AG25" i="46"/>
  <c r="T25" i="46" s="1"/>
  <c r="P25" i="46" s="1"/>
  <c r="AB26" i="46"/>
  <c r="Q26" i="46" s="1"/>
  <c r="M26" i="46" s="1"/>
  <c r="AC26" i="46"/>
  <c r="AD26" i="46"/>
  <c r="S26" i="46" s="1"/>
  <c r="AE26" i="46"/>
  <c r="Y26" i="46" s="1"/>
  <c r="AG26" i="46"/>
  <c r="T26" i="46" s="1"/>
  <c r="P26" i="46" s="1"/>
  <c r="AB27" i="46"/>
  <c r="AC27" i="46"/>
  <c r="R27" i="46" s="1"/>
  <c r="AD27" i="46"/>
  <c r="AE27" i="46"/>
  <c r="AG27" i="46"/>
  <c r="T27" i="46" s="1"/>
  <c r="P27" i="46" s="1"/>
  <c r="AB28" i="46"/>
  <c r="AA28" i="46" s="1"/>
  <c r="AC28" i="46"/>
  <c r="AD28" i="46"/>
  <c r="X28" i="46" s="1"/>
  <c r="AE28" i="46"/>
  <c r="Y28" i="46" s="1"/>
  <c r="AG28" i="46"/>
  <c r="AB29" i="46"/>
  <c r="AC29" i="46"/>
  <c r="R29" i="46" s="1"/>
  <c r="AD29" i="46"/>
  <c r="AE29" i="46"/>
  <c r="AG29" i="46"/>
  <c r="T29" i="46" s="1"/>
  <c r="P29" i="46" s="1"/>
  <c r="AB30" i="46"/>
  <c r="AC30" i="46"/>
  <c r="AD30" i="46"/>
  <c r="AE30" i="46"/>
  <c r="AG30" i="46"/>
  <c r="AB31" i="46"/>
  <c r="V31" i="46" s="1"/>
  <c r="AC31" i="46"/>
  <c r="W31" i="46" s="1"/>
  <c r="AD31" i="46"/>
  <c r="AE31" i="46"/>
  <c r="Y31" i="46" s="1"/>
  <c r="AG31" i="46"/>
  <c r="T31" i="46" s="1"/>
  <c r="P31" i="46" s="1"/>
  <c r="AB32" i="46"/>
  <c r="AC32" i="46"/>
  <c r="R32" i="46" s="1"/>
  <c r="N32" i="46" s="1"/>
  <c r="AD32" i="46"/>
  <c r="AE32" i="46"/>
  <c r="Y32" i="46" s="1"/>
  <c r="AG32" i="46"/>
  <c r="AB33" i="46"/>
  <c r="AC33" i="46"/>
  <c r="W33" i="46" s="1"/>
  <c r="AD33" i="46"/>
  <c r="X33" i="46" s="1"/>
  <c r="AE33" i="46"/>
  <c r="Y33" i="46" s="1"/>
  <c r="AG33" i="46"/>
  <c r="T33" i="46" s="1"/>
  <c r="P33" i="46" s="1"/>
  <c r="AB34" i="46"/>
  <c r="AC34" i="46"/>
  <c r="R34" i="46" s="1"/>
  <c r="AD34" i="46"/>
  <c r="S34" i="46" s="1"/>
  <c r="O34" i="46" s="1"/>
  <c r="AE34" i="46"/>
  <c r="Y34" i="46" s="1"/>
  <c r="AG34" i="46"/>
  <c r="T34" i="46" s="1"/>
  <c r="P34" i="46" s="1"/>
  <c r="AB35" i="46"/>
  <c r="Q35" i="46" s="1"/>
  <c r="M35" i="46" s="1"/>
  <c r="AC35" i="46"/>
  <c r="W35" i="46" s="1"/>
  <c r="AD35" i="46"/>
  <c r="AE35" i="46"/>
  <c r="Y35" i="46" s="1"/>
  <c r="AG35" i="46"/>
  <c r="T35" i="46" s="1"/>
  <c r="P35" i="46" s="1"/>
  <c r="AB36" i="46"/>
  <c r="Q36" i="46" s="1"/>
  <c r="M36" i="46" s="1"/>
  <c r="AC36" i="46"/>
  <c r="AD36" i="46"/>
  <c r="S36" i="46" s="1"/>
  <c r="O36" i="46" s="1"/>
  <c r="AE36" i="46"/>
  <c r="Y36" i="46" s="1"/>
  <c r="AG36" i="46"/>
  <c r="T36" i="46" s="1"/>
  <c r="P36" i="46" s="1"/>
  <c r="AB37" i="46"/>
  <c r="AC37" i="46"/>
  <c r="AD37" i="46"/>
  <c r="S37" i="46" s="1"/>
  <c r="O37" i="46" s="1"/>
  <c r="AE37" i="46"/>
  <c r="AG37" i="46"/>
  <c r="AA37" i="46" s="1"/>
  <c r="AB38" i="46"/>
  <c r="V38" i="46" s="1"/>
  <c r="AC38" i="46"/>
  <c r="AD38" i="46"/>
  <c r="X38" i="46" s="1"/>
  <c r="AE38" i="46"/>
  <c r="Y38" i="46" s="1"/>
  <c r="AG38" i="46"/>
  <c r="AB39" i="46"/>
  <c r="AC39" i="46"/>
  <c r="R39" i="46" s="1"/>
  <c r="AD39" i="46"/>
  <c r="AE39" i="46"/>
  <c r="Y39" i="46" s="1"/>
  <c r="AG39" i="46"/>
  <c r="AB40" i="46"/>
  <c r="V40" i="46" s="1"/>
  <c r="AC40" i="46"/>
  <c r="AD40" i="46"/>
  <c r="AE40" i="46"/>
  <c r="Y40" i="46" s="1"/>
  <c r="AG40" i="46"/>
  <c r="AB41" i="46"/>
  <c r="V41" i="46" s="1"/>
  <c r="AC41" i="46"/>
  <c r="W41" i="46" s="1"/>
  <c r="AD41" i="46"/>
  <c r="AE41" i="46"/>
  <c r="Y41" i="46" s="1"/>
  <c r="AG41" i="46"/>
  <c r="T41" i="46" s="1"/>
  <c r="P41" i="46" s="1"/>
  <c r="AB42" i="46"/>
  <c r="AC42" i="46"/>
  <c r="R42" i="46" s="1"/>
  <c r="N42" i="46" s="1"/>
  <c r="AD42" i="46"/>
  <c r="AE42" i="46"/>
  <c r="Y42" i="46" s="1"/>
  <c r="AG42" i="46"/>
  <c r="AA42" i="46" s="1"/>
  <c r="AB43" i="46"/>
  <c r="Q43" i="46" s="1"/>
  <c r="M43" i="46" s="1"/>
  <c r="AC43" i="46"/>
  <c r="W43" i="46" s="1"/>
  <c r="AD43" i="46"/>
  <c r="X43" i="46" s="1"/>
  <c r="AE43" i="46"/>
  <c r="AG43" i="46"/>
  <c r="T43" i="46" s="1"/>
  <c r="P43" i="46" s="1"/>
  <c r="AB44" i="46"/>
  <c r="AC44" i="46"/>
  <c r="R44" i="46" s="1"/>
  <c r="AD44" i="46"/>
  <c r="S44" i="46" s="1"/>
  <c r="O44" i="46" s="1"/>
  <c r="AE44" i="46"/>
  <c r="Y44" i="46" s="1"/>
  <c r="AG44" i="46"/>
  <c r="AB45" i="46"/>
  <c r="AC45" i="46"/>
  <c r="W45" i="46" s="1"/>
  <c r="AD45" i="46"/>
  <c r="S45" i="46" s="1"/>
  <c r="O45" i="46" s="1"/>
  <c r="AE45" i="46"/>
  <c r="Y45" i="46" s="1"/>
  <c r="AG45" i="46"/>
  <c r="T45" i="46" s="1"/>
  <c r="P45" i="46" s="1"/>
  <c r="AB46" i="46"/>
  <c r="AC46" i="46"/>
  <c r="AD46" i="46"/>
  <c r="AE46" i="46"/>
  <c r="AG46" i="46"/>
  <c r="T46" i="46" s="1"/>
  <c r="AB47" i="46"/>
  <c r="AC47" i="46"/>
  <c r="AD47" i="46"/>
  <c r="S47" i="46" s="1"/>
  <c r="O47" i="46" s="1"/>
  <c r="AE47" i="46"/>
  <c r="AG47" i="46"/>
  <c r="AB48" i="46"/>
  <c r="V48" i="46" s="1"/>
  <c r="AC48" i="46"/>
  <c r="AD48" i="46"/>
  <c r="X48" i="46" s="1"/>
  <c r="AE48" i="46"/>
  <c r="Y48" i="46" s="1"/>
  <c r="AG48" i="46"/>
  <c r="AA48" i="46" s="1"/>
  <c r="AB49" i="46"/>
  <c r="AC49" i="46"/>
  <c r="R49" i="46" s="1"/>
  <c r="AD49" i="46"/>
  <c r="AE49" i="46"/>
  <c r="Y49" i="46" s="1"/>
  <c r="AG49" i="46"/>
  <c r="T49" i="46" s="1"/>
  <c r="P49" i="46" s="1"/>
  <c r="AB50" i="46"/>
  <c r="Q50" i="46" s="1"/>
  <c r="M50" i="46" s="1"/>
  <c r="AC50" i="46"/>
  <c r="W50" i="46" s="1"/>
  <c r="AD50" i="46"/>
  <c r="X50" i="46" s="1"/>
  <c r="AF50" i="46"/>
  <c r="Z50" i="46" s="1"/>
  <c r="AB51" i="46"/>
  <c r="AC51" i="46"/>
  <c r="AD51" i="46"/>
  <c r="S51" i="46" s="1"/>
  <c r="O51" i="46" s="1"/>
  <c r="AF51" i="46"/>
  <c r="T51" i="46" s="1"/>
  <c r="P51" i="46" s="1"/>
  <c r="AC2" i="46"/>
  <c r="AD2" i="46"/>
  <c r="AE2" i="46"/>
  <c r="AG2" i="46"/>
  <c r="G30" i="51" l="1"/>
  <c r="P39" i="43"/>
  <c r="P29" i="43"/>
  <c r="R31" i="43"/>
  <c r="H35" i="43"/>
  <c r="N35" i="43"/>
  <c r="Z28" i="43"/>
  <c r="S34" i="43"/>
  <c r="Z33" i="43"/>
  <c r="Y42" i="43"/>
  <c r="AC30" i="43"/>
  <c r="X41" i="43"/>
  <c r="X31" i="43"/>
  <c r="AC29" i="43"/>
  <c r="AC41" i="43"/>
  <c r="AC36" i="43"/>
  <c r="AA13" i="43"/>
  <c r="X40" i="43"/>
  <c r="X30" i="43"/>
  <c r="V42" i="43"/>
  <c r="H42" i="43" s="1"/>
  <c r="T35" i="43"/>
  <c r="K35" i="43" s="1"/>
  <c r="V32" i="43"/>
  <c r="H32" i="43" s="1"/>
  <c r="T30" i="43"/>
  <c r="K30" i="43" s="1"/>
  <c r="W39" i="43"/>
  <c r="U37" i="43"/>
  <c r="Q37" i="43" s="1"/>
  <c r="W34" i="43"/>
  <c r="W29" i="43"/>
  <c r="I29" i="43" s="1"/>
  <c r="T42" i="43"/>
  <c r="V39" i="43"/>
  <c r="T37" i="43"/>
  <c r="T32" i="43"/>
  <c r="L32" i="43" s="1"/>
  <c r="V29" i="43"/>
  <c r="K29" i="43" s="1"/>
  <c r="U39" i="43"/>
  <c r="K39" i="43" s="1"/>
  <c r="U34" i="43"/>
  <c r="M34" i="43" s="1"/>
  <c r="U29" i="43"/>
  <c r="M29" i="43" s="1"/>
  <c r="V36" i="43"/>
  <c r="T34" i="43"/>
  <c r="K34" i="43" s="1"/>
  <c r="U41" i="43"/>
  <c r="W38" i="43"/>
  <c r="I38" i="43" s="1"/>
  <c r="U36" i="43"/>
  <c r="G36" i="43" s="1"/>
  <c r="U31" i="43"/>
  <c r="Q31" i="43" s="1"/>
  <c r="Z9" i="43"/>
  <c r="AA35" i="43"/>
  <c r="Y24" i="43"/>
  <c r="X36" i="43"/>
  <c r="X26" i="43"/>
  <c r="Z19" i="43"/>
  <c r="Z15" i="43"/>
  <c r="Z8" i="43"/>
  <c r="Z35" i="43"/>
  <c r="AC21" i="43"/>
  <c r="AA3" i="43"/>
  <c r="X7" i="43"/>
  <c r="Y34" i="43"/>
  <c r="AA20" i="43"/>
  <c r="Y3" i="43"/>
  <c r="X3" i="43"/>
  <c r="T41" i="43"/>
  <c r="K41" i="43" s="1"/>
  <c r="V38" i="43"/>
  <c r="R38" i="43" s="1"/>
  <c r="V33" i="43"/>
  <c r="T31" i="43"/>
  <c r="O31" i="43" s="1"/>
  <c r="R41" i="43"/>
  <c r="S32" i="43"/>
  <c r="AA9" i="43"/>
  <c r="Y12" i="43"/>
  <c r="AA25" i="43"/>
  <c r="AA10" i="43"/>
  <c r="AA14" i="43"/>
  <c r="Y23" i="43"/>
  <c r="Y4" i="43"/>
  <c r="Y40" i="43"/>
  <c r="AC33" i="43"/>
  <c r="Y20" i="43"/>
  <c r="AC6" i="43"/>
  <c r="X33" i="43"/>
  <c r="X6" i="43"/>
  <c r="W40" i="43"/>
  <c r="K40" i="43" s="1"/>
  <c r="U38" i="43"/>
  <c r="K38" i="43" s="1"/>
  <c r="W35" i="43"/>
  <c r="S35" i="43" s="1"/>
  <c r="U33" i="43"/>
  <c r="Q33" i="43" s="1"/>
  <c r="X29" i="43"/>
  <c r="Z13" i="43"/>
  <c r="Z5" i="43"/>
  <c r="Z6" i="43"/>
  <c r="Y26" i="43"/>
  <c r="X38" i="43"/>
  <c r="X20" i="43"/>
  <c r="AC31" i="43"/>
  <c r="X37" i="43"/>
  <c r="X27" i="43"/>
  <c r="AC26" i="43"/>
  <c r="X24" i="43"/>
  <c r="Q42" i="43"/>
  <c r="AA33" i="43"/>
  <c r="Y32" i="43"/>
  <c r="Y16" i="43"/>
  <c r="T33" i="43"/>
  <c r="K26" i="43"/>
  <c r="K20" i="43"/>
  <c r="X10" i="43"/>
  <c r="W20" i="43"/>
  <c r="W16" i="43"/>
  <c r="W26" i="43"/>
  <c r="W22" i="43"/>
  <c r="U24" i="43"/>
  <c r="W3" i="43"/>
  <c r="K3" i="43" s="1"/>
  <c r="T25" i="43"/>
  <c r="V16" i="43"/>
  <c r="Y11" i="43"/>
  <c r="X25" i="43"/>
  <c r="AC15" i="43"/>
  <c r="Y22" i="43"/>
  <c r="AA2" i="43"/>
  <c r="Y13" i="43"/>
  <c r="AA15" i="43"/>
  <c r="Y28" i="43"/>
  <c r="AA8" i="43"/>
  <c r="Y5" i="43"/>
  <c r="AA12" i="43"/>
  <c r="X9" i="43"/>
  <c r="X13" i="43"/>
  <c r="X5" i="43"/>
  <c r="AC9" i="43"/>
  <c r="AC13" i="43"/>
  <c r="AC4" i="43"/>
  <c r="X21" i="43"/>
  <c r="X18" i="43"/>
  <c r="X4" i="43"/>
  <c r="W28" i="43"/>
  <c r="AA23" i="43"/>
  <c r="AA4" i="43"/>
  <c r="T16" i="43"/>
  <c r="T22" i="43"/>
  <c r="K22" i="43" s="1"/>
  <c r="V6" i="43"/>
  <c r="Z21" i="43"/>
  <c r="Z17" i="43"/>
  <c r="AC10" i="43"/>
  <c r="AC14" i="43"/>
  <c r="Z23" i="43"/>
  <c r="Z4" i="43"/>
  <c r="X19" i="43"/>
  <c r="X15" i="43"/>
  <c r="X12" i="43"/>
  <c r="W7" i="43"/>
  <c r="U9" i="43"/>
  <c r="W19" i="43"/>
  <c r="U27" i="43"/>
  <c r="W2" i="43"/>
  <c r="U13" i="43"/>
  <c r="W15" i="43"/>
  <c r="U28" i="43"/>
  <c r="W8" i="43"/>
  <c r="U5" i="43"/>
  <c r="W12" i="43"/>
  <c r="U6" i="43"/>
  <c r="T9" i="43"/>
  <c r="K9" i="43" s="1"/>
  <c r="V19" i="43"/>
  <c r="T27" i="43"/>
  <c r="K27" i="43" s="1"/>
  <c r="V2" i="43"/>
  <c r="T13" i="43"/>
  <c r="V15" i="43"/>
  <c r="T28" i="43"/>
  <c r="V8" i="43"/>
  <c r="T5" i="43"/>
  <c r="V12" i="43"/>
  <c r="T6" i="43"/>
  <c r="K6" i="43" s="1"/>
  <c r="W17" i="43"/>
  <c r="W23" i="43"/>
  <c r="Z7" i="43"/>
  <c r="X17" i="43"/>
  <c r="X23" i="43"/>
  <c r="V21" i="43"/>
  <c r="T19" i="43"/>
  <c r="V17" i="43"/>
  <c r="T2" i="43"/>
  <c r="V18" i="43"/>
  <c r="T15" i="43"/>
  <c r="K15" i="43" s="1"/>
  <c r="V23" i="43"/>
  <c r="T8" i="43"/>
  <c r="K8" i="43" s="1"/>
  <c r="V4" i="43"/>
  <c r="T12" i="43"/>
  <c r="X11" i="43"/>
  <c r="AA7" i="43"/>
  <c r="Z25" i="43"/>
  <c r="Z10" i="43"/>
  <c r="Z14" i="43"/>
  <c r="Z11" i="43"/>
  <c r="X22" i="43"/>
  <c r="U21" i="43"/>
  <c r="W25" i="43"/>
  <c r="U17" i="43"/>
  <c r="W10" i="43"/>
  <c r="U18" i="43"/>
  <c r="W14" i="43"/>
  <c r="U23" i="43"/>
  <c r="W24" i="43"/>
  <c r="U4" i="43"/>
  <c r="W11" i="43"/>
  <c r="X14" i="43"/>
  <c r="Z24" i="43"/>
  <c r="X2" i="43"/>
  <c r="X8" i="43"/>
  <c r="T21" i="43"/>
  <c r="V25" i="43"/>
  <c r="T17" i="43"/>
  <c r="K17" i="43" s="1"/>
  <c r="V10" i="43"/>
  <c r="K10" i="43" s="1"/>
  <c r="T18" i="43"/>
  <c r="V14" i="43"/>
  <c r="K14" i="43" s="1"/>
  <c r="T23" i="43"/>
  <c r="V24" i="43"/>
  <c r="T4" i="43"/>
  <c r="V11" i="43"/>
  <c r="G31" i="51"/>
  <c r="H38" i="50"/>
  <c r="H44" i="50"/>
  <c r="H31" i="50"/>
  <c r="H50" i="50"/>
  <c r="H28" i="50"/>
  <c r="H21" i="50"/>
  <c r="H18" i="50"/>
  <c r="H36" i="50"/>
  <c r="H37" i="50"/>
  <c r="H29" i="50"/>
  <c r="H19" i="50"/>
  <c r="H4" i="50"/>
  <c r="H51" i="50"/>
  <c r="H9" i="50"/>
  <c r="H34" i="50"/>
  <c r="H7" i="50"/>
  <c r="H15" i="50"/>
  <c r="H20" i="50"/>
  <c r="H3" i="50"/>
  <c r="H46" i="50"/>
  <c r="H43" i="50"/>
  <c r="H49" i="50"/>
  <c r="H27" i="50"/>
  <c r="H12" i="50"/>
  <c r="H39" i="50"/>
  <c r="H40" i="50"/>
  <c r="H13" i="50"/>
  <c r="H47" i="50"/>
  <c r="H5" i="50"/>
  <c r="H32" i="50"/>
  <c r="H30" i="50"/>
  <c r="H52" i="50"/>
  <c r="H6" i="50"/>
  <c r="H26" i="50"/>
  <c r="H54" i="50"/>
  <c r="H8" i="50"/>
  <c r="H17" i="50"/>
  <c r="H23" i="50"/>
  <c r="H45" i="50"/>
  <c r="H22" i="50"/>
  <c r="H53" i="50"/>
  <c r="H10" i="50"/>
  <c r="H41" i="50"/>
  <c r="H14" i="50"/>
  <c r="H35" i="50"/>
  <c r="H48" i="50"/>
  <c r="H16" i="50"/>
  <c r="H25" i="50"/>
  <c r="H24" i="50"/>
  <c r="H11" i="50"/>
  <c r="H33" i="50"/>
  <c r="H2" i="50"/>
  <c r="I31" i="43"/>
  <c r="O36" i="43"/>
  <c r="I36" i="43"/>
  <c r="S36" i="43"/>
  <c r="H37" i="43"/>
  <c r="R37" i="43"/>
  <c r="N42" i="43"/>
  <c r="R42" i="43"/>
  <c r="I33" i="43"/>
  <c r="I41" i="43"/>
  <c r="O41" i="43"/>
  <c r="S41" i="43"/>
  <c r="AA37" i="43"/>
  <c r="Y10" i="43"/>
  <c r="H33" i="43"/>
  <c r="N32" i="43"/>
  <c r="Z42" i="43"/>
  <c r="AD33" i="43"/>
  <c r="Z32" i="43"/>
  <c r="Z20" i="43"/>
  <c r="AC27" i="43"/>
  <c r="Z16" i="43"/>
  <c r="Z26" i="43"/>
  <c r="Z22" i="43"/>
  <c r="AC5" i="43"/>
  <c r="Z3" i="43"/>
  <c r="R32" i="43"/>
  <c r="F33" i="43"/>
  <c r="G32" i="43"/>
  <c r="AA27" i="43"/>
  <c r="AA28" i="43"/>
  <c r="AA5" i="43"/>
  <c r="P36" i="43"/>
  <c r="Y7" i="43"/>
  <c r="AD41" i="43"/>
  <c r="AB33" i="43"/>
  <c r="AD31" i="43"/>
  <c r="Q34" i="43"/>
  <c r="AC18" i="43"/>
  <c r="Z12" i="43"/>
  <c r="AA41" i="43"/>
  <c r="Y38" i="43"/>
  <c r="AA31" i="43"/>
  <c r="Y19" i="43"/>
  <c r="Y15" i="43"/>
  <c r="Y8" i="43"/>
  <c r="S38" i="43"/>
  <c r="Q36" i="43"/>
  <c r="AD42" i="43"/>
  <c r="AD32" i="43"/>
  <c r="AD34" i="43"/>
  <c r="Y36" i="43"/>
  <c r="AA34" i="43"/>
  <c r="AD35" i="43"/>
  <c r="R40" i="43"/>
  <c r="R35" i="43"/>
  <c r="R30" i="43"/>
  <c r="M42" i="43"/>
  <c r="G42" i="43"/>
  <c r="I32" i="43"/>
  <c r="O32" i="43"/>
  <c r="N41" i="43"/>
  <c r="H41" i="43"/>
  <c r="L42" i="43"/>
  <c r="F42" i="43"/>
  <c r="H31" i="43"/>
  <c r="N31" i="43"/>
  <c r="O34" i="43"/>
  <c r="I34" i="43"/>
  <c r="O35" i="43"/>
  <c r="I35" i="43"/>
  <c r="G30" i="43"/>
  <c r="M30" i="43"/>
  <c r="F29" i="43"/>
  <c r="L29" i="43"/>
  <c r="O42" i="43"/>
  <c r="I42" i="43"/>
  <c r="M40" i="43"/>
  <c r="G40" i="43"/>
  <c r="L39" i="43"/>
  <c r="F39" i="43"/>
  <c r="N34" i="43"/>
  <c r="H34" i="43"/>
  <c r="O38" i="43"/>
  <c r="N37" i="43"/>
  <c r="G41" i="43"/>
  <c r="F40" i="43"/>
  <c r="N38" i="43"/>
  <c r="S37" i="43"/>
  <c r="M37" i="43"/>
  <c r="R36" i="43"/>
  <c r="L36" i="43"/>
  <c r="Q35" i="43"/>
  <c r="F30" i="43"/>
  <c r="O29" i="43"/>
  <c r="N40" i="43"/>
  <c r="S39" i="43"/>
  <c r="M39" i="43"/>
  <c r="L38" i="43"/>
  <c r="N30" i="43"/>
  <c r="R39" i="43"/>
  <c r="P37" i="43"/>
  <c r="R29" i="43"/>
  <c r="H38" i="43"/>
  <c r="F36" i="43"/>
  <c r="G37" i="43"/>
  <c r="L33" i="43"/>
  <c r="N76" i="46"/>
  <c r="N56" i="46"/>
  <c r="O26" i="46"/>
  <c r="V33" i="46"/>
  <c r="V62" i="46"/>
  <c r="Q62" i="46"/>
  <c r="M62" i="46" s="1"/>
  <c r="V45" i="46"/>
  <c r="V39" i="46"/>
  <c r="Q39" i="46"/>
  <c r="M39" i="46" s="1"/>
  <c r="V25" i="46"/>
  <c r="N26" i="46"/>
  <c r="X54" i="46"/>
  <c r="Q73" i="46"/>
  <c r="M73" i="46" s="1"/>
  <c r="T65" i="46"/>
  <c r="P65" i="46" s="1"/>
  <c r="S62" i="46"/>
  <c r="O62" i="46" s="1"/>
  <c r="Q18" i="46"/>
  <c r="M18" i="46" s="1"/>
  <c r="S13" i="46"/>
  <c r="O13" i="46" s="1"/>
  <c r="Q10" i="46"/>
  <c r="M10" i="46" s="1"/>
  <c r="V49" i="46"/>
  <c r="Q49" i="46"/>
  <c r="M49" i="46" s="1"/>
  <c r="R51" i="46"/>
  <c r="N51" i="46" s="1"/>
  <c r="S65" i="46"/>
  <c r="O65" i="46" s="1"/>
  <c r="T17" i="46"/>
  <c r="P17" i="46" s="1"/>
  <c r="V43" i="46"/>
  <c r="V29" i="46"/>
  <c r="Q29" i="46"/>
  <c r="M29" i="46" s="1"/>
  <c r="V17" i="46"/>
  <c r="Q17" i="46"/>
  <c r="M17" i="46" s="1"/>
  <c r="V5" i="46"/>
  <c r="Q52" i="46"/>
  <c r="M52" i="46" s="1"/>
  <c r="V52" i="46"/>
  <c r="M6" i="46"/>
  <c r="X69" i="46"/>
  <c r="T75" i="46"/>
  <c r="P75" i="46" s="1"/>
  <c r="S72" i="46"/>
  <c r="O72" i="46" s="1"/>
  <c r="R65" i="46"/>
  <c r="N65" i="46" s="1"/>
  <c r="Q46" i="46"/>
  <c r="M46" i="46" s="1"/>
  <c r="Q38" i="46"/>
  <c r="M38" i="46" s="1"/>
  <c r="S33" i="46"/>
  <c r="O33" i="46" s="1"/>
  <c r="Q30" i="46"/>
  <c r="M30" i="46" s="1"/>
  <c r="Q21" i="46"/>
  <c r="M21" i="46" s="1"/>
  <c r="Q5" i="46"/>
  <c r="M5" i="46" s="1"/>
  <c r="V47" i="46"/>
  <c r="Q47" i="46"/>
  <c r="M47" i="46" s="1"/>
  <c r="V13" i="46"/>
  <c r="S74" i="46"/>
  <c r="O74" i="46" s="1"/>
  <c r="X74" i="46"/>
  <c r="Q44" i="46"/>
  <c r="Q34" i="46"/>
  <c r="M34" i="46" s="1"/>
  <c r="Q32" i="46"/>
  <c r="M32" i="46" s="1"/>
  <c r="V24" i="46"/>
  <c r="Q24" i="46"/>
  <c r="Q22" i="46"/>
  <c r="M22" i="46" s="1"/>
  <c r="Q14" i="46"/>
  <c r="M14" i="46" s="1"/>
  <c r="Q12" i="46"/>
  <c r="M12" i="46" s="1"/>
  <c r="Q4" i="46"/>
  <c r="M4" i="46" s="1"/>
  <c r="S75" i="46"/>
  <c r="O75" i="46" s="1"/>
  <c r="T37" i="46"/>
  <c r="P37" i="46" s="1"/>
  <c r="V35" i="46"/>
  <c r="V15" i="46"/>
  <c r="V7" i="46"/>
  <c r="Q7" i="46"/>
  <c r="M7" i="46" s="1"/>
  <c r="Q72" i="46"/>
  <c r="M72" i="46" s="1"/>
  <c r="Q23" i="46"/>
  <c r="O55" i="46"/>
  <c r="Q42" i="46"/>
  <c r="M42" i="46" s="1"/>
  <c r="W2" i="46"/>
  <c r="O2" i="46"/>
  <c r="AA9" i="46"/>
  <c r="T9" i="46"/>
  <c r="P9" i="46" s="1"/>
  <c r="T60" i="46"/>
  <c r="P60" i="46" s="1"/>
  <c r="S57" i="46"/>
  <c r="O57" i="46" s="1"/>
  <c r="Q41" i="46"/>
  <c r="M41" i="46" s="1"/>
  <c r="Q33" i="46"/>
  <c r="M33" i="46" s="1"/>
  <c r="Q25" i="46"/>
  <c r="M25" i="46" s="1"/>
  <c r="Q16" i="46"/>
  <c r="Q8" i="46"/>
  <c r="M8" i="46" s="1"/>
  <c r="T3" i="46"/>
  <c r="P3" i="46" s="1"/>
  <c r="AA39" i="46"/>
  <c r="T39" i="46"/>
  <c r="P39" i="46" s="1"/>
  <c r="AA21" i="46"/>
  <c r="T21" i="46"/>
  <c r="W70" i="46"/>
  <c r="X64" i="46"/>
  <c r="V28" i="46"/>
  <c r="S60" i="46"/>
  <c r="O60" i="46" s="1"/>
  <c r="T23" i="46"/>
  <c r="P23" i="46" s="1"/>
  <c r="S3" i="46"/>
  <c r="O3" i="46" s="1"/>
  <c r="V37" i="46"/>
  <c r="Q37" i="46"/>
  <c r="M37" i="46" s="1"/>
  <c r="V19" i="46"/>
  <c r="Q19" i="46"/>
  <c r="M19" i="46" s="1"/>
  <c r="Q31" i="46"/>
  <c r="M31" i="46" s="1"/>
  <c r="N18" i="46"/>
  <c r="AA19" i="46"/>
  <c r="T19" i="46"/>
  <c r="P19" i="46" s="1"/>
  <c r="X41" i="46"/>
  <c r="S41" i="46"/>
  <c r="O41" i="46" s="1"/>
  <c r="S29" i="46"/>
  <c r="O29" i="46" s="1"/>
  <c r="S21" i="46"/>
  <c r="X11" i="46"/>
  <c r="S11" i="46"/>
  <c r="O11" i="46" s="1"/>
  <c r="S67" i="46"/>
  <c r="O67" i="46" s="1"/>
  <c r="Q53" i="46"/>
  <c r="M53" i="46" s="1"/>
  <c r="Q45" i="46"/>
  <c r="M45" i="46" s="1"/>
  <c r="Q28" i="46"/>
  <c r="M28" i="46" s="1"/>
  <c r="S23" i="46"/>
  <c r="O23" i="46" s="1"/>
  <c r="Q20" i="46"/>
  <c r="M20" i="46" s="1"/>
  <c r="Q11" i="46"/>
  <c r="M11" i="46" s="1"/>
  <c r="V27" i="46"/>
  <c r="Q27" i="46"/>
  <c r="M27" i="46" s="1"/>
  <c r="V3" i="46"/>
  <c r="S49" i="46"/>
  <c r="O49" i="46" s="1"/>
  <c r="S39" i="46"/>
  <c r="O39" i="46" s="1"/>
  <c r="X31" i="46"/>
  <c r="S31" i="46"/>
  <c r="O31" i="46" s="1"/>
  <c r="S19" i="46"/>
  <c r="O19" i="46" s="1"/>
  <c r="S9" i="46"/>
  <c r="O9" i="46" s="1"/>
  <c r="T70" i="46"/>
  <c r="P70" i="46" s="1"/>
  <c r="W47" i="46"/>
  <c r="R47" i="46"/>
  <c r="N47" i="46" s="1"/>
  <c r="W37" i="46"/>
  <c r="R37" i="46"/>
  <c r="N37" i="46" s="1"/>
  <c r="W17" i="46"/>
  <c r="R17" i="46"/>
  <c r="N17" i="46" s="1"/>
  <c r="W57" i="46"/>
  <c r="R57" i="46"/>
  <c r="V57" i="46"/>
  <c r="S70" i="46"/>
  <c r="O70" i="46" s="1"/>
  <c r="Q60" i="46"/>
  <c r="M60" i="46" s="1"/>
  <c r="R31" i="46"/>
  <c r="N31" i="46" s="1"/>
  <c r="R23" i="46"/>
  <c r="N23" i="46" s="1"/>
  <c r="R15" i="46"/>
  <c r="N15" i="46" s="1"/>
  <c r="Q3" i="46"/>
  <c r="M3" i="46" s="1"/>
  <c r="X46" i="46"/>
  <c r="AA34" i="46"/>
  <c r="Q74" i="46"/>
  <c r="Q69" i="46"/>
  <c r="Q64" i="46"/>
  <c r="Q59" i="46"/>
  <c r="M59" i="46" s="1"/>
  <c r="Q54" i="46"/>
  <c r="S46" i="46"/>
  <c r="S16" i="46"/>
  <c r="O16" i="46" s="1"/>
  <c r="S6" i="46"/>
  <c r="O6" i="46" s="1"/>
  <c r="AA44" i="46"/>
  <c r="AA26" i="46"/>
  <c r="T44" i="46"/>
  <c r="T24" i="46"/>
  <c r="P24" i="46" s="1"/>
  <c r="AA36" i="46"/>
  <c r="V60" i="46"/>
  <c r="W9" i="46"/>
  <c r="V4" i="46"/>
  <c r="W73" i="46"/>
  <c r="W68" i="46"/>
  <c r="W63" i="46"/>
  <c r="W58" i="46"/>
  <c r="W53" i="46"/>
  <c r="X2" i="46"/>
  <c r="Z72" i="46"/>
  <c r="Z64" i="46"/>
  <c r="W60" i="46"/>
  <c r="W52" i="46"/>
  <c r="AA41" i="46"/>
  <c r="AA31" i="46"/>
  <c r="W28" i="46"/>
  <c r="W24" i="46"/>
  <c r="V20" i="46"/>
  <c r="V16" i="46"/>
  <c r="V12" i="46"/>
  <c r="V8" i="46"/>
  <c r="X55" i="46"/>
  <c r="AA15" i="46"/>
  <c r="AA11" i="46"/>
  <c r="Y17" i="46"/>
  <c r="Y9" i="46"/>
  <c r="W72" i="46"/>
  <c r="Z67" i="46"/>
  <c r="Z59" i="46"/>
  <c r="W55" i="46"/>
  <c r="V51" i="46"/>
  <c r="AA47" i="46"/>
  <c r="W44" i="46"/>
  <c r="AA40" i="46"/>
  <c r="AA30" i="46"/>
  <c r="AA27" i="46"/>
  <c r="AA7" i="46"/>
  <c r="Y27" i="46"/>
  <c r="Y7" i="46"/>
  <c r="Z51" i="46"/>
  <c r="X49" i="46"/>
  <c r="X47" i="46"/>
  <c r="X45" i="46"/>
  <c r="X39" i="46"/>
  <c r="X37" i="46"/>
  <c r="X35" i="46"/>
  <c r="X29" i="46"/>
  <c r="X27" i="46"/>
  <c r="X25" i="46"/>
  <c r="X21" i="46"/>
  <c r="X19" i="46"/>
  <c r="X17" i="46"/>
  <c r="X15" i="46"/>
  <c r="X9" i="46"/>
  <c r="X7" i="46"/>
  <c r="X5" i="46"/>
  <c r="X75" i="46"/>
  <c r="V63" i="46"/>
  <c r="X59" i="46"/>
  <c r="V55" i="46"/>
  <c r="Y47" i="46"/>
  <c r="V44" i="46"/>
  <c r="X40" i="46"/>
  <c r="Y37" i="46"/>
  <c r="V34" i="46"/>
  <c r="X30" i="46"/>
  <c r="X18" i="46"/>
  <c r="X14" i="46"/>
  <c r="X10" i="46"/>
  <c r="W67" i="46"/>
  <c r="AA33" i="46"/>
  <c r="W30" i="46"/>
  <c r="X26" i="46"/>
  <c r="W18" i="46"/>
  <c r="V68" i="46"/>
  <c r="W19" i="46"/>
  <c r="W13" i="46"/>
  <c r="W5" i="46"/>
  <c r="AA43" i="46"/>
  <c r="V23" i="46"/>
  <c r="V9" i="46"/>
  <c r="V75" i="46"/>
  <c r="V67" i="46"/>
  <c r="V58" i="46"/>
  <c r="V50" i="46"/>
  <c r="Y43" i="46"/>
  <c r="X36" i="46"/>
  <c r="V30" i="46"/>
  <c r="W26" i="46"/>
  <c r="W22" i="46"/>
  <c r="V18" i="46"/>
  <c r="V14" i="46"/>
  <c r="V6" i="46"/>
  <c r="W21" i="46"/>
  <c r="W7" i="46"/>
  <c r="AA46" i="46"/>
  <c r="W51" i="46"/>
  <c r="W74" i="46"/>
  <c r="W64" i="46"/>
  <c r="W54" i="46"/>
  <c r="Z74" i="46"/>
  <c r="W62" i="46"/>
  <c r="Z57" i="46"/>
  <c r="AA49" i="46"/>
  <c r="W46" i="46"/>
  <c r="AA29" i="46"/>
  <c r="V26" i="46"/>
  <c r="V22" i="46"/>
  <c r="AA5" i="46"/>
  <c r="W39" i="46"/>
  <c r="W29" i="46"/>
  <c r="Y46" i="46"/>
  <c r="Y30" i="46"/>
  <c r="Y18" i="46"/>
  <c r="Y16" i="46"/>
  <c r="Y12" i="46"/>
  <c r="Y6" i="46"/>
  <c r="V70" i="46"/>
  <c r="V53" i="46"/>
  <c r="V46" i="46"/>
  <c r="X42" i="46"/>
  <c r="V36" i="46"/>
  <c r="X32" i="46"/>
  <c r="Y29" i="46"/>
  <c r="AA25" i="46"/>
  <c r="W49" i="46"/>
  <c r="W27" i="46"/>
  <c r="AA2" i="46"/>
  <c r="Z69" i="46"/>
  <c r="Z52" i="46"/>
  <c r="AA45" i="46"/>
  <c r="AA35" i="46"/>
  <c r="X20" i="46"/>
  <c r="X12" i="46"/>
  <c r="X4" i="46"/>
  <c r="X51" i="46"/>
  <c r="W69" i="46"/>
  <c r="Y2" i="46"/>
  <c r="V73" i="46"/>
  <c r="V65" i="46"/>
  <c r="V42" i="46"/>
  <c r="V32" i="46"/>
  <c r="X24" i="46"/>
  <c r="W20" i="46"/>
  <c r="W12" i="46"/>
  <c r="X76" i="46"/>
  <c r="X71" i="46"/>
  <c r="X66" i="46"/>
  <c r="X61" i="46"/>
  <c r="X56" i="46"/>
  <c r="W3" i="30"/>
  <c r="T4" i="30"/>
  <c r="U4" i="30"/>
  <c r="V4" i="30"/>
  <c r="W5" i="30"/>
  <c r="T6" i="30"/>
  <c r="T7" i="30"/>
  <c r="U7" i="30"/>
  <c r="W8" i="30"/>
  <c r="T9" i="30"/>
  <c r="U9" i="30"/>
  <c r="U10" i="30"/>
  <c r="W10" i="30"/>
  <c r="W11" i="30"/>
  <c r="U13" i="30"/>
  <c r="U15" i="30"/>
  <c r="W16" i="30"/>
  <c r="T18" i="30"/>
  <c r="U18" i="30"/>
  <c r="W18" i="30"/>
  <c r="U20" i="30"/>
  <c r="W21" i="30"/>
  <c r="W22" i="30"/>
  <c r="T25" i="30"/>
  <c r="U25" i="30"/>
  <c r="T26" i="30"/>
  <c r="U26" i="30"/>
  <c r="W27" i="30"/>
  <c r="T28" i="30"/>
  <c r="U28" i="30"/>
  <c r="U29" i="30"/>
  <c r="W29" i="30"/>
  <c r="U31" i="30"/>
  <c r="U34" i="30"/>
  <c r="T36" i="30"/>
  <c r="U36" i="30"/>
  <c r="W37" i="30"/>
  <c r="W38" i="30"/>
  <c r="W40" i="30"/>
  <c r="T42" i="30"/>
  <c r="U42" i="30"/>
  <c r="W43" i="30"/>
  <c r="T44" i="30"/>
  <c r="U44" i="30"/>
  <c r="W44" i="30"/>
  <c r="U45" i="30"/>
  <c r="W45" i="30"/>
  <c r="T47" i="30"/>
  <c r="U50" i="30"/>
  <c r="W51" i="30"/>
  <c r="U52" i="30"/>
  <c r="V53" i="30"/>
  <c r="W53" i="30"/>
  <c r="U54" i="30"/>
  <c r="T55" i="30"/>
  <c r="T57" i="30"/>
  <c r="U57" i="30"/>
  <c r="U58" i="30"/>
  <c r="U59" i="30"/>
  <c r="W59" i="30"/>
  <c r="U62" i="30"/>
  <c r="T63" i="30"/>
  <c r="U66" i="30"/>
  <c r="W66" i="30"/>
  <c r="W67" i="30"/>
  <c r="W68" i="30"/>
  <c r="V69" i="30"/>
  <c r="W71" i="30"/>
  <c r="W73" i="30"/>
  <c r="W75" i="30"/>
  <c r="U76" i="30"/>
  <c r="U78" i="30"/>
  <c r="T80" i="30"/>
  <c r="U80" i="30"/>
  <c r="W83" i="30"/>
  <c r="W90" i="30"/>
  <c r="W92" i="30"/>
  <c r="W94" i="30"/>
  <c r="U97" i="30"/>
  <c r="U99" i="30"/>
  <c r="V99" i="30"/>
  <c r="U101" i="30"/>
  <c r="W101" i="30"/>
  <c r="U105" i="30"/>
  <c r="U107" i="30"/>
  <c r="W108" i="30"/>
  <c r="B34" i="47"/>
  <c r="D34" i="47" s="1"/>
  <c r="T112" i="30"/>
  <c r="U112" i="30"/>
  <c r="B68" i="47"/>
  <c r="D68" i="47" s="1"/>
  <c r="W113" i="30"/>
  <c r="U115" i="30"/>
  <c r="V115" i="30"/>
  <c r="B118" i="47"/>
  <c r="D118" i="47" s="1"/>
  <c r="W116" i="30"/>
  <c r="W2" i="30"/>
  <c r="C53" i="47"/>
  <c r="E53" i="47" s="1"/>
  <c r="C54" i="47"/>
  <c r="E54" i="47" s="1"/>
  <c r="C55" i="47"/>
  <c r="E55" i="47" s="1"/>
  <c r="C56" i="47"/>
  <c r="E56" i="47" s="1"/>
  <c r="C57" i="47"/>
  <c r="E57" i="47" s="1"/>
  <c r="C58" i="47"/>
  <c r="E58" i="47" s="1"/>
  <c r="C59" i="47"/>
  <c r="E59" i="47" s="1"/>
  <c r="C60" i="47"/>
  <c r="E60" i="47" s="1"/>
  <c r="C61" i="47"/>
  <c r="E61" i="47" s="1"/>
  <c r="C62" i="47"/>
  <c r="E62" i="47" s="1"/>
  <c r="C63" i="47"/>
  <c r="E63" i="47" s="1"/>
  <c r="C64" i="47"/>
  <c r="E64" i="47" s="1"/>
  <c r="C65" i="47"/>
  <c r="E65" i="47" s="1"/>
  <c r="C66" i="47"/>
  <c r="E66" i="47" s="1"/>
  <c r="C67" i="47"/>
  <c r="E67" i="47" s="1"/>
  <c r="C68" i="47"/>
  <c r="E68" i="47" s="1"/>
  <c r="C69" i="47"/>
  <c r="E69" i="47" s="1"/>
  <c r="C70" i="47"/>
  <c r="E70" i="47" s="1"/>
  <c r="C71" i="47"/>
  <c r="E71" i="47" s="1"/>
  <c r="C72" i="47"/>
  <c r="E72" i="47" s="1"/>
  <c r="C73" i="47"/>
  <c r="E73" i="47" s="1"/>
  <c r="C74" i="47"/>
  <c r="E74" i="47" s="1"/>
  <c r="C75" i="47"/>
  <c r="E75" i="47" s="1"/>
  <c r="C76" i="47"/>
  <c r="E76" i="47" s="1"/>
  <c r="C77" i="47"/>
  <c r="E77" i="47" s="1"/>
  <c r="C78" i="47"/>
  <c r="E78" i="47" s="1"/>
  <c r="C79" i="47"/>
  <c r="E79" i="47" s="1"/>
  <c r="C80" i="47"/>
  <c r="E80" i="47" s="1"/>
  <c r="C81" i="47"/>
  <c r="E81" i="47" s="1"/>
  <c r="C82" i="47"/>
  <c r="E82" i="47" s="1"/>
  <c r="C83" i="47"/>
  <c r="E83" i="47" s="1"/>
  <c r="C84" i="47"/>
  <c r="E84" i="47" s="1"/>
  <c r="C85" i="47"/>
  <c r="E85" i="47" s="1"/>
  <c r="C86" i="47"/>
  <c r="E86" i="47" s="1"/>
  <c r="C87" i="47"/>
  <c r="E87" i="47" s="1"/>
  <c r="C88" i="47"/>
  <c r="E88" i="47" s="1"/>
  <c r="C105" i="47"/>
  <c r="E105" i="47" s="1"/>
  <c r="C106" i="47"/>
  <c r="E106" i="47" s="1"/>
  <c r="C107" i="47"/>
  <c r="E107" i="47" s="1"/>
  <c r="C108" i="47"/>
  <c r="E108" i="47" s="1"/>
  <c r="C109" i="47"/>
  <c r="E109" i="47" s="1"/>
  <c r="C110" i="47"/>
  <c r="E110" i="47" s="1"/>
  <c r="C111" i="47"/>
  <c r="E111" i="47" s="1"/>
  <c r="C112" i="47"/>
  <c r="E112" i="47" s="1"/>
  <c r="C113" i="47"/>
  <c r="E113" i="47" s="1"/>
  <c r="C114" i="47"/>
  <c r="E114" i="47" s="1"/>
  <c r="C115" i="47"/>
  <c r="E115" i="47" s="1"/>
  <c r="C116" i="47"/>
  <c r="E116" i="47" s="1"/>
  <c r="C117" i="47"/>
  <c r="E117" i="47" s="1"/>
  <c r="C118" i="47"/>
  <c r="E118" i="47" s="1"/>
  <c r="B3" i="47"/>
  <c r="D3" i="47" s="1"/>
  <c r="B4" i="47"/>
  <c r="D4" i="47" s="1"/>
  <c r="B5" i="47"/>
  <c r="D5" i="47" s="1"/>
  <c r="B6" i="47"/>
  <c r="D6" i="47" s="1"/>
  <c r="B7" i="47"/>
  <c r="D7" i="47" s="1"/>
  <c r="B8" i="47"/>
  <c r="D8" i="47" s="1"/>
  <c r="B9" i="47"/>
  <c r="D9" i="47" s="1"/>
  <c r="B10" i="47"/>
  <c r="D10" i="47" s="1"/>
  <c r="B53" i="47"/>
  <c r="D53" i="47" s="1"/>
  <c r="B54" i="47"/>
  <c r="D54" i="47" s="1"/>
  <c r="B55" i="47"/>
  <c r="D55" i="47" s="1"/>
  <c r="B56" i="47"/>
  <c r="D56" i="47" s="1"/>
  <c r="B57" i="47"/>
  <c r="D57" i="47" s="1"/>
  <c r="B58" i="47"/>
  <c r="D58" i="47" s="1"/>
  <c r="B59" i="47"/>
  <c r="D59" i="47" s="1"/>
  <c r="B60" i="47"/>
  <c r="D60" i="47" s="1"/>
  <c r="B61" i="47"/>
  <c r="D61" i="47" s="1"/>
  <c r="B19" i="47"/>
  <c r="B62" i="47"/>
  <c r="D62" i="47" s="1"/>
  <c r="B16" i="47"/>
  <c r="D16" i="47" s="1"/>
  <c r="B37" i="47"/>
  <c r="D37" i="47" s="1"/>
  <c r="B39" i="47"/>
  <c r="D39" i="47" s="1"/>
  <c r="B23" i="47"/>
  <c r="D23" i="47" s="1"/>
  <c r="B63" i="47"/>
  <c r="D63" i="47" s="1"/>
  <c r="B17" i="47"/>
  <c r="D17" i="47" s="1"/>
  <c r="B64" i="47"/>
  <c r="D64" i="47" s="1"/>
  <c r="B25" i="47"/>
  <c r="D25" i="47" s="1"/>
  <c r="B65" i="47"/>
  <c r="D65" i="47" s="1"/>
  <c r="B12" i="47"/>
  <c r="D12" i="47" s="1"/>
  <c r="B27" i="47"/>
  <c r="D27" i="47" s="1"/>
  <c r="B32" i="47"/>
  <c r="D32" i="47" s="1"/>
  <c r="B30" i="47"/>
  <c r="D30" i="47" s="1"/>
  <c r="B26" i="47"/>
  <c r="D26" i="47" s="1"/>
  <c r="B35" i="47"/>
  <c r="D35" i="47" s="1"/>
  <c r="B41" i="47"/>
  <c r="D41" i="47" s="1"/>
  <c r="B22" i="47"/>
  <c r="D22" i="47" s="1"/>
  <c r="B66" i="47"/>
  <c r="D66" i="47" s="1"/>
  <c r="B29" i="47"/>
  <c r="D29" i="47" s="1"/>
  <c r="B36" i="47"/>
  <c r="D36" i="47" s="1"/>
  <c r="B67" i="47"/>
  <c r="D67" i="47" s="1"/>
  <c r="B33" i="47"/>
  <c r="D33" i="47" s="1"/>
  <c r="B15" i="47"/>
  <c r="D15" i="47" s="1"/>
  <c r="B69" i="47"/>
  <c r="D69" i="47" s="1"/>
  <c r="B70" i="47"/>
  <c r="D70" i="47" s="1"/>
  <c r="B18" i="47"/>
  <c r="D18" i="47" s="1"/>
  <c r="B13" i="47"/>
  <c r="D13" i="47" s="1"/>
  <c r="B71" i="47"/>
  <c r="D71" i="47" s="1"/>
  <c r="B14" i="47"/>
  <c r="D14" i="47" s="1"/>
  <c r="B38" i="47"/>
  <c r="D38" i="47" s="1"/>
  <c r="B31" i="47"/>
  <c r="D31" i="47" s="1"/>
  <c r="B46" i="47"/>
  <c r="D46" i="47" s="1"/>
  <c r="B73" i="47"/>
  <c r="D73" i="47" s="1"/>
  <c r="B28" i="47"/>
  <c r="D28" i="47" s="1"/>
  <c r="B44" i="47"/>
  <c r="D44" i="47" s="1"/>
  <c r="B74" i="47"/>
  <c r="D74" i="47" s="1"/>
  <c r="B45" i="47"/>
  <c r="D45" i="47" s="1"/>
  <c r="B24" i="47"/>
  <c r="D24" i="47" s="1"/>
  <c r="B75" i="47"/>
  <c r="D75" i="47" s="1"/>
  <c r="B48" i="47"/>
  <c r="D48" i="47" s="1"/>
  <c r="B76" i="47"/>
  <c r="D76" i="47" s="1"/>
  <c r="B20" i="47"/>
  <c r="D20" i="47" s="1"/>
  <c r="B50" i="47"/>
  <c r="D50" i="47" s="1"/>
  <c r="B78" i="47"/>
  <c r="D78" i="47" s="1"/>
  <c r="B43" i="47"/>
  <c r="D43" i="47" s="1"/>
  <c r="B79" i="47"/>
  <c r="D79" i="47" s="1"/>
  <c r="B80" i="47"/>
  <c r="D80" i="47" s="1"/>
  <c r="B81" i="47"/>
  <c r="D81" i="47" s="1"/>
  <c r="B21" i="47"/>
  <c r="D21" i="47" s="1"/>
  <c r="B82" i="47"/>
  <c r="D82" i="47" s="1"/>
  <c r="B83" i="47"/>
  <c r="D83" i="47" s="1"/>
  <c r="B40" i="47"/>
  <c r="D40" i="47" s="1"/>
  <c r="B47" i="47"/>
  <c r="D47" i="47" s="1"/>
  <c r="B84" i="47"/>
  <c r="D84" i="47" s="1"/>
  <c r="B86" i="47"/>
  <c r="D86" i="47" s="1"/>
  <c r="B49" i="47"/>
  <c r="D49" i="47" s="1"/>
  <c r="B42" i="47"/>
  <c r="D42" i="47" s="1"/>
  <c r="B87" i="47"/>
  <c r="D87" i="47" s="1"/>
  <c r="B88" i="47"/>
  <c r="D88" i="47" s="1"/>
  <c r="B89" i="47"/>
  <c r="D89" i="47" s="1"/>
  <c r="B90" i="47"/>
  <c r="D90" i="47" s="1"/>
  <c r="B92" i="47"/>
  <c r="D92" i="47" s="1"/>
  <c r="B93" i="47"/>
  <c r="D93" i="47" s="1"/>
  <c r="B94" i="47"/>
  <c r="D94" i="47" s="1"/>
  <c r="B95" i="47"/>
  <c r="D95" i="47" s="1"/>
  <c r="B97" i="47"/>
  <c r="D97" i="47" s="1"/>
  <c r="B98" i="47"/>
  <c r="D98" i="47" s="1"/>
  <c r="B99" i="47"/>
  <c r="D99" i="47" s="1"/>
  <c r="B100" i="47"/>
  <c r="D100" i="47" s="1"/>
  <c r="B101" i="47"/>
  <c r="D101" i="47" s="1"/>
  <c r="B102" i="47"/>
  <c r="D102" i="47" s="1"/>
  <c r="B103" i="47"/>
  <c r="D103" i="47" s="1"/>
  <c r="B104" i="47"/>
  <c r="D104" i="47" s="1"/>
  <c r="B105" i="47"/>
  <c r="D105" i="47" s="1"/>
  <c r="B106" i="47"/>
  <c r="D106" i="47" s="1"/>
  <c r="B108" i="47"/>
  <c r="D108" i="47" s="1"/>
  <c r="B109" i="47"/>
  <c r="D109" i="47" s="1"/>
  <c r="B110" i="47"/>
  <c r="D110" i="47" s="1"/>
  <c r="B111" i="47"/>
  <c r="D111" i="47" s="1"/>
  <c r="B112" i="47"/>
  <c r="D112" i="47" s="1"/>
  <c r="B113" i="47"/>
  <c r="D113" i="47" s="1"/>
  <c r="B114" i="47"/>
  <c r="D114" i="47" s="1"/>
  <c r="B115" i="47"/>
  <c r="D115" i="47" s="1"/>
  <c r="B116" i="47"/>
  <c r="D116" i="47" s="1"/>
  <c r="B117" i="47"/>
  <c r="D117" i="47" s="1"/>
  <c r="B2" i="47"/>
  <c r="D2" i="47" s="1"/>
  <c r="J88" i="47"/>
  <c r="I88" i="47"/>
  <c r="H88" i="47"/>
  <c r="F88" i="47" s="1"/>
  <c r="K118" i="47"/>
  <c r="J118" i="47"/>
  <c r="I118" i="47"/>
  <c r="H118" i="47"/>
  <c r="F118" i="47" s="1"/>
  <c r="K117" i="47"/>
  <c r="J117" i="47"/>
  <c r="I117" i="47"/>
  <c r="H117" i="47"/>
  <c r="F117" i="47" s="1"/>
  <c r="J87" i="47"/>
  <c r="I87" i="47"/>
  <c r="H87" i="47"/>
  <c r="F87" i="47" s="1"/>
  <c r="K116" i="47"/>
  <c r="J116" i="47"/>
  <c r="I116" i="47"/>
  <c r="H116" i="47"/>
  <c r="F116" i="47" s="1"/>
  <c r="G116" i="47" s="1" a="1"/>
  <c r="G116" i="47" s="1"/>
  <c r="J73" i="47"/>
  <c r="I73" i="47"/>
  <c r="H73" i="47"/>
  <c r="F73" i="47" s="1"/>
  <c r="J76" i="47"/>
  <c r="I76" i="47"/>
  <c r="H76" i="47"/>
  <c r="F76" i="47" s="1"/>
  <c r="J81" i="47"/>
  <c r="I81" i="47"/>
  <c r="H81" i="47"/>
  <c r="F81" i="47" s="1"/>
  <c r="J61" i="47"/>
  <c r="I61" i="47"/>
  <c r="H61" i="47"/>
  <c r="F61" i="47" s="1"/>
  <c r="J62" i="47"/>
  <c r="I62" i="47"/>
  <c r="H62" i="47"/>
  <c r="F62" i="47" s="1"/>
  <c r="J60" i="47"/>
  <c r="I60" i="47"/>
  <c r="H60" i="47"/>
  <c r="F60" i="47" s="1"/>
  <c r="J78" i="47"/>
  <c r="I78" i="47"/>
  <c r="H78" i="47"/>
  <c r="F78" i="47" s="1"/>
  <c r="J79" i="47"/>
  <c r="I79" i="47"/>
  <c r="H79" i="47"/>
  <c r="F79" i="47" s="1"/>
  <c r="J82" i="47"/>
  <c r="I82" i="47"/>
  <c r="H82" i="47"/>
  <c r="F82" i="47" s="1"/>
  <c r="J80" i="47"/>
  <c r="I80" i="47"/>
  <c r="H80" i="47"/>
  <c r="F80" i="47" s="1"/>
  <c r="J77" i="47"/>
  <c r="I77" i="47"/>
  <c r="H77" i="47"/>
  <c r="F77" i="47" s="1"/>
  <c r="J84" i="47"/>
  <c r="I84" i="47"/>
  <c r="H84" i="47"/>
  <c r="F84" i="47" s="1"/>
  <c r="J63" i="47"/>
  <c r="I63" i="47"/>
  <c r="H63" i="47"/>
  <c r="F63" i="47" s="1"/>
  <c r="J86" i="47"/>
  <c r="I86" i="47"/>
  <c r="H86" i="47"/>
  <c r="F86" i="47" s="1"/>
  <c r="J67" i="47"/>
  <c r="I67" i="47"/>
  <c r="H67" i="47"/>
  <c r="F67" i="47" s="1"/>
  <c r="J85" i="47"/>
  <c r="I85" i="47"/>
  <c r="H85" i="47"/>
  <c r="F85" i="47" s="1"/>
  <c r="J74" i="47"/>
  <c r="I74" i="47"/>
  <c r="H74" i="47"/>
  <c r="F74" i="47" s="1"/>
  <c r="J66" i="47"/>
  <c r="I66" i="47"/>
  <c r="H66" i="47"/>
  <c r="F66" i="47" s="1"/>
  <c r="J64" i="47"/>
  <c r="I64" i="47"/>
  <c r="H64" i="47"/>
  <c r="F64" i="47" s="1"/>
  <c r="K115" i="47"/>
  <c r="J115" i="47"/>
  <c r="I115" i="47"/>
  <c r="H115" i="47"/>
  <c r="F115" i="47" s="1"/>
  <c r="J69" i="47"/>
  <c r="I69" i="47"/>
  <c r="H69" i="47"/>
  <c r="F69" i="47" s="1"/>
  <c r="J59" i="47"/>
  <c r="I59" i="47"/>
  <c r="H59" i="47"/>
  <c r="F59" i="47" s="1"/>
  <c r="J58" i="47"/>
  <c r="I58" i="47"/>
  <c r="H58" i="47"/>
  <c r="F58" i="47" s="1"/>
  <c r="J57" i="47"/>
  <c r="I57" i="47"/>
  <c r="H57" i="47"/>
  <c r="F57" i="47" s="1"/>
  <c r="K114" i="47"/>
  <c r="J114" i="47"/>
  <c r="I114" i="47"/>
  <c r="H114" i="47"/>
  <c r="F114" i="47" s="1"/>
  <c r="G114" i="47" s="1" a="1"/>
  <c r="G114" i="47" s="1"/>
  <c r="J65" i="47"/>
  <c r="I65" i="47"/>
  <c r="H65" i="47"/>
  <c r="F65" i="47" s="1"/>
  <c r="K113" i="47"/>
  <c r="J113" i="47"/>
  <c r="I113" i="47"/>
  <c r="H113" i="47"/>
  <c r="F113" i="47" s="1"/>
  <c r="G113" i="47" s="1" a="1"/>
  <c r="G113" i="47" s="1"/>
  <c r="K112" i="47"/>
  <c r="J112" i="47"/>
  <c r="I112" i="47"/>
  <c r="H112" i="47"/>
  <c r="F112" i="47" s="1"/>
  <c r="K111" i="47"/>
  <c r="J111" i="47"/>
  <c r="I111" i="47"/>
  <c r="H111" i="47"/>
  <c r="F111" i="47" s="1"/>
  <c r="K110" i="47"/>
  <c r="J110" i="47"/>
  <c r="I110" i="47"/>
  <c r="H110" i="47"/>
  <c r="F110" i="47" s="1"/>
  <c r="K109" i="47"/>
  <c r="J109" i="47"/>
  <c r="I109" i="47"/>
  <c r="H109" i="47"/>
  <c r="F109" i="47" s="1"/>
  <c r="G109" i="47" s="1" a="1"/>
  <c r="G109" i="47" s="1"/>
  <c r="J68" i="47"/>
  <c r="I68" i="47"/>
  <c r="H68" i="47"/>
  <c r="F68" i="47" s="1"/>
  <c r="K108" i="47"/>
  <c r="J108" i="47"/>
  <c r="I108" i="47"/>
  <c r="H108" i="47"/>
  <c r="F108" i="47" s="1"/>
  <c r="K107" i="47"/>
  <c r="J107" i="47"/>
  <c r="I107" i="47"/>
  <c r="H107" i="47"/>
  <c r="F107" i="47" s="1"/>
  <c r="J70" i="47"/>
  <c r="I70" i="47"/>
  <c r="H70" i="47"/>
  <c r="F70" i="47" s="1"/>
  <c r="K106" i="47"/>
  <c r="J106" i="47"/>
  <c r="I106" i="47"/>
  <c r="H106" i="47"/>
  <c r="F106" i="47" s="1"/>
  <c r="J56" i="47"/>
  <c r="I56" i="47"/>
  <c r="H56" i="47"/>
  <c r="F56" i="47" s="1"/>
  <c r="J71" i="47"/>
  <c r="I71" i="47"/>
  <c r="H71" i="47"/>
  <c r="F71" i="47" s="1"/>
  <c r="K105" i="47"/>
  <c r="J105" i="47"/>
  <c r="I105" i="47"/>
  <c r="H105" i="47"/>
  <c r="F105" i="47" s="1"/>
  <c r="J83" i="47"/>
  <c r="I83" i="47"/>
  <c r="H83" i="47"/>
  <c r="F83" i="47" s="1"/>
  <c r="J75" i="47"/>
  <c r="I75" i="47"/>
  <c r="H75" i="47"/>
  <c r="F75" i="47" s="1"/>
  <c r="J55" i="47"/>
  <c r="I55" i="47"/>
  <c r="H55" i="47"/>
  <c r="F55" i="47" s="1"/>
  <c r="J54" i="47"/>
  <c r="I54" i="47"/>
  <c r="H54" i="47"/>
  <c r="F54" i="47" s="1"/>
  <c r="J53" i="47"/>
  <c r="I53" i="47"/>
  <c r="H53" i="47"/>
  <c r="F53" i="47" s="1"/>
  <c r="J72" i="47"/>
  <c r="I72" i="47"/>
  <c r="H72" i="47"/>
  <c r="F72" i="47" s="1"/>
  <c r="K104" i="47"/>
  <c r="J104" i="47"/>
  <c r="I104" i="47"/>
  <c r="H104" i="47"/>
  <c r="F104" i="47" s="1"/>
  <c r="G104" i="47" s="1" a="1"/>
  <c r="G104" i="47" s="1"/>
  <c r="K103" i="47"/>
  <c r="J103" i="47"/>
  <c r="I103" i="47"/>
  <c r="H103" i="47"/>
  <c r="F103" i="47" s="1"/>
  <c r="G103" i="47" s="1" a="1"/>
  <c r="G103" i="47" s="1"/>
  <c r="K102" i="47"/>
  <c r="J102" i="47"/>
  <c r="I102" i="47"/>
  <c r="H102" i="47"/>
  <c r="F102" i="47" s="1"/>
  <c r="K101" i="47"/>
  <c r="J101" i="47"/>
  <c r="I101" i="47"/>
  <c r="H101" i="47"/>
  <c r="F101" i="47" s="1"/>
  <c r="K100" i="47"/>
  <c r="J100" i="47"/>
  <c r="I100" i="47"/>
  <c r="H100" i="47"/>
  <c r="F100" i="47" s="1"/>
  <c r="K99" i="47"/>
  <c r="J99" i="47"/>
  <c r="I99" i="47"/>
  <c r="H99" i="47"/>
  <c r="F99" i="47" s="1"/>
  <c r="K98" i="47"/>
  <c r="J98" i="47"/>
  <c r="I98" i="47"/>
  <c r="H98" i="47"/>
  <c r="F98" i="47" s="1"/>
  <c r="K97" i="47"/>
  <c r="J97" i="47"/>
  <c r="I97" i="47"/>
  <c r="H97" i="47"/>
  <c r="F97" i="47" s="1"/>
  <c r="G97" i="47" s="1" a="1"/>
  <c r="G97" i="47" s="1"/>
  <c r="K96" i="47"/>
  <c r="J96" i="47"/>
  <c r="I96" i="47"/>
  <c r="H96" i="47"/>
  <c r="F96" i="47" s="1"/>
  <c r="K95" i="47"/>
  <c r="J95" i="47"/>
  <c r="I95" i="47"/>
  <c r="H95" i="47"/>
  <c r="F95" i="47" s="1"/>
  <c r="K94" i="47"/>
  <c r="J94" i="47"/>
  <c r="I94" i="47"/>
  <c r="H94" i="47"/>
  <c r="F94" i="47" s="1"/>
  <c r="K93" i="47"/>
  <c r="J93" i="47"/>
  <c r="I93" i="47"/>
  <c r="H93" i="47"/>
  <c r="F93" i="47" s="1"/>
  <c r="K92" i="47"/>
  <c r="J92" i="47"/>
  <c r="I92" i="47"/>
  <c r="H92" i="47"/>
  <c r="F92" i="47" s="1"/>
  <c r="K91" i="47"/>
  <c r="J91" i="47"/>
  <c r="I91" i="47"/>
  <c r="H91" i="47"/>
  <c r="F91" i="47" s="1"/>
  <c r="G91" i="47" s="1" a="1"/>
  <c r="G91" i="47" s="1"/>
  <c r="K90" i="47"/>
  <c r="J90" i="47"/>
  <c r="I90" i="47"/>
  <c r="H90" i="47"/>
  <c r="F90" i="47" s="1"/>
  <c r="G90" i="47" s="1" a="1"/>
  <c r="G90" i="47" s="1"/>
  <c r="K89" i="47"/>
  <c r="J89" i="47"/>
  <c r="I89" i="47"/>
  <c r="H89" i="47"/>
  <c r="F89" i="47" s="1"/>
  <c r="G89" i="47" s="1" a="1"/>
  <c r="G89" i="47" s="1"/>
  <c r="J51" i="47"/>
  <c r="I51" i="47"/>
  <c r="H51" i="47"/>
  <c r="F51" i="47" s="1"/>
  <c r="J50" i="47"/>
  <c r="I50" i="47"/>
  <c r="H50" i="47"/>
  <c r="F50" i="47" s="1"/>
  <c r="J49" i="47"/>
  <c r="I49" i="47"/>
  <c r="H49" i="47"/>
  <c r="F49" i="47" s="1"/>
  <c r="J48" i="47"/>
  <c r="I48" i="47"/>
  <c r="H48" i="47"/>
  <c r="F48" i="47" s="1"/>
  <c r="J46" i="47"/>
  <c r="I46" i="47"/>
  <c r="H46" i="47"/>
  <c r="F46" i="47" s="1"/>
  <c r="J47" i="47"/>
  <c r="I47" i="47"/>
  <c r="H47" i="47"/>
  <c r="F47" i="47" s="1"/>
  <c r="J39" i="47"/>
  <c r="I39" i="47"/>
  <c r="H39" i="47"/>
  <c r="F39" i="47" s="1"/>
  <c r="J45" i="47"/>
  <c r="I45" i="47"/>
  <c r="H45" i="47"/>
  <c r="F45" i="47" s="1"/>
  <c r="J37" i="47"/>
  <c r="I37" i="47"/>
  <c r="H37" i="47"/>
  <c r="F37" i="47" s="1"/>
  <c r="J41" i="47"/>
  <c r="I41" i="47"/>
  <c r="H41" i="47"/>
  <c r="F41" i="47" s="1"/>
  <c r="J44" i="47"/>
  <c r="I44" i="47"/>
  <c r="H44" i="47"/>
  <c r="F44" i="47" s="1"/>
  <c r="J43" i="47"/>
  <c r="I43" i="47"/>
  <c r="H43" i="47"/>
  <c r="F43" i="47" s="1"/>
  <c r="J42" i="47"/>
  <c r="I42" i="47"/>
  <c r="H42" i="47"/>
  <c r="F42" i="47" s="1"/>
  <c r="J35" i="47"/>
  <c r="I35" i="47"/>
  <c r="H35" i="47"/>
  <c r="F35" i="47" s="1"/>
  <c r="J38" i="47"/>
  <c r="I38" i="47"/>
  <c r="H38" i="47"/>
  <c r="F38" i="47" s="1"/>
  <c r="J36" i="47"/>
  <c r="I36" i="47"/>
  <c r="H36" i="47"/>
  <c r="F36" i="47" s="1"/>
  <c r="J40" i="47"/>
  <c r="I40" i="47"/>
  <c r="H40" i="47"/>
  <c r="F40" i="47" s="1"/>
  <c r="J34" i="47"/>
  <c r="I34" i="47"/>
  <c r="H34" i="47"/>
  <c r="F34" i="47" s="1"/>
  <c r="J32" i="47"/>
  <c r="I32" i="47"/>
  <c r="H32" i="47"/>
  <c r="F32" i="47" s="1"/>
  <c r="J30" i="47"/>
  <c r="I30" i="47"/>
  <c r="H30" i="47"/>
  <c r="F30" i="47" s="1"/>
  <c r="J33" i="47"/>
  <c r="I33" i="47"/>
  <c r="H33" i="47"/>
  <c r="F33" i="47" s="1"/>
  <c r="J29" i="47"/>
  <c r="I29" i="47"/>
  <c r="H29" i="47"/>
  <c r="F29" i="47" s="1"/>
  <c r="J31" i="47"/>
  <c r="I31" i="47"/>
  <c r="H31" i="47"/>
  <c r="F31" i="47" s="1"/>
  <c r="J27" i="47"/>
  <c r="I27" i="47"/>
  <c r="H27" i="47"/>
  <c r="F27" i="47" s="1"/>
  <c r="J25" i="47"/>
  <c r="I25" i="47"/>
  <c r="H25" i="47"/>
  <c r="F25" i="47" s="1"/>
  <c r="J26" i="47"/>
  <c r="I26" i="47"/>
  <c r="H26" i="47"/>
  <c r="F26" i="47" s="1"/>
  <c r="J23" i="47"/>
  <c r="I23" i="47"/>
  <c r="H23" i="47"/>
  <c r="F23" i="47" s="1"/>
  <c r="J19" i="47"/>
  <c r="I19" i="47"/>
  <c r="H19" i="47"/>
  <c r="F19" i="47" s="1"/>
  <c r="D19" i="47"/>
  <c r="J28" i="47"/>
  <c r="I28" i="47"/>
  <c r="H28" i="47"/>
  <c r="F28" i="47" s="1"/>
  <c r="J22" i="47"/>
  <c r="I22" i="47"/>
  <c r="H22" i="47"/>
  <c r="F22" i="47" s="1"/>
  <c r="J24" i="47"/>
  <c r="I24" i="47"/>
  <c r="H24" i="47"/>
  <c r="F24" i="47" s="1"/>
  <c r="J17" i="47"/>
  <c r="I17" i="47"/>
  <c r="H17" i="47"/>
  <c r="F17" i="47" s="1"/>
  <c r="J16" i="47"/>
  <c r="I16" i="47"/>
  <c r="H16" i="47"/>
  <c r="F16" i="47" s="1"/>
  <c r="J21" i="47"/>
  <c r="I21" i="47"/>
  <c r="H21" i="47"/>
  <c r="F21" i="47" s="1"/>
  <c r="J18" i="47"/>
  <c r="I18" i="47"/>
  <c r="H18" i="47"/>
  <c r="F18" i="47" s="1"/>
  <c r="J20" i="47"/>
  <c r="I20" i="47"/>
  <c r="H20" i="47"/>
  <c r="F20" i="47" s="1"/>
  <c r="J15" i="47"/>
  <c r="I15" i="47"/>
  <c r="H15" i="47"/>
  <c r="F15" i="47" s="1"/>
  <c r="J12" i="47"/>
  <c r="I12" i="47"/>
  <c r="H12" i="47"/>
  <c r="F12" i="47" s="1"/>
  <c r="J13" i="47"/>
  <c r="I13" i="47"/>
  <c r="H13" i="47"/>
  <c r="F13" i="47" s="1"/>
  <c r="J14" i="47"/>
  <c r="I14" i="47"/>
  <c r="H14" i="47"/>
  <c r="F14" i="47" s="1"/>
  <c r="J10" i="47"/>
  <c r="I10" i="47"/>
  <c r="H10" i="47"/>
  <c r="F10" i="47" s="1"/>
  <c r="J11" i="47"/>
  <c r="I11" i="47"/>
  <c r="H11" i="47"/>
  <c r="F11" i="47" s="1"/>
  <c r="J9" i="47"/>
  <c r="I9" i="47"/>
  <c r="H9" i="47"/>
  <c r="F9" i="47" s="1"/>
  <c r="J8" i="47"/>
  <c r="I8" i="47"/>
  <c r="H8" i="47"/>
  <c r="F8" i="47" s="1"/>
  <c r="J7" i="47"/>
  <c r="I7" i="47"/>
  <c r="H7" i="47"/>
  <c r="F7" i="47" s="1"/>
  <c r="J6" i="47"/>
  <c r="I6" i="47"/>
  <c r="H6" i="47"/>
  <c r="F6" i="47" s="1"/>
  <c r="J5" i="47"/>
  <c r="I5" i="47"/>
  <c r="H5" i="47"/>
  <c r="F5" i="47" s="1"/>
  <c r="J4" i="47"/>
  <c r="I4" i="47"/>
  <c r="H4" i="47"/>
  <c r="F4" i="47" s="1"/>
  <c r="J3" i="47"/>
  <c r="I3" i="47"/>
  <c r="H3" i="47"/>
  <c r="F3" i="47" s="1"/>
  <c r="I2" i="47"/>
  <c r="F2" i="47"/>
  <c r="F3" i="30"/>
  <c r="G3" i="30"/>
  <c r="H3" i="30"/>
  <c r="I3" i="30"/>
  <c r="F4" i="30"/>
  <c r="G4" i="30"/>
  <c r="H4" i="30"/>
  <c r="I4" i="30"/>
  <c r="F5" i="30"/>
  <c r="G5" i="30"/>
  <c r="H5" i="30"/>
  <c r="I5" i="30"/>
  <c r="F6" i="30"/>
  <c r="G6" i="30"/>
  <c r="H6" i="30"/>
  <c r="I6" i="30"/>
  <c r="F7" i="30"/>
  <c r="G7" i="30"/>
  <c r="H7" i="30"/>
  <c r="I7" i="30"/>
  <c r="F8" i="30"/>
  <c r="G8" i="30"/>
  <c r="H8" i="30"/>
  <c r="I8" i="30"/>
  <c r="F9" i="30"/>
  <c r="G9" i="30"/>
  <c r="H9" i="30"/>
  <c r="I9" i="30"/>
  <c r="F10" i="30"/>
  <c r="G10" i="30"/>
  <c r="H10" i="30"/>
  <c r="I10" i="30"/>
  <c r="F11" i="30"/>
  <c r="G11" i="30"/>
  <c r="H11" i="30"/>
  <c r="I11" i="30"/>
  <c r="F12" i="30"/>
  <c r="G12" i="30"/>
  <c r="H12" i="30"/>
  <c r="I12" i="30"/>
  <c r="F13" i="30"/>
  <c r="G13" i="30"/>
  <c r="H13" i="30"/>
  <c r="I13" i="30"/>
  <c r="F14" i="30"/>
  <c r="G14" i="30"/>
  <c r="H14" i="30"/>
  <c r="I14" i="30"/>
  <c r="F15" i="30"/>
  <c r="G15" i="30"/>
  <c r="H15" i="30"/>
  <c r="I15" i="30"/>
  <c r="F16" i="30"/>
  <c r="G16" i="30"/>
  <c r="H16" i="30"/>
  <c r="I16" i="30"/>
  <c r="F17" i="30"/>
  <c r="G17" i="30"/>
  <c r="H17" i="30"/>
  <c r="I17" i="30"/>
  <c r="F18" i="30"/>
  <c r="G18" i="30"/>
  <c r="H18" i="30"/>
  <c r="I18" i="30"/>
  <c r="F19" i="30"/>
  <c r="G19" i="30"/>
  <c r="H19" i="30"/>
  <c r="I19" i="30"/>
  <c r="F20" i="30"/>
  <c r="G20" i="30"/>
  <c r="H20" i="30"/>
  <c r="I20" i="30"/>
  <c r="F21" i="30"/>
  <c r="G21" i="30"/>
  <c r="H21" i="30"/>
  <c r="I21" i="30"/>
  <c r="F22" i="30"/>
  <c r="G22" i="30"/>
  <c r="H22" i="30"/>
  <c r="I22" i="30"/>
  <c r="F23" i="30"/>
  <c r="G23" i="30"/>
  <c r="H23" i="30"/>
  <c r="I23" i="30"/>
  <c r="F24" i="30"/>
  <c r="G24" i="30"/>
  <c r="H24" i="30"/>
  <c r="I24" i="30"/>
  <c r="F25" i="30"/>
  <c r="G25" i="30"/>
  <c r="H25" i="30"/>
  <c r="I25" i="30"/>
  <c r="F26" i="30"/>
  <c r="G26" i="30"/>
  <c r="H26" i="30"/>
  <c r="I26" i="30"/>
  <c r="F27" i="30"/>
  <c r="G27" i="30"/>
  <c r="H27" i="30"/>
  <c r="I27" i="30"/>
  <c r="F28" i="30"/>
  <c r="G28" i="30"/>
  <c r="H28" i="30"/>
  <c r="I28" i="30"/>
  <c r="F29" i="30"/>
  <c r="G29" i="30"/>
  <c r="H29" i="30"/>
  <c r="I29" i="30"/>
  <c r="F30" i="30"/>
  <c r="G30" i="30"/>
  <c r="H30" i="30"/>
  <c r="I30" i="30"/>
  <c r="F31" i="30"/>
  <c r="G31" i="30"/>
  <c r="H31" i="30"/>
  <c r="I31" i="30"/>
  <c r="F32" i="30"/>
  <c r="G32" i="30"/>
  <c r="H32" i="30"/>
  <c r="I32" i="30"/>
  <c r="F33" i="30"/>
  <c r="G33" i="30"/>
  <c r="H33" i="30"/>
  <c r="I33" i="30"/>
  <c r="F34" i="30"/>
  <c r="G34" i="30"/>
  <c r="H34" i="30"/>
  <c r="I34" i="30"/>
  <c r="F35" i="30"/>
  <c r="G35" i="30"/>
  <c r="H35" i="30"/>
  <c r="I35" i="30"/>
  <c r="F36" i="30"/>
  <c r="G36" i="30"/>
  <c r="H36" i="30"/>
  <c r="I36" i="30"/>
  <c r="F37" i="30"/>
  <c r="G37" i="30"/>
  <c r="H37" i="30"/>
  <c r="I37" i="30"/>
  <c r="F38" i="30"/>
  <c r="G38" i="30"/>
  <c r="H38" i="30"/>
  <c r="I38" i="30"/>
  <c r="F39" i="30"/>
  <c r="G39" i="30"/>
  <c r="H39" i="30"/>
  <c r="I39" i="30"/>
  <c r="F40" i="30"/>
  <c r="G40" i="30"/>
  <c r="H40" i="30"/>
  <c r="I40" i="30"/>
  <c r="F41" i="30"/>
  <c r="G41" i="30"/>
  <c r="H41" i="30"/>
  <c r="I41" i="30"/>
  <c r="F42" i="30"/>
  <c r="G42" i="30"/>
  <c r="H42" i="30"/>
  <c r="I42" i="30"/>
  <c r="F43" i="30"/>
  <c r="G43" i="30"/>
  <c r="H43" i="30"/>
  <c r="I43" i="30"/>
  <c r="F44" i="30"/>
  <c r="G44" i="30"/>
  <c r="H44" i="30"/>
  <c r="I44" i="30"/>
  <c r="F45" i="30"/>
  <c r="G45" i="30"/>
  <c r="H45" i="30"/>
  <c r="I45" i="30"/>
  <c r="F46" i="30"/>
  <c r="G46" i="30"/>
  <c r="H46" i="30"/>
  <c r="I46" i="30"/>
  <c r="F47" i="30"/>
  <c r="G47" i="30"/>
  <c r="H47" i="30"/>
  <c r="I47" i="30"/>
  <c r="F48" i="30"/>
  <c r="G48" i="30"/>
  <c r="H48" i="30"/>
  <c r="I48" i="30"/>
  <c r="F49" i="30"/>
  <c r="G49" i="30"/>
  <c r="H49" i="30"/>
  <c r="I49" i="30"/>
  <c r="F50" i="30"/>
  <c r="G50" i="30"/>
  <c r="H50" i="30"/>
  <c r="I50" i="30"/>
  <c r="F51" i="30"/>
  <c r="G51" i="30"/>
  <c r="H51" i="30"/>
  <c r="I51" i="30"/>
  <c r="F52" i="30"/>
  <c r="G52" i="30"/>
  <c r="H52" i="30"/>
  <c r="I52" i="30"/>
  <c r="F53" i="30"/>
  <c r="G53" i="30"/>
  <c r="H53" i="30"/>
  <c r="I53" i="30"/>
  <c r="F54" i="30"/>
  <c r="G54" i="30"/>
  <c r="H54" i="30"/>
  <c r="I54" i="30"/>
  <c r="F55" i="30"/>
  <c r="G55" i="30"/>
  <c r="H55" i="30"/>
  <c r="I55" i="30"/>
  <c r="F56" i="30"/>
  <c r="G56" i="30"/>
  <c r="H56" i="30"/>
  <c r="I56" i="30"/>
  <c r="F57" i="30"/>
  <c r="G57" i="30"/>
  <c r="H57" i="30"/>
  <c r="I57" i="30"/>
  <c r="F58" i="30"/>
  <c r="G58" i="30"/>
  <c r="H58" i="30"/>
  <c r="I58" i="30"/>
  <c r="F59" i="30"/>
  <c r="G59" i="30"/>
  <c r="H59" i="30"/>
  <c r="I59" i="30"/>
  <c r="F60" i="30"/>
  <c r="G60" i="30"/>
  <c r="H60" i="30"/>
  <c r="I60" i="30"/>
  <c r="F61" i="30"/>
  <c r="G61" i="30"/>
  <c r="H61" i="30"/>
  <c r="I61" i="30"/>
  <c r="F62" i="30"/>
  <c r="G62" i="30"/>
  <c r="H62" i="30"/>
  <c r="I62" i="30"/>
  <c r="F63" i="30"/>
  <c r="G63" i="30"/>
  <c r="H63" i="30"/>
  <c r="I63" i="30"/>
  <c r="F64" i="30"/>
  <c r="G64" i="30"/>
  <c r="H64" i="30"/>
  <c r="I64" i="30"/>
  <c r="F65" i="30"/>
  <c r="G65" i="30"/>
  <c r="H65" i="30"/>
  <c r="I65" i="30"/>
  <c r="F66" i="30"/>
  <c r="G66" i="30"/>
  <c r="H66" i="30"/>
  <c r="I66" i="30"/>
  <c r="F67" i="30"/>
  <c r="G67" i="30"/>
  <c r="H67" i="30"/>
  <c r="I67" i="30"/>
  <c r="F68" i="30"/>
  <c r="G68" i="30"/>
  <c r="H68" i="30"/>
  <c r="I68" i="30"/>
  <c r="F69" i="30"/>
  <c r="G69" i="30"/>
  <c r="H69" i="30"/>
  <c r="I69" i="30"/>
  <c r="F70" i="30"/>
  <c r="G70" i="30"/>
  <c r="H70" i="30"/>
  <c r="I70" i="30"/>
  <c r="F71" i="30"/>
  <c r="G71" i="30"/>
  <c r="H71" i="30"/>
  <c r="I71" i="30"/>
  <c r="F72" i="30"/>
  <c r="G72" i="30"/>
  <c r="H72" i="30"/>
  <c r="I72" i="30"/>
  <c r="F73" i="30"/>
  <c r="G73" i="30"/>
  <c r="H73" i="30"/>
  <c r="I73" i="30"/>
  <c r="F74" i="30"/>
  <c r="G74" i="30"/>
  <c r="H74" i="30"/>
  <c r="I74" i="30"/>
  <c r="F75" i="30"/>
  <c r="G75" i="30"/>
  <c r="H75" i="30"/>
  <c r="I75" i="30"/>
  <c r="F76" i="30"/>
  <c r="G76" i="30"/>
  <c r="H76" i="30"/>
  <c r="I76" i="30"/>
  <c r="F77" i="30"/>
  <c r="G77" i="30"/>
  <c r="H77" i="30"/>
  <c r="I77" i="30"/>
  <c r="F78" i="30"/>
  <c r="G78" i="30"/>
  <c r="H78" i="30"/>
  <c r="I78" i="30"/>
  <c r="F79" i="30"/>
  <c r="G79" i="30"/>
  <c r="H79" i="30"/>
  <c r="I79" i="30"/>
  <c r="F80" i="30"/>
  <c r="G80" i="30"/>
  <c r="H80" i="30"/>
  <c r="I80" i="30"/>
  <c r="F81" i="30"/>
  <c r="G81" i="30"/>
  <c r="H81" i="30"/>
  <c r="I81" i="30"/>
  <c r="F82" i="30"/>
  <c r="G82" i="30"/>
  <c r="H82" i="30"/>
  <c r="I82" i="30"/>
  <c r="F83" i="30"/>
  <c r="G83" i="30"/>
  <c r="H83" i="30"/>
  <c r="I83" i="30"/>
  <c r="F84" i="30"/>
  <c r="G84" i="30"/>
  <c r="H84" i="30"/>
  <c r="I84" i="30"/>
  <c r="F85" i="30"/>
  <c r="G85" i="30"/>
  <c r="H85" i="30"/>
  <c r="I85" i="30"/>
  <c r="F86" i="30"/>
  <c r="G86" i="30"/>
  <c r="H86" i="30"/>
  <c r="I86" i="30"/>
  <c r="F87" i="30"/>
  <c r="G87" i="30"/>
  <c r="H87" i="30"/>
  <c r="I87" i="30"/>
  <c r="F88" i="30"/>
  <c r="G88" i="30"/>
  <c r="H88" i="30"/>
  <c r="I88" i="30"/>
  <c r="F89" i="30"/>
  <c r="G89" i="30"/>
  <c r="H89" i="30"/>
  <c r="I89" i="30"/>
  <c r="F90" i="30"/>
  <c r="G90" i="30"/>
  <c r="H90" i="30"/>
  <c r="I90" i="30"/>
  <c r="F91" i="30"/>
  <c r="G91" i="30"/>
  <c r="H91" i="30"/>
  <c r="I91" i="30"/>
  <c r="F92" i="30"/>
  <c r="G92" i="30"/>
  <c r="H92" i="30"/>
  <c r="I92" i="30"/>
  <c r="F93" i="30"/>
  <c r="G93" i="30"/>
  <c r="H93" i="30"/>
  <c r="I93" i="30"/>
  <c r="F94" i="30"/>
  <c r="G94" i="30"/>
  <c r="H94" i="30"/>
  <c r="I94" i="30"/>
  <c r="F95" i="30"/>
  <c r="G95" i="30"/>
  <c r="H95" i="30"/>
  <c r="I95" i="30"/>
  <c r="F96" i="30"/>
  <c r="G96" i="30"/>
  <c r="H96" i="30"/>
  <c r="I96" i="30"/>
  <c r="F97" i="30"/>
  <c r="G97" i="30"/>
  <c r="H97" i="30"/>
  <c r="I97" i="30"/>
  <c r="F98" i="30"/>
  <c r="G98" i="30"/>
  <c r="H98" i="30"/>
  <c r="I98" i="30"/>
  <c r="F99" i="30"/>
  <c r="G99" i="30"/>
  <c r="H99" i="30"/>
  <c r="I99" i="30"/>
  <c r="F100" i="30"/>
  <c r="G100" i="30"/>
  <c r="H100" i="30"/>
  <c r="I100" i="30"/>
  <c r="F101" i="30"/>
  <c r="G101" i="30"/>
  <c r="H101" i="30"/>
  <c r="I101" i="30"/>
  <c r="F102" i="30"/>
  <c r="G102" i="30"/>
  <c r="H102" i="30"/>
  <c r="I102" i="30"/>
  <c r="F103" i="30"/>
  <c r="G103" i="30"/>
  <c r="H103" i="30"/>
  <c r="I103" i="30"/>
  <c r="F104" i="30"/>
  <c r="G104" i="30"/>
  <c r="H104" i="30"/>
  <c r="I104" i="30"/>
  <c r="F105" i="30"/>
  <c r="G105" i="30"/>
  <c r="H105" i="30"/>
  <c r="I105" i="30"/>
  <c r="F106" i="30"/>
  <c r="G106" i="30"/>
  <c r="H106" i="30"/>
  <c r="I106" i="30"/>
  <c r="F107" i="30"/>
  <c r="G107" i="30"/>
  <c r="H107" i="30"/>
  <c r="I107" i="30"/>
  <c r="F108" i="30"/>
  <c r="G108" i="30"/>
  <c r="H108" i="30"/>
  <c r="I108" i="30"/>
  <c r="F109" i="30"/>
  <c r="G109" i="30"/>
  <c r="H109" i="30"/>
  <c r="I109" i="30"/>
  <c r="F110" i="30"/>
  <c r="G110" i="30"/>
  <c r="H110" i="30"/>
  <c r="I110" i="30"/>
  <c r="F111" i="30"/>
  <c r="G111" i="30"/>
  <c r="H111" i="30"/>
  <c r="I111" i="30"/>
  <c r="F112" i="30"/>
  <c r="G112" i="30"/>
  <c r="H112" i="30"/>
  <c r="I112" i="30"/>
  <c r="F113" i="30"/>
  <c r="G113" i="30"/>
  <c r="H113" i="30"/>
  <c r="I113" i="30"/>
  <c r="F114" i="30"/>
  <c r="G114" i="30"/>
  <c r="H114" i="30"/>
  <c r="I114" i="30"/>
  <c r="F115" i="30"/>
  <c r="G115" i="30"/>
  <c r="H115" i="30"/>
  <c r="I115" i="30"/>
  <c r="F116" i="30"/>
  <c r="G116" i="30"/>
  <c r="H116" i="30"/>
  <c r="I116" i="30"/>
  <c r="F117" i="30"/>
  <c r="G117" i="30"/>
  <c r="H117" i="30"/>
  <c r="I117" i="30"/>
  <c r="I2" i="30"/>
  <c r="H2" i="30"/>
  <c r="G2" i="30"/>
  <c r="F2" i="30"/>
  <c r="J65" i="46"/>
  <c r="O33" i="43" l="1"/>
  <c r="M31" i="43"/>
  <c r="J31" i="43" s="1"/>
  <c r="K31" i="43"/>
  <c r="R33" i="43"/>
  <c r="K37" i="43"/>
  <c r="Q32" i="43"/>
  <c r="N33" i="43"/>
  <c r="J33" i="43" s="1"/>
  <c r="S31" i="43"/>
  <c r="F32" i="43"/>
  <c r="M32" i="43"/>
  <c r="P33" i="43"/>
  <c r="K33" i="43"/>
  <c r="K42" i="43"/>
  <c r="P42" i="43"/>
  <c r="G31" i="43"/>
  <c r="K24" i="43"/>
  <c r="S33" i="43"/>
  <c r="P34" i="43"/>
  <c r="M36" i="43"/>
  <c r="S29" i="43"/>
  <c r="G34" i="43"/>
  <c r="K5" i="43"/>
  <c r="K21" i="43"/>
  <c r="Q29" i="43"/>
  <c r="G29" i="43"/>
  <c r="P32" i="43"/>
  <c r="K32" i="43"/>
  <c r="G33" i="43"/>
  <c r="K11" i="43"/>
  <c r="K36" i="43"/>
  <c r="F31" i="43"/>
  <c r="L31" i="43"/>
  <c r="P31" i="43"/>
  <c r="L35" i="43"/>
  <c r="M33" i="43"/>
  <c r="K13" i="43"/>
  <c r="K25" i="43"/>
  <c r="K4" i="43"/>
  <c r="K2" i="43"/>
  <c r="K23" i="43"/>
  <c r="K19" i="43"/>
  <c r="K18" i="43"/>
  <c r="K12" i="43"/>
  <c r="K28" i="43"/>
  <c r="K16" i="43"/>
  <c r="AC15" i="30"/>
  <c r="X7" i="30"/>
  <c r="V88" i="30"/>
  <c r="V84" i="30"/>
  <c r="V64" i="30"/>
  <c r="V44" i="30"/>
  <c r="K44" i="30" s="1"/>
  <c r="V42" i="30"/>
  <c r="V40" i="30"/>
  <c r="V34" i="30"/>
  <c r="V32" i="30"/>
  <c r="V20" i="30"/>
  <c r="V18" i="30"/>
  <c r="K18" i="30" s="1"/>
  <c r="V16" i="30"/>
  <c r="X96" i="30"/>
  <c r="Y82" i="30"/>
  <c r="Y78" i="30"/>
  <c r="X64" i="30"/>
  <c r="Y52" i="30"/>
  <c r="AC38" i="30"/>
  <c r="AB18" i="30"/>
  <c r="AA15" i="30"/>
  <c r="AB71" i="30"/>
  <c r="AB23" i="30"/>
  <c r="AB15" i="30"/>
  <c r="AB11" i="30"/>
  <c r="AA103" i="30"/>
  <c r="AA95" i="30"/>
  <c r="AA31" i="30"/>
  <c r="X95" i="30"/>
  <c r="X31" i="30"/>
  <c r="X23" i="30"/>
  <c r="X15" i="30"/>
  <c r="AB2" i="30"/>
  <c r="Z54" i="30"/>
  <c r="X32" i="30"/>
  <c r="AB113" i="30"/>
  <c r="Z105" i="30"/>
  <c r="AB103" i="30"/>
  <c r="Z97" i="30"/>
  <c r="Y89" i="30"/>
  <c r="AB79" i="30"/>
  <c r="AB75" i="30"/>
  <c r="AB73" i="30"/>
  <c r="AB69" i="30"/>
  <c r="AB63" i="30"/>
  <c r="AB59" i="30"/>
  <c r="AB55" i="30"/>
  <c r="AB49" i="30"/>
  <c r="Y47" i="30"/>
  <c r="X39" i="30"/>
  <c r="AB7" i="30"/>
  <c r="V3" i="30"/>
  <c r="AC71" i="30"/>
  <c r="X79" i="30"/>
  <c r="X55" i="30"/>
  <c r="Z52" i="30"/>
  <c r="Y107" i="30"/>
  <c r="AC26" i="30"/>
  <c r="X63" i="30"/>
  <c r="Z42" i="30"/>
  <c r="AB110" i="30"/>
  <c r="AB102" i="30"/>
  <c r="AB94" i="30"/>
  <c r="AB86" i="30"/>
  <c r="AB84" i="30"/>
  <c r="AB82" i="30"/>
  <c r="AB78" i="30"/>
  <c r="AB70" i="30"/>
  <c r="AB66" i="30"/>
  <c r="AB62" i="30"/>
  <c r="AB54" i="30"/>
  <c r="AB46" i="30"/>
  <c r="AB42" i="30"/>
  <c r="AB38" i="30"/>
  <c r="AB34" i="30"/>
  <c r="AB30" i="30"/>
  <c r="AB22" i="30"/>
  <c r="AB14" i="30"/>
  <c r="AB10" i="30"/>
  <c r="AB6" i="30"/>
  <c r="Y42" i="30"/>
  <c r="P41" i="43"/>
  <c r="F41" i="43"/>
  <c r="L41" i="43"/>
  <c r="S30" i="43"/>
  <c r="L30" i="43"/>
  <c r="P30" i="43"/>
  <c r="Q38" i="43"/>
  <c r="G39" i="43"/>
  <c r="Q39" i="43"/>
  <c r="F35" i="43"/>
  <c r="P35" i="43"/>
  <c r="S40" i="43"/>
  <c r="J42" i="43"/>
  <c r="Q41" i="43"/>
  <c r="M41" i="43"/>
  <c r="F38" i="43"/>
  <c r="P38" i="43"/>
  <c r="P40" i="43"/>
  <c r="N36" i="43"/>
  <c r="J36" i="43" s="1"/>
  <c r="H36" i="43"/>
  <c r="O37" i="43"/>
  <c r="I37" i="43"/>
  <c r="J32" i="43"/>
  <c r="F37" i="43"/>
  <c r="L37" i="43"/>
  <c r="L34" i="43"/>
  <c r="J34" i="43" s="1"/>
  <c r="F34" i="43"/>
  <c r="H29" i="43"/>
  <c r="N29" i="43"/>
  <c r="J29" i="43" s="1"/>
  <c r="G38" i="43"/>
  <c r="M38" i="43"/>
  <c r="J38" i="43" s="1"/>
  <c r="I39" i="43"/>
  <c r="O39" i="43"/>
  <c r="I30" i="43"/>
  <c r="O30" i="43"/>
  <c r="H39" i="43"/>
  <c r="N39" i="43"/>
  <c r="M35" i="43"/>
  <c r="J35" i="43" s="1"/>
  <c r="G35" i="43"/>
  <c r="I40" i="43"/>
  <c r="O40" i="43"/>
  <c r="L40" i="43"/>
  <c r="P44" i="46"/>
  <c r="P28" i="46"/>
  <c r="O12" i="46"/>
  <c r="O46" i="46"/>
  <c r="N73" i="46"/>
  <c r="O30" i="46"/>
  <c r="O21" i="46"/>
  <c r="N54" i="46"/>
  <c r="M54" i="46"/>
  <c r="N24" i="46"/>
  <c r="M24" i="46"/>
  <c r="N5" i="46"/>
  <c r="N70" i="46"/>
  <c r="O17" i="46"/>
  <c r="N13" i="46"/>
  <c r="P67" i="46"/>
  <c r="M64" i="46"/>
  <c r="N64" i="46"/>
  <c r="P21" i="46"/>
  <c r="M16" i="46"/>
  <c r="O18" i="46"/>
  <c r="P46" i="46"/>
  <c r="N75" i="46"/>
  <c r="M69" i="46"/>
  <c r="N69" i="46"/>
  <c r="N21" i="46"/>
  <c r="N9" i="46"/>
  <c r="M74" i="46"/>
  <c r="N74" i="46"/>
  <c r="N30" i="46"/>
  <c r="O59" i="46"/>
  <c r="N53" i="46"/>
  <c r="M2" i="46"/>
  <c r="N20" i="46"/>
  <c r="M23" i="46"/>
  <c r="N46" i="46"/>
  <c r="M67" i="46"/>
  <c r="N12" i="46"/>
  <c r="M9" i="46"/>
  <c r="P64" i="46"/>
  <c r="N22" i="46"/>
  <c r="N57" i="46"/>
  <c r="N28" i="46"/>
  <c r="N8" i="46"/>
  <c r="M44" i="46"/>
  <c r="N44" i="46"/>
  <c r="N67" i="46"/>
  <c r="P2" i="46"/>
  <c r="P20" i="46"/>
  <c r="P30" i="46"/>
  <c r="N7" i="46"/>
  <c r="N27" i="46"/>
  <c r="N2" i="46"/>
  <c r="C27" i="46"/>
  <c r="C50" i="46"/>
  <c r="C32" i="46"/>
  <c r="C7" i="46"/>
  <c r="C18" i="46"/>
  <c r="C38" i="46"/>
  <c r="C20" i="46"/>
  <c r="C23" i="46"/>
  <c r="C33" i="46"/>
  <c r="C11" i="46"/>
  <c r="C42" i="46"/>
  <c r="C14" i="46"/>
  <c r="C60" i="46"/>
  <c r="F28" i="46"/>
  <c r="D44" i="46"/>
  <c r="D21" i="46"/>
  <c r="D52" i="46"/>
  <c r="D23" i="46"/>
  <c r="D59" i="46"/>
  <c r="D10" i="46"/>
  <c r="D18" i="46"/>
  <c r="D38" i="46"/>
  <c r="D6" i="46"/>
  <c r="D13" i="46"/>
  <c r="D20" i="46"/>
  <c r="D33" i="46"/>
  <c r="D41" i="46"/>
  <c r="D62" i="46"/>
  <c r="D40" i="46"/>
  <c r="D56" i="46"/>
  <c r="D69" i="46"/>
  <c r="F6" i="46"/>
  <c r="D12" i="46"/>
  <c r="D15" i="46"/>
  <c r="D26" i="46"/>
  <c r="D29" i="46"/>
  <c r="D50" i="46"/>
  <c r="E62" i="46"/>
  <c r="D75" i="46"/>
  <c r="F9" i="46"/>
  <c r="F12" i="46"/>
  <c r="F26" i="46"/>
  <c r="D35" i="46"/>
  <c r="C41" i="46"/>
  <c r="D64" i="46"/>
  <c r="C70" i="46"/>
  <c r="F48" i="46"/>
  <c r="F4" i="46"/>
  <c r="F24" i="46"/>
  <c r="D30" i="46"/>
  <c r="D2" i="46"/>
  <c r="D5" i="46"/>
  <c r="E33" i="46"/>
  <c r="D39" i="46"/>
  <c r="D66" i="46"/>
  <c r="F2" i="46"/>
  <c r="D8" i="46"/>
  <c r="F16" i="46"/>
  <c r="D42" i="46"/>
  <c r="E54" i="46"/>
  <c r="D60" i="46"/>
  <c r="C67" i="46"/>
  <c r="D48" i="46"/>
  <c r="E59" i="46"/>
  <c r="D54" i="46"/>
  <c r="D22" i="46"/>
  <c r="D25" i="46"/>
  <c r="F5" i="46"/>
  <c r="F19" i="46"/>
  <c r="F22" i="46"/>
  <c r="D31" i="46"/>
  <c r="F42" i="46"/>
  <c r="C55" i="46"/>
  <c r="D61" i="46"/>
  <c r="D74" i="46"/>
  <c r="D16" i="46"/>
  <c r="F27" i="46"/>
  <c r="D36" i="46"/>
  <c r="F11" i="46"/>
  <c r="D17" i="46"/>
  <c r="D34" i="46"/>
  <c r="D37" i="46"/>
  <c r="C43" i="46"/>
  <c r="D46" i="46"/>
  <c r="Q2" i="43"/>
  <c r="P14" i="43"/>
  <c r="S18" i="43"/>
  <c r="S7" i="43"/>
  <c r="S4" i="43"/>
  <c r="S19" i="43"/>
  <c r="R17" i="43"/>
  <c r="R18" i="43"/>
  <c r="S6" i="43"/>
  <c r="R6" i="43"/>
  <c r="S15" i="43"/>
  <c r="S2" i="43"/>
  <c r="S23" i="43"/>
  <c r="S17" i="43"/>
  <c r="R11" i="43"/>
  <c r="S8" i="43"/>
  <c r="S21" i="43"/>
  <c r="S13" i="43"/>
  <c r="R13" i="43"/>
  <c r="S28" i="43"/>
  <c r="S12" i="43"/>
  <c r="R16" i="43"/>
  <c r="S25" i="43"/>
  <c r="Q17" i="43"/>
  <c r="S10" i="43"/>
  <c r="Q18" i="43"/>
  <c r="S24" i="43"/>
  <c r="S11" i="43"/>
  <c r="P17" i="43"/>
  <c r="R24" i="43"/>
  <c r="S16" i="43"/>
  <c r="S26" i="43"/>
  <c r="S22" i="43"/>
  <c r="S3" i="43"/>
  <c r="F51" i="46"/>
  <c r="F76" i="46"/>
  <c r="F56" i="46"/>
  <c r="F64" i="46"/>
  <c r="F68" i="46"/>
  <c r="D73" i="46"/>
  <c r="F54" i="46"/>
  <c r="F62" i="46"/>
  <c r="E73" i="46"/>
  <c r="D45" i="46"/>
  <c r="D49" i="46"/>
  <c r="E51" i="46"/>
  <c r="C64" i="46"/>
  <c r="E66" i="46"/>
  <c r="C69" i="46"/>
  <c r="C74" i="46"/>
  <c r="E30" i="46"/>
  <c r="E36" i="46"/>
  <c r="E48" i="46"/>
  <c r="C58" i="46"/>
  <c r="C63" i="46"/>
  <c r="E65" i="46"/>
  <c r="F55" i="46"/>
  <c r="D63" i="46"/>
  <c r="D68" i="46"/>
  <c r="F70" i="46"/>
  <c r="F44" i="46"/>
  <c r="F46" i="46"/>
  <c r="C56" i="46"/>
  <c r="E58" i="46"/>
  <c r="C61" i="46"/>
  <c r="C66" i="46"/>
  <c r="E68" i="46"/>
  <c r="AA117" i="30"/>
  <c r="V117" i="30"/>
  <c r="W115" i="30"/>
  <c r="AC115" i="30"/>
  <c r="U114" i="30"/>
  <c r="Z114" i="30"/>
  <c r="AB112" i="30"/>
  <c r="T111" i="30"/>
  <c r="Y111" i="30"/>
  <c r="V109" i="30"/>
  <c r="AA109" i="30"/>
  <c r="W107" i="30"/>
  <c r="AC107" i="30"/>
  <c r="U106" i="30"/>
  <c r="Z106" i="30"/>
  <c r="AB104" i="30"/>
  <c r="T103" i="30"/>
  <c r="Y103" i="30"/>
  <c r="AA101" i="30"/>
  <c r="V101" i="30"/>
  <c r="AC99" i="30"/>
  <c r="W99" i="30"/>
  <c r="U98" i="30"/>
  <c r="Z98" i="30"/>
  <c r="AB96" i="30"/>
  <c r="T95" i="30"/>
  <c r="Y95" i="30"/>
  <c r="AA93" i="30"/>
  <c r="V93" i="30"/>
  <c r="W91" i="30"/>
  <c r="AC91" i="30"/>
  <c r="Z90" i="30"/>
  <c r="U90" i="30"/>
  <c r="AB88" i="30"/>
  <c r="T87" i="30"/>
  <c r="Y87" i="30"/>
  <c r="AA85" i="30"/>
  <c r="V85" i="30"/>
  <c r="AA61" i="30"/>
  <c r="AB48" i="30"/>
  <c r="AB40" i="30"/>
  <c r="AA37" i="30"/>
  <c r="AB32" i="30"/>
  <c r="AA29" i="30"/>
  <c r="AB16" i="30"/>
  <c r="AB3" i="30"/>
  <c r="Z99" i="30"/>
  <c r="AC90" i="30"/>
  <c r="AA64" i="30"/>
  <c r="AA44" i="30"/>
  <c r="T2" i="30"/>
  <c r="X2" i="30"/>
  <c r="U117" i="30"/>
  <c r="Z117" i="30"/>
  <c r="AB115" i="30"/>
  <c r="X114" i="30"/>
  <c r="T114" i="30"/>
  <c r="Y114" i="30"/>
  <c r="V112" i="30"/>
  <c r="AA112" i="30"/>
  <c r="W110" i="30"/>
  <c r="AC110" i="30"/>
  <c r="U109" i="30"/>
  <c r="Z109" i="30"/>
  <c r="AB107" i="30"/>
  <c r="X106" i="30"/>
  <c r="Y106" i="30"/>
  <c r="T106" i="30"/>
  <c r="V104" i="30"/>
  <c r="AA104" i="30"/>
  <c r="W102" i="30"/>
  <c r="AC102" i="30"/>
  <c r="AB99" i="30"/>
  <c r="X98" i="30"/>
  <c r="Y98" i="30"/>
  <c r="T98" i="30"/>
  <c r="V96" i="30"/>
  <c r="AA96" i="30"/>
  <c r="U93" i="30"/>
  <c r="Z93" i="30"/>
  <c r="AB91" i="30"/>
  <c r="X90" i="30"/>
  <c r="Y90" i="30"/>
  <c r="T90" i="30"/>
  <c r="W86" i="30"/>
  <c r="AC86" i="30"/>
  <c r="U85" i="30"/>
  <c r="Z85" i="30"/>
  <c r="AB83" i="30"/>
  <c r="T82" i="30"/>
  <c r="X82" i="30"/>
  <c r="V80" i="30"/>
  <c r="AA80" i="30"/>
  <c r="W78" i="30"/>
  <c r="AC78" i="30"/>
  <c r="U77" i="30"/>
  <c r="Z77" i="30"/>
  <c r="T74" i="30"/>
  <c r="X74" i="30"/>
  <c r="Y74" i="30"/>
  <c r="V72" i="30"/>
  <c r="AA72" i="30"/>
  <c r="W70" i="30"/>
  <c r="AC70" i="30"/>
  <c r="U69" i="30"/>
  <c r="Z69" i="30"/>
  <c r="AB67" i="30"/>
  <c r="X66" i="30"/>
  <c r="T66" i="30"/>
  <c r="Y66" i="30"/>
  <c r="W62" i="30"/>
  <c r="AC62" i="30"/>
  <c r="U61" i="30"/>
  <c r="Z61" i="30"/>
  <c r="T58" i="30"/>
  <c r="X58" i="30"/>
  <c r="Y58" i="30"/>
  <c r="V56" i="30"/>
  <c r="AA56" i="30"/>
  <c r="W54" i="30"/>
  <c r="AC54" i="30"/>
  <c r="U53" i="30"/>
  <c r="Z53" i="30"/>
  <c r="AB51" i="30"/>
  <c r="T50" i="30"/>
  <c r="X50" i="30"/>
  <c r="V48" i="30"/>
  <c r="AA48" i="30"/>
  <c r="W46" i="30"/>
  <c r="AC46" i="30"/>
  <c r="AB35" i="30"/>
  <c r="AB27" i="30"/>
  <c r="AC2" i="30"/>
  <c r="Z112" i="30"/>
  <c r="AA105" i="30"/>
  <c r="AA97" i="30"/>
  <c r="Z80" i="30"/>
  <c r="Z62" i="30"/>
  <c r="T117" i="30"/>
  <c r="X117" i="30"/>
  <c r="T109" i="30"/>
  <c r="X109" i="30"/>
  <c r="V107" i="30"/>
  <c r="AA107" i="30"/>
  <c r="AC105" i="30"/>
  <c r="W105" i="30"/>
  <c r="U104" i="30"/>
  <c r="Z104" i="30"/>
  <c r="T101" i="30"/>
  <c r="X101" i="30"/>
  <c r="Y101" i="30"/>
  <c r="AC97" i="30"/>
  <c r="W97" i="30"/>
  <c r="U96" i="30"/>
  <c r="Z96" i="30"/>
  <c r="T93" i="30"/>
  <c r="X93" i="30"/>
  <c r="V91" i="30"/>
  <c r="AA91" i="30"/>
  <c r="AC89" i="30"/>
  <c r="W89" i="30"/>
  <c r="U88" i="30"/>
  <c r="Z88" i="30"/>
  <c r="T85" i="30"/>
  <c r="Y85" i="30"/>
  <c r="X85" i="30"/>
  <c r="AA83" i="30"/>
  <c r="V83" i="30"/>
  <c r="W81" i="30"/>
  <c r="AC81" i="30"/>
  <c r="T77" i="30"/>
  <c r="Y77" i="30"/>
  <c r="X77" i="30"/>
  <c r="V75" i="30"/>
  <c r="AA75" i="30"/>
  <c r="U72" i="30"/>
  <c r="Z72" i="30"/>
  <c r="T69" i="30"/>
  <c r="Y69" i="30"/>
  <c r="X69" i="30"/>
  <c r="AA67" i="30"/>
  <c r="V67" i="30"/>
  <c r="AC65" i="30"/>
  <c r="W65" i="30"/>
  <c r="Z64" i="30"/>
  <c r="U64" i="30"/>
  <c r="T61" i="30"/>
  <c r="Y61" i="30"/>
  <c r="X61" i="30"/>
  <c r="AA59" i="30"/>
  <c r="V59" i="30"/>
  <c r="AC57" i="30"/>
  <c r="W57" i="30"/>
  <c r="Z56" i="30"/>
  <c r="U56" i="30"/>
  <c r="T53" i="30"/>
  <c r="Y53" i="30"/>
  <c r="X53" i="30"/>
  <c r="V51" i="30"/>
  <c r="AA51" i="30"/>
  <c r="AC49" i="30"/>
  <c r="W49" i="30"/>
  <c r="Z48" i="30"/>
  <c r="U48" i="30"/>
  <c r="T45" i="30"/>
  <c r="Y45" i="30"/>
  <c r="X45" i="30"/>
  <c r="V43" i="30"/>
  <c r="AA43" i="30"/>
  <c r="W41" i="30"/>
  <c r="AC41" i="30"/>
  <c r="U40" i="30"/>
  <c r="Z40" i="30"/>
  <c r="T37" i="30"/>
  <c r="Y37" i="30"/>
  <c r="X37" i="30"/>
  <c r="V35" i="30"/>
  <c r="AA35" i="30"/>
  <c r="W33" i="30"/>
  <c r="AC33" i="30"/>
  <c r="Z32" i="30"/>
  <c r="U32" i="30"/>
  <c r="T29" i="30"/>
  <c r="Y29" i="30"/>
  <c r="X29" i="30"/>
  <c r="V27" i="30"/>
  <c r="AA27" i="30"/>
  <c r="W25" i="30"/>
  <c r="AC25" i="30"/>
  <c r="U24" i="30"/>
  <c r="Z24" i="30"/>
  <c r="T21" i="30"/>
  <c r="Y21" i="30"/>
  <c r="X21" i="30"/>
  <c r="AC21" i="30"/>
  <c r="V19" i="30"/>
  <c r="AA19" i="30"/>
  <c r="W17" i="30"/>
  <c r="AC17" i="30"/>
  <c r="U16" i="30"/>
  <c r="Z16" i="30"/>
  <c r="T13" i="30"/>
  <c r="X13" i="30"/>
  <c r="Y13" i="30"/>
  <c r="V11" i="30"/>
  <c r="AA11" i="30"/>
  <c r="W9" i="30"/>
  <c r="AC9" i="30"/>
  <c r="U8" i="30"/>
  <c r="Z8" i="30"/>
  <c r="T5" i="30"/>
  <c r="Y5" i="30"/>
  <c r="X5" i="30"/>
  <c r="AC5" i="30"/>
  <c r="U3" i="30"/>
  <c r="Z3" i="30"/>
  <c r="X88" i="30"/>
  <c r="X56" i="30"/>
  <c r="X24" i="30"/>
  <c r="Y112" i="30"/>
  <c r="AA88" i="30"/>
  <c r="Y80" i="30"/>
  <c r="AB61" i="30"/>
  <c r="B77" i="47"/>
  <c r="D77" i="47" s="1"/>
  <c r="G77" i="47" s="1" a="1"/>
  <c r="G77" i="47" s="1"/>
  <c r="V110" i="30"/>
  <c r="AB105" i="30"/>
  <c r="T104" i="30"/>
  <c r="Y104" i="30"/>
  <c r="AA102" i="30"/>
  <c r="V102" i="30"/>
  <c r="W100" i="30"/>
  <c r="AC100" i="30"/>
  <c r="AB97" i="30"/>
  <c r="T96" i="30"/>
  <c r="Y96" i="30"/>
  <c r="V94" i="30"/>
  <c r="AA94" i="30"/>
  <c r="U91" i="30"/>
  <c r="Z91" i="30"/>
  <c r="AB89" i="30"/>
  <c r="T88" i="30"/>
  <c r="Y88" i="30"/>
  <c r="V86" i="30"/>
  <c r="W84" i="30"/>
  <c r="AC84" i="30"/>
  <c r="U83" i="30"/>
  <c r="Z83" i="30"/>
  <c r="AB81" i="30"/>
  <c r="V78" i="30"/>
  <c r="AA78" i="30"/>
  <c r="AC76" i="30"/>
  <c r="W76" i="30"/>
  <c r="U75" i="30"/>
  <c r="Z75" i="30"/>
  <c r="T72" i="30"/>
  <c r="Y72" i="30"/>
  <c r="V70" i="30"/>
  <c r="AA70" i="30"/>
  <c r="U67" i="30"/>
  <c r="Z67" i="30"/>
  <c r="AB65" i="30"/>
  <c r="T64" i="30"/>
  <c r="Y64" i="30"/>
  <c r="V62" i="30"/>
  <c r="AA62" i="30"/>
  <c r="W60" i="30"/>
  <c r="AC60" i="30"/>
  <c r="AB57" i="30"/>
  <c r="T56" i="30"/>
  <c r="Y56" i="30"/>
  <c r="V54" i="30"/>
  <c r="AA54" i="30"/>
  <c r="AC52" i="30"/>
  <c r="W52" i="30"/>
  <c r="U51" i="30"/>
  <c r="Z51" i="30"/>
  <c r="Y48" i="30"/>
  <c r="T48" i="30"/>
  <c r="V46" i="30"/>
  <c r="AA46" i="30"/>
  <c r="U43" i="30"/>
  <c r="Z43" i="30"/>
  <c r="AB41" i="30"/>
  <c r="T40" i="30"/>
  <c r="Y40" i="30"/>
  <c r="V38" i="30"/>
  <c r="AA38" i="30"/>
  <c r="W36" i="30"/>
  <c r="AC36" i="30"/>
  <c r="U35" i="30"/>
  <c r="Z35" i="30"/>
  <c r="AB33" i="30"/>
  <c r="Y32" i="30"/>
  <c r="T32" i="30"/>
  <c r="V30" i="30"/>
  <c r="AA30" i="30"/>
  <c r="AC28" i="30"/>
  <c r="W28" i="30"/>
  <c r="U27" i="30"/>
  <c r="Z27" i="30"/>
  <c r="AB25" i="30"/>
  <c r="T24" i="30"/>
  <c r="Y24" i="30"/>
  <c r="V22" i="30"/>
  <c r="AA22" i="30"/>
  <c r="AC20" i="30"/>
  <c r="W20" i="30"/>
  <c r="U19" i="30"/>
  <c r="Z19" i="30"/>
  <c r="AB17" i="30"/>
  <c r="Y16" i="30"/>
  <c r="T16" i="30"/>
  <c r="V14" i="30"/>
  <c r="AA14" i="30"/>
  <c r="W12" i="30"/>
  <c r="AC12" i="30"/>
  <c r="U11" i="30"/>
  <c r="Z11" i="30"/>
  <c r="AC11" i="30"/>
  <c r="Y9" i="30"/>
  <c r="Z9" i="30"/>
  <c r="AB9" i="30"/>
  <c r="T8" i="30"/>
  <c r="Y8" i="30"/>
  <c r="V6" i="30"/>
  <c r="Y6" i="30"/>
  <c r="AA6" i="30"/>
  <c r="AC4" i="30"/>
  <c r="W4" i="30"/>
  <c r="K4" i="30" s="1"/>
  <c r="T3" i="30"/>
  <c r="Y3" i="30"/>
  <c r="X3" i="30"/>
  <c r="AA3" i="30"/>
  <c r="X87" i="30"/>
  <c r="Y117" i="30"/>
  <c r="Z78" i="30"/>
  <c r="Y50" i="30"/>
  <c r="AB39" i="30"/>
  <c r="B107" i="47"/>
  <c r="D107" i="47" s="1"/>
  <c r="B91" i="47"/>
  <c r="D91" i="47" s="1"/>
  <c r="B11" i="47"/>
  <c r="D11" i="47" s="1"/>
  <c r="V2" i="30"/>
  <c r="AA2" i="30"/>
  <c r="AB116" i="30"/>
  <c r="T115" i="30"/>
  <c r="X115" i="30"/>
  <c r="Y115" i="30"/>
  <c r="V113" i="30"/>
  <c r="AA113" i="30"/>
  <c r="W111" i="30"/>
  <c r="AC111" i="30"/>
  <c r="U110" i="30"/>
  <c r="Z110" i="30"/>
  <c r="AB108" i="30"/>
  <c r="T107" i="30"/>
  <c r="X107" i="30"/>
  <c r="V105" i="30"/>
  <c r="W103" i="30"/>
  <c r="AC103" i="30"/>
  <c r="Z102" i="30"/>
  <c r="U102" i="30"/>
  <c r="AB100" i="30"/>
  <c r="T99" i="30"/>
  <c r="X99" i="30"/>
  <c r="Y99" i="30"/>
  <c r="V97" i="30"/>
  <c r="AC95" i="30"/>
  <c r="W95" i="30"/>
  <c r="U94" i="30"/>
  <c r="Z94" i="30"/>
  <c r="AB92" i="30"/>
  <c r="T91" i="30"/>
  <c r="X91" i="30"/>
  <c r="V89" i="30"/>
  <c r="AA89" i="30"/>
  <c r="W87" i="30"/>
  <c r="AC87" i="30"/>
  <c r="U86" i="30"/>
  <c r="Z86" i="30"/>
  <c r="T83" i="30"/>
  <c r="Y83" i="30"/>
  <c r="X83" i="30"/>
  <c r="V81" i="30"/>
  <c r="AA81" i="30"/>
  <c r="W79" i="30"/>
  <c r="AC79" i="30"/>
  <c r="AB76" i="30"/>
  <c r="T75" i="30"/>
  <c r="X75" i="30"/>
  <c r="Y75" i="30"/>
  <c r="V73" i="30"/>
  <c r="AA73" i="30"/>
  <c r="U70" i="30"/>
  <c r="Z70" i="30"/>
  <c r="AB68" i="30"/>
  <c r="T67" i="30"/>
  <c r="X67" i="30"/>
  <c r="Y67" i="30"/>
  <c r="V65" i="30"/>
  <c r="AA65" i="30"/>
  <c r="W63" i="30"/>
  <c r="AC63" i="30"/>
  <c r="AB60" i="30"/>
  <c r="T59" i="30"/>
  <c r="K59" i="30" s="1"/>
  <c r="X59" i="30"/>
  <c r="Y59" i="30"/>
  <c r="V57" i="30"/>
  <c r="AA57" i="30"/>
  <c r="W55" i="30"/>
  <c r="AC55" i="30"/>
  <c r="AB52" i="30"/>
  <c r="T51" i="30"/>
  <c r="Y51" i="30"/>
  <c r="X51" i="30"/>
  <c r="V49" i="30"/>
  <c r="AA49" i="30"/>
  <c r="W47" i="30"/>
  <c r="AC47" i="30"/>
  <c r="U46" i="30"/>
  <c r="Z46" i="30"/>
  <c r="AB44" i="30"/>
  <c r="T43" i="30"/>
  <c r="Y43" i="30"/>
  <c r="X43" i="30"/>
  <c r="AA41" i="30"/>
  <c r="V41" i="30"/>
  <c r="AC39" i="30"/>
  <c r="W39" i="30"/>
  <c r="Z38" i="30"/>
  <c r="U38" i="30"/>
  <c r="AB36" i="30"/>
  <c r="T35" i="30"/>
  <c r="Y35" i="30"/>
  <c r="X35" i="30"/>
  <c r="AA33" i="30"/>
  <c r="V33" i="30"/>
  <c r="AC31" i="30"/>
  <c r="W31" i="30"/>
  <c r="Z30" i="30"/>
  <c r="U30" i="30"/>
  <c r="AB28" i="30"/>
  <c r="AC27" i="30"/>
  <c r="X112" i="30"/>
  <c r="X80" i="30"/>
  <c r="X48" i="30"/>
  <c r="X16" i="30"/>
  <c r="AC116" i="30"/>
  <c r="AA110" i="30"/>
  <c r="AC94" i="30"/>
  <c r="AA86" i="30"/>
  <c r="AC68" i="30"/>
  <c r="Z59" i="30"/>
  <c r="B85" i="47"/>
  <c r="D85" i="47" s="1"/>
  <c r="G85" i="47" s="1" a="1"/>
  <c r="G85" i="47" s="1"/>
  <c r="U2" i="30"/>
  <c r="Z2" i="30"/>
  <c r="V116" i="30"/>
  <c r="AA116" i="30"/>
  <c r="AC114" i="30"/>
  <c r="W114" i="30"/>
  <c r="U113" i="30"/>
  <c r="Z113" i="30"/>
  <c r="AB111" i="30"/>
  <c r="T110" i="30"/>
  <c r="Y110" i="30"/>
  <c r="X110" i="30"/>
  <c r="V108" i="30"/>
  <c r="AA108" i="30"/>
  <c r="AC106" i="30"/>
  <c r="W106" i="30"/>
  <c r="X102" i="30"/>
  <c r="T102" i="30"/>
  <c r="Y102" i="30"/>
  <c r="V100" i="30"/>
  <c r="AA100" i="30"/>
  <c r="AC98" i="30"/>
  <c r="W98" i="30"/>
  <c r="AB95" i="30"/>
  <c r="T94" i="30"/>
  <c r="Y94" i="30"/>
  <c r="X94" i="30"/>
  <c r="V92" i="30"/>
  <c r="AA92" i="30"/>
  <c r="U89" i="30"/>
  <c r="Z89" i="30"/>
  <c r="AB87" i="30"/>
  <c r="Y86" i="30"/>
  <c r="X86" i="30"/>
  <c r="T86" i="30"/>
  <c r="W82" i="30"/>
  <c r="AC82" i="30"/>
  <c r="U81" i="30"/>
  <c r="Z81" i="30"/>
  <c r="T78" i="30"/>
  <c r="X78" i="30"/>
  <c r="V76" i="30"/>
  <c r="AA76" i="30"/>
  <c r="W74" i="30"/>
  <c r="AC74" i="30"/>
  <c r="U73" i="30"/>
  <c r="Z73" i="30"/>
  <c r="T70" i="30"/>
  <c r="Y70" i="30"/>
  <c r="X70" i="30"/>
  <c r="V68" i="30"/>
  <c r="AA68" i="30"/>
  <c r="U65" i="30"/>
  <c r="Z65" i="30"/>
  <c r="Y62" i="30"/>
  <c r="X62" i="30"/>
  <c r="T62" i="30"/>
  <c r="V60" i="30"/>
  <c r="AA60" i="30"/>
  <c r="AC58" i="30"/>
  <c r="W58" i="30"/>
  <c r="T54" i="30"/>
  <c r="Y54" i="30"/>
  <c r="X54" i="30"/>
  <c r="V52" i="30"/>
  <c r="AA52" i="30"/>
  <c r="AC50" i="30"/>
  <c r="W50" i="30"/>
  <c r="U49" i="30"/>
  <c r="Z49" i="30"/>
  <c r="T46" i="30"/>
  <c r="Y46" i="30"/>
  <c r="X46" i="30"/>
  <c r="AC42" i="30"/>
  <c r="W42" i="30"/>
  <c r="U41" i="30"/>
  <c r="Z41" i="30"/>
  <c r="T38" i="30"/>
  <c r="Y38" i="30"/>
  <c r="X38" i="30"/>
  <c r="V36" i="30"/>
  <c r="AA36" i="30"/>
  <c r="AC34" i="30"/>
  <c r="W34" i="30"/>
  <c r="U33" i="30"/>
  <c r="Z33" i="30"/>
  <c r="AB31" i="30"/>
  <c r="Z31" i="30"/>
  <c r="T30" i="30"/>
  <c r="Y30" i="30"/>
  <c r="X30" i="30"/>
  <c r="AA28" i="30"/>
  <c r="V28" i="30"/>
  <c r="Y28" i="30"/>
  <c r="X22" i="30"/>
  <c r="X14" i="30"/>
  <c r="X111" i="30"/>
  <c r="X47" i="30"/>
  <c r="AA115" i="30"/>
  <c r="Y109" i="30"/>
  <c r="AC101" i="30"/>
  <c r="Y93" i="30"/>
  <c r="Z76" i="30"/>
  <c r="AC66" i="30"/>
  <c r="Z57" i="30"/>
  <c r="AB47" i="30"/>
  <c r="Z36" i="30"/>
  <c r="AC117" i="30"/>
  <c r="W117" i="30"/>
  <c r="U116" i="30"/>
  <c r="Z116" i="30"/>
  <c r="AB114" i="30"/>
  <c r="T113" i="30"/>
  <c r="Y113" i="30"/>
  <c r="X113" i="30"/>
  <c r="V111" i="30"/>
  <c r="AA111" i="30"/>
  <c r="W109" i="30"/>
  <c r="AC109" i="30"/>
  <c r="U108" i="30"/>
  <c r="Z108" i="30"/>
  <c r="AB106" i="30"/>
  <c r="T105" i="30"/>
  <c r="Y105" i="30"/>
  <c r="X105" i="30"/>
  <c r="V103" i="30"/>
  <c r="U100" i="30"/>
  <c r="Z100" i="30"/>
  <c r="AB98" i="30"/>
  <c r="T97" i="30"/>
  <c r="Y97" i="30"/>
  <c r="X97" i="30"/>
  <c r="V95" i="30"/>
  <c r="W93" i="30"/>
  <c r="AC93" i="30"/>
  <c r="U92" i="30"/>
  <c r="Z92" i="30"/>
  <c r="AB90" i="30"/>
  <c r="T89" i="30"/>
  <c r="X89" i="30"/>
  <c r="AA87" i="30"/>
  <c r="V87" i="30"/>
  <c r="W85" i="30"/>
  <c r="AC85" i="30"/>
  <c r="U84" i="30"/>
  <c r="Z84" i="30"/>
  <c r="T81" i="30"/>
  <c r="Y81" i="30"/>
  <c r="X81" i="30"/>
  <c r="AA79" i="30"/>
  <c r="V79" i="30"/>
  <c r="W77" i="30"/>
  <c r="AC77" i="30"/>
  <c r="AB74" i="30"/>
  <c r="T73" i="30"/>
  <c r="Y73" i="30"/>
  <c r="X73" i="30"/>
  <c r="V71" i="30"/>
  <c r="AA71" i="30"/>
  <c r="W69" i="30"/>
  <c r="AC69" i="30"/>
  <c r="U68" i="30"/>
  <c r="Z68" i="30"/>
  <c r="T65" i="30"/>
  <c r="Y65" i="30"/>
  <c r="X65" i="30"/>
  <c r="V63" i="30"/>
  <c r="AA63" i="30"/>
  <c r="AC61" i="30"/>
  <c r="W61" i="30"/>
  <c r="AB58" i="30"/>
  <c r="AB50" i="30"/>
  <c r="X49" i="30"/>
  <c r="X41" i="30"/>
  <c r="X33" i="30"/>
  <c r="X17" i="30"/>
  <c r="X104" i="30"/>
  <c r="X72" i="30"/>
  <c r="X40" i="30"/>
  <c r="X8" i="30"/>
  <c r="Z115" i="30"/>
  <c r="AC108" i="30"/>
  <c r="Z101" i="30"/>
  <c r="AC92" i="30"/>
  <c r="AA84" i="30"/>
  <c r="Y57" i="30"/>
  <c r="B96" i="47"/>
  <c r="D96" i="47" s="1"/>
  <c r="B51" i="47"/>
  <c r="D51" i="47" s="1"/>
  <c r="B72" i="47"/>
  <c r="D72" i="47" s="1"/>
  <c r="G72" i="47" s="1" a="1"/>
  <c r="G72" i="47" s="1"/>
  <c r="AB117" i="30"/>
  <c r="T116" i="30"/>
  <c r="Y116" i="30"/>
  <c r="X116" i="30"/>
  <c r="V114" i="30"/>
  <c r="AA114" i="30"/>
  <c r="W112" i="30"/>
  <c r="AC112" i="30"/>
  <c r="Z111" i="30"/>
  <c r="U111" i="30"/>
  <c r="AB109" i="30"/>
  <c r="Y108" i="30"/>
  <c r="T108" i="30"/>
  <c r="X108" i="30"/>
  <c r="V106" i="30"/>
  <c r="AA106" i="30"/>
  <c r="AC104" i="30"/>
  <c r="W104" i="30"/>
  <c r="U103" i="30"/>
  <c r="Z103" i="30"/>
  <c r="AB101" i="30"/>
  <c r="T100" i="30"/>
  <c r="Y100" i="30"/>
  <c r="X100" i="30"/>
  <c r="V98" i="30"/>
  <c r="AA98" i="30"/>
  <c r="AC96" i="30"/>
  <c r="W96" i="30"/>
  <c r="Z95" i="30"/>
  <c r="U95" i="30"/>
  <c r="AB93" i="30"/>
  <c r="Y92" i="30"/>
  <c r="T92" i="30"/>
  <c r="X92" i="30"/>
  <c r="AA90" i="30"/>
  <c r="V90" i="30"/>
  <c r="AC88" i="30"/>
  <c r="W88" i="30"/>
  <c r="U87" i="30"/>
  <c r="Z87" i="30"/>
  <c r="AB85" i="30"/>
  <c r="T84" i="30"/>
  <c r="Y84" i="30"/>
  <c r="X84" i="30"/>
  <c r="AA82" i="30"/>
  <c r="V82" i="30"/>
  <c r="W80" i="30"/>
  <c r="AC80" i="30"/>
  <c r="U79" i="30"/>
  <c r="Z79" i="30"/>
  <c r="AB77" i="30"/>
  <c r="T76" i="30"/>
  <c r="Y76" i="30"/>
  <c r="X76" i="30"/>
  <c r="AA74" i="30"/>
  <c r="V74" i="30"/>
  <c r="AC72" i="30"/>
  <c r="W72" i="30"/>
  <c r="U71" i="30"/>
  <c r="Z71" i="30"/>
  <c r="T68" i="30"/>
  <c r="Y68" i="30"/>
  <c r="X68" i="30"/>
  <c r="V66" i="30"/>
  <c r="AA66" i="30"/>
  <c r="W64" i="30"/>
  <c r="AC64" i="30"/>
  <c r="U63" i="30"/>
  <c r="Z63" i="30"/>
  <c r="T60" i="30"/>
  <c r="Y60" i="30"/>
  <c r="X60" i="30"/>
  <c r="AA58" i="30"/>
  <c r="V58" i="30"/>
  <c r="W56" i="30"/>
  <c r="AC56" i="30"/>
  <c r="U55" i="30"/>
  <c r="Z55" i="30"/>
  <c r="AB53" i="30"/>
  <c r="T52" i="30"/>
  <c r="X52" i="30"/>
  <c r="V50" i="30"/>
  <c r="AA50" i="30"/>
  <c r="W48" i="30"/>
  <c r="AC48" i="30"/>
  <c r="U47" i="30"/>
  <c r="Z47" i="30"/>
  <c r="AB45" i="30"/>
  <c r="AB29" i="30"/>
  <c r="AB21" i="30"/>
  <c r="X20" i="30"/>
  <c r="AB13" i="30"/>
  <c r="X12" i="30"/>
  <c r="AB5" i="30"/>
  <c r="X103" i="30"/>
  <c r="X71" i="30"/>
  <c r="AC113" i="30"/>
  <c r="Z107" i="30"/>
  <c r="AA99" i="30"/>
  <c r="Y91" i="30"/>
  <c r="AC73" i="30"/>
  <c r="AB64" i="30"/>
  <c r="Y55" i="30"/>
  <c r="AC44" i="30"/>
  <c r="AB43" i="30"/>
  <c r="U37" i="30"/>
  <c r="Z37" i="30"/>
  <c r="Y34" i="30"/>
  <c r="T34" i="30"/>
  <c r="W30" i="30"/>
  <c r="AC30" i="30"/>
  <c r="V24" i="30"/>
  <c r="AA24" i="30"/>
  <c r="U21" i="30"/>
  <c r="Z21" i="30"/>
  <c r="AB19" i="30"/>
  <c r="W14" i="30"/>
  <c r="AC14" i="30"/>
  <c r="T10" i="30"/>
  <c r="Y10" i="30"/>
  <c r="V8" i="30"/>
  <c r="AA8" i="30"/>
  <c r="W6" i="30"/>
  <c r="AC6" i="30"/>
  <c r="U5" i="30"/>
  <c r="Z5" i="30"/>
  <c r="X57" i="30"/>
  <c r="X25" i="30"/>
  <c r="X9" i="30"/>
  <c r="AC59" i="30"/>
  <c r="Z50" i="30"/>
  <c r="Z45" i="30"/>
  <c r="AA42" i="30"/>
  <c r="Z34" i="30"/>
  <c r="Z28" i="30"/>
  <c r="AC22" i="30"/>
  <c r="AA16" i="30"/>
  <c r="Z13" i="30"/>
  <c r="V37" i="30"/>
  <c r="AC18" i="30"/>
  <c r="V21" i="30"/>
  <c r="Z25" i="30"/>
  <c r="T27" i="30"/>
  <c r="Y27" i="30"/>
  <c r="AA25" i="30"/>
  <c r="V25" i="30"/>
  <c r="AC23" i="30"/>
  <c r="W23" i="30"/>
  <c r="Z22" i="30"/>
  <c r="U22" i="30"/>
  <c r="AB20" i="30"/>
  <c r="T19" i="30"/>
  <c r="Y19" i="30"/>
  <c r="AA17" i="30"/>
  <c r="V17" i="30"/>
  <c r="Z14" i="30"/>
  <c r="U14" i="30"/>
  <c r="AB12" i="30"/>
  <c r="T11" i="30"/>
  <c r="Y11" i="30"/>
  <c r="AA9" i="30"/>
  <c r="V9" i="30"/>
  <c r="K9" i="30" s="1"/>
  <c r="AC7" i="30"/>
  <c r="W7" i="30"/>
  <c r="Z6" i="30"/>
  <c r="U6" i="30"/>
  <c r="X6" i="30"/>
  <c r="AC51" i="30"/>
  <c r="Z44" i="30"/>
  <c r="Y36" i="30"/>
  <c r="Y25" i="30"/>
  <c r="AA18" i="30"/>
  <c r="Z15" i="30"/>
  <c r="AC8" i="30"/>
  <c r="T22" i="30"/>
  <c r="Y22" i="30"/>
  <c r="U17" i="30"/>
  <c r="Z17" i="30"/>
  <c r="T14" i="30"/>
  <c r="Y14" i="30"/>
  <c r="V12" i="30"/>
  <c r="AA12" i="30"/>
  <c r="Z66" i="30"/>
  <c r="AC53" i="30"/>
  <c r="Y44" i="30"/>
  <c r="AC40" i="30"/>
  <c r="AC29" i="30"/>
  <c r="Z18" i="30"/>
  <c r="AA4" i="30"/>
  <c r="U60" i="30"/>
  <c r="Z60" i="30"/>
  <c r="V55" i="30"/>
  <c r="T49" i="30"/>
  <c r="Y49" i="30"/>
  <c r="AA47" i="30"/>
  <c r="V47" i="30"/>
  <c r="T41" i="30"/>
  <c r="Y41" i="30"/>
  <c r="AA39" i="30"/>
  <c r="V39" i="30"/>
  <c r="T33" i="30"/>
  <c r="Y33" i="30"/>
  <c r="V31" i="30"/>
  <c r="AB26" i="30"/>
  <c r="V23" i="30"/>
  <c r="T17" i="30"/>
  <c r="Y17" i="30"/>
  <c r="V15" i="30"/>
  <c r="AC13" i="30"/>
  <c r="W13" i="30"/>
  <c r="U12" i="30"/>
  <c r="Z12" i="30"/>
  <c r="V7" i="30"/>
  <c r="AA7" i="30"/>
  <c r="X44" i="30"/>
  <c r="X36" i="30"/>
  <c r="X28" i="30"/>
  <c r="X4" i="30"/>
  <c r="AC43" i="30"/>
  <c r="AA32" i="30"/>
  <c r="Y18" i="30"/>
  <c r="Z4" i="30"/>
  <c r="W26" i="30"/>
  <c r="W15" i="30"/>
  <c r="U39" i="30"/>
  <c r="Z39" i="30"/>
  <c r="AB37" i="30"/>
  <c r="W32" i="30"/>
  <c r="AC32" i="30"/>
  <c r="AA26" i="30"/>
  <c r="W24" i="30"/>
  <c r="AC24" i="30"/>
  <c r="U23" i="30"/>
  <c r="Z23" i="30"/>
  <c r="T20" i="30"/>
  <c r="Y20" i="30"/>
  <c r="T12" i="30"/>
  <c r="Y12" i="30"/>
  <c r="AA10" i="30"/>
  <c r="V10" i="30"/>
  <c r="X27" i="30"/>
  <c r="X19" i="30"/>
  <c r="X11" i="30"/>
  <c r="Y63" i="30"/>
  <c r="AA53" i="30"/>
  <c r="AA40" i="30"/>
  <c r="AC37" i="30"/>
  <c r="Z26" i="30"/>
  <c r="AA20" i="30"/>
  <c r="AC16" i="30"/>
  <c r="AC10" i="30"/>
  <c r="Z7" i="30"/>
  <c r="Y4" i="30"/>
  <c r="V26" i="30"/>
  <c r="AC83" i="30"/>
  <c r="Z82" i="30"/>
  <c r="U82" i="30"/>
  <c r="AB80" i="30"/>
  <c r="T79" i="30"/>
  <c r="Y79" i="30"/>
  <c r="V77" i="30"/>
  <c r="AA77" i="30"/>
  <c r="AC75" i="30"/>
  <c r="Z74" i="30"/>
  <c r="U74" i="30"/>
  <c r="AB72" i="30"/>
  <c r="T71" i="30"/>
  <c r="Y71" i="30"/>
  <c r="AA69" i="30"/>
  <c r="V61" i="30"/>
  <c r="Z58" i="30"/>
  <c r="AB56" i="30"/>
  <c r="AA45" i="30"/>
  <c r="V45" i="30"/>
  <c r="T39" i="30"/>
  <c r="Y39" i="30"/>
  <c r="W35" i="30"/>
  <c r="AC35" i="30"/>
  <c r="T31" i="30"/>
  <c r="Y31" i="30"/>
  <c r="V29" i="30"/>
  <c r="AB24" i="30"/>
  <c r="T23" i="30"/>
  <c r="Y23" i="30"/>
  <c r="AA21" i="30"/>
  <c r="W19" i="30"/>
  <c r="AC19" i="30"/>
  <c r="T15" i="30"/>
  <c r="Y15" i="30"/>
  <c r="V13" i="30"/>
  <c r="Z10" i="30"/>
  <c r="AB8" i="30"/>
  <c r="V5" i="30"/>
  <c r="AA5" i="30"/>
  <c r="X42" i="30"/>
  <c r="X34" i="30"/>
  <c r="X26" i="30"/>
  <c r="X18" i="30"/>
  <c r="X10" i="30"/>
  <c r="AB4" i="30"/>
  <c r="AC67" i="30"/>
  <c r="AA55" i="30"/>
  <c r="AC45" i="30"/>
  <c r="AA34" i="30"/>
  <c r="Z29" i="30"/>
  <c r="Y26" i="30"/>
  <c r="AA23" i="30"/>
  <c r="Z20" i="30"/>
  <c r="AA13" i="30"/>
  <c r="Y7" i="30"/>
  <c r="AC3" i="30"/>
  <c r="X5" i="42"/>
  <c r="G63" i="47" a="1"/>
  <c r="G63" i="47" s="1"/>
  <c r="G98" i="47" a="1"/>
  <c r="G98" i="47" s="1"/>
  <c r="G108" i="47" a="1"/>
  <c r="G108" i="47" s="1"/>
  <c r="G75" i="47" a="1"/>
  <c r="G75" i="47" s="1"/>
  <c r="G96" i="47" a="1"/>
  <c r="G96" i="47" s="1"/>
  <c r="G74" i="47" a="1"/>
  <c r="G74" i="47" s="1"/>
  <c r="G81" i="47" a="1"/>
  <c r="G81" i="47" s="1"/>
  <c r="G71" i="47" a="1"/>
  <c r="G71" i="47" s="1"/>
  <c r="G78" i="47" a="1"/>
  <c r="G78" i="47" s="1"/>
  <c r="G56" i="47" a="1"/>
  <c r="G56" i="47" s="1"/>
  <c r="G54" i="47" a="1"/>
  <c r="G54" i="47" s="1"/>
  <c r="G83" i="47" a="1"/>
  <c r="G83" i="47" s="1"/>
  <c r="G70" i="47" a="1"/>
  <c r="G70" i="47" s="1"/>
  <c r="G60" i="47" a="1"/>
  <c r="G60" i="47" s="1"/>
  <c r="G65" i="47" a="1"/>
  <c r="G65" i="47" s="1"/>
  <c r="G88" i="47" a="1"/>
  <c r="G88" i="47" s="1"/>
  <c r="G64" i="47" a="1"/>
  <c r="G64" i="47" s="1"/>
  <c r="G59" i="47" a="1"/>
  <c r="G59" i="47" s="1"/>
  <c r="G67" i="47" a="1"/>
  <c r="G67" i="47" s="1"/>
  <c r="G101" i="47" a="1"/>
  <c r="G101" i="47" s="1"/>
  <c r="G105" i="47" a="1"/>
  <c r="G105" i="47" s="1"/>
  <c r="G62" i="47" a="1"/>
  <c r="G62" i="47" s="1"/>
  <c r="G82" i="47" a="1"/>
  <c r="G82" i="47" s="1"/>
  <c r="G118" i="47" a="1"/>
  <c r="G118" i="47" s="1"/>
  <c r="G93" i="47" a="1"/>
  <c r="G93" i="47" s="1"/>
  <c r="G58" i="47" a="1"/>
  <c r="G58" i="47" s="1"/>
  <c r="G92" i="47" a="1"/>
  <c r="G92" i="47" s="1"/>
  <c r="G102" i="47" a="1"/>
  <c r="G102" i="47" s="1"/>
  <c r="G110" i="47" a="1"/>
  <c r="G110" i="47" s="1"/>
  <c r="G57" i="47" a="1"/>
  <c r="G57" i="47" s="1"/>
  <c r="G86" i="47" a="1"/>
  <c r="G86" i="47" s="1"/>
  <c r="G61" i="47" a="1"/>
  <c r="G61" i="47" s="1"/>
  <c r="G117" i="47" a="1"/>
  <c r="G117" i="47" s="1"/>
  <c r="G100" i="47" a="1"/>
  <c r="G100" i="47" s="1"/>
  <c r="G107" i="47" a="1"/>
  <c r="G107" i="47" s="1"/>
  <c r="G112" i="47" a="1"/>
  <c r="G112" i="47" s="1"/>
  <c r="G53" i="47" a="1"/>
  <c r="G53" i="47" s="1"/>
  <c r="G84" i="47" a="1"/>
  <c r="G84" i="47" s="1"/>
  <c r="G73" i="47" a="1"/>
  <c r="G73" i="47" s="1"/>
  <c r="G99" i="47" a="1"/>
  <c r="G99" i="47" s="1"/>
  <c r="G106" i="47" a="1"/>
  <c r="G106" i="47" s="1"/>
  <c r="G115" i="47" a="1"/>
  <c r="G115" i="47" s="1"/>
  <c r="G87" i="47" a="1"/>
  <c r="G87" i="47" s="1"/>
  <c r="G95" i="47" a="1"/>
  <c r="G95" i="47" s="1"/>
  <c r="G68" i="47" a="1"/>
  <c r="G68" i="47" s="1"/>
  <c r="G111" i="47" a="1"/>
  <c r="G111" i="47" s="1"/>
  <c r="G80" i="47" a="1"/>
  <c r="G80" i="47" s="1"/>
  <c r="G76" i="47" a="1"/>
  <c r="G76" i="47" s="1"/>
  <c r="G94" i="47" a="1"/>
  <c r="G94" i="47" s="1"/>
  <c r="G55" i="47" a="1"/>
  <c r="G55" i="47" s="1"/>
  <c r="G66" i="47" a="1"/>
  <c r="G66" i="47" s="1"/>
  <c r="G69" i="47" a="1"/>
  <c r="G69" i="47" s="1"/>
  <c r="G79" i="47" a="1"/>
  <c r="G79" i="47" s="1"/>
  <c r="E35" i="46"/>
  <c r="F38" i="46"/>
  <c r="E52" i="46"/>
  <c r="E15" i="46"/>
  <c r="F71" i="46"/>
  <c r="R26" i="43"/>
  <c r="S5" i="43"/>
  <c r="Q27" i="43"/>
  <c r="E64" i="46"/>
  <c r="L47" i="46"/>
  <c r="F67" i="46"/>
  <c r="E7" i="46"/>
  <c r="L34" i="46"/>
  <c r="F14" i="46"/>
  <c r="C15" i="46"/>
  <c r="C37" i="46"/>
  <c r="F35" i="46"/>
  <c r="C65" i="46"/>
  <c r="C10" i="46"/>
  <c r="F23" i="46"/>
  <c r="D28" i="46"/>
  <c r="D47" i="46"/>
  <c r="C9" i="46"/>
  <c r="C5" i="46"/>
  <c r="E74" i="46"/>
  <c r="C3" i="46"/>
  <c r="D11" i="46"/>
  <c r="C6" i="46"/>
  <c r="D7" i="46"/>
  <c r="C8" i="46"/>
  <c r="C2" i="46"/>
  <c r="I4" i="46"/>
  <c r="C12" i="46"/>
  <c r="C13" i="46"/>
  <c r="C4" i="46"/>
  <c r="C28" i="46"/>
  <c r="D32" i="46"/>
  <c r="D53" i="46"/>
  <c r="E53" i="46"/>
  <c r="D43" i="46"/>
  <c r="D65" i="46"/>
  <c r="C75" i="46"/>
  <c r="D57" i="46"/>
  <c r="V3" i="42"/>
  <c r="V5" i="42"/>
  <c r="V6" i="42"/>
  <c r="W6" i="42"/>
  <c r="V7" i="42"/>
  <c r="V8" i="42"/>
  <c r="V9" i="42"/>
  <c r="V2" i="42"/>
  <c r="J39" i="43" l="1"/>
  <c r="J41" i="43"/>
  <c r="K52" i="30"/>
  <c r="K42" i="30"/>
  <c r="K57" i="30"/>
  <c r="K101" i="30"/>
  <c r="K75" i="30"/>
  <c r="K65" i="30"/>
  <c r="K27" i="30"/>
  <c r="K92" i="30"/>
  <c r="K54" i="30"/>
  <c r="K115" i="30"/>
  <c r="K78" i="30"/>
  <c r="K53" i="30"/>
  <c r="K40" i="30"/>
  <c r="K108" i="30"/>
  <c r="K116" i="30"/>
  <c r="K38" i="30"/>
  <c r="K41" i="30"/>
  <c r="K113" i="30"/>
  <c r="K16" i="30"/>
  <c r="K39" i="30"/>
  <c r="K22" i="30"/>
  <c r="K46" i="30"/>
  <c r="K84" i="30"/>
  <c r="K67" i="30"/>
  <c r="K43" i="30"/>
  <c r="K51" i="30"/>
  <c r="K68" i="30"/>
  <c r="K73" i="30"/>
  <c r="K49" i="30"/>
  <c r="K10" i="30"/>
  <c r="K55" i="30"/>
  <c r="K36" i="30"/>
  <c r="K97" i="30"/>
  <c r="K26" i="30"/>
  <c r="K76" i="30"/>
  <c r="K70" i="30"/>
  <c r="K23" i="30"/>
  <c r="K62" i="30"/>
  <c r="K34" i="30"/>
  <c r="K63" i="30"/>
  <c r="K47" i="30"/>
  <c r="K89" i="30"/>
  <c r="K107" i="30"/>
  <c r="K112" i="30"/>
  <c r="K99" i="30"/>
  <c r="K102" i="30"/>
  <c r="K14" i="30"/>
  <c r="K86" i="30"/>
  <c r="K6" i="30"/>
  <c r="K25" i="30"/>
  <c r="K7" i="30"/>
  <c r="K81" i="30"/>
  <c r="K30" i="30"/>
  <c r="K104" i="30"/>
  <c r="K61" i="30"/>
  <c r="K114" i="30"/>
  <c r="K19" i="30"/>
  <c r="K35" i="30"/>
  <c r="K91" i="30"/>
  <c r="K93" i="30"/>
  <c r="K98" i="30"/>
  <c r="K33" i="30"/>
  <c r="K79" i="30"/>
  <c r="K80" i="30"/>
  <c r="K28" i="30"/>
  <c r="K110" i="30"/>
  <c r="K48" i="30"/>
  <c r="K69" i="30"/>
  <c r="K74" i="30"/>
  <c r="K106" i="30"/>
  <c r="K111" i="30"/>
  <c r="K100" i="30"/>
  <c r="K103" i="30"/>
  <c r="K72" i="30"/>
  <c r="K45" i="30"/>
  <c r="K50" i="30"/>
  <c r="K58" i="30"/>
  <c r="K95" i="30"/>
  <c r="K60" i="30"/>
  <c r="K83" i="30"/>
  <c r="K32" i="30"/>
  <c r="K96" i="30"/>
  <c r="K37" i="30"/>
  <c r="K85" i="30"/>
  <c r="K90" i="30"/>
  <c r="K87" i="30"/>
  <c r="K105" i="30"/>
  <c r="K94" i="30"/>
  <c r="K8" i="30"/>
  <c r="K29" i="30"/>
  <c r="K31" i="30"/>
  <c r="K15" i="30"/>
  <c r="K24" i="30"/>
  <c r="K64" i="30"/>
  <c r="K13" i="30"/>
  <c r="K21" i="30"/>
  <c r="K71" i="30"/>
  <c r="K12" i="30"/>
  <c r="K88" i="30"/>
  <c r="K5" i="30"/>
  <c r="K77" i="30"/>
  <c r="K109" i="30"/>
  <c r="K11" i="30"/>
  <c r="K17" i="30"/>
  <c r="K3" i="30"/>
  <c r="K82" i="30"/>
  <c r="L2" i="30"/>
  <c r="K2" i="30"/>
  <c r="K20" i="30"/>
  <c r="R2" i="30"/>
  <c r="K56" i="30"/>
  <c r="K117" i="30"/>
  <c r="K66" i="30"/>
  <c r="H19" i="43"/>
  <c r="R19" i="43"/>
  <c r="Q12" i="43"/>
  <c r="G25" i="43"/>
  <c r="Q25" i="43"/>
  <c r="R12" i="43"/>
  <c r="I20" i="43"/>
  <c r="S20" i="43"/>
  <c r="H21" i="43"/>
  <c r="R21" i="43"/>
  <c r="G19" i="43"/>
  <c r="J30" i="43"/>
  <c r="J37" i="43"/>
  <c r="R14" i="43"/>
  <c r="G21" i="43"/>
  <c r="H9" i="43"/>
  <c r="R9" i="43"/>
  <c r="Q24" i="43"/>
  <c r="R10" i="43"/>
  <c r="G20" i="43"/>
  <c r="Q10" i="43"/>
  <c r="H25" i="43"/>
  <c r="Q14" i="43"/>
  <c r="I9" i="43"/>
  <c r="S9" i="43"/>
  <c r="J40" i="43"/>
  <c r="E37" i="46"/>
  <c r="E39" i="46"/>
  <c r="E17" i="46"/>
  <c r="E3" i="46"/>
  <c r="E9" i="46"/>
  <c r="F36" i="46"/>
  <c r="I67" i="46"/>
  <c r="K19" i="46"/>
  <c r="F72" i="46"/>
  <c r="K72" i="46"/>
  <c r="F40" i="46"/>
  <c r="F3" i="46"/>
  <c r="E27" i="46"/>
  <c r="E12" i="46"/>
  <c r="I7" i="46"/>
  <c r="D58" i="46"/>
  <c r="F39" i="46"/>
  <c r="F74" i="46"/>
  <c r="K29" i="46"/>
  <c r="E40" i="46"/>
  <c r="E18" i="46"/>
  <c r="F60" i="46"/>
  <c r="K76" i="46"/>
  <c r="F52" i="46"/>
  <c r="E32" i="46"/>
  <c r="K11" i="46"/>
  <c r="F69" i="46"/>
  <c r="E22" i="46"/>
  <c r="E16" i="46"/>
  <c r="E43" i="46"/>
  <c r="L42" i="46"/>
  <c r="E13" i="46"/>
  <c r="E49" i="46"/>
  <c r="E25" i="46"/>
  <c r="I37" i="46"/>
  <c r="C17" i="46"/>
  <c r="E45" i="46"/>
  <c r="F20" i="46"/>
  <c r="F43" i="46"/>
  <c r="E8" i="46"/>
  <c r="F17" i="46"/>
  <c r="F45" i="46"/>
  <c r="E21" i="46"/>
  <c r="C40" i="46"/>
  <c r="Q20" i="43"/>
  <c r="P12" i="43"/>
  <c r="P10" i="43"/>
  <c r="P26" i="43"/>
  <c r="P3" i="43"/>
  <c r="P18" i="43"/>
  <c r="P24" i="43"/>
  <c r="S27" i="43"/>
  <c r="S14" i="43"/>
  <c r="I21" i="43"/>
  <c r="R3" i="43"/>
  <c r="E26" i="46"/>
  <c r="K65" i="46"/>
  <c r="E44" i="46"/>
  <c r="I6" i="46"/>
  <c r="E24" i="46"/>
  <c r="E4" i="46"/>
  <c r="E63" i="46"/>
  <c r="E14" i="46"/>
  <c r="E50" i="46"/>
  <c r="E34" i="46"/>
  <c r="E75" i="46"/>
  <c r="F47" i="46"/>
  <c r="I70" i="46"/>
  <c r="J35" i="46"/>
  <c r="L48" i="46"/>
  <c r="J47" i="46"/>
  <c r="K61" i="46"/>
  <c r="F50" i="46"/>
  <c r="L66" i="46"/>
  <c r="J28" i="46"/>
  <c r="L35" i="46"/>
  <c r="L23" i="46"/>
  <c r="L61" i="46"/>
  <c r="E61" i="46"/>
  <c r="I61" i="46"/>
  <c r="J54" i="46"/>
  <c r="L67" i="46"/>
  <c r="K66" i="46"/>
  <c r="J66" i="46"/>
  <c r="F66" i="46"/>
  <c r="F34" i="46"/>
  <c r="F61" i="46"/>
  <c r="J61" i="46"/>
  <c r="E2" i="46"/>
  <c r="K2" i="46"/>
  <c r="L64" i="46"/>
  <c r="K39" i="46"/>
  <c r="J44" i="46"/>
  <c r="J2" i="46"/>
  <c r="C44" i="46"/>
  <c r="L12" i="46"/>
  <c r="L2" i="46"/>
  <c r="I2" i="46"/>
  <c r="K9" i="46"/>
  <c r="K64" i="46"/>
  <c r="J64" i="46"/>
  <c r="J41" i="46"/>
  <c r="L15" i="46"/>
  <c r="J15" i="46"/>
  <c r="I15" i="46"/>
  <c r="F15" i="46"/>
  <c r="I64" i="46"/>
  <c r="K15" i="46"/>
  <c r="I19" i="43"/>
  <c r="AA9" i="42"/>
  <c r="U4" i="42"/>
  <c r="X8" i="42"/>
  <c r="T8" i="42"/>
  <c r="AB2" i="42"/>
  <c r="T9" i="42"/>
  <c r="X9" i="42"/>
  <c r="W7" i="42"/>
  <c r="T4" i="42"/>
  <c r="X4" i="42"/>
  <c r="U5" i="42"/>
  <c r="W8" i="42"/>
  <c r="AE3" i="42"/>
  <c r="W3" i="42"/>
  <c r="Y3" i="42"/>
  <c r="X3" i="42"/>
  <c r="T3" i="42"/>
  <c r="U9" i="42"/>
  <c r="T2" i="42"/>
  <c r="X2" i="42"/>
  <c r="U7" i="42"/>
  <c r="AD4" i="42"/>
  <c r="V4" i="42"/>
  <c r="AF9" i="42"/>
  <c r="U6" i="42"/>
  <c r="W4" i="42"/>
  <c r="T7" i="42"/>
  <c r="X7" i="42"/>
  <c r="W5" i="42"/>
  <c r="U2" i="42"/>
  <c r="T5" i="42"/>
  <c r="W9" i="42"/>
  <c r="X6" i="42"/>
  <c r="T6" i="42"/>
  <c r="W2" i="42"/>
  <c r="Y8" i="42"/>
  <c r="U8" i="42"/>
  <c r="AA4" i="42"/>
  <c r="U3" i="42"/>
  <c r="I25" i="43"/>
  <c r="G9" i="43"/>
  <c r="K68" i="46"/>
  <c r="J37" i="46"/>
  <c r="I66" i="46"/>
  <c r="F7" i="46"/>
  <c r="D3" i="46"/>
  <c r="J7" i="46"/>
  <c r="F63" i="46"/>
  <c r="L7" i="46"/>
  <c r="L70" i="46"/>
  <c r="F37" i="46"/>
  <c r="K48" i="46"/>
  <c r="L37" i="46"/>
  <c r="K7" i="46"/>
  <c r="K37" i="46"/>
  <c r="K54" i="46"/>
  <c r="J48" i="46"/>
  <c r="L28" i="46"/>
  <c r="J23" i="46"/>
  <c r="E60" i="46"/>
  <c r="C21" i="46"/>
  <c r="I62" i="46"/>
  <c r="K62" i="46"/>
  <c r="C62" i="46"/>
  <c r="I23" i="46"/>
  <c r="I28" i="46"/>
  <c r="L62" i="46"/>
  <c r="L21" i="46"/>
  <c r="F21" i="46"/>
  <c r="J62" i="46"/>
  <c r="C46" i="46"/>
  <c r="D72" i="46"/>
  <c r="L30" i="46"/>
  <c r="F30" i="46"/>
  <c r="E71" i="46"/>
  <c r="E57" i="46"/>
  <c r="K57" i="46"/>
  <c r="C31" i="46"/>
  <c r="C45" i="46"/>
  <c r="E69" i="46"/>
  <c r="F25" i="46"/>
  <c r="F18" i="46"/>
  <c r="D27" i="46"/>
  <c r="D24" i="46"/>
  <c r="C16" i="46"/>
  <c r="E56" i="46"/>
  <c r="K56" i="46"/>
  <c r="J56" i="46"/>
  <c r="I56" i="46"/>
  <c r="C29" i="46"/>
  <c r="I35" i="46"/>
  <c r="C35" i="46"/>
  <c r="K41" i="46"/>
  <c r="I41" i="46"/>
  <c r="E41" i="46"/>
  <c r="C24" i="46"/>
  <c r="I57" i="46"/>
  <c r="C57" i="46"/>
  <c r="J57" i="46"/>
  <c r="K70" i="46"/>
  <c r="E70" i="46"/>
  <c r="D55" i="46"/>
  <c r="J55" i="46"/>
  <c r="I55" i="46"/>
  <c r="I30" i="46"/>
  <c r="C30" i="46"/>
  <c r="K30" i="46"/>
  <c r="J30" i="46"/>
  <c r="K10" i="46"/>
  <c r="E10" i="46"/>
  <c r="D71" i="46"/>
  <c r="F59" i="46"/>
  <c r="J68" i="46"/>
  <c r="F73" i="46"/>
  <c r="C34" i="46"/>
  <c r="L56" i="46"/>
  <c r="C26" i="46"/>
  <c r="D14" i="46"/>
  <c r="K35" i="46"/>
  <c r="I10" i="46"/>
  <c r="C22" i="46"/>
  <c r="I22" i="46"/>
  <c r="C25" i="46"/>
  <c r="D4" i="46"/>
  <c r="J10" i="46"/>
  <c r="C36" i="46"/>
  <c r="F49" i="46"/>
  <c r="C53" i="46"/>
  <c r="L58" i="46"/>
  <c r="F58" i="46"/>
  <c r="C39" i="46"/>
  <c r="J39" i="46"/>
  <c r="J70" i="46"/>
  <c r="D70" i="46"/>
  <c r="C49" i="46"/>
  <c r="I49" i="46"/>
  <c r="C48" i="46"/>
  <c r="I48" i="46"/>
  <c r="J38" i="46"/>
  <c r="L10" i="46"/>
  <c r="F10" i="46"/>
  <c r="K36" i="46"/>
  <c r="I19" i="46"/>
  <c r="C19" i="46"/>
  <c r="C68" i="46"/>
  <c r="I68" i="46"/>
  <c r="K47" i="46"/>
  <c r="E47" i="46"/>
  <c r="L41" i="46"/>
  <c r="F41" i="46"/>
  <c r="F29" i="46"/>
  <c r="L55" i="46"/>
  <c r="F31" i="46"/>
  <c r="C47" i="46"/>
  <c r="D9" i="46"/>
  <c r="J9" i="46"/>
  <c r="F13" i="46"/>
  <c r="D76" i="46"/>
  <c r="L68" i="46"/>
  <c r="C52" i="46"/>
  <c r="E67" i="46"/>
  <c r="K28" i="46"/>
  <c r="E28" i="46"/>
  <c r="L19" i="46"/>
  <c r="C76" i="46"/>
  <c r="I76" i="46"/>
  <c r="E72" i="46"/>
  <c r="F75" i="46"/>
  <c r="C54" i="46"/>
  <c r="L54" i="46"/>
  <c r="I54" i="46"/>
  <c r="D51" i="46"/>
  <c r="K23" i="46"/>
  <c r="E23" i="46"/>
  <c r="F32" i="46"/>
  <c r="Z2" i="42"/>
  <c r="AD8" i="42"/>
  <c r="AB7" i="42"/>
  <c r="AD6" i="42"/>
  <c r="Z4" i="42"/>
  <c r="AD3" i="42"/>
  <c r="AE9" i="42"/>
  <c r="AC8" i="42"/>
  <c r="AA7" i="42"/>
  <c r="Y6" i="42"/>
  <c r="AE4" i="42"/>
  <c r="AC3" i="42"/>
  <c r="AC7" i="42"/>
  <c r="AD9" i="42"/>
  <c r="AB3" i="42"/>
  <c r="Y7" i="42"/>
  <c r="AE5" i="42"/>
  <c r="AC4" i="42"/>
  <c r="AA3" i="42"/>
  <c r="AE8" i="42"/>
  <c r="Y2" i="42"/>
  <c r="AC9" i="42"/>
  <c r="AE2" i="42"/>
  <c r="Z3" i="42"/>
  <c r="Y5" i="42"/>
  <c r="AF5" i="42"/>
  <c r="AF2" i="42"/>
  <c r="AB9" i="42"/>
  <c r="AF8" i="42"/>
  <c r="Z8" i="42"/>
  <c r="AD5" i="42"/>
  <c r="AA6" i="42"/>
  <c r="Z7" i="42"/>
  <c r="AA8" i="42"/>
  <c r="AF6" i="42"/>
  <c r="AB4" i="42"/>
  <c r="Z9" i="42"/>
  <c r="AB5" i="42"/>
  <c r="AD7" i="42"/>
  <c r="AB6" i="42"/>
  <c r="AD2" i="42"/>
  <c r="AC5" i="42"/>
  <c r="AF7" i="42"/>
  <c r="AE7" i="42"/>
  <c r="AA5" i="42"/>
  <c r="AA2" i="42"/>
  <c r="AF3" i="42"/>
  <c r="Z6" i="42"/>
  <c r="AF4" i="42"/>
  <c r="AB8" i="42"/>
  <c r="AE6" i="42"/>
  <c r="AC2" i="42"/>
  <c r="Y9" i="42"/>
  <c r="AC6" i="42"/>
  <c r="Y4" i="42"/>
  <c r="Z5" i="42"/>
  <c r="K6" i="42" l="1"/>
  <c r="F21" i="43"/>
  <c r="P21" i="43"/>
  <c r="Q21" i="43"/>
  <c r="F20" i="43"/>
  <c r="P20" i="43"/>
  <c r="F25" i="43"/>
  <c r="P25" i="43"/>
  <c r="Q26" i="43"/>
  <c r="H20" i="43"/>
  <c r="R20" i="43"/>
  <c r="Q3" i="43"/>
  <c r="R25" i="43"/>
  <c r="N25" i="43"/>
  <c r="M25" i="43"/>
  <c r="O25" i="43"/>
  <c r="M21" i="43"/>
  <c r="O21" i="43"/>
  <c r="C71" i="46"/>
  <c r="F57" i="46"/>
  <c r="K38" i="46"/>
  <c r="E46" i="46"/>
  <c r="L57" i="46"/>
  <c r="D67" i="46"/>
  <c r="K67" i="46"/>
  <c r="I20" i="46"/>
  <c r="L14" i="46"/>
  <c r="K55" i="46"/>
  <c r="J14" i="46"/>
  <c r="J67" i="46"/>
  <c r="L8" i="46"/>
  <c r="K22" i="46"/>
  <c r="E20" i="46"/>
  <c r="I72" i="46"/>
  <c r="J72" i="46"/>
  <c r="J4" i="46"/>
  <c r="L9" i="46"/>
  <c r="K14" i="46"/>
  <c r="K5" i="46"/>
  <c r="J12" i="46"/>
  <c r="F8" i="46"/>
  <c r="J8" i="46"/>
  <c r="I14" i="46"/>
  <c r="L33" i="46"/>
  <c r="J21" i="46"/>
  <c r="I33" i="46"/>
  <c r="K58" i="46"/>
  <c r="J19" i="46"/>
  <c r="L39" i="46"/>
  <c r="E19" i="46"/>
  <c r="J34" i="46"/>
  <c r="K40" i="46"/>
  <c r="J22" i="46"/>
  <c r="J40" i="46"/>
  <c r="F33" i="46"/>
  <c r="D19" i="46"/>
  <c r="L22" i="46"/>
  <c r="J11" i="46"/>
  <c r="L46" i="46"/>
  <c r="I21" i="46"/>
  <c r="L63" i="46"/>
  <c r="I12" i="46"/>
  <c r="C72" i="46"/>
  <c r="E55" i="46"/>
  <c r="J33" i="46"/>
  <c r="L72" i="46"/>
  <c r="K34" i="46"/>
  <c r="J36" i="46"/>
  <c r="I39" i="46"/>
  <c r="I36" i="46"/>
  <c r="I9" i="46"/>
  <c r="K12" i="46"/>
  <c r="I58" i="46"/>
  <c r="I8" i="46"/>
  <c r="J58" i="46"/>
  <c r="K33" i="46"/>
  <c r="L36" i="46"/>
  <c r="L44" i="46"/>
  <c r="K21" i="46"/>
  <c r="I26" i="46"/>
  <c r="J49" i="46"/>
  <c r="J17" i="46"/>
  <c r="K71" i="46"/>
  <c r="K17" i="46"/>
  <c r="I16" i="46"/>
  <c r="I34" i="46"/>
  <c r="I29" i="46"/>
  <c r="K16" i="46"/>
  <c r="J29" i="46"/>
  <c r="J25" i="46"/>
  <c r="L16" i="46"/>
  <c r="I3" i="46"/>
  <c r="L17" i="46"/>
  <c r="L26" i="46"/>
  <c r="L49" i="46"/>
  <c r="K49" i="46"/>
  <c r="J3" i="46"/>
  <c r="J60" i="46"/>
  <c r="J16" i="46"/>
  <c r="J27" i="46"/>
  <c r="K3" i="46"/>
  <c r="L25" i="46"/>
  <c r="J26" i="46"/>
  <c r="L59" i="46"/>
  <c r="K27" i="46"/>
  <c r="L18" i="46"/>
  <c r="L24" i="46"/>
  <c r="I27" i="46"/>
  <c r="J71" i="46"/>
  <c r="L29" i="46"/>
  <c r="K13" i="46"/>
  <c r="I18" i="46"/>
  <c r="I25" i="46"/>
  <c r="I24" i="46"/>
  <c r="I17" i="46"/>
  <c r="J24" i="46"/>
  <c r="L27" i="46"/>
  <c r="K60" i="46"/>
  <c r="I60" i="46"/>
  <c r="L3" i="46"/>
  <c r="K18" i="46"/>
  <c r="E29" i="46"/>
  <c r="L60" i="46"/>
  <c r="K25" i="46"/>
  <c r="E6" i="46"/>
  <c r="K8" i="46"/>
  <c r="F65" i="46"/>
  <c r="K69" i="46"/>
  <c r="I65" i="46"/>
  <c r="L65" i="46"/>
  <c r="K43" i="46"/>
  <c r="I45" i="46"/>
  <c r="K31" i="46"/>
  <c r="J13" i="46"/>
  <c r="L13" i="46"/>
  <c r="I47" i="46"/>
  <c r="G47" i="46" s="1"/>
  <c r="E31" i="46"/>
  <c r="J31" i="46"/>
  <c r="L6" i="46"/>
  <c r="J32" i="46"/>
  <c r="K32" i="46"/>
  <c r="L31" i="46"/>
  <c r="I31" i="46"/>
  <c r="K6" i="46"/>
  <c r="I32" i="46"/>
  <c r="L32" i="46"/>
  <c r="J6" i="46"/>
  <c r="J18" i="46"/>
  <c r="L40" i="46"/>
  <c r="C59" i="46"/>
  <c r="J74" i="46"/>
  <c r="L5" i="46"/>
  <c r="K52" i="46"/>
  <c r="J20" i="46"/>
  <c r="L74" i="46"/>
  <c r="L69" i="46"/>
  <c r="J63" i="46"/>
  <c r="I74" i="46"/>
  <c r="K46" i="46"/>
  <c r="K4" i="46"/>
  <c r="L43" i="46"/>
  <c r="L4" i="46"/>
  <c r="K20" i="46"/>
  <c r="J52" i="46"/>
  <c r="L76" i="46"/>
  <c r="I63" i="46"/>
  <c r="J43" i="46"/>
  <c r="E76" i="46"/>
  <c r="I46" i="46"/>
  <c r="L11" i="46"/>
  <c r="J76" i="46"/>
  <c r="E5" i="46"/>
  <c r="E11" i="46"/>
  <c r="I69" i="46"/>
  <c r="L20" i="46"/>
  <c r="I11" i="46"/>
  <c r="I5" i="46"/>
  <c r="L52" i="46"/>
  <c r="J69" i="46"/>
  <c r="K74" i="46"/>
  <c r="J5" i="46"/>
  <c r="I52" i="46"/>
  <c r="I43" i="46"/>
  <c r="J46" i="46"/>
  <c r="L45" i="46"/>
  <c r="I13" i="46"/>
  <c r="J45" i="46"/>
  <c r="J53" i="46"/>
  <c r="F53" i="46"/>
  <c r="I53" i="46"/>
  <c r="K45" i="46"/>
  <c r="K53" i="46"/>
  <c r="L53" i="46"/>
  <c r="K42" i="46"/>
  <c r="E42" i="46"/>
  <c r="I50" i="46"/>
  <c r="L50" i="46"/>
  <c r="J50" i="46"/>
  <c r="L75" i="46"/>
  <c r="K51" i="46"/>
  <c r="E38" i="46"/>
  <c r="J42" i="46"/>
  <c r="L38" i="46"/>
  <c r="K44" i="46"/>
  <c r="I73" i="46"/>
  <c r="I38" i="46"/>
  <c r="L73" i="46"/>
  <c r="I42" i="46"/>
  <c r="I44" i="46"/>
  <c r="K26" i="46"/>
  <c r="G26" i="46" s="1"/>
  <c r="K63" i="46"/>
  <c r="I40" i="46"/>
  <c r="N19" i="43"/>
  <c r="N21" i="43"/>
  <c r="T7" i="43"/>
  <c r="K7" i="43" s="1"/>
  <c r="O19" i="43"/>
  <c r="M19" i="43"/>
  <c r="L19" i="43"/>
  <c r="M20" i="43"/>
  <c r="L21" i="43"/>
  <c r="L25" i="43"/>
  <c r="L20" i="43"/>
  <c r="N20" i="43"/>
  <c r="O20" i="43"/>
  <c r="K24" i="46"/>
  <c r="I59" i="46"/>
  <c r="K59" i="46"/>
  <c r="J59" i="46"/>
  <c r="J51" i="46"/>
  <c r="L51" i="46"/>
  <c r="I51" i="46"/>
  <c r="C51" i="46"/>
  <c r="K73" i="46"/>
  <c r="J73" i="46"/>
  <c r="C73" i="46"/>
  <c r="K50" i="46"/>
  <c r="L71" i="46"/>
  <c r="I71" i="46"/>
  <c r="J75" i="46"/>
  <c r="K75" i="46"/>
  <c r="I75" i="46"/>
  <c r="G28" i="46"/>
  <c r="G64" i="46"/>
  <c r="G61" i="46"/>
  <c r="G66" i="46"/>
  <c r="G15" i="46"/>
  <c r="G54" i="46"/>
  <c r="G2" i="46"/>
  <c r="G48" i="46"/>
  <c r="K2" i="42"/>
  <c r="K4" i="42"/>
  <c r="K5" i="42"/>
  <c r="K7" i="42"/>
  <c r="K3" i="42"/>
  <c r="K9" i="42"/>
  <c r="K8" i="42"/>
  <c r="G30" i="46"/>
  <c r="G23" i="46"/>
  <c r="G70" i="46"/>
  <c r="G37" i="46"/>
  <c r="G7" i="46"/>
  <c r="G35" i="46"/>
  <c r="G55" i="46"/>
  <c r="G19" i="46"/>
  <c r="G62" i="46"/>
  <c r="G10" i="46"/>
  <c r="G56" i="46"/>
  <c r="G22" i="46"/>
  <c r="G41" i="46"/>
  <c r="G68" i="46"/>
  <c r="G57" i="46"/>
  <c r="N103" i="30"/>
  <c r="O104" i="30"/>
  <c r="O107" i="30"/>
  <c r="O108" i="30"/>
  <c r="O114" i="30"/>
  <c r="N115" i="30"/>
  <c r="O115" i="30"/>
  <c r="O117" i="30"/>
  <c r="O4" i="30"/>
  <c r="O5" i="30"/>
  <c r="O7" i="30"/>
  <c r="O14" i="30"/>
  <c r="N15" i="30"/>
  <c r="N17" i="30"/>
  <c r="O17" i="30"/>
  <c r="O18" i="30"/>
  <c r="O21" i="30"/>
  <c r="O24" i="30"/>
  <c r="O25" i="30"/>
  <c r="O33" i="30"/>
  <c r="O34" i="30"/>
  <c r="O39" i="30"/>
  <c r="N42" i="30"/>
  <c r="O43" i="30"/>
  <c r="O44" i="30"/>
  <c r="O49" i="30"/>
  <c r="N50" i="30"/>
  <c r="O50" i="30"/>
  <c r="N53" i="30"/>
  <c r="O64" i="30"/>
  <c r="O74" i="30"/>
  <c r="N79" i="30"/>
  <c r="O79" i="30"/>
  <c r="N81" i="30"/>
  <c r="O81" i="30"/>
  <c r="O89" i="30"/>
  <c r="O90" i="30"/>
  <c r="O94" i="30"/>
  <c r="J19" i="43" l="1"/>
  <c r="P11" i="43"/>
  <c r="Q11" i="43"/>
  <c r="P8" i="43"/>
  <c r="R8" i="43"/>
  <c r="Q8" i="43"/>
  <c r="P9" i="43"/>
  <c r="Q9" i="43"/>
  <c r="P16" i="43"/>
  <c r="Q16" i="43"/>
  <c r="P4" i="43"/>
  <c r="Q4" i="43"/>
  <c r="R4" i="43"/>
  <c r="P22" i="43"/>
  <c r="Q22" i="43"/>
  <c r="P28" i="43"/>
  <c r="Q28" i="43"/>
  <c r="R28" i="43"/>
  <c r="R22" i="43"/>
  <c r="P2" i="43"/>
  <c r="R2" i="43"/>
  <c r="P23" i="43"/>
  <c r="Q23" i="43"/>
  <c r="R23" i="43"/>
  <c r="P15" i="43"/>
  <c r="Q15" i="43"/>
  <c r="R15" i="43"/>
  <c r="P27" i="43"/>
  <c r="R27" i="43"/>
  <c r="F19" i="43"/>
  <c r="P19" i="43"/>
  <c r="Q19" i="43"/>
  <c r="P6" i="43"/>
  <c r="Q6" i="43"/>
  <c r="J25" i="43"/>
  <c r="P5" i="43"/>
  <c r="R5" i="43"/>
  <c r="Q5" i="43"/>
  <c r="P13" i="43"/>
  <c r="Q13" i="43"/>
  <c r="P7" i="43"/>
  <c r="Q7" i="43"/>
  <c r="R7" i="43"/>
  <c r="J21" i="43"/>
  <c r="G58" i="46"/>
  <c r="G36" i="46"/>
  <c r="G5" i="46"/>
  <c r="G29" i="46"/>
  <c r="G16" i="46"/>
  <c r="G33" i="46"/>
  <c r="G67" i="46"/>
  <c r="G9" i="46"/>
  <c r="G14" i="46"/>
  <c r="G25" i="46"/>
  <c r="G39" i="46"/>
  <c r="G12" i="46"/>
  <c r="G45" i="46"/>
  <c r="G17" i="46"/>
  <c r="G21" i="46"/>
  <c r="G72" i="46"/>
  <c r="G43" i="46"/>
  <c r="G65" i="46"/>
  <c r="G49" i="46"/>
  <c r="G8" i="46"/>
  <c r="G34" i="46"/>
  <c r="G24" i="46"/>
  <c r="G44" i="46"/>
  <c r="G18" i="46"/>
  <c r="G32" i="46"/>
  <c r="G63" i="46"/>
  <c r="G31" i="46"/>
  <c r="G60" i="46"/>
  <c r="G27" i="46"/>
  <c r="G3" i="46"/>
  <c r="G76" i="46"/>
  <c r="G52" i="46"/>
  <c r="G74" i="46"/>
  <c r="G69" i="46"/>
  <c r="G40" i="46"/>
  <c r="G13" i="46"/>
  <c r="G6" i="46"/>
  <c r="G20" i="46"/>
  <c r="G53" i="46"/>
  <c r="G4" i="46"/>
  <c r="G11" i="46"/>
  <c r="G46" i="46"/>
  <c r="G42" i="46"/>
  <c r="G51" i="46"/>
  <c r="G38" i="46"/>
  <c r="G50" i="46"/>
  <c r="G73" i="46"/>
  <c r="G59" i="46"/>
  <c r="J20" i="43"/>
  <c r="F9" i="43"/>
  <c r="L9" i="43"/>
  <c r="M9" i="43"/>
  <c r="N9" i="43"/>
  <c r="O9" i="43"/>
  <c r="G75" i="46"/>
  <c r="G71" i="46"/>
  <c r="M92" i="30"/>
  <c r="M62" i="30"/>
  <c r="M32" i="30"/>
  <c r="M12" i="30"/>
  <c r="M97" i="30"/>
  <c r="M112" i="30"/>
  <c r="L103" i="30"/>
  <c r="L113" i="30"/>
  <c r="L108" i="30"/>
  <c r="L105" i="30"/>
  <c r="L26" i="30"/>
  <c r="O69" i="30"/>
  <c r="S19" i="30"/>
  <c r="L87" i="30"/>
  <c r="O99" i="30"/>
  <c r="O9" i="30"/>
  <c r="L3" i="30"/>
  <c r="O59" i="30"/>
  <c r="L20" i="30"/>
  <c r="N36" i="30"/>
  <c r="L77" i="30"/>
  <c r="L67" i="30"/>
  <c r="L33" i="30"/>
  <c r="S115" i="30"/>
  <c r="L30" i="30"/>
  <c r="L5" i="30"/>
  <c r="Q117" i="30"/>
  <c r="S109" i="30"/>
  <c r="M107" i="30"/>
  <c r="Q102" i="30"/>
  <c r="S29" i="30"/>
  <c r="O84" i="30"/>
  <c r="L72" i="30"/>
  <c r="L82" i="30"/>
  <c r="L92" i="30"/>
  <c r="L29" i="30"/>
  <c r="R18" i="30"/>
  <c r="L4" i="30"/>
  <c r="P4" i="30"/>
  <c r="N72" i="30"/>
  <c r="M22" i="30"/>
  <c r="M7" i="30"/>
  <c r="R94" i="30"/>
  <c r="M27" i="30"/>
  <c r="O46" i="30"/>
  <c r="S36" i="30"/>
  <c r="Q56" i="30"/>
  <c r="Q36" i="30"/>
  <c r="M17" i="30"/>
  <c r="Q87" i="30"/>
  <c r="Q67" i="30"/>
  <c r="S2" i="30"/>
  <c r="R99" i="30"/>
  <c r="R84" i="30"/>
  <c r="N54" i="30"/>
  <c r="Q53" i="30"/>
  <c r="M93" i="30"/>
  <c r="M63" i="30"/>
  <c r="Q33" i="30"/>
  <c r="Q8" i="30"/>
  <c r="R105" i="30"/>
  <c r="S39" i="30"/>
  <c r="N69" i="30"/>
  <c r="M99" i="30"/>
  <c r="M96" i="30"/>
  <c r="N93" i="30"/>
  <c r="L116" i="30"/>
  <c r="N108" i="30"/>
  <c r="M53" i="30"/>
  <c r="P43" i="30"/>
  <c r="R40" i="30"/>
  <c r="L8" i="30"/>
  <c r="N105" i="30"/>
  <c r="O19" i="30"/>
  <c r="N64" i="30"/>
  <c r="R36" i="30"/>
  <c r="R69" i="30"/>
  <c r="P96" i="30"/>
  <c r="Q90" i="30"/>
  <c r="Q85" i="30"/>
  <c r="P82" i="30"/>
  <c r="S72" i="30"/>
  <c r="M50" i="30"/>
  <c r="Q30" i="30"/>
  <c r="O27" i="30"/>
  <c r="M5" i="30"/>
  <c r="M105" i="30"/>
  <c r="S21" i="30"/>
  <c r="S67" i="30"/>
  <c r="O67" i="30"/>
  <c r="M87" i="30"/>
  <c r="N40" i="30"/>
  <c r="P100" i="30"/>
  <c r="L100" i="30"/>
  <c r="R97" i="30"/>
  <c r="N97" i="30"/>
  <c r="L95" i="30"/>
  <c r="P95" i="30"/>
  <c r="N92" i="30"/>
  <c r="R92" i="30"/>
  <c r="P90" i="30"/>
  <c r="L90" i="30"/>
  <c r="R87" i="30"/>
  <c r="L85" i="30"/>
  <c r="P85" i="30"/>
  <c r="N82" i="30"/>
  <c r="R82" i="30"/>
  <c r="P80" i="30"/>
  <c r="L80" i="30"/>
  <c r="R77" i="30"/>
  <c r="N77" i="30"/>
  <c r="P75" i="30"/>
  <c r="L75" i="30"/>
  <c r="R72" i="30"/>
  <c r="P70" i="30"/>
  <c r="N67" i="30"/>
  <c r="R67" i="30"/>
  <c r="P65" i="30"/>
  <c r="L65" i="30"/>
  <c r="R62" i="30"/>
  <c r="N62" i="30"/>
  <c r="L60" i="30"/>
  <c r="P60" i="30"/>
  <c r="R57" i="30"/>
  <c r="N57" i="30"/>
  <c r="P55" i="30"/>
  <c r="L55" i="30"/>
  <c r="R52" i="30"/>
  <c r="N52" i="30"/>
  <c r="L50" i="30"/>
  <c r="P50" i="30"/>
  <c r="N47" i="30"/>
  <c r="R47" i="30"/>
  <c r="P45" i="30"/>
  <c r="L35" i="30"/>
  <c r="N27" i="30"/>
  <c r="N7" i="30"/>
  <c r="N107" i="30"/>
  <c r="Q92" i="30"/>
  <c r="S79" i="30"/>
  <c r="R53" i="30"/>
  <c r="S18" i="30"/>
  <c r="P116" i="30"/>
  <c r="N99" i="30"/>
  <c r="M85" i="30"/>
  <c r="L70" i="30"/>
  <c r="O36" i="30"/>
  <c r="N84" i="30"/>
  <c r="Q100" i="30"/>
  <c r="M100" i="30"/>
  <c r="S62" i="30"/>
  <c r="O62" i="30"/>
  <c r="O52" i="30"/>
  <c r="S52" i="30"/>
  <c r="M77" i="30"/>
  <c r="M67" i="30"/>
  <c r="O54" i="30"/>
  <c r="S54" i="30"/>
  <c r="Q37" i="30"/>
  <c r="P92" i="30"/>
  <c r="N94" i="30"/>
  <c r="N89" i="30"/>
  <c r="N74" i="30"/>
  <c r="L62" i="30"/>
  <c r="R59" i="30"/>
  <c r="N59" i="30"/>
  <c r="P57" i="30"/>
  <c r="R54" i="30"/>
  <c r="P52" i="30"/>
  <c r="L52" i="30"/>
  <c r="N49" i="30"/>
  <c r="R49" i="30"/>
  <c r="P47" i="30"/>
  <c r="L47" i="30"/>
  <c r="R44" i="30"/>
  <c r="N44" i="30"/>
  <c r="P42" i="30"/>
  <c r="L42" i="30"/>
  <c r="N39" i="30"/>
  <c r="R39" i="30"/>
  <c r="L37" i="30"/>
  <c r="P37" i="30"/>
  <c r="R34" i="30"/>
  <c r="N34" i="30"/>
  <c r="P32" i="30"/>
  <c r="L32" i="30"/>
  <c r="N29" i="30"/>
  <c r="R29" i="30"/>
  <c r="L27" i="30"/>
  <c r="P27" i="30"/>
  <c r="R24" i="30"/>
  <c r="N24" i="30"/>
  <c r="P22" i="30"/>
  <c r="L22" i="30"/>
  <c r="R19" i="30"/>
  <c r="N19" i="30"/>
  <c r="P17" i="30"/>
  <c r="L17" i="30"/>
  <c r="N14" i="30"/>
  <c r="R14" i="30"/>
  <c r="L12" i="30"/>
  <c r="P12" i="30"/>
  <c r="R9" i="30"/>
  <c r="N9" i="30"/>
  <c r="P7" i="30"/>
  <c r="L7" i="30"/>
  <c r="N4" i="30"/>
  <c r="R4" i="30"/>
  <c r="L117" i="30"/>
  <c r="P117" i="30"/>
  <c r="R114" i="30"/>
  <c r="N114" i="30"/>
  <c r="P112" i="30"/>
  <c r="L112" i="30"/>
  <c r="R109" i="30"/>
  <c r="N109" i="30"/>
  <c r="P107" i="30"/>
  <c r="L107" i="30"/>
  <c r="N104" i="30"/>
  <c r="R104" i="30"/>
  <c r="L102" i="30"/>
  <c r="P102" i="30"/>
  <c r="S89" i="30"/>
  <c r="Q77" i="30"/>
  <c r="S64" i="30"/>
  <c r="R50" i="30"/>
  <c r="R15" i="30"/>
  <c r="Q112" i="30"/>
  <c r="S97" i="30"/>
  <c r="O97" i="30"/>
  <c r="M95" i="30"/>
  <c r="Q95" i="30"/>
  <c r="O87" i="30"/>
  <c r="S87" i="30"/>
  <c r="M80" i="30"/>
  <c r="Q80" i="30"/>
  <c r="M70" i="30"/>
  <c r="Q70" i="30"/>
  <c r="M60" i="30"/>
  <c r="Q60" i="30"/>
  <c r="M55" i="30"/>
  <c r="Q55" i="30"/>
  <c r="O47" i="30"/>
  <c r="S47" i="30"/>
  <c r="S42" i="30"/>
  <c r="O42" i="30"/>
  <c r="Q35" i="30"/>
  <c r="M35" i="30"/>
  <c r="M57" i="30"/>
  <c r="Q57" i="30"/>
  <c r="L97" i="30"/>
  <c r="Q99" i="30"/>
  <c r="O96" i="30"/>
  <c r="S96" i="30"/>
  <c r="O91" i="30"/>
  <c r="S91" i="30"/>
  <c r="O86" i="30"/>
  <c r="S86" i="30"/>
  <c r="M84" i="30"/>
  <c r="Q84" i="30"/>
  <c r="M79" i="30"/>
  <c r="Q79" i="30"/>
  <c r="O76" i="30"/>
  <c r="S76" i="30"/>
  <c r="O71" i="30"/>
  <c r="S71" i="30"/>
  <c r="M69" i="30"/>
  <c r="Q69" i="30"/>
  <c r="O66" i="30"/>
  <c r="S66" i="30"/>
  <c r="M64" i="30"/>
  <c r="Q64" i="30"/>
  <c r="O61" i="30"/>
  <c r="S61" i="30"/>
  <c r="S56" i="30"/>
  <c r="O56" i="30"/>
  <c r="M54" i="30"/>
  <c r="Q54" i="30"/>
  <c r="O51" i="30"/>
  <c r="S51" i="30"/>
  <c r="M49" i="30"/>
  <c r="Q49" i="30"/>
  <c r="Q44" i="30"/>
  <c r="O41" i="30"/>
  <c r="S41" i="30"/>
  <c r="M39" i="30"/>
  <c r="Q39" i="30"/>
  <c r="M34" i="30"/>
  <c r="Q34" i="30"/>
  <c r="O31" i="30"/>
  <c r="S31" i="30"/>
  <c r="M29" i="30"/>
  <c r="O26" i="30"/>
  <c r="S26" i="30"/>
  <c r="M24" i="30"/>
  <c r="Q24" i="30"/>
  <c r="M19" i="30"/>
  <c r="Q19" i="30"/>
  <c r="O16" i="30"/>
  <c r="S16" i="30"/>
  <c r="M14" i="30"/>
  <c r="Q14" i="30"/>
  <c r="S11" i="30"/>
  <c r="O11" i="30"/>
  <c r="Q9" i="30"/>
  <c r="O6" i="30"/>
  <c r="S6" i="30"/>
  <c r="M4" i="30"/>
  <c r="O116" i="30"/>
  <c r="S116" i="30"/>
  <c r="M114" i="30"/>
  <c r="Q114" i="30"/>
  <c r="O111" i="30"/>
  <c r="Q109" i="30"/>
  <c r="M109" i="30"/>
  <c r="S106" i="30"/>
  <c r="O106" i="30"/>
  <c r="M104" i="30"/>
  <c r="Q104" i="30"/>
  <c r="P2" i="30"/>
  <c r="R89" i="30"/>
  <c r="P77" i="30"/>
  <c r="R64" i="30"/>
  <c r="Q50" i="30"/>
  <c r="P33" i="30"/>
  <c r="S14" i="30"/>
  <c r="S111" i="30"/>
  <c r="L96" i="30"/>
  <c r="N32" i="30"/>
  <c r="O92" i="30"/>
  <c r="S92" i="30"/>
  <c r="S82" i="30"/>
  <c r="O82" i="30"/>
  <c r="Q75" i="30"/>
  <c r="M75" i="30"/>
  <c r="Q65" i="30"/>
  <c r="M65" i="30"/>
  <c r="O57" i="30"/>
  <c r="S57" i="30"/>
  <c r="Q45" i="30"/>
  <c r="M45" i="30"/>
  <c r="S37" i="30"/>
  <c r="O37" i="30"/>
  <c r="S32" i="30"/>
  <c r="O32" i="30"/>
  <c r="M72" i="30"/>
  <c r="M52" i="30"/>
  <c r="Q52" i="30"/>
  <c r="R79" i="30"/>
  <c r="O101" i="30"/>
  <c r="S101" i="30"/>
  <c r="M94" i="30"/>
  <c r="Q94" i="30"/>
  <c r="M89" i="30"/>
  <c r="Q89" i="30"/>
  <c r="S81" i="30"/>
  <c r="M74" i="30"/>
  <c r="Q74" i="30"/>
  <c r="M59" i="30"/>
  <c r="N101" i="30"/>
  <c r="R101" i="30"/>
  <c r="L99" i="30"/>
  <c r="P99" i="30"/>
  <c r="N96" i="30"/>
  <c r="R96" i="30"/>
  <c r="L94" i="30"/>
  <c r="P94" i="30"/>
  <c r="N91" i="30"/>
  <c r="R91" i="30"/>
  <c r="L89" i="30"/>
  <c r="P89" i="30"/>
  <c r="N86" i="30"/>
  <c r="R86" i="30"/>
  <c r="P84" i="30"/>
  <c r="L84" i="30"/>
  <c r="R81" i="30"/>
  <c r="P79" i="30"/>
  <c r="N76" i="30"/>
  <c r="R76" i="30"/>
  <c r="L74" i="30"/>
  <c r="P74" i="30"/>
  <c r="N71" i="30"/>
  <c r="R71" i="30"/>
  <c r="L69" i="30"/>
  <c r="P69" i="30"/>
  <c r="N66" i="30"/>
  <c r="R66" i="30"/>
  <c r="L64" i="30"/>
  <c r="P64" i="30"/>
  <c r="N61" i="30"/>
  <c r="R61" i="30"/>
  <c r="L59" i="30"/>
  <c r="P59" i="30"/>
  <c r="N56" i="30"/>
  <c r="L54" i="30"/>
  <c r="P54" i="30"/>
  <c r="N51" i="30"/>
  <c r="R51" i="30"/>
  <c r="L49" i="30"/>
  <c r="P49" i="30"/>
  <c r="N46" i="30"/>
  <c r="R46" i="30"/>
  <c r="L44" i="30"/>
  <c r="P44" i="30"/>
  <c r="N41" i="30"/>
  <c r="R41" i="30"/>
  <c r="L39" i="30"/>
  <c r="P39" i="30"/>
  <c r="L34" i="30"/>
  <c r="P34" i="30"/>
  <c r="N31" i="30"/>
  <c r="R31" i="30"/>
  <c r="N26" i="30"/>
  <c r="R26" i="30"/>
  <c r="L24" i="30"/>
  <c r="P24" i="30"/>
  <c r="N21" i="30"/>
  <c r="R21" i="30"/>
  <c r="L19" i="30"/>
  <c r="P19" i="30"/>
  <c r="N16" i="30"/>
  <c r="R16" i="30"/>
  <c r="L14" i="30"/>
  <c r="P14" i="30"/>
  <c r="N11" i="30"/>
  <c r="P9" i="30"/>
  <c r="L9" i="30"/>
  <c r="N6" i="30"/>
  <c r="R6" i="30"/>
  <c r="R116" i="30"/>
  <c r="P114" i="30"/>
  <c r="L114" i="30"/>
  <c r="N111" i="30"/>
  <c r="R111" i="30"/>
  <c r="L109" i="30"/>
  <c r="P109" i="30"/>
  <c r="N106" i="30"/>
  <c r="R106" i="30"/>
  <c r="L104" i="30"/>
  <c r="P104" i="30"/>
  <c r="S99" i="30"/>
  <c r="S74" i="30"/>
  <c r="Q62" i="30"/>
  <c r="Q47" i="30"/>
  <c r="Q29" i="30"/>
  <c r="R11" i="30"/>
  <c r="S108" i="30"/>
  <c r="L79" i="30"/>
  <c r="M30" i="30"/>
  <c r="M9" i="30"/>
  <c r="P67" i="30"/>
  <c r="M101" i="30"/>
  <c r="Q101" i="30"/>
  <c r="O98" i="30"/>
  <c r="S98" i="30"/>
  <c r="Q96" i="30"/>
  <c r="O93" i="30"/>
  <c r="S93" i="30"/>
  <c r="M91" i="30"/>
  <c r="Q91" i="30"/>
  <c r="O88" i="30"/>
  <c r="S88" i="30"/>
  <c r="M86" i="30"/>
  <c r="Q86" i="30"/>
  <c r="S83" i="30"/>
  <c r="O83" i="30"/>
  <c r="Q81" i="30"/>
  <c r="M81" i="30"/>
  <c r="S78" i="30"/>
  <c r="M76" i="30"/>
  <c r="Q76" i="30"/>
  <c r="O73" i="30"/>
  <c r="S73" i="30"/>
  <c r="M71" i="30"/>
  <c r="Q71" i="30"/>
  <c r="O68" i="30"/>
  <c r="S68" i="30"/>
  <c r="M66" i="30"/>
  <c r="Q66" i="30"/>
  <c r="O63" i="30"/>
  <c r="S63" i="30"/>
  <c r="M61" i="30"/>
  <c r="Q61" i="30"/>
  <c r="O58" i="30"/>
  <c r="S58" i="30"/>
  <c r="M56" i="30"/>
  <c r="O53" i="30"/>
  <c r="S53" i="30"/>
  <c r="M51" i="30"/>
  <c r="Q51" i="30"/>
  <c r="O48" i="30"/>
  <c r="S48" i="30"/>
  <c r="M46" i="30"/>
  <c r="Q46" i="30"/>
  <c r="M41" i="30"/>
  <c r="Q41" i="30"/>
  <c r="O38" i="30"/>
  <c r="S38" i="30"/>
  <c r="M36" i="30"/>
  <c r="S33" i="30"/>
  <c r="M31" i="30"/>
  <c r="Q31" i="30"/>
  <c r="O28" i="30"/>
  <c r="S28" i="30"/>
  <c r="Q26" i="30"/>
  <c r="O23" i="30"/>
  <c r="S23" i="30"/>
  <c r="M21" i="30"/>
  <c r="Q21" i="30"/>
  <c r="M16" i="30"/>
  <c r="Q16" i="30"/>
  <c r="O13" i="30"/>
  <c r="S13" i="30"/>
  <c r="M11" i="30"/>
  <c r="O8" i="30"/>
  <c r="S8" i="30"/>
  <c r="M6" i="30"/>
  <c r="Q6" i="30"/>
  <c r="O3" i="30"/>
  <c r="S3" i="30"/>
  <c r="Q116" i="30"/>
  <c r="M116" i="30"/>
  <c r="S113" i="30"/>
  <c r="M111" i="30"/>
  <c r="Q111" i="30"/>
  <c r="M106" i="30"/>
  <c r="Q106" i="30"/>
  <c r="O103" i="30"/>
  <c r="S103" i="30"/>
  <c r="P87" i="30"/>
  <c r="R74" i="30"/>
  <c r="P62" i="30"/>
  <c r="S46" i="30"/>
  <c r="P29" i="30"/>
  <c r="Q11" i="30"/>
  <c r="R108" i="30"/>
  <c r="O78" i="30"/>
  <c r="L101" i="30"/>
  <c r="P101" i="30"/>
  <c r="R98" i="30"/>
  <c r="N98" i="30"/>
  <c r="R93" i="30"/>
  <c r="L91" i="30"/>
  <c r="P91" i="30"/>
  <c r="N88" i="30"/>
  <c r="R88" i="30"/>
  <c r="L86" i="30"/>
  <c r="P86" i="30"/>
  <c r="R83" i="30"/>
  <c r="N83" i="30"/>
  <c r="P81" i="30"/>
  <c r="L81" i="30"/>
  <c r="N78" i="30"/>
  <c r="R78" i="30"/>
  <c r="L76" i="30"/>
  <c r="P76" i="30"/>
  <c r="N73" i="30"/>
  <c r="R73" i="30"/>
  <c r="L71" i="30"/>
  <c r="P71" i="30"/>
  <c r="N68" i="30"/>
  <c r="R68" i="30"/>
  <c r="L66" i="30"/>
  <c r="P66" i="30"/>
  <c r="N63" i="30"/>
  <c r="R63" i="30"/>
  <c r="L61" i="30"/>
  <c r="P61" i="30"/>
  <c r="N58" i="30"/>
  <c r="R58" i="30"/>
  <c r="L56" i="30"/>
  <c r="P56" i="30"/>
  <c r="L51" i="30"/>
  <c r="P51" i="30"/>
  <c r="N48" i="30"/>
  <c r="R48" i="30"/>
  <c r="L46" i="30"/>
  <c r="P46" i="30"/>
  <c r="N43" i="30"/>
  <c r="P41" i="30"/>
  <c r="L41" i="30"/>
  <c r="N38" i="30"/>
  <c r="R38" i="30"/>
  <c r="L36" i="30"/>
  <c r="P36" i="30"/>
  <c r="N33" i="30"/>
  <c r="R33" i="30"/>
  <c r="L31" i="30"/>
  <c r="P31" i="30"/>
  <c r="N28" i="30"/>
  <c r="R28" i="30"/>
  <c r="N23" i="30"/>
  <c r="R23" i="30"/>
  <c r="L21" i="30"/>
  <c r="P21" i="30"/>
  <c r="N18" i="30"/>
  <c r="P16" i="30"/>
  <c r="L16" i="30"/>
  <c r="N13" i="30"/>
  <c r="R13" i="30"/>
  <c r="L11" i="30"/>
  <c r="P11" i="30"/>
  <c r="N8" i="30"/>
  <c r="R8" i="30"/>
  <c r="L6" i="30"/>
  <c r="P6" i="30"/>
  <c r="N3" i="30"/>
  <c r="R3" i="30"/>
  <c r="R113" i="30"/>
  <c r="N113" i="30"/>
  <c r="L111" i="30"/>
  <c r="P111" i="30"/>
  <c r="L106" i="30"/>
  <c r="P106" i="30"/>
  <c r="Q97" i="30"/>
  <c r="S84" i="30"/>
  <c r="Q72" i="30"/>
  <c r="S59" i="30"/>
  <c r="S43" i="30"/>
  <c r="P26" i="30"/>
  <c r="M44" i="30"/>
  <c r="M26" i="30"/>
  <c r="N116" i="30"/>
  <c r="Q2" i="30"/>
  <c r="O100" i="30"/>
  <c r="S100" i="30"/>
  <c r="M98" i="30"/>
  <c r="Q98" i="30"/>
  <c r="S95" i="30"/>
  <c r="O95" i="30"/>
  <c r="Q93" i="30"/>
  <c r="S90" i="30"/>
  <c r="M88" i="30"/>
  <c r="Q88" i="30"/>
  <c r="O85" i="30"/>
  <c r="S85" i="30"/>
  <c r="Q83" i="30"/>
  <c r="M83" i="30"/>
  <c r="O80" i="30"/>
  <c r="S80" i="30"/>
  <c r="M78" i="30"/>
  <c r="Q78" i="30"/>
  <c r="S75" i="30"/>
  <c r="M73" i="30"/>
  <c r="Q73" i="30"/>
  <c r="O70" i="30"/>
  <c r="S70" i="30"/>
  <c r="M68" i="30"/>
  <c r="Q68" i="30"/>
  <c r="S65" i="30"/>
  <c r="O65" i="30"/>
  <c r="Q63" i="30"/>
  <c r="S60" i="30"/>
  <c r="O60" i="30"/>
  <c r="M58" i="30"/>
  <c r="Q58" i="30"/>
  <c r="O55" i="30"/>
  <c r="S55" i="30"/>
  <c r="S50" i="30"/>
  <c r="M48" i="30"/>
  <c r="Q48" i="30"/>
  <c r="O45" i="30"/>
  <c r="S45" i="30"/>
  <c r="M43" i="30"/>
  <c r="Q43" i="30"/>
  <c r="S40" i="30"/>
  <c r="M38" i="30"/>
  <c r="Q38" i="30"/>
  <c r="O35" i="30"/>
  <c r="S35" i="30"/>
  <c r="M33" i="30"/>
  <c r="O30" i="30"/>
  <c r="S30" i="30"/>
  <c r="M28" i="30"/>
  <c r="Q28" i="30"/>
  <c r="Q23" i="30"/>
  <c r="O20" i="30"/>
  <c r="S20" i="30"/>
  <c r="M18" i="30"/>
  <c r="Q18" i="30"/>
  <c r="S15" i="30"/>
  <c r="O15" i="30"/>
  <c r="M13" i="30"/>
  <c r="Q13" i="30"/>
  <c r="O10" i="30"/>
  <c r="S10" i="30"/>
  <c r="M8" i="30"/>
  <c r="S5" i="30"/>
  <c r="M3" i="30"/>
  <c r="Q3" i="30"/>
  <c r="M113" i="30"/>
  <c r="Q113" i="30"/>
  <c r="O110" i="30"/>
  <c r="S110" i="30"/>
  <c r="M108" i="30"/>
  <c r="Q108" i="30"/>
  <c r="S105" i="30"/>
  <c r="O105" i="30"/>
  <c r="M103" i="30"/>
  <c r="P97" i="30"/>
  <c r="P72" i="30"/>
  <c r="Q59" i="30"/>
  <c r="R43" i="30"/>
  <c r="S25" i="30"/>
  <c r="P8" i="30"/>
  <c r="S104" i="30"/>
  <c r="M90" i="30"/>
  <c r="O75" i="30"/>
  <c r="L43" i="30"/>
  <c r="O113" i="30"/>
  <c r="O77" i="30"/>
  <c r="S77" i="30"/>
  <c r="Q40" i="30"/>
  <c r="M40" i="30"/>
  <c r="M82" i="30"/>
  <c r="M42" i="30"/>
  <c r="R100" i="30"/>
  <c r="N100" i="30"/>
  <c r="P98" i="30"/>
  <c r="L98" i="30"/>
  <c r="R95" i="30"/>
  <c r="N95" i="30"/>
  <c r="P93" i="30"/>
  <c r="L93" i="30"/>
  <c r="N90" i="30"/>
  <c r="R90" i="30"/>
  <c r="L88" i="30"/>
  <c r="P88" i="30"/>
  <c r="N85" i="30"/>
  <c r="R85" i="30"/>
  <c r="P83" i="30"/>
  <c r="L83" i="30"/>
  <c r="R80" i="30"/>
  <c r="N80" i="30"/>
  <c r="P78" i="30"/>
  <c r="L78" i="30"/>
  <c r="R75" i="30"/>
  <c r="N75" i="30"/>
  <c r="L73" i="30"/>
  <c r="P73" i="30"/>
  <c r="N70" i="30"/>
  <c r="R70" i="30"/>
  <c r="L68" i="30"/>
  <c r="P68" i="30"/>
  <c r="R65" i="30"/>
  <c r="N65" i="30"/>
  <c r="P63" i="30"/>
  <c r="L63" i="30"/>
  <c r="N60" i="30"/>
  <c r="R60" i="30"/>
  <c r="L58" i="30"/>
  <c r="P58" i="30"/>
  <c r="N55" i="30"/>
  <c r="R55" i="30"/>
  <c r="L53" i="30"/>
  <c r="P53" i="30"/>
  <c r="L48" i="30"/>
  <c r="P48" i="30"/>
  <c r="R45" i="30"/>
  <c r="N45" i="30"/>
  <c r="L38" i="30"/>
  <c r="P38" i="30"/>
  <c r="N35" i="30"/>
  <c r="R35" i="30"/>
  <c r="N30" i="30"/>
  <c r="R30" i="30"/>
  <c r="L28" i="30"/>
  <c r="P28" i="30"/>
  <c r="N25" i="30"/>
  <c r="R25" i="30"/>
  <c r="L23" i="30"/>
  <c r="P23" i="30"/>
  <c r="N20" i="30"/>
  <c r="R20" i="30"/>
  <c r="L18" i="30"/>
  <c r="P18" i="30"/>
  <c r="P13" i="30"/>
  <c r="L13" i="30"/>
  <c r="N10" i="30"/>
  <c r="R10" i="30"/>
  <c r="R5" i="30"/>
  <c r="N5" i="30"/>
  <c r="S94" i="30"/>
  <c r="Q82" i="30"/>
  <c r="S69" i="30"/>
  <c r="R56" i="30"/>
  <c r="Q22" i="30"/>
  <c r="Q4" i="30"/>
  <c r="N87" i="30"/>
  <c r="O72" i="30"/>
  <c r="L57" i="30"/>
  <c r="O40" i="30"/>
  <c r="M23" i="30"/>
  <c r="S49" i="30"/>
  <c r="Q32" i="30"/>
  <c r="Q7" i="30"/>
  <c r="R115" i="30"/>
  <c r="O29" i="30"/>
  <c r="O109" i="30"/>
  <c r="S24" i="30"/>
  <c r="S114" i="30"/>
  <c r="P108" i="30"/>
  <c r="Q42" i="30"/>
  <c r="Q17" i="30"/>
  <c r="Q107" i="30"/>
  <c r="S34" i="30"/>
  <c r="S9" i="30"/>
  <c r="P3" i="30"/>
  <c r="R103" i="30"/>
  <c r="N110" i="30"/>
  <c r="Q27" i="30"/>
  <c r="R110" i="30"/>
  <c r="Q103" i="30"/>
  <c r="S27" i="30"/>
  <c r="M25" i="30"/>
  <c r="Q25" i="30"/>
  <c r="O22" i="30"/>
  <c r="S22" i="30"/>
  <c r="Q20" i="30"/>
  <c r="S17" i="30"/>
  <c r="M15" i="30"/>
  <c r="Q15" i="30"/>
  <c r="O12" i="30"/>
  <c r="S12" i="30"/>
  <c r="Q10" i="30"/>
  <c r="S7" i="30"/>
  <c r="Q5" i="30"/>
  <c r="S117" i="30"/>
  <c r="M115" i="30"/>
  <c r="Q115" i="30"/>
  <c r="O112" i="30"/>
  <c r="S112" i="30"/>
  <c r="Q110" i="30"/>
  <c r="M110" i="30"/>
  <c r="S107" i="30"/>
  <c r="Q105" i="30"/>
  <c r="S102" i="30"/>
  <c r="O102" i="30"/>
  <c r="S44" i="30"/>
  <c r="P103" i="30"/>
  <c r="L45" i="30"/>
  <c r="M10" i="30"/>
  <c r="R42" i="30"/>
  <c r="P40" i="30"/>
  <c r="L40" i="30"/>
  <c r="R37" i="30"/>
  <c r="N37" i="30"/>
  <c r="P35" i="30"/>
  <c r="R32" i="30"/>
  <c r="P30" i="30"/>
  <c r="R27" i="30"/>
  <c r="L25" i="30"/>
  <c r="P25" i="30"/>
  <c r="R22" i="30"/>
  <c r="N22" i="30"/>
  <c r="P20" i="30"/>
  <c r="R17" i="30"/>
  <c r="L15" i="30"/>
  <c r="P15" i="30"/>
  <c r="N12" i="30"/>
  <c r="R12" i="30"/>
  <c r="P10" i="30"/>
  <c r="R7" i="30"/>
  <c r="P5" i="30"/>
  <c r="R117" i="30"/>
  <c r="N117" i="30"/>
  <c r="L115" i="30"/>
  <c r="P115" i="30"/>
  <c r="R112" i="30"/>
  <c r="N112" i="30"/>
  <c r="P110" i="30"/>
  <c r="R107" i="30"/>
  <c r="P105" i="30"/>
  <c r="R102" i="30"/>
  <c r="N102" i="30"/>
  <c r="Q12" i="30"/>
  <c r="L10" i="30"/>
  <c r="M47" i="30"/>
  <c r="M37" i="30"/>
  <c r="M117" i="30"/>
  <c r="M102" i="30"/>
  <c r="S4" i="30"/>
  <c r="P113" i="30"/>
  <c r="M20" i="30"/>
  <c r="L110" i="30"/>
  <c r="M2" i="30"/>
  <c r="N2" i="30"/>
  <c r="O2" i="30"/>
  <c r="J9" i="43" l="1"/>
  <c r="J103" i="30"/>
  <c r="J50" i="30"/>
  <c r="J5" i="30"/>
  <c r="J108" i="30"/>
  <c r="J70" i="30"/>
  <c r="J33" i="30"/>
  <c r="J60" i="30"/>
  <c r="J105" i="30"/>
  <c r="J4" i="30"/>
  <c r="J44" i="30"/>
  <c r="J87" i="30"/>
  <c r="J26" i="30"/>
  <c r="J40" i="30"/>
  <c r="J53" i="30"/>
  <c r="J10" i="30"/>
  <c r="J9" i="30"/>
  <c r="J77" i="30"/>
  <c r="J35" i="30"/>
  <c r="J92" i="30"/>
  <c r="J93" i="30"/>
  <c r="J43" i="30"/>
  <c r="J73" i="30"/>
  <c r="J45" i="30"/>
  <c r="J116" i="30"/>
  <c r="J117" i="30"/>
  <c r="J113" i="30"/>
  <c r="J6" i="30"/>
  <c r="J39" i="30"/>
  <c r="J80" i="30"/>
  <c r="J89" i="30"/>
  <c r="J67" i="30"/>
  <c r="J94" i="30"/>
  <c r="J83" i="30"/>
  <c r="J30" i="30"/>
  <c r="J8" i="30"/>
  <c r="J25" i="30"/>
  <c r="J2" i="30"/>
  <c r="J23" i="30"/>
  <c r="J84" i="30"/>
  <c r="J27" i="30"/>
  <c r="J48" i="30"/>
  <c r="J38" i="30"/>
  <c r="J98" i="30"/>
  <c r="J71" i="30"/>
  <c r="J24" i="30"/>
  <c r="J107" i="30"/>
  <c r="J17" i="30"/>
  <c r="J42" i="30"/>
  <c r="J82" i="30"/>
  <c r="J55" i="30"/>
  <c r="J95" i="30"/>
  <c r="J104" i="30"/>
  <c r="J20" i="30"/>
  <c r="J46" i="30"/>
  <c r="J61" i="30"/>
  <c r="J86" i="30"/>
  <c r="J7" i="30"/>
  <c r="J32" i="30"/>
  <c r="J63" i="30"/>
  <c r="J31" i="30"/>
  <c r="J101" i="30"/>
  <c r="J28" i="30"/>
  <c r="J29" i="30"/>
  <c r="J57" i="30"/>
  <c r="J68" i="30"/>
  <c r="J13" i="30"/>
  <c r="J88" i="30"/>
  <c r="J106" i="30"/>
  <c r="J76" i="30"/>
  <c r="J59" i="30"/>
  <c r="J14" i="30"/>
  <c r="J49" i="30"/>
  <c r="J64" i="30"/>
  <c r="J79" i="30"/>
  <c r="J112" i="30"/>
  <c r="J22" i="30"/>
  <c r="J47" i="30"/>
  <c r="J62" i="30"/>
  <c r="J85" i="30"/>
  <c r="J100" i="30"/>
  <c r="J15" i="30"/>
  <c r="J21" i="30"/>
  <c r="J36" i="30"/>
  <c r="J109" i="30"/>
  <c r="J72" i="30"/>
  <c r="J75" i="30"/>
  <c r="J115" i="30"/>
  <c r="J58" i="30"/>
  <c r="J78" i="30"/>
  <c r="J111" i="30"/>
  <c r="J51" i="30"/>
  <c r="J66" i="30"/>
  <c r="J91" i="30"/>
  <c r="J74" i="30"/>
  <c r="J97" i="30"/>
  <c r="J90" i="30"/>
  <c r="J81" i="30"/>
  <c r="J96" i="30"/>
  <c r="J34" i="30"/>
  <c r="J102" i="30"/>
  <c r="J12" i="30"/>
  <c r="J37" i="30"/>
  <c r="J99" i="30"/>
  <c r="J16" i="30"/>
  <c r="J65" i="30"/>
  <c r="J110" i="30"/>
  <c r="J3" i="30"/>
  <c r="J18" i="30"/>
  <c r="J11" i="30"/>
  <c r="J41" i="30"/>
  <c r="J56" i="30"/>
  <c r="J114" i="30"/>
  <c r="J19" i="30"/>
  <c r="J54" i="30"/>
  <c r="J69" i="30"/>
  <c r="J52" i="30"/>
  <c r="J20" i="41" l="1"/>
  <c r="K20" i="41"/>
  <c r="I20" i="41"/>
  <c r="G16" i="41"/>
  <c r="K16" i="41" s="1"/>
  <c r="G15" i="41"/>
  <c r="K15" i="41" s="1"/>
  <c r="G14" i="41"/>
  <c r="K14" i="41" s="1"/>
  <c r="G13" i="41"/>
  <c r="K13" i="41" s="1"/>
  <c r="G12" i="41"/>
  <c r="K12" i="41" s="1"/>
  <c r="G11" i="41"/>
  <c r="K11" i="41" s="1"/>
  <c r="G51" i="41"/>
  <c r="G10" i="41"/>
  <c r="K10" i="41" s="1"/>
  <c r="G17" i="41"/>
  <c r="K17" i="41" s="1"/>
  <c r="G9" i="41"/>
  <c r="K9" i="41" s="1"/>
  <c r="G8" i="41"/>
  <c r="K8" i="41" s="1"/>
  <c r="G7" i="41"/>
  <c r="K7" i="41" s="1"/>
  <c r="G6" i="41"/>
  <c r="K6" i="41" s="1"/>
  <c r="G5" i="41"/>
  <c r="K5" i="41" s="1"/>
  <c r="G50" i="41"/>
  <c r="G4" i="41"/>
  <c r="K4" i="41" s="1"/>
  <c r="G3" i="41"/>
  <c r="K3" i="41" s="1"/>
  <c r="G2" i="41"/>
  <c r="K2" i="41" s="1"/>
  <c r="G49" i="41"/>
  <c r="G48" i="41"/>
  <c r="G47" i="41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19" i="41"/>
  <c r="G32" i="41"/>
  <c r="G31" i="41"/>
  <c r="G30" i="41"/>
  <c r="G29" i="41"/>
  <c r="G28" i="41"/>
  <c r="G18" i="41"/>
  <c r="G27" i="41"/>
  <c r="G26" i="41"/>
  <c r="G25" i="41"/>
  <c r="G24" i="41"/>
  <c r="G23" i="41"/>
  <c r="G22" i="41"/>
  <c r="G21" i="41"/>
  <c r="G20" i="41"/>
  <c r="AJ3" i="40"/>
  <c r="AJ2" i="40"/>
  <c r="CB74" i="36"/>
  <c r="CB116" i="36"/>
  <c r="CB86" i="36"/>
  <c r="CB123" i="36"/>
  <c r="CB71" i="36"/>
  <c r="CB101" i="36"/>
  <c r="CB55" i="36"/>
  <c r="CB84" i="36"/>
  <c r="CB112" i="36"/>
  <c r="CB119" i="36"/>
  <c r="CB56" i="36"/>
  <c r="CB106" i="36"/>
  <c r="CB114" i="36"/>
  <c r="CB111" i="36"/>
  <c r="CB115" i="36"/>
  <c r="CB103" i="36"/>
  <c r="CB109" i="36"/>
  <c r="CB59" i="36"/>
  <c r="CB64" i="36"/>
  <c r="CB66" i="36"/>
  <c r="F134" i="35"/>
  <c r="F133" i="35"/>
  <c r="F132" i="35"/>
  <c r="F131" i="35"/>
  <c r="F130" i="35"/>
  <c r="F129" i="35"/>
  <c r="F128" i="35"/>
  <c r="F127" i="35"/>
  <c r="F126" i="35"/>
  <c r="F125" i="35"/>
  <c r="F124" i="35"/>
  <c r="F123" i="35"/>
  <c r="F122" i="35"/>
  <c r="F121" i="35"/>
  <c r="F120" i="35"/>
  <c r="F119" i="35"/>
  <c r="F118" i="35"/>
  <c r="F117" i="35"/>
  <c r="F116" i="35"/>
  <c r="F115" i="35"/>
  <c r="F114" i="35"/>
  <c r="F113" i="35"/>
  <c r="F112" i="35"/>
  <c r="F111" i="35"/>
  <c r="F110" i="35"/>
  <c r="F109" i="35"/>
  <c r="F108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F80" i="35"/>
  <c r="F79" i="35"/>
  <c r="F78" i="35"/>
  <c r="F77" i="35"/>
  <c r="F76" i="35"/>
  <c r="F75" i="35"/>
  <c r="C401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2" i="31"/>
  <c r="AN3" i="25"/>
  <c r="AO3" i="25"/>
  <c r="AP3" i="25"/>
  <c r="AQ3" i="25"/>
  <c r="AR3" i="25"/>
  <c r="AS3" i="25"/>
  <c r="AT3" i="25"/>
  <c r="AU3" i="25"/>
  <c r="AV3" i="25"/>
  <c r="AW3" i="25"/>
  <c r="AX3" i="25"/>
  <c r="AY3" i="25"/>
  <c r="AZ3" i="25"/>
  <c r="BA3" i="25"/>
  <c r="BB3" i="25"/>
  <c r="AN4" i="25"/>
  <c r="AO4" i="25"/>
  <c r="AP4" i="25"/>
  <c r="AQ4" i="25"/>
  <c r="AR4" i="25"/>
  <c r="AS4" i="25"/>
  <c r="AT4" i="25"/>
  <c r="AU4" i="25"/>
  <c r="AV4" i="25"/>
  <c r="AW4" i="25"/>
  <c r="AX4" i="25"/>
  <c r="AY4" i="25"/>
  <c r="AZ4" i="25"/>
  <c r="BA4" i="25"/>
  <c r="BB4" i="25"/>
  <c r="AN5" i="25"/>
  <c r="AO5" i="25"/>
  <c r="AP5" i="25"/>
  <c r="AQ5" i="25"/>
  <c r="AR5" i="25"/>
  <c r="AS5" i="25"/>
  <c r="AT5" i="25"/>
  <c r="AU5" i="25"/>
  <c r="AV5" i="25"/>
  <c r="AW5" i="25"/>
  <c r="AX5" i="25"/>
  <c r="AY5" i="25"/>
  <c r="AZ5" i="25"/>
  <c r="BA5" i="25"/>
  <c r="BB5" i="25"/>
  <c r="AO2" i="25"/>
  <c r="AP2" i="25"/>
  <c r="AQ2" i="25"/>
  <c r="AR2" i="25"/>
  <c r="AS2" i="25"/>
  <c r="AT2" i="25"/>
  <c r="AU2" i="25"/>
  <c r="AV2" i="25"/>
  <c r="AW2" i="25"/>
  <c r="AX2" i="25"/>
  <c r="AZ2" i="25"/>
  <c r="BA2" i="25"/>
  <c r="BB2" i="25"/>
  <c r="CB125" i="36"/>
  <c r="CB150" i="36"/>
  <c r="CB57" i="36"/>
  <c r="CB131" i="36"/>
  <c r="CB126" i="36"/>
  <c r="CB58" i="36"/>
  <c r="CB134" i="36"/>
  <c r="CB87" i="36"/>
  <c r="CB127" i="36"/>
  <c r="CB88" i="36"/>
  <c r="CB60" i="36"/>
  <c r="CB61" i="36"/>
  <c r="CB132" i="36"/>
  <c r="CB89" i="36"/>
  <c r="CB135" i="36"/>
  <c r="CB62" i="36"/>
  <c r="CB90" i="36"/>
  <c r="CB139" i="36"/>
  <c r="CB63" i="36"/>
  <c r="CB65" i="36"/>
  <c r="CB102" i="36"/>
  <c r="CB91" i="36"/>
  <c r="CB104" i="36"/>
  <c r="CB105" i="36"/>
  <c r="CB92" i="36"/>
  <c r="CB133" i="36"/>
  <c r="CB93" i="36"/>
  <c r="CB67" i="36"/>
  <c r="CB94" i="36"/>
  <c r="CB141" i="36"/>
  <c r="CB107" i="36"/>
  <c r="CB130" i="36"/>
  <c r="CB68" i="36"/>
  <c r="CB140" i="36"/>
  <c r="CB136" i="36"/>
  <c r="CB69" i="36"/>
  <c r="CB137" i="36"/>
  <c r="CB70" i="36"/>
  <c r="CB128" i="36"/>
  <c r="CB72" i="36"/>
  <c r="CB138" i="36"/>
  <c r="CB108" i="36"/>
  <c r="CB73" i="36"/>
  <c r="CB110" i="36"/>
  <c r="CB143" i="36"/>
  <c r="CB75" i="36"/>
  <c r="CB113" i="36"/>
  <c r="CB146" i="36"/>
  <c r="CB76" i="36"/>
  <c r="CB77" i="36"/>
  <c r="CB78" i="36"/>
  <c r="CB148" i="36"/>
  <c r="CB79" i="36"/>
  <c r="CB117" i="36"/>
  <c r="CB144" i="36"/>
  <c r="CB151" i="36"/>
  <c r="CB118" i="36"/>
  <c r="CB80" i="36"/>
  <c r="CB147" i="36"/>
  <c r="CB81" i="36"/>
  <c r="CB95" i="36"/>
  <c r="CB120" i="36"/>
  <c r="CB129" i="36"/>
  <c r="CB82" i="36"/>
  <c r="CB142" i="36"/>
  <c r="CB96" i="36"/>
  <c r="CB97" i="36"/>
  <c r="CB83" i="36"/>
  <c r="CB98" i="36"/>
  <c r="CB145" i="36"/>
  <c r="CB99" i="36"/>
  <c r="CB121" i="36"/>
  <c r="CB100" i="36"/>
  <c r="CB122" i="36"/>
  <c r="CB85" i="36"/>
  <c r="CB149" i="36"/>
  <c r="CB124" i="36"/>
  <c r="CA125" i="36"/>
  <c r="CA150" i="36"/>
  <c r="CA131" i="36"/>
  <c r="CA126" i="36"/>
  <c r="CA134" i="36"/>
  <c r="CA127" i="36"/>
  <c r="CA132" i="36"/>
  <c r="CA101" i="36"/>
  <c r="CA135" i="36"/>
  <c r="CA123" i="36"/>
  <c r="CA139" i="36"/>
  <c r="CA102" i="36"/>
  <c r="CA103" i="36"/>
  <c r="CA104" i="36"/>
  <c r="CA105" i="36"/>
  <c r="CA133" i="36"/>
  <c r="CA106" i="36"/>
  <c r="CA141" i="36"/>
  <c r="CA107" i="36"/>
  <c r="CA130" i="36"/>
  <c r="CA140" i="36"/>
  <c r="CA136" i="36"/>
  <c r="CA137" i="36"/>
  <c r="CA128" i="36"/>
  <c r="CA138" i="36"/>
  <c r="CA108" i="36"/>
  <c r="CA109" i="36"/>
  <c r="CA110" i="36"/>
  <c r="CA111" i="36"/>
  <c r="CA143" i="36"/>
  <c r="CA112" i="36"/>
  <c r="CA113" i="36"/>
  <c r="CA146" i="36"/>
  <c r="CA114" i="36"/>
  <c r="CA115" i="36"/>
  <c r="CA148" i="36"/>
  <c r="CA116" i="36"/>
  <c r="CA117" i="36"/>
  <c r="CA144" i="36"/>
  <c r="CA151" i="36"/>
  <c r="CA118" i="36"/>
  <c r="CA147" i="36"/>
  <c r="CA119" i="36"/>
  <c r="CA120" i="36"/>
  <c r="CA129" i="36"/>
  <c r="CA142" i="36"/>
  <c r="CA145" i="36"/>
  <c r="CA121" i="36"/>
  <c r="CA122" i="36"/>
  <c r="CA149" i="36"/>
  <c r="CA124" i="36"/>
  <c r="AW76" i="36"/>
  <c r="E66" i="36"/>
  <c r="D66" i="36"/>
  <c r="C66" i="36"/>
  <c r="AX66" i="36"/>
  <c r="AW66" i="36"/>
  <c r="E118" i="36"/>
  <c r="D118" i="36"/>
  <c r="C118" i="36"/>
  <c r="AX118" i="36"/>
  <c r="AW118" i="36"/>
  <c r="E82" i="36"/>
  <c r="D82" i="36"/>
  <c r="C82" i="36"/>
  <c r="AX82" i="36"/>
  <c r="AW82" i="36"/>
  <c r="E150" i="36"/>
  <c r="D150" i="36"/>
  <c r="C150" i="36"/>
  <c r="AX150" i="36"/>
  <c r="AW150" i="36"/>
  <c r="E148" i="36"/>
  <c r="D148" i="36"/>
  <c r="C148" i="36"/>
  <c r="AX148" i="36"/>
  <c r="AW148" i="36"/>
  <c r="E120" i="36"/>
  <c r="D120" i="36"/>
  <c r="C120" i="36"/>
  <c r="AX120" i="36"/>
  <c r="AW120" i="36"/>
  <c r="E115" i="36"/>
  <c r="D115" i="36"/>
  <c r="C115" i="36"/>
  <c r="AX115" i="36"/>
  <c r="AW115" i="36"/>
  <c r="E36" i="36"/>
  <c r="D36" i="36"/>
  <c r="C36" i="36"/>
  <c r="AX36" i="36"/>
  <c r="AW36" i="36"/>
  <c r="E38" i="36"/>
  <c r="D38" i="36"/>
  <c r="C38" i="36"/>
  <c r="AX38" i="36"/>
  <c r="AW38" i="36"/>
  <c r="E35" i="36"/>
  <c r="D35" i="36"/>
  <c r="C35" i="36"/>
  <c r="AX35" i="36"/>
  <c r="AW35" i="36"/>
  <c r="E34" i="36"/>
  <c r="D34" i="36"/>
  <c r="C34" i="36"/>
  <c r="AX34" i="36"/>
  <c r="AW34" i="36"/>
  <c r="E33" i="36"/>
  <c r="D33" i="36"/>
  <c r="C33" i="36"/>
  <c r="AX33" i="36"/>
  <c r="AW33" i="36"/>
  <c r="E137" i="36"/>
  <c r="D137" i="36"/>
  <c r="C137" i="36"/>
  <c r="AX137" i="36"/>
  <c r="AW137" i="36"/>
  <c r="E138" i="36"/>
  <c r="D138" i="36"/>
  <c r="C138" i="36"/>
  <c r="AX138" i="36"/>
  <c r="AW138" i="36"/>
  <c r="E32" i="36"/>
  <c r="D32" i="36"/>
  <c r="C32" i="36"/>
  <c r="AX32" i="36"/>
  <c r="AW32" i="36"/>
  <c r="E123" i="36"/>
  <c r="D123" i="36"/>
  <c r="C123" i="36"/>
  <c r="AX123" i="36"/>
  <c r="AW123" i="36"/>
  <c r="E86" i="36"/>
  <c r="D86" i="36"/>
  <c r="C86" i="36"/>
  <c r="AX86" i="36"/>
  <c r="AW86" i="36"/>
  <c r="E46" i="36"/>
  <c r="D46" i="36"/>
  <c r="C46" i="36"/>
  <c r="AX46" i="36"/>
  <c r="AW46" i="36"/>
  <c r="E142" i="36"/>
  <c r="D142" i="36"/>
  <c r="C142" i="36"/>
  <c r="AX142" i="36"/>
  <c r="AW142" i="36"/>
  <c r="E143" i="36"/>
  <c r="D143" i="36"/>
  <c r="C143" i="36"/>
  <c r="AX143" i="36"/>
  <c r="AW143" i="36"/>
  <c r="E98" i="36"/>
  <c r="D98" i="36"/>
  <c r="C98" i="36"/>
  <c r="AX98" i="36"/>
  <c r="AW98" i="36"/>
  <c r="E49" i="36"/>
  <c r="D49" i="36"/>
  <c r="C49" i="36"/>
  <c r="AX49" i="36"/>
  <c r="AW49" i="36"/>
  <c r="E71" i="36"/>
  <c r="D71" i="36"/>
  <c r="C71" i="36"/>
  <c r="AX71" i="36"/>
  <c r="AW71" i="36"/>
  <c r="E47" i="36"/>
  <c r="D47" i="36"/>
  <c r="C47" i="36"/>
  <c r="AX47" i="36"/>
  <c r="AW47" i="36"/>
  <c r="E79" i="36"/>
  <c r="D79" i="36"/>
  <c r="C79" i="36"/>
  <c r="AX79" i="36"/>
  <c r="AW79" i="36"/>
  <c r="E105" i="36"/>
  <c r="D105" i="36"/>
  <c r="C105" i="36"/>
  <c r="AX105" i="36"/>
  <c r="AW105" i="36"/>
  <c r="E140" i="36"/>
  <c r="D140" i="36"/>
  <c r="C140" i="36"/>
  <c r="AX140" i="36"/>
  <c r="AW140" i="36"/>
  <c r="E139" i="36"/>
  <c r="D139" i="36"/>
  <c r="C139" i="36"/>
  <c r="AX139" i="36"/>
  <c r="AW139" i="36"/>
  <c r="E97" i="36"/>
  <c r="D97" i="36"/>
  <c r="C97" i="36"/>
  <c r="AX97" i="36"/>
  <c r="AW97" i="36"/>
  <c r="E99" i="36"/>
  <c r="D99" i="36"/>
  <c r="C99" i="36"/>
  <c r="AX99" i="36"/>
  <c r="AW99" i="36"/>
  <c r="E124" i="36"/>
  <c r="D124" i="36"/>
  <c r="C124" i="36"/>
  <c r="AX124" i="36"/>
  <c r="AW124" i="36"/>
  <c r="E125" i="36"/>
  <c r="D125" i="36"/>
  <c r="C125" i="36"/>
  <c r="AX125" i="36"/>
  <c r="AW125" i="36"/>
  <c r="E129" i="36"/>
  <c r="D129" i="36"/>
  <c r="C129" i="36"/>
  <c r="AX129" i="36"/>
  <c r="AW129" i="36"/>
  <c r="E126" i="36"/>
  <c r="D126" i="36"/>
  <c r="C126" i="36"/>
  <c r="AX126" i="36"/>
  <c r="AW126" i="36"/>
  <c r="E133" i="36"/>
  <c r="D133" i="36"/>
  <c r="C133" i="36"/>
  <c r="AX133" i="36"/>
  <c r="AW133" i="36"/>
  <c r="E53" i="36"/>
  <c r="D53" i="36"/>
  <c r="C53" i="36"/>
  <c r="AX53" i="36"/>
  <c r="AW53" i="36"/>
  <c r="E31" i="36"/>
  <c r="D31" i="36"/>
  <c r="C31" i="36"/>
  <c r="AX31" i="36"/>
  <c r="AW31" i="36"/>
  <c r="E30" i="36"/>
  <c r="D30" i="36"/>
  <c r="C30" i="36"/>
  <c r="AX30" i="36"/>
  <c r="AW30" i="36"/>
  <c r="E29" i="36"/>
  <c r="D29" i="36"/>
  <c r="C29" i="36"/>
  <c r="AX29" i="36"/>
  <c r="AW29" i="36"/>
  <c r="E28" i="36"/>
  <c r="D28" i="36"/>
  <c r="C28" i="36"/>
  <c r="AX28" i="36"/>
  <c r="AW28" i="36"/>
  <c r="E64" i="36"/>
  <c r="D64" i="36"/>
  <c r="C64" i="36"/>
  <c r="AX64" i="36"/>
  <c r="AW64" i="36"/>
  <c r="E110" i="36"/>
  <c r="D110" i="36"/>
  <c r="C110" i="36"/>
  <c r="AX110" i="36"/>
  <c r="AW110" i="36"/>
  <c r="E85" i="36"/>
  <c r="D85" i="36"/>
  <c r="C85" i="36"/>
  <c r="AX85" i="36"/>
  <c r="AW85" i="36"/>
  <c r="E111" i="36"/>
  <c r="D111" i="36"/>
  <c r="C111" i="36"/>
  <c r="AX111" i="36"/>
  <c r="AW111" i="36"/>
  <c r="E67" i="36"/>
  <c r="D67" i="36"/>
  <c r="C67" i="36"/>
  <c r="AX67" i="36"/>
  <c r="AW67" i="36"/>
  <c r="E27" i="36"/>
  <c r="D27" i="36"/>
  <c r="C27" i="36"/>
  <c r="AX27" i="36"/>
  <c r="AW27" i="36"/>
  <c r="E39" i="36"/>
  <c r="D39" i="36"/>
  <c r="C39" i="36"/>
  <c r="AX39" i="36"/>
  <c r="AW39" i="36"/>
  <c r="E26" i="36"/>
  <c r="D26" i="36"/>
  <c r="C26" i="36"/>
  <c r="AX26" i="36"/>
  <c r="AW26" i="36"/>
  <c r="E116" i="36"/>
  <c r="D116" i="36"/>
  <c r="C116" i="36"/>
  <c r="AX116" i="36"/>
  <c r="AW116" i="36"/>
  <c r="E25" i="36"/>
  <c r="D25" i="36"/>
  <c r="C25" i="36"/>
  <c r="AX25" i="36"/>
  <c r="AW25" i="36"/>
  <c r="E24" i="36"/>
  <c r="D24" i="36"/>
  <c r="C24" i="36"/>
  <c r="AX24" i="36"/>
  <c r="AW24" i="36"/>
  <c r="E23" i="36"/>
  <c r="D23" i="36"/>
  <c r="C23" i="36"/>
  <c r="AX23" i="36"/>
  <c r="AW23" i="36"/>
  <c r="E147" i="36"/>
  <c r="D147" i="36"/>
  <c r="C147" i="36"/>
  <c r="AX147" i="36"/>
  <c r="AW147" i="36"/>
  <c r="E146" i="36"/>
  <c r="D146" i="36"/>
  <c r="C146" i="36"/>
  <c r="AX146" i="36"/>
  <c r="AW146" i="36"/>
  <c r="E151" i="36"/>
  <c r="D151" i="36"/>
  <c r="C151" i="36"/>
  <c r="AX151" i="36"/>
  <c r="AW151" i="36"/>
  <c r="E107" i="36"/>
  <c r="D107" i="36"/>
  <c r="C107" i="36"/>
  <c r="AX107" i="36"/>
  <c r="AW107" i="36"/>
  <c r="E109" i="36"/>
  <c r="D109" i="36"/>
  <c r="C109" i="36"/>
  <c r="AX109" i="36"/>
  <c r="AW109" i="36"/>
  <c r="E114" i="36"/>
  <c r="D114" i="36"/>
  <c r="C114" i="36"/>
  <c r="AX114" i="36"/>
  <c r="AW114" i="36"/>
  <c r="E22" i="36"/>
  <c r="D22" i="36"/>
  <c r="C22" i="36"/>
  <c r="AX22" i="36"/>
  <c r="AW22" i="36"/>
  <c r="E21" i="36"/>
  <c r="D21" i="36"/>
  <c r="C21" i="36"/>
  <c r="AX21" i="36"/>
  <c r="AW21" i="36"/>
  <c r="E149" i="36"/>
  <c r="D149" i="36"/>
  <c r="C149" i="36"/>
  <c r="AX149" i="36"/>
  <c r="AW149" i="36"/>
  <c r="E48" i="36"/>
  <c r="D48" i="36"/>
  <c r="C48" i="36"/>
  <c r="AX48" i="36"/>
  <c r="AW48" i="36"/>
  <c r="E136" i="36"/>
  <c r="D136" i="36"/>
  <c r="C136" i="36"/>
  <c r="AX136" i="36"/>
  <c r="AW136" i="36"/>
  <c r="E134" i="36"/>
  <c r="D134" i="36"/>
  <c r="C134" i="36"/>
  <c r="AX134" i="36"/>
  <c r="AW134" i="36"/>
  <c r="E145" i="36"/>
  <c r="D145" i="36"/>
  <c r="C145" i="36"/>
  <c r="AX145" i="36"/>
  <c r="AW145" i="36"/>
  <c r="E144" i="36"/>
  <c r="D144" i="36"/>
  <c r="C144" i="36"/>
  <c r="AX144" i="36"/>
  <c r="AW144" i="36"/>
  <c r="E103" i="36"/>
  <c r="D103" i="36"/>
  <c r="C103" i="36"/>
  <c r="AX103" i="36"/>
  <c r="AW103" i="36"/>
  <c r="E61" i="36"/>
  <c r="D61" i="36"/>
  <c r="C61" i="36"/>
  <c r="AX61" i="36"/>
  <c r="AW61" i="36"/>
  <c r="E41" i="36"/>
  <c r="D41" i="36"/>
  <c r="C41" i="36"/>
  <c r="AX41" i="36"/>
  <c r="AW41" i="36"/>
  <c r="E89" i="36"/>
  <c r="D89" i="36"/>
  <c r="C89" i="36"/>
  <c r="AX89" i="36"/>
  <c r="AW89" i="36"/>
  <c r="E88" i="36"/>
  <c r="D88" i="36"/>
  <c r="C88" i="36"/>
  <c r="AX88" i="36"/>
  <c r="AW88" i="36"/>
  <c r="E128" i="36"/>
  <c r="D128" i="36"/>
  <c r="C128" i="36"/>
  <c r="AX128" i="36"/>
  <c r="AW128" i="36"/>
  <c r="E20" i="36"/>
  <c r="D20" i="36"/>
  <c r="C20" i="36"/>
  <c r="AX20" i="36"/>
  <c r="AW20" i="36"/>
  <c r="E130" i="36"/>
  <c r="D130" i="36"/>
  <c r="C130" i="36"/>
  <c r="AX130" i="36"/>
  <c r="AW130" i="36"/>
  <c r="E132" i="36"/>
  <c r="D132" i="36"/>
  <c r="C132" i="36"/>
  <c r="AX132" i="36"/>
  <c r="AW132" i="36"/>
  <c r="E92" i="36"/>
  <c r="D92" i="36"/>
  <c r="C92" i="36"/>
  <c r="AX92" i="36"/>
  <c r="AW92" i="36"/>
  <c r="E96" i="36"/>
  <c r="D96" i="36"/>
  <c r="C96" i="36"/>
  <c r="AX96" i="36"/>
  <c r="AW96" i="36"/>
  <c r="E106" i="36"/>
  <c r="D106" i="36"/>
  <c r="C106" i="36"/>
  <c r="AX106" i="36"/>
  <c r="AW106" i="36"/>
  <c r="E37" i="36"/>
  <c r="D37" i="36"/>
  <c r="C37" i="36"/>
  <c r="AX37" i="36"/>
  <c r="AW37" i="36"/>
  <c r="E19" i="36"/>
  <c r="D19" i="36"/>
  <c r="C19" i="36"/>
  <c r="AX19" i="36"/>
  <c r="AW19" i="36"/>
  <c r="E43" i="36"/>
  <c r="D43" i="36"/>
  <c r="C43" i="36"/>
  <c r="AX43" i="36"/>
  <c r="AW43" i="36"/>
  <c r="E56" i="36"/>
  <c r="D56" i="36"/>
  <c r="C56" i="36"/>
  <c r="AX56" i="36"/>
  <c r="AW56" i="36"/>
  <c r="E104" i="36"/>
  <c r="D104" i="36"/>
  <c r="C104" i="36"/>
  <c r="AX104" i="36"/>
  <c r="AW104" i="36"/>
  <c r="E18" i="36"/>
  <c r="D18" i="36"/>
  <c r="C18" i="36"/>
  <c r="AX18" i="36"/>
  <c r="AW18" i="36"/>
  <c r="E17" i="36"/>
  <c r="D17" i="36"/>
  <c r="C17" i="36"/>
  <c r="AX17" i="36"/>
  <c r="AW17" i="36"/>
  <c r="E16" i="36"/>
  <c r="D16" i="36"/>
  <c r="C16" i="36"/>
  <c r="AX16" i="36"/>
  <c r="AW16" i="36"/>
  <c r="E15" i="36"/>
  <c r="D15" i="36"/>
  <c r="C15" i="36"/>
  <c r="AX15" i="36"/>
  <c r="AW15" i="36"/>
  <c r="E135" i="36"/>
  <c r="D135" i="36"/>
  <c r="C135" i="36"/>
  <c r="AX135" i="36"/>
  <c r="AW135" i="36"/>
  <c r="E44" i="36"/>
  <c r="D44" i="36"/>
  <c r="C44" i="36"/>
  <c r="AX44" i="36"/>
  <c r="AW44" i="36"/>
  <c r="E14" i="36"/>
  <c r="D14" i="36"/>
  <c r="C14" i="36"/>
  <c r="AX14" i="36"/>
  <c r="AW14" i="36"/>
  <c r="E127" i="36"/>
  <c r="D127" i="36"/>
  <c r="C127" i="36"/>
  <c r="AX127" i="36"/>
  <c r="AW127" i="36"/>
  <c r="E141" i="36"/>
  <c r="D141" i="36"/>
  <c r="C141" i="36"/>
  <c r="AX141" i="36"/>
  <c r="AW141" i="36"/>
  <c r="E94" i="36"/>
  <c r="D94" i="36"/>
  <c r="C94" i="36"/>
  <c r="AX94" i="36"/>
  <c r="AW94" i="36"/>
  <c r="E13" i="36"/>
  <c r="D13" i="36"/>
  <c r="C13" i="36"/>
  <c r="AX13" i="36"/>
  <c r="AW13" i="36"/>
  <c r="E90" i="36"/>
  <c r="D90" i="36"/>
  <c r="C90" i="36"/>
  <c r="AX90" i="36"/>
  <c r="AW90" i="36"/>
  <c r="E119" i="36"/>
  <c r="D119" i="36"/>
  <c r="C119" i="36"/>
  <c r="AX119" i="36"/>
  <c r="AW119" i="36"/>
  <c r="E12" i="36"/>
  <c r="D12" i="36"/>
  <c r="C12" i="36"/>
  <c r="AX12" i="36"/>
  <c r="AW12" i="36"/>
  <c r="E112" i="36"/>
  <c r="D112" i="36"/>
  <c r="C112" i="36"/>
  <c r="AX112" i="36"/>
  <c r="AW112" i="36"/>
  <c r="E122" i="36"/>
  <c r="D122" i="36"/>
  <c r="C122" i="36"/>
  <c r="AX122" i="36"/>
  <c r="AW122" i="36"/>
  <c r="E131" i="36"/>
  <c r="D131" i="36"/>
  <c r="C131" i="36"/>
  <c r="AX131" i="36"/>
  <c r="AW131" i="36"/>
  <c r="E11" i="36"/>
  <c r="D11" i="36"/>
  <c r="C11" i="36"/>
  <c r="AX11" i="36"/>
  <c r="AW11" i="36"/>
  <c r="E91" i="36"/>
  <c r="D91" i="36"/>
  <c r="C91" i="36"/>
  <c r="AX91" i="36"/>
  <c r="AW91" i="36"/>
  <c r="E45" i="36"/>
  <c r="D45" i="36"/>
  <c r="C45" i="36"/>
  <c r="AX45" i="36"/>
  <c r="AW45" i="36"/>
  <c r="E87" i="36"/>
  <c r="D87" i="36"/>
  <c r="C87" i="36"/>
  <c r="AX87" i="36"/>
  <c r="AW87" i="36"/>
  <c r="E52" i="36"/>
  <c r="D52" i="36"/>
  <c r="C52" i="36"/>
  <c r="AX52" i="36"/>
  <c r="AW52" i="36"/>
  <c r="E117" i="36"/>
  <c r="D117" i="36"/>
  <c r="C117" i="36"/>
  <c r="AX117" i="36"/>
  <c r="AW117" i="36"/>
  <c r="E77" i="36"/>
  <c r="D77" i="36"/>
  <c r="C77" i="36"/>
  <c r="AX77" i="36"/>
  <c r="AW77" i="36"/>
  <c r="E69" i="36"/>
  <c r="D69" i="36"/>
  <c r="C69" i="36"/>
  <c r="AX69" i="36"/>
  <c r="AW69" i="36"/>
  <c r="E10" i="36"/>
  <c r="D10" i="36"/>
  <c r="C10" i="36"/>
  <c r="AX10" i="36"/>
  <c r="AW10" i="36"/>
  <c r="E9" i="36"/>
  <c r="D9" i="36"/>
  <c r="C9" i="36"/>
  <c r="AX9" i="36"/>
  <c r="AW9" i="36"/>
  <c r="E8" i="36"/>
  <c r="D8" i="36"/>
  <c r="C8" i="36"/>
  <c r="AX8" i="36"/>
  <c r="AW8" i="36"/>
  <c r="E73" i="36"/>
  <c r="D73" i="36"/>
  <c r="C73" i="36"/>
  <c r="AX73" i="36"/>
  <c r="AW73" i="36"/>
  <c r="E7" i="36"/>
  <c r="D7" i="36"/>
  <c r="C7" i="36"/>
  <c r="AX7" i="36"/>
  <c r="AW7" i="36"/>
  <c r="E6" i="36"/>
  <c r="D6" i="36"/>
  <c r="C6" i="36"/>
  <c r="AX6" i="36"/>
  <c r="AW6" i="36"/>
  <c r="E95" i="36"/>
  <c r="D95" i="36"/>
  <c r="C95" i="36"/>
  <c r="AX95" i="36"/>
  <c r="AW95" i="36"/>
  <c r="E93" i="36"/>
  <c r="D93" i="36"/>
  <c r="C93" i="36"/>
  <c r="AX93" i="36"/>
  <c r="AW93" i="36"/>
  <c r="E83" i="36"/>
  <c r="D83" i="36"/>
  <c r="C83" i="36"/>
  <c r="AX83" i="36"/>
  <c r="AW83" i="36"/>
  <c r="E80" i="36"/>
  <c r="D80" i="36"/>
  <c r="C80" i="36"/>
  <c r="AX80" i="36"/>
  <c r="AW80" i="36"/>
  <c r="E51" i="36"/>
  <c r="D51" i="36"/>
  <c r="C51" i="36"/>
  <c r="AX51" i="36"/>
  <c r="AW51" i="36"/>
  <c r="E58" i="36"/>
  <c r="D58" i="36"/>
  <c r="C58" i="36"/>
  <c r="AX58" i="36"/>
  <c r="AW58" i="36"/>
  <c r="E100" i="36"/>
  <c r="D100" i="36"/>
  <c r="C100" i="36"/>
  <c r="AX100" i="36"/>
  <c r="AW100" i="36"/>
  <c r="E5" i="36"/>
  <c r="D5" i="36"/>
  <c r="C5" i="36"/>
  <c r="AX5" i="36"/>
  <c r="AW5" i="36"/>
  <c r="E50" i="36"/>
  <c r="D50" i="36"/>
  <c r="C50" i="36"/>
  <c r="AX50" i="36"/>
  <c r="AW50" i="36"/>
  <c r="E78" i="36"/>
  <c r="D78" i="36"/>
  <c r="C78" i="36"/>
  <c r="AX78" i="36"/>
  <c r="AW78" i="36"/>
  <c r="E40" i="36"/>
  <c r="D40" i="36"/>
  <c r="C40" i="36"/>
  <c r="AX40" i="36"/>
  <c r="AW40" i="36"/>
  <c r="E72" i="36"/>
  <c r="D72" i="36"/>
  <c r="C72" i="36"/>
  <c r="AX72" i="36"/>
  <c r="AW72" i="36"/>
  <c r="E74" i="36"/>
  <c r="D74" i="36"/>
  <c r="C74" i="36"/>
  <c r="AX74" i="36"/>
  <c r="AW74" i="36"/>
  <c r="E102" i="36"/>
  <c r="D102" i="36"/>
  <c r="C102" i="36"/>
  <c r="AX102" i="36"/>
  <c r="AW102" i="36"/>
  <c r="E108" i="36"/>
  <c r="D108" i="36"/>
  <c r="C108" i="36"/>
  <c r="AX108" i="36"/>
  <c r="AW108" i="36"/>
  <c r="E75" i="36"/>
  <c r="D75" i="36"/>
  <c r="C75" i="36"/>
  <c r="AX75" i="36"/>
  <c r="AW75" i="36"/>
  <c r="E113" i="36"/>
  <c r="D113" i="36"/>
  <c r="C113" i="36"/>
  <c r="AX113" i="36"/>
  <c r="AW113" i="36"/>
  <c r="E62" i="36"/>
  <c r="D62" i="36"/>
  <c r="C62" i="36"/>
  <c r="AX62" i="36"/>
  <c r="AW62" i="36"/>
  <c r="E84" i="36"/>
  <c r="D84" i="36"/>
  <c r="C84" i="36"/>
  <c r="AX84" i="36"/>
  <c r="AW84" i="36"/>
  <c r="E70" i="36"/>
  <c r="D70" i="36"/>
  <c r="C70" i="36"/>
  <c r="AX70" i="36"/>
  <c r="AW70" i="36"/>
  <c r="E68" i="36"/>
  <c r="D68" i="36"/>
  <c r="C68" i="36"/>
  <c r="AX68" i="36"/>
  <c r="AW68" i="36"/>
  <c r="E4" i="36"/>
  <c r="D4" i="36"/>
  <c r="C4" i="36"/>
  <c r="AX4" i="36"/>
  <c r="AW4" i="36"/>
  <c r="E63" i="36"/>
  <c r="D63" i="36"/>
  <c r="C63" i="36"/>
  <c r="AX63" i="36"/>
  <c r="AW63" i="36"/>
  <c r="E55" i="36"/>
  <c r="D55" i="36"/>
  <c r="C55" i="36"/>
  <c r="AX55" i="36"/>
  <c r="AW55" i="36"/>
  <c r="E57" i="36"/>
  <c r="D57" i="36"/>
  <c r="C57" i="36"/>
  <c r="AX57" i="36"/>
  <c r="AW57" i="36"/>
  <c r="E101" i="36"/>
  <c r="D101" i="36"/>
  <c r="C101" i="36"/>
  <c r="AX101" i="36"/>
  <c r="AW101" i="36"/>
  <c r="E42" i="36"/>
  <c r="D42" i="36"/>
  <c r="C42" i="36"/>
  <c r="AX42" i="36"/>
  <c r="AW42" i="36"/>
  <c r="E121" i="36"/>
  <c r="D121" i="36"/>
  <c r="C121" i="36"/>
  <c r="AX121" i="36"/>
  <c r="AW121" i="36"/>
  <c r="E65" i="36"/>
  <c r="D65" i="36"/>
  <c r="C65" i="36"/>
  <c r="AX65" i="36"/>
  <c r="AW65" i="36"/>
  <c r="E81" i="36"/>
  <c r="D81" i="36"/>
  <c r="C81" i="36"/>
  <c r="AX81" i="36"/>
  <c r="AW81" i="36"/>
  <c r="E59" i="36"/>
  <c r="D59" i="36"/>
  <c r="C59" i="36"/>
  <c r="AX59" i="36"/>
  <c r="AW59" i="36"/>
  <c r="E3" i="36"/>
  <c r="D3" i="36"/>
  <c r="C3" i="36"/>
  <c r="AX3" i="36"/>
  <c r="AW3" i="36"/>
  <c r="E2" i="36"/>
  <c r="D2" i="36"/>
  <c r="C2" i="36"/>
  <c r="AX2" i="36"/>
  <c r="AW2" i="36"/>
  <c r="E54" i="36"/>
  <c r="D54" i="36"/>
  <c r="C54" i="36"/>
  <c r="AX54" i="36"/>
  <c r="AW54" i="36"/>
  <c r="E60" i="36"/>
  <c r="D60" i="36"/>
  <c r="C60" i="36"/>
  <c r="AX60" i="36"/>
  <c r="AW60" i="36"/>
  <c r="E76" i="36"/>
  <c r="D76" i="36"/>
  <c r="C76" i="36"/>
  <c r="AX76" i="36"/>
  <c r="BM76" i="36"/>
  <c r="BN76" i="36"/>
  <c r="BO76" i="36"/>
  <c r="BP76" i="36"/>
  <c r="BQ76" i="36"/>
  <c r="BR76" i="36"/>
  <c r="BS76" i="36"/>
  <c r="BT76" i="36"/>
  <c r="BU76" i="36"/>
  <c r="BV76" i="36"/>
  <c r="BW76" i="36"/>
  <c r="BX76" i="36"/>
  <c r="BY76" i="36"/>
  <c r="BZ76" i="36"/>
  <c r="BM60" i="36"/>
  <c r="BN60" i="36"/>
  <c r="BO60" i="36"/>
  <c r="BP60" i="36"/>
  <c r="BQ60" i="36"/>
  <c r="BR60" i="36"/>
  <c r="BS60" i="36"/>
  <c r="BT60" i="36"/>
  <c r="BU60" i="36"/>
  <c r="BV60" i="36"/>
  <c r="BW60" i="36"/>
  <c r="BX60" i="36"/>
  <c r="BY60" i="36"/>
  <c r="BZ60" i="36"/>
  <c r="BM54" i="36"/>
  <c r="BN54" i="36"/>
  <c r="BO54" i="36"/>
  <c r="BP54" i="36"/>
  <c r="BQ54" i="36"/>
  <c r="BR54" i="36"/>
  <c r="BS54" i="36"/>
  <c r="BT54" i="36"/>
  <c r="BU54" i="36"/>
  <c r="BV54" i="36"/>
  <c r="BW54" i="36"/>
  <c r="BX54" i="36"/>
  <c r="BY54" i="36"/>
  <c r="BZ54" i="36"/>
  <c r="BM2" i="36"/>
  <c r="BN2" i="36"/>
  <c r="BO2" i="36"/>
  <c r="BP2" i="36"/>
  <c r="BQ2" i="36"/>
  <c r="BR2" i="36"/>
  <c r="BS2" i="36"/>
  <c r="BT2" i="36"/>
  <c r="BU2" i="36"/>
  <c r="BV2" i="36"/>
  <c r="BW2" i="36"/>
  <c r="BX2" i="36"/>
  <c r="BY2" i="36"/>
  <c r="BZ2" i="36"/>
  <c r="BM3" i="36"/>
  <c r="BN3" i="36"/>
  <c r="BO3" i="36"/>
  <c r="BP3" i="36"/>
  <c r="BQ3" i="36"/>
  <c r="BR3" i="36"/>
  <c r="BS3" i="36"/>
  <c r="BT3" i="36"/>
  <c r="BU3" i="36"/>
  <c r="BV3" i="36"/>
  <c r="BW3" i="36"/>
  <c r="BX3" i="36"/>
  <c r="BY3" i="36"/>
  <c r="BZ3" i="36"/>
  <c r="BM59" i="36"/>
  <c r="BN59" i="36"/>
  <c r="BO59" i="36"/>
  <c r="BP59" i="36"/>
  <c r="BQ59" i="36"/>
  <c r="BR59" i="36"/>
  <c r="BS59" i="36"/>
  <c r="BT59" i="36"/>
  <c r="BU59" i="36"/>
  <c r="BV59" i="36"/>
  <c r="BW59" i="36"/>
  <c r="BX59" i="36"/>
  <c r="BY59" i="36"/>
  <c r="BZ59" i="36"/>
  <c r="BM81" i="36"/>
  <c r="BN81" i="36"/>
  <c r="BO81" i="36"/>
  <c r="BP81" i="36"/>
  <c r="BQ81" i="36"/>
  <c r="BR81" i="36"/>
  <c r="BS81" i="36"/>
  <c r="BT81" i="36"/>
  <c r="BU81" i="36"/>
  <c r="BV81" i="36"/>
  <c r="BW81" i="36"/>
  <c r="BX81" i="36"/>
  <c r="BY81" i="36"/>
  <c r="BZ81" i="36"/>
  <c r="BM65" i="36"/>
  <c r="BN65" i="36"/>
  <c r="BO65" i="36"/>
  <c r="BP65" i="36"/>
  <c r="BQ65" i="36"/>
  <c r="BR65" i="36"/>
  <c r="BS65" i="36"/>
  <c r="BT65" i="36"/>
  <c r="BU65" i="36"/>
  <c r="BV65" i="36"/>
  <c r="BW65" i="36"/>
  <c r="BX65" i="36"/>
  <c r="BY65" i="36"/>
  <c r="BZ65" i="36"/>
  <c r="BM121" i="36"/>
  <c r="BN121" i="36"/>
  <c r="BO121" i="36"/>
  <c r="BP121" i="36"/>
  <c r="BQ121" i="36"/>
  <c r="BR121" i="36"/>
  <c r="BS121" i="36"/>
  <c r="BT121" i="36"/>
  <c r="BU121" i="36"/>
  <c r="BV121" i="36"/>
  <c r="BW121" i="36"/>
  <c r="BX121" i="36"/>
  <c r="BY121" i="36"/>
  <c r="BZ121" i="36"/>
  <c r="BM42" i="36"/>
  <c r="BN42" i="36"/>
  <c r="BO42" i="36"/>
  <c r="BP42" i="36"/>
  <c r="BQ42" i="36"/>
  <c r="BR42" i="36"/>
  <c r="BS42" i="36"/>
  <c r="BT42" i="36"/>
  <c r="BU42" i="36"/>
  <c r="BV42" i="36"/>
  <c r="BW42" i="36"/>
  <c r="BX42" i="36"/>
  <c r="BY42" i="36"/>
  <c r="BZ42" i="36"/>
  <c r="BM101" i="36"/>
  <c r="BN101" i="36"/>
  <c r="BO101" i="36"/>
  <c r="BP101" i="36"/>
  <c r="BQ101" i="36"/>
  <c r="BR101" i="36"/>
  <c r="BS101" i="36"/>
  <c r="BT101" i="36"/>
  <c r="BU101" i="36"/>
  <c r="BV101" i="36"/>
  <c r="BW101" i="36"/>
  <c r="BX101" i="36"/>
  <c r="BY101" i="36"/>
  <c r="BZ101" i="36"/>
  <c r="BM57" i="36"/>
  <c r="BN57" i="36"/>
  <c r="BO57" i="36"/>
  <c r="BP57" i="36"/>
  <c r="BQ57" i="36"/>
  <c r="BR57" i="36"/>
  <c r="BS57" i="36"/>
  <c r="BT57" i="36"/>
  <c r="BU57" i="36"/>
  <c r="BV57" i="36"/>
  <c r="BW57" i="36"/>
  <c r="BX57" i="36"/>
  <c r="BY57" i="36"/>
  <c r="BZ57" i="36"/>
  <c r="BM55" i="36"/>
  <c r="BN55" i="36"/>
  <c r="BO55" i="36"/>
  <c r="BP55" i="36"/>
  <c r="BQ55" i="36"/>
  <c r="BR55" i="36"/>
  <c r="BS55" i="36"/>
  <c r="BT55" i="36"/>
  <c r="BU55" i="36"/>
  <c r="BV55" i="36"/>
  <c r="BW55" i="36"/>
  <c r="BX55" i="36"/>
  <c r="BY55" i="36"/>
  <c r="BZ55" i="36"/>
  <c r="BM63" i="36"/>
  <c r="BN63" i="36"/>
  <c r="BO63" i="36"/>
  <c r="BP63" i="36"/>
  <c r="BQ63" i="36"/>
  <c r="BR63" i="36"/>
  <c r="BS63" i="36"/>
  <c r="BT63" i="36"/>
  <c r="BU63" i="36"/>
  <c r="BV63" i="36"/>
  <c r="BW63" i="36"/>
  <c r="BX63" i="36"/>
  <c r="BY63" i="36"/>
  <c r="BZ63" i="36"/>
  <c r="BM4" i="36"/>
  <c r="BN4" i="36"/>
  <c r="BO4" i="36"/>
  <c r="BP4" i="36"/>
  <c r="BQ4" i="36"/>
  <c r="BR4" i="36"/>
  <c r="BS4" i="36"/>
  <c r="BT4" i="36"/>
  <c r="BU4" i="36"/>
  <c r="BV4" i="36"/>
  <c r="BW4" i="36"/>
  <c r="BX4" i="36"/>
  <c r="BY4" i="36"/>
  <c r="BZ4" i="36"/>
  <c r="BM68" i="36"/>
  <c r="BN68" i="36"/>
  <c r="BO68" i="36"/>
  <c r="BP68" i="36"/>
  <c r="BQ68" i="36"/>
  <c r="BR68" i="36"/>
  <c r="BS68" i="36"/>
  <c r="BT68" i="36"/>
  <c r="BU68" i="36"/>
  <c r="BV68" i="36"/>
  <c r="BW68" i="36"/>
  <c r="BX68" i="36"/>
  <c r="BY68" i="36"/>
  <c r="BZ68" i="36"/>
  <c r="BM70" i="36"/>
  <c r="BN70" i="36"/>
  <c r="BO70" i="36"/>
  <c r="BP70" i="36"/>
  <c r="BQ70" i="36"/>
  <c r="BR70" i="36"/>
  <c r="BS70" i="36"/>
  <c r="BT70" i="36"/>
  <c r="BU70" i="36"/>
  <c r="BV70" i="36"/>
  <c r="BW70" i="36"/>
  <c r="BX70" i="36"/>
  <c r="BY70" i="36"/>
  <c r="BZ70" i="36"/>
  <c r="BM84" i="36"/>
  <c r="BN84" i="36"/>
  <c r="BO84" i="36"/>
  <c r="BP84" i="36"/>
  <c r="BQ84" i="36"/>
  <c r="BR84" i="36"/>
  <c r="BS84" i="36"/>
  <c r="BT84" i="36"/>
  <c r="BU84" i="36"/>
  <c r="BV84" i="36"/>
  <c r="BW84" i="36"/>
  <c r="BX84" i="36"/>
  <c r="BY84" i="36"/>
  <c r="BZ84" i="36"/>
  <c r="BM62" i="36"/>
  <c r="BN62" i="36"/>
  <c r="BO62" i="36"/>
  <c r="BP62" i="36"/>
  <c r="BQ62" i="36"/>
  <c r="BR62" i="36"/>
  <c r="BS62" i="36"/>
  <c r="BT62" i="36"/>
  <c r="BU62" i="36"/>
  <c r="BV62" i="36"/>
  <c r="BW62" i="36"/>
  <c r="BX62" i="36"/>
  <c r="BY62" i="36"/>
  <c r="BZ62" i="36"/>
  <c r="BM113" i="36"/>
  <c r="BN113" i="36"/>
  <c r="BO113" i="36"/>
  <c r="BP113" i="36"/>
  <c r="BQ113" i="36"/>
  <c r="BR113" i="36"/>
  <c r="BS113" i="36"/>
  <c r="BT113" i="36"/>
  <c r="BU113" i="36"/>
  <c r="BV113" i="36"/>
  <c r="BW113" i="36"/>
  <c r="BX113" i="36"/>
  <c r="BY113" i="36"/>
  <c r="BZ113" i="36"/>
  <c r="BM75" i="36"/>
  <c r="BN75" i="36"/>
  <c r="BO75" i="36"/>
  <c r="BP75" i="36"/>
  <c r="BQ75" i="36"/>
  <c r="BR75" i="36"/>
  <c r="BS75" i="36"/>
  <c r="BT75" i="36"/>
  <c r="BU75" i="36"/>
  <c r="BV75" i="36"/>
  <c r="BW75" i="36"/>
  <c r="BX75" i="36"/>
  <c r="BY75" i="36"/>
  <c r="BZ75" i="36"/>
  <c r="BM108" i="36"/>
  <c r="BN108" i="36"/>
  <c r="BO108" i="36"/>
  <c r="BP108" i="36"/>
  <c r="BQ108" i="36"/>
  <c r="BR108" i="36"/>
  <c r="BS108" i="36"/>
  <c r="BT108" i="36"/>
  <c r="BU108" i="36"/>
  <c r="BV108" i="36"/>
  <c r="BW108" i="36"/>
  <c r="BX108" i="36"/>
  <c r="BY108" i="36"/>
  <c r="BZ108" i="36"/>
  <c r="BM102" i="36"/>
  <c r="BN102" i="36"/>
  <c r="BO102" i="36"/>
  <c r="BP102" i="36"/>
  <c r="BQ102" i="36"/>
  <c r="BR102" i="36"/>
  <c r="BS102" i="36"/>
  <c r="BT102" i="36"/>
  <c r="BU102" i="36"/>
  <c r="BV102" i="36"/>
  <c r="BW102" i="36"/>
  <c r="BX102" i="36"/>
  <c r="BY102" i="36"/>
  <c r="BZ102" i="36"/>
  <c r="BM74" i="36"/>
  <c r="BN74" i="36"/>
  <c r="BO74" i="36"/>
  <c r="BP74" i="36"/>
  <c r="BQ74" i="36"/>
  <c r="BR74" i="36"/>
  <c r="BS74" i="36"/>
  <c r="BT74" i="36"/>
  <c r="BU74" i="36"/>
  <c r="BV74" i="36"/>
  <c r="BW74" i="36"/>
  <c r="BX74" i="36"/>
  <c r="BY74" i="36"/>
  <c r="BZ74" i="36"/>
  <c r="BM72" i="36"/>
  <c r="BN72" i="36"/>
  <c r="BO72" i="36"/>
  <c r="BP72" i="36"/>
  <c r="BQ72" i="36"/>
  <c r="BR72" i="36"/>
  <c r="BS72" i="36"/>
  <c r="BT72" i="36"/>
  <c r="BU72" i="36"/>
  <c r="BV72" i="36"/>
  <c r="BW72" i="36"/>
  <c r="BX72" i="36"/>
  <c r="BY72" i="36"/>
  <c r="BZ72" i="36"/>
  <c r="BM40" i="36"/>
  <c r="BN40" i="36"/>
  <c r="BO40" i="36"/>
  <c r="BP40" i="36"/>
  <c r="BQ40" i="36"/>
  <c r="BR40" i="36"/>
  <c r="BS40" i="36"/>
  <c r="BT40" i="36"/>
  <c r="BU40" i="36"/>
  <c r="BV40" i="36"/>
  <c r="BW40" i="36"/>
  <c r="BX40" i="36"/>
  <c r="BY40" i="36"/>
  <c r="BZ40" i="36"/>
  <c r="BM78" i="36"/>
  <c r="BN78" i="36"/>
  <c r="BO78" i="36"/>
  <c r="BP78" i="36"/>
  <c r="BQ78" i="36"/>
  <c r="BR78" i="36"/>
  <c r="BS78" i="36"/>
  <c r="BT78" i="36"/>
  <c r="BU78" i="36"/>
  <c r="BV78" i="36"/>
  <c r="BW78" i="36"/>
  <c r="BX78" i="36"/>
  <c r="BY78" i="36"/>
  <c r="BZ78" i="36"/>
  <c r="BM50" i="36"/>
  <c r="BN50" i="36"/>
  <c r="BO50" i="36"/>
  <c r="BP50" i="36"/>
  <c r="BQ50" i="36"/>
  <c r="BR50" i="36"/>
  <c r="BS50" i="36"/>
  <c r="BT50" i="36"/>
  <c r="BU50" i="36"/>
  <c r="BV50" i="36"/>
  <c r="BW50" i="36"/>
  <c r="BX50" i="36"/>
  <c r="BY50" i="36"/>
  <c r="BZ50" i="36"/>
  <c r="BM5" i="36"/>
  <c r="BN5" i="36"/>
  <c r="BO5" i="36"/>
  <c r="BP5" i="36"/>
  <c r="BQ5" i="36"/>
  <c r="BR5" i="36"/>
  <c r="BS5" i="36"/>
  <c r="BT5" i="36"/>
  <c r="BU5" i="36"/>
  <c r="BV5" i="36"/>
  <c r="BW5" i="36"/>
  <c r="BX5" i="36"/>
  <c r="BY5" i="36"/>
  <c r="BZ5" i="36"/>
  <c r="BM100" i="36"/>
  <c r="BN100" i="36"/>
  <c r="BO100" i="36"/>
  <c r="BP100" i="36"/>
  <c r="BQ100" i="36"/>
  <c r="BR100" i="36"/>
  <c r="BS100" i="36"/>
  <c r="BT100" i="36"/>
  <c r="BU100" i="36"/>
  <c r="BV100" i="36"/>
  <c r="BW100" i="36"/>
  <c r="BX100" i="36"/>
  <c r="BY100" i="36"/>
  <c r="BZ100" i="36"/>
  <c r="BM58" i="36"/>
  <c r="BN58" i="36"/>
  <c r="BO58" i="36"/>
  <c r="BP58" i="36"/>
  <c r="BQ58" i="36"/>
  <c r="BR58" i="36"/>
  <c r="BS58" i="36"/>
  <c r="BT58" i="36"/>
  <c r="BU58" i="36"/>
  <c r="BV58" i="36"/>
  <c r="BW58" i="36"/>
  <c r="BX58" i="36"/>
  <c r="BY58" i="36"/>
  <c r="BZ58" i="36"/>
  <c r="BM51" i="36"/>
  <c r="BN51" i="36"/>
  <c r="BO51" i="36"/>
  <c r="BP51" i="36"/>
  <c r="BQ51" i="36"/>
  <c r="BR51" i="36"/>
  <c r="BS51" i="36"/>
  <c r="BT51" i="36"/>
  <c r="BU51" i="36"/>
  <c r="BV51" i="36"/>
  <c r="BW51" i="36"/>
  <c r="BX51" i="36"/>
  <c r="BY51" i="36"/>
  <c r="BZ51" i="36"/>
  <c r="BM80" i="36"/>
  <c r="BN80" i="36"/>
  <c r="BO80" i="36"/>
  <c r="BP80" i="36"/>
  <c r="BQ80" i="36"/>
  <c r="BR80" i="36"/>
  <c r="BS80" i="36"/>
  <c r="BT80" i="36"/>
  <c r="BU80" i="36"/>
  <c r="BV80" i="36"/>
  <c r="BW80" i="36"/>
  <c r="BX80" i="36"/>
  <c r="BY80" i="36"/>
  <c r="BZ80" i="36"/>
  <c r="BM83" i="36"/>
  <c r="BN83" i="36"/>
  <c r="BO83" i="36"/>
  <c r="BP83" i="36"/>
  <c r="BQ83" i="36"/>
  <c r="BR83" i="36"/>
  <c r="BS83" i="36"/>
  <c r="BT83" i="36"/>
  <c r="BU83" i="36"/>
  <c r="BV83" i="36"/>
  <c r="BW83" i="36"/>
  <c r="BX83" i="36"/>
  <c r="BY83" i="36"/>
  <c r="BZ83" i="36"/>
  <c r="BM93" i="36"/>
  <c r="BN93" i="36"/>
  <c r="BO93" i="36"/>
  <c r="BP93" i="36"/>
  <c r="BQ93" i="36"/>
  <c r="BR93" i="36"/>
  <c r="BS93" i="36"/>
  <c r="BT93" i="36"/>
  <c r="BU93" i="36"/>
  <c r="BV93" i="36"/>
  <c r="BW93" i="36"/>
  <c r="BX93" i="36"/>
  <c r="BY93" i="36"/>
  <c r="BZ93" i="36"/>
  <c r="BM95" i="36"/>
  <c r="BN95" i="36"/>
  <c r="BO95" i="36"/>
  <c r="BP95" i="36"/>
  <c r="BQ95" i="36"/>
  <c r="BR95" i="36"/>
  <c r="BS95" i="36"/>
  <c r="BT95" i="36"/>
  <c r="BU95" i="36"/>
  <c r="BV95" i="36"/>
  <c r="BW95" i="36"/>
  <c r="BX95" i="36"/>
  <c r="BY95" i="36"/>
  <c r="BZ95" i="36"/>
  <c r="BM6" i="36"/>
  <c r="BN6" i="36"/>
  <c r="BO6" i="36"/>
  <c r="BP6" i="36"/>
  <c r="BQ6" i="36"/>
  <c r="BR6" i="36"/>
  <c r="BS6" i="36"/>
  <c r="BT6" i="36"/>
  <c r="BU6" i="36"/>
  <c r="BV6" i="36"/>
  <c r="BW6" i="36"/>
  <c r="BX6" i="36"/>
  <c r="BY6" i="36"/>
  <c r="BZ6" i="36"/>
  <c r="BM7" i="36"/>
  <c r="BN7" i="36"/>
  <c r="BO7" i="36"/>
  <c r="BP7" i="36"/>
  <c r="BQ7" i="36"/>
  <c r="BR7" i="36"/>
  <c r="BS7" i="36"/>
  <c r="BT7" i="36"/>
  <c r="BU7" i="36"/>
  <c r="BV7" i="36"/>
  <c r="BW7" i="36"/>
  <c r="BX7" i="36"/>
  <c r="BY7" i="36"/>
  <c r="BZ7" i="36"/>
  <c r="BM73" i="36"/>
  <c r="BN73" i="36"/>
  <c r="BO73" i="36"/>
  <c r="BP73" i="36"/>
  <c r="BQ73" i="36"/>
  <c r="BR73" i="36"/>
  <c r="BS73" i="36"/>
  <c r="BT73" i="36"/>
  <c r="BU73" i="36"/>
  <c r="BV73" i="36"/>
  <c r="BW73" i="36"/>
  <c r="BX73" i="36"/>
  <c r="BY73" i="36"/>
  <c r="BZ73" i="36"/>
  <c r="BM8" i="36"/>
  <c r="BN8" i="36"/>
  <c r="BO8" i="36"/>
  <c r="BP8" i="36"/>
  <c r="BQ8" i="36"/>
  <c r="BR8" i="36"/>
  <c r="BS8" i="36"/>
  <c r="BT8" i="36"/>
  <c r="BU8" i="36"/>
  <c r="BV8" i="36"/>
  <c r="BW8" i="36"/>
  <c r="BX8" i="36"/>
  <c r="BY8" i="36"/>
  <c r="BZ8" i="36"/>
  <c r="BM9" i="36"/>
  <c r="BN9" i="36"/>
  <c r="BO9" i="36"/>
  <c r="BP9" i="36"/>
  <c r="BQ9" i="36"/>
  <c r="BR9" i="36"/>
  <c r="BS9" i="36"/>
  <c r="BT9" i="36"/>
  <c r="BU9" i="36"/>
  <c r="BV9" i="36"/>
  <c r="BW9" i="36"/>
  <c r="BX9" i="36"/>
  <c r="BY9" i="36"/>
  <c r="BZ9" i="36"/>
  <c r="BM10" i="36"/>
  <c r="BN10" i="36"/>
  <c r="BO10" i="36"/>
  <c r="BP10" i="36"/>
  <c r="BQ10" i="36"/>
  <c r="BR10" i="36"/>
  <c r="BS10" i="36"/>
  <c r="BT10" i="36"/>
  <c r="BU10" i="36"/>
  <c r="BV10" i="36"/>
  <c r="BW10" i="36"/>
  <c r="BX10" i="36"/>
  <c r="BY10" i="36"/>
  <c r="BZ10" i="36"/>
  <c r="BM69" i="36"/>
  <c r="BN69" i="36"/>
  <c r="BO69" i="36"/>
  <c r="BP69" i="36"/>
  <c r="BQ69" i="36"/>
  <c r="BR69" i="36"/>
  <c r="BS69" i="36"/>
  <c r="BT69" i="36"/>
  <c r="BU69" i="36"/>
  <c r="BV69" i="36"/>
  <c r="BW69" i="36"/>
  <c r="BX69" i="36"/>
  <c r="BY69" i="36"/>
  <c r="BZ69" i="36"/>
  <c r="BM77" i="36"/>
  <c r="BN77" i="36"/>
  <c r="BO77" i="36"/>
  <c r="BP77" i="36"/>
  <c r="BQ77" i="36"/>
  <c r="BR77" i="36"/>
  <c r="BS77" i="36"/>
  <c r="BT77" i="36"/>
  <c r="BU77" i="36"/>
  <c r="BV77" i="36"/>
  <c r="BW77" i="36"/>
  <c r="BX77" i="36"/>
  <c r="BY77" i="36"/>
  <c r="BZ77" i="36"/>
  <c r="BM117" i="36"/>
  <c r="BN117" i="36"/>
  <c r="BO117" i="36"/>
  <c r="BP117" i="36"/>
  <c r="BQ117" i="36"/>
  <c r="BR117" i="36"/>
  <c r="BS117" i="36"/>
  <c r="BT117" i="36"/>
  <c r="BU117" i="36"/>
  <c r="BV117" i="36"/>
  <c r="BW117" i="36"/>
  <c r="BX117" i="36"/>
  <c r="BY117" i="36"/>
  <c r="BZ117" i="36"/>
  <c r="BM52" i="36"/>
  <c r="BN52" i="36"/>
  <c r="BO52" i="36"/>
  <c r="BP52" i="36"/>
  <c r="BQ52" i="36"/>
  <c r="BR52" i="36"/>
  <c r="BS52" i="36"/>
  <c r="BT52" i="36"/>
  <c r="BU52" i="36"/>
  <c r="BV52" i="36"/>
  <c r="BW52" i="36"/>
  <c r="BX52" i="36"/>
  <c r="BY52" i="36"/>
  <c r="BZ52" i="36"/>
  <c r="BM87" i="36"/>
  <c r="BN87" i="36"/>
  <c r="BO87" i="36"/>
  <c r="BP87" i="36"/>
  <c r="BQ87" i="36"/>
  <c r="BR87" i="36"/>
  <c r="BS87" i="36"/>
  <c r="BT87" i="36"/>
  <c r="BU87" i="36"/>
  <c r="BV87" i="36"/>
  <c r="BW87" i="36"/>
  <c r="BX87" i="36"/>
  <c r="BY87" i="36"/>
  <c r="BZ87" i="36"/>
  <c r="BM45" i="36"/>
  <c r="BN45" i="36"/>
  <c r="BO45" i="36"/>
  <c r="BP45" i="36"/>
  <c r="BQ45" i="36"/>
  <c r="BR45" i="36"/>
  <c r="BS45" i="36"/>
  <c r="BT45" i="36"/>
  <c r="BU45" i="36"/>
  <c r="BV45" i="36"/>
  <c r="BW45" i="36"/>
  <c r="BX45" i="36"/>
  <c r="BY45" i="36"/>
  <c r="BZ45" i="36"/>
  <c r="BM91" i="36"/>
  <c r="BN91" i="36"/>
  <c r="BO91" i="36"/>
  <c r="BP91" i="36"/>
  <c r="BQ91" i="36"/>
  <c r="BR91" i="36"/>
  <c r="BS91" i="36"/>
  <c r="BT91" i="36"/>
  <c r="BU91" i="36"/>
  <c r="BV91" i="36"/>
  <c r="BW91" i="36"/>
  <c r="BX91" i="36"/>
  <c r="BY91" i="36"/>
  <c r="BZ91" i="36"/>
  <c r="BM11" i="36"/>
  <c r="BN11" i="36"/>
  <c r="BO11" i="36"/>
  <c r="BP11" i="36"/>
  <c r="BQ11" i="36"/>
  <c r="BR11" i="36"/>
  <c r="BS11" i="36"/>
  <c r="BT11" i="36"/>
  <c r="BU11" i="36"/>
  <c r="BV11" i="36"/>
  <c r="BW11" i="36"/>
  <c r="BX11" i="36"/>
  <c r="BY11" i="36"/>
  <c r="BZ11" i="36"/>
  <c r="BM131" i="36"/>
  <c r="BN131" i="36"/>
  <c r="BO131" i="36"/>
  <c r="BP131" i="36"/>
  <c r="BQ131" i="36"/>
  <c r="BR131" i="36"/>
  <c r="BS131" i="36"/>
  <c r="BT131" i="36"/>
  <c r="BU131" i="36"/>
  <c r="BV131" i="36"/>
  <c r="BW131" i="36"/>
  <c r="BX131" i="36"/>
  <c r="BY131" i="36"/>
  <c r="BZ131" i="36"/>
  <c r="BM122" i="36"/>
  <c r="BN122" i="36"/>
  <c r="BO122" i="36"/>
  <c r="BP122" i="36"/>
  <c r="BQ122" i="36"/>
  <c r="BR122" i="36"/>
  <c r="BS122" i="36"/>
  <c r="BT122" i="36"/>
  <c r="BU122" i="36"/>
  <c r="BV122" i="36"/>
  <c r="BW122" i="36"/>
  <c r="BX122" i="36"/>
  <c r="BY122" i="36"/>
  <c r="BZ122" i="36"/>
  <c r="BM112" i="36"/>
  <c r="BN112" i="36"/>
  <c r="BO112" i="36"/>
  <c r="BP112" i="36"/>
  <c r="BQ112" i="36"/>
  <c r="BR112" i="36"/>
  <c r="BS112" i="36"/>
  <c r="BT112" i="36"/>
  <c r="BU112" i="36"/>
  <c r="BV112" i="36"/>
  <c r="BW112" i="36"/>
  <c r="BX112" i="36"/>
  <c r="BY112" i="36"/>
  <c r="BZ112" i="36"/>
  <c r="BM12" i="36"/>
  <c r="BN12" i="36"/>
  <c r="BO12" i="36"/>
  <c r="BP12" i="36"/>
  <c r="BQ12" i="36"/>
  <c r="BR12" i="36"/>
  <c r="BS12" i="36"/>
  <c r="BT12" i="36"/>
  <c r="BU12" i="36"/>
  <c r="BV12" i="36"/>
  <c r="BW12" i="36"/>
  <c r="BX12" i="36"/>
  <c r="BY12" i="36"/>
  <c r="BZ12" i="36"/>
  <c r="BM119" i="36"/>
  <c r="BN119" i="36"/>
  <c r="BO119" i="36"/>
  <c r="BP119" i="36"/>
  <c r="BQ119" i="36"/>
  <c r="BR119" i="36"/>
  <c r="BS119" i="36"/>
  <c r="BT119" i="36"/>
  <c r="BU119" i="36"/>
  <c r="BV119" i="36"/>
  <c r="BW119" i="36"/>
  <c r="BX119" i="36"/>
  <c r="BY119" i="36"/>
  <c r="BZ119" i="36"/>
  <c r="BM90" i="36"/>
  <c r="BN90" i="36"/>
  <c r="BO90" i="36"/>
  <c r="BP90" i="36"/>
  <c r="BQ90" i="36"/>
  <c r="BR90" i="36"/>
  <c r="BS90" i="36"/>
  <c r="BT90" i="36"/>
  <c r="BU90" i="36"/>
  <c r="BV90" i="36"/>
  <c r="BW90" i="36"/>
  <c r="BX90" i="36"/>
  <c r="BY90" i="36"/>
  <c r="BZ90" i="36"/>
  <c r="BM13" i="36"/>
  <c r="BN13" i="36"/>
  <c r="BO13" i="36"/>
  <c r="BP13" i="36"/>
  <c r="BQ13" i="36"/>
  <c r="BR13" i="36"/>
  <c r="BS13" i="36"/>
  <c r="BT13" i="36"/>
  <c r="BU13" i="36"/>
  <c r="BV13" i="36"/>
  <c r="BW13" i="36"/>
  <c r="BX13" i="36"/>
  <c r="BY13" i="36"/>
  <c r="BZ13" i="36"/>
  <c r="BM94" i="36"/>
  <c r="BN94" i="36"/>
  <c r="BO94" i="36"/>
  <c r="BP94" i="36"/>
  <c r="BQ94" i="36"/>
  <c r="BR94" i="36"/>
  <c r="BS94" i="36"/>
  <c r="BT94" i="36"/>
  <c r="BU94" i="36"/>
  <c r="BV94" i="36"/>
  <c r="BW94" i="36"/>
  <c r="BX94" i="36"/>
  <c r="BY94" i="36"/>
  <c r="BZ94" i="36"/>
  <c r="BM141" i="36"/>
  <c r="BN141" i="36"/>
  <c r="BO141" i="36"/>
  <c r="BP141" i="36"/>
  <c r="BQ141" i="36"/>
  <c r="BR141" i="36"/>
  <c r="BS141" i="36"/>
  <c r="BT141" i="36"/>
  <c r="BU141" i="36"/>
  <c r="BV141" i="36"/>
  <c r="BW141" i="36"/>
  <c r="BX141" i="36"/>
  <c r="BY141" i="36"/>
  <c r="BZ141" i="36"/>
  <c r="BM127" i="36"/>
  <c r="BN127" i="36"/>
  <c r="BO127" i="36"/>
  <c r="BP127" i="36"/>
  <c r="BQ127" i="36"/>
  <c r="BR127" i="36"/>
  <c r="BS127" i="36"/>
  <c r="BT127" i="36"/>
  <c r="BU127" i="36"/>
  <c r="BV127" i="36"/>
  <c r="BW127" i="36"/>
  <c r="BX127" i="36"/>
  <c r="BY127" i="36"/>
  <c r="BZ127" i="36"/>
  <c r="BM14" i="36"/>
  <c r="BN14" i="36"/>
  <c r="BO14" i="36"/>
  <c r="BP14" i="36"/>
  <c r="BQ14" i="36"/>
  <c r="BR14" i="36"/>
  <c r="BS14" i="36"/>
  <c r="BT14" i="36"/>
  <c r="BU14" i="36"/>
  <c r="BV14" i="36"/>
  <c r="BW14" i="36"/>
  <c r="BX14" i="36"/>
  <c r="BY14" i="36"/>
  <c r="BZ14" i="36"/>
  <c r="BM44" i="36"/>
  <c r="BN44" i="36"/>
  <c r="BO44" i="36"/>
  <c r="BP44" i="36"/>
  <c r="BQ44" i="36"/>
  <c r="BR44" i="36"/>
  <c r="BS44" i="36"/>
  <c r="BT44" i="36"/>
  <c r="BU44" i="36"/>
  <c r="BV44" i="36"/>
  <c r="BW44" i="36"/>
  <c r="BX44" i="36"/>
  <c r="BY44" i="36"/>
  <c r="BZ44" i="36"/>
  <c r="BM135" i="36"/>
  <c r="BN135" i="36"/>
  <c r="BO135" i="36"/>
  <c r="BP135" i="36"/>
  <c r="BQ135" i="36"/>
  <c r="BR135" i="36"/>
  <c r="BS135" i="36"/>
  <c r="BT135" i="36"/>
  <c r="BU135" i="36"/>
  <c r="BV135" i="36"/>
  <c r="BW135" i="36"/>
  <c r="BX135" i="36"/>
  <c r="BY135" i="36"/>
  <c r="BZ135" i="36"/>
  <c r="BM15" i="36"/>
  <c r="BN15" i="36"/>
  <c r="BO15" i="36"/>
  <c r="BP15" i="36"/>
  <c r="BQ15" i="36"/>
  <c r="BR15" i="36"/>
  <c r="BS15" i="36"/>
  <c r="BT15" i="36"/>
  <c r="BU15" i="36"/>
  <c r="BV15" i="36"/>
  <c r="BW15" i="36"/>
  <c r="BX15" i="36"/>
  <c r="BY15" i="36"/>
  <c r="BZ15" i="36"/>
  <c r="BM16" i="36"/>
  <c r="BN16" i="36"/>
  <c r="BO16" i="36"/>
  <c r="BP16" i="36"/>
  <c r="BQ16" i="36"/>
  <c r="BR16" i="36"/>
  <c r="BS16" i="36"/>
  <c r="BT16" i="36"/>
  <c r="BU16" i="36"/>
  <c r="BV16" i="36"/>
  <c r="BW16" i="36"/>
  <c r="BX16" i="36"/>
  <c r="BY16" i="36"/>
  <c r="BZ16" i="36"/>
  <c r="BM17" i="36"/>
  <c r="BN17" i="36"/>
  <c r="BO17" i="36"/>
  <c r="BP17" i="36"/>
  <c r="BQ17" i="36"/>
  <c r="BR17" i="36"/>
  <c r="BS17" i="36"/>
  <c r="BT17" i="36"/>
  <c r="BU17" i="36"/>
  <c r="BV17" i="36"/>
  <c r="BW17" i="36"/>
  <c r="BX17" i="36"/>
  <c r="BY17" i="36"/>
  <c r="BZ17" i="36"/>
  <c r="BM18" i="36"/>
  <c r="BN18" i="36"/>
  <c r="BO18" i="36"/>
  <c r="BP18" i="36"/>
  <c r="BQ18" i="36"/>
  <c r="BR18" i="36"/>
  <c r="BS18" i="36"/>
  <c r="BT18" i="36"/>
  <c r="BU18" i="36"/>
  <c r="BV18" i="36"/>
  <c r="BW18" i="36"/>
  <c r="BX18" i="36"/>
  <c r="BY18" i="36"/>
  <c r="BZ18" i="36"/>
  <c r="BM104" i="36"/>
  <c r="BN104" i="36"/>
  <c r="BO104" i="36"/>
  <c r="BP104" i="36"/>
  <c r="BQ104" i="36"/>
  <c r="BR104" i="36"/>
  <c r="BS104" i="36"/>
  <c r="BT104" i="36"/>
  <c r="BU104" i="36"/>
  <c r="BV104" i="36"/>
  <c r="BW104" i="36"/>
  <c r="BX104" i="36"/>
  <c r="BY104" i="36"/>
  <c r="BZ104" i="36"/>
  <c r="BM56" i="36"/>
  <c r="BN56" i="36"/>
  <c r="BO56" i="36"/>
  <c r="BP56" i="36"/>
  <c r="BQ56" i="36"/>
  <c r="BR56" i="36"/>
  <c r="BS56" i="36"/>
  <c r="BT56" i="36"/>
  <c r="BU56" i="36"/>
  <c r="BV56" i="36"/>
  <c r="BW56" i="36"/>
  <c r="BX56" i="36"/>
  <c r="BY56" i="36"/>
  <c r="BZ56" i="36"/>
  <c r="BM43" i="36"/>
  <c r="BN43" i="36"/>
  <c r="BO43" i="36"/>
  <c r="BP43" i="36"/>
  <c r="BQ43" i="36"/>
  <c r="BR43" i="36"/>
  <c r="BS43" i="36"/>
  <c r="BT43" i="36"/>
  <c r="BU43" i="36"/>
  <c r="BV43" i="36"/>
  <c r="BW43" i="36"/>
  <c r="BX43" i="36"/>
  <c r="BY43" i="36"/>
  <c r="BZ43" i="36"/>
  <c r="BM19" i="36"/>
  <c r="BN19" i="36"/>
  <c r="BO19" i="36"/>
  <c r="BP19" i="36"/>
  <c r="BQ19" i="36"/>
  <c r="BR19" i="36"/>
  <c r="BS19" i="36"/>
  <c r="BT19" i="36"/>
  <c r="BU19" i="36"/>
  <c r="BV19" i="36"/>
  <c r="BW19" i="36"/>
  <c r="BX19" i="36"/>
  <c r="BY19" i="36"/>
  <c r="BZ19" i="36"/>
  <c r="BM37" i="36"/>
  <c r="BN37" i="36"/>
  <c r="BO37" i="36"/>
  <c r="BP37" i="36"/>
  <c r="BQ37" i="36"/>
  <c r="BR37" i="36"/>
  <c r="BS37" i="36"/>
  <c r="BT37" i="36"/>
  <c r="BU37" i="36"/>
  <c r="BV37" i="36"/>
  <c r="BW37" i="36"/>
  <c r="BX37" i="36"/>
  <c r="BY37" i="36"/>
  <c r="BZ37" i="36"/>
  <c r="BM106" i="36"/>
  <c r="BN106" i="36"/>
  <c r="BO106" i="36"/>
  <c r="BP106" i="36"/>
  <c r="BQ106" i="36"/>
  <c r="BR106" i="36"/>
  <c r="BS106" i="36"/>
  <c r="BT106" i="36"/>
  <c r="BU106" i="36"/>
  <c r="BV106" i="36"/>
  <c r="BW106" i="36"/>
  <c r="BX106" i="36"/>
  <c r="BY106" i="36"/>
  <c r="BZ106" i="36"/>
  <c r="BM96" i="36"/>
  <c r="BN96" i="36"/>
  <c r="BO96" i="36"/>
  <c r="BP96" i="36"/>
  <c r="BQ96" i="36"/>
  <c r="BR96" i="36"/>
  <c r="BS96" i="36"/>
  <c r="BT96" i="36"/>
  <c r="BU96" i="36"/>
  <c r="BV96" i="36"/>
  <c r="BW96" i="36"/>
  <c r="BX96" i="36"/>
  <c r="BY96" i="36"/>
  <c r="BZ96" i="36"/>
  <c r="BM92" i="36"/>
  <c r="BN92" i="36"/>
  <c r="BO92" i="36"/>
  <c r="BP92" i="36"/>
  <c r="BQ92" i="36"/>
  <c r="BR92" i="36"/>
  <c r="BS92" i="36"/>
  <c r="BT92" i="36"/>
  <c r="BU92" i="36"/>
  <c r="BV92" i="36"/>
  <c r="BW92" i="36"/>
  <c r="BX92" i="36"/>
  <c r="BY92" i="36"/>
  <c r="BZ92" i="36"/>
  <c r="BM132" i="36"/>
  <c r="BN132" i="36"/>
  <c r="BO132" i="36"/>
  <c r="BP132" i="36"/>
  <c r="BQ132" i="36"/>
  <c r="BR132" i="36"/>
  <c r="BS132" i="36"/>
  <c r="BT132" i="36"/>
  <c r="BU132" i="36"/>
  <c r="BV132" i="36"/>
  <c r="BW132" i="36"/>
  <c r="BX132" i="36"/>
  <c r="BY132" i="36"/>
  <c r="BZ132" i="36"/>
  <c r="BM130" i="36"/>
  <c r="BN130" i="36"/>
  <c r="BO130" i="36"/>
  <c r="BP130" i="36"/>
  <c r="BQ130" i="36"/>
  <c r="BR130" i="36"/>
  <c r="BS130" i="36"/>
  <c r="BT130" i="36"/>
  <c r="BU130" i="36"/>
  <c r="BV130" i="36"/>
  <c r="BW130" i="36"/>
  <c r="BX130" i="36"/>
  <c r="BY130" i="36"/>
  <c r="BZ130" i="36"/>
  <c r="BM20" i="36"/>
  <c r="BN20" i="36"/>
  <c r="BO20" i="36"/>
  <c r="BP20" i="36"/>
  <c r="BQ20" i="36"/>
  <c r="BR20" i="36"/>
  <c r="BS20" i="36"/>
  <c r="BT20" i="36"/>
  <c r="BU20" i="36"/>
  <c r="BV20" i="36"/>
  <c r="BW20" i="36"/>
  <c r="BX20" i="36"/>
  <c r="BY20" i="36"/>
  <c r="BZ20" i="36"/>
  <c r="BM128" i="36"/>
  <c r="BN128" i="36"/>
  <c r="BO128" i="36"/>
  <c r="BP128" i="36"/>
  <c r="BQ128" i="36"/>
  <c r="BR128" i="36"/>
  <c r="BS128" i="36"/>
  <c r="BT128" i="36"/>
  <c r="BU128" i="36"/>
  <c r="BV128" i="36"/>
  <c r="BW128" i="36"/>
  <c r="BX128" i="36"/>
  <c r="BY128" i="36"/>
  <c r="BZ128" i="36"/>
  <c r="BM88" i="36"/>
  <c r="BN88" i="36"/>
  <c r="BO88" i="36"/>
  <c r="BP88" i="36"/>
  <c r="BQ88" i="36"/>
  <c r="BR88" i="36"/>
  <c r="BS88" i="36"/>
  <c r="BT88" i="36"/>
  <c r="BU88" i="36"/>
  <c r="BV88" i="36"/>
  <c r="BW88" i="36"/>
  <c r="BX88" i="36"/>
  <c r="BY88" i="36"/>
  <c r="BZ88" i="36"/>
  <c r="BM89" i="36"/>
  <c r="BN89" i="36"/>
  <c r="BO89" i="36"/>
  <c r="BP89" i="36"/>
  <c r="BQ89" i="36"/>
  <c r="BR89" i="36"/>
  <c r="BS89" i="36"/>
  <c r="BT89" i="36"/>
  <c r="BU89" i="36"/>
  <c r="BV89" i="36"/>
  <c r="BW89" i="36"/>
  <c r="BX89" i="36"/>
  <c r="BY89" i="36"/>
  <c r="BZ89" i="36"/>
  <c r="BM41" i="36"/>
  <c r="BN41" i="36"/>
  <c r="BO41" i="36"/>
  <c r="BP41" i="36"/>
  <c r="BQ41" i="36"/>
  <c r="BR41" i="36"/>
  <c r="BS41" i="36"/>
  <c r="BT41" i="36"/>
  <c r="BU41" i="36"/>
  <c r="BV41" i="36"/>
  <c r="BW41" i="36"/>
  <c r="BX41" i="36"/>
  <c r="BY41" i="36"/>
  <c r="BZ41" i="36"/>
  <c r="BM61" i="36"/>
  <c r="BN61" i="36"/>
  <c r="BO61" i="36"/>
  <c r="BP61" i="36"/>
  <c r="BQ61" i="36"/>
  <c r="BR61" i="36"/>
  <c r="BS61" i="36"/>
  <c r="BT61" i="36"/>
  <c r="BU61" i="36"/>
  <c r="BV61" i="36"/>
  <c r="BW61" i="36"/>
  <c r="BX61" i="36"/>
  <c r="BY61" i="36"/>
  <c r="BZ61" i="36"/>
  <c r="BM103" i="36"/>
  <c r="BN103" i="36"/>
  <c r="BO103" i="36"/>
  <c r="BP103" i="36"/>
  <c r="BQ103" i="36"/>
  <c r="BR103" i="36"/>
  <c r="BS103" i="36"/>
  <c r="BT103" i="36"/>
  <c r="BU103" i="36"/>
  <c r="BV103" i="36"/>
  <c r="BW103" i="36"/>
  <c r="BX103" i="36"/>
  <c r="BY103" i="36"/>
  <c r="BZ103" i="36"/>
  <c r="BM144" i="36"/>
  <c r="BN144" i="36"/>
  <c r="BO144" i="36"/>
  <c r="BP144" i="36"/>
  <c r="BQ144" i="36"/>
  <c r="BR144" i="36"/>
  <c r="BS144" i="36"/>
  <c r="BT144" i="36"/>
  <c r="BU144" i="36"/>
  <c r="BV144" i="36"/>
  <c r="BW144" i="36"/>
  <c r="BX144" i="36"/>
  <c r="BY144" i="36"/>
  <c r="BZ144" i="36"/>
  <c r="BM145" i="36"/>
  <c r="BN145" i="36"/>
  <c r="BO145" i="36"/>
  <c r="BP145" i="36"/>
  <c r="BQ145" i="36"/>
  <c r="BR145" i="36"/>
  <c r="BS145" i="36"/>
  <c r="BT145" i="36"/>
  <c r="BU145" i="36"/>
  <c r="BV145" i="36"/>
  <c r="BW145" i="36"/>
  <c r="BX145" i="36"/>
  <c r="BY145" i="36"/>
  <c r="BZ145" i="36"/>
  <c r="BM134" i="36"/>
  <c r="BN134" i="36"/>
  <c r="BO134" i="36"/>
  <c r="BP134" i="36"/>
  <c r="BQ134" i="36"/>
  <c r="BR134" i="36"/>
  <c r="BS134" i="36"/>
  <c r="BT134" i="36"/>
  <c r="BU134" i="36"/>
  <c r="BV134" i="36"/>
  <c r="BW134" i="36"/>
  <c r="BX134" i="36"/>
  <c r="BY134" i="36"/>
  <c r="BZ134" i="36"/>
  <c r="BM136" i="36"/>
  <c r="BN136" i="36"/>
  <c r="BO136" i="36"/>
  <c r="BP136" i="36"/>
  <c r="BQ136" i="36"/>
  <c r="BR136" i="36"/>
  <c r="BS136" i="36"/>
  <c r="BT136" i="36"/>
  <c r="BU136" i="36"/>
  <c r="BV136" i="36"/>
  <c r="BW136" i="36"/>
  <c r="BX136" i="36"/>
  <c r="BY136" i="36"/>
  <c r="BZ136" i="36"/>
  <c r="BM48" i="36"/>
  <c r="BN48" i="36"/>
  <c r="BO48" i="36"/>
  <c r="BP48" i="36"/>
  <c r="BQ48" i="36"/>
  <c r="BR48" i="36"/>
  <c r="BS48" i="36"/>
  <c r="BT48" i="36"/>
  <c r="BU48" i="36"/>
  <c r="BV48" i="36"/>
  <c r="BW48" i="36"/>
  <c r="BX48" i="36"/>
  <c r="BY48" i="36"/>
  <c r="BZ48" i="36"/>
  <c r="BM149" i="36"/>
  <c r="BN149" i="36"/>
  <c r="BO149" i="36"/>
  <c r="BP149" i="36"/>
  <c r="BQ149" i="36"/>
  <c r="BR149" i="36"/>
  <c r="BS149" i="36"/>
  <c r="BT149" i="36"/>
  <c r="BU149" i="36"/>
  <c r="BV149" i="36"/>
  <c r="BW149" i="36"/>
  <c r="BX149" i="36"/>
  <c r="BY149" i="36"/>
  <c r="BZ149" i="36"/>
  <c r="BM21" i="36"/>
  <c r="BN21" i="36"/>
  <c r="BO21" i="36"/>
  <c r="BP21" i="36"/>
  <c r="BQ21" i="36"/>
  <c r="BR21" i="36"/>
  <c r="BS21" i="36"/>
  <c r="BT21" i="36"/>
  <c r="BU21" i="36"/>
  <c r="BV21" i="36"/>
  <c r="BW21" i="36"/>
  <c r="BX21" i="36"/>
  <c r="BY21" i="36"/>
  <c r="BZ21" i="36"/>
  <c r="BM22" i="36"/>
  <c r="BN22" i="36"/>
  <c r="BO22" i="36"/>
  <c r="BP22" i="36"/>
  <c r="BQ22" i="36"/>
  <c r="BR22" i="36"/>
  <c r="BS22" i="36"/>
  <c r="BT22" i="36"/>
  <c r="BU22" i="36"/>
  <c r="BV22" i="36"/>
  <c r="BW22" i="36"/>
  <c r="BX22" i="36"/>
  <c r="BY22" i="36"/>
  <c r="BZ22" i="36"/>
  <c r="BM114" i="36"/>
  <c r="BN114" i="36"/>
  <c r="BO114" i="36"/>
  <c r="BP114" i="36"/>
  <c r="BQ114" i="36"/>
  <c r="BR114" i="36"/>
  <c r="BS114" i="36"/>
  <c r="BT114" i="36"/>
  <c r="BU114" i="36"/>
  <c r="BV114" i="36"/>
  <c r="BW114" i="36"/>
  <c r="BX114" i="36"/>
  <c r="BY114" i="36"/>
  <c r="BZ114" i="36"/>
  <c r="BM109" i="36"/>
  <c r="BN109" i="36"/>
  <c r="BO109" i="36"/>
  <c r="BP109" i="36"/>
  <c r="BQ109" i="36"/>
  <c r="BR109" i="36"/>
  <c r="BS109" i="36"/>
  <c r="BT109" i="36"/>
  <c r="BU109" i="36"/>
  <c r="BV109" i="36"/>
  <c r="BW109" i="36"/>
  <c r="BX109" i="36"/>
  <c r="BY109" i="36"/>
  <c r="BZ109" i="36"/>
  <c r="BM107" i="36"/>
  <c r="BN107" i="36"/>
  <c r="BO107" i="36"/>
  <c r="BP107" i="36"/>
  <c r="BQ107" i="36"/>
  <c r="BR107" i="36"/>
  <c r="BS107" i="36"/>
  <c r="BT107" i="36"/>
  <c r="BU107" i="36"/>
  <c r="BV107" i="36"/>
  <c r="BW107" i="36"/>
  <c r="BX107" i="36"/>
  <c r="BY107" i="36"/>
  <c r="BZ107" i="36"/>
  <c r="BM151" i="36"/>
  <c r="BN151" i="36"/>
  <c r="BO151" i="36"/>
  <c r="BP151" i="36"/>
  <c r="BQ151" i="36"/>
  <c r="BR151" i="36"/>
  <c r="BS151" i="36"/>
  <c r="BT151" i="36"/>
  <c r="BU151" i="36"/>
  <c r="BV151" i="36"/>
  <c r="BW151" i="36"/>
  <c r="BX151" i="36"/>
  <c r="BY151" i="36"/>
  <c r="BZ151" i="36"/>
  <c r="BM146" i="36"/>
  <c r="BN146" i="36"/>
  <c r="BO146" i="36"/>
  <c r="BP146" i="36"/>
  <c r="BQ146" i="36"/>
  <c r="BR146" i="36"/>
  <c r="BS146" i="36"/>
  <c r="BT146" i="36"/>
  <c r="BU146" i="36"/>
  <c r="BV146" i="36"/>
  <c r="BW146" i="36"/>
  <c r="BX146" i="36"/>
  <c r="BY146" i="36"/>
  <c r="BZ146" i="36"/>
  <c r="BM147" i="36"/>
  <c r="BN147" i="36"/>
  <c r="BO147" i="36"/>
  <c r="BP147" i="36"/>
  <c r="BQ147" i="36"/>
  <c r="BR147" i="36"/>
  <c r="BS147" i="36"/>
  <c r="BT147" i="36"/>
  <c r="BU147" i="36"/>
  <c r="BV147" i="36"/>
  <c r="BW147" i="36"/>
  <c r="BX147" i="36"/>
  <c r="BY147" i="36"/>
  <c r="BZ147" i="36"/>
  <c r="BM23" i="36"/>
  <c r="BN23" i="36"/>
  <c r="BO23" i="36"/>
  <c r="BP23" i="36"/>
  <c r="BQ23" i="36"/>
  <c r="BR23" i="36"/>
  <c r="BS23" i="36"/>
  <c r="BT23" i="36"/>
  <c r="BU23" i="36"/>
  <c r="BV23" i="36"/>
  <c r="BW23" i="36"/>
  <c r="BX23" i="36"/>
  <c r="BY23" i="36"/>
  <c r="BZ23" i="36"/>
  <c r="BM24" i="36"/>
  <c r="BN24" i="36"/>
  <c r="BO24" i="36"/>
  <c r="BP24" i="36"/>
  <c r="BQ24" i="36"/>
  <c r="BR24" i="36"/>
  <c r="BS24" i="36"/>
  <c r="BT24" i="36"/>
  <c r="BU24" i="36"/>
  <c r="BV24" i="36"/>
  <c r="BW24" i="36"/>
  <c r="BX24" i="36"/>
  <c r="BY24" i="36"/>
  <c r="BZ24" i="36"/>
  <c r="BM25" i="36"/>
  <c r="BN25" i="36"/>
  <c r="BO25" i="36"/>
  <c r="BP25" i="36"/>
  <c r="BQ25" i="36"/>
  <c r="BR25" i="36"/>
  <c r="BS25" i="36"/>
  <c r="BT25" i="36"/>
  <c r="BU25" i="36"/>
  <c r="BV25" i="36"/>
  <c r="BW25" i="36"/>
  <c r="BX25" i="36"/>
  <c r="BY25" i="36"/>
  <c r="BZ25" i="36"/>
  <c r="BM116" i="36"/>
  <c r="BN116" i="36"/>
  <c r="BO116" i="36"/>
  <c r="BP116" i="36"/>
  <c r="BQ116" i="36"/>
  <c r="BR116" i="36"/>
  <c r="BS116" i="36"/>
  <c r="BT116" i="36"/>
  <c r="BU116" i="36"/>
  <c r="BV116" i="36"/>
  <c r="BW116" i="36"/>
  <c r="BX116" i="36"/>
  <c r="BY116" i="36"/>
  <c r="BZ116" i="36"/>
  <c r="BM26" i="36"/>
  <c r="BN26" i="36"/>
  <c r="BO26" i="36"/>
  <c r="BP26" i="36"/>
  <c r="BQ26" i="36"/>
  <c r="BR26" i="36"/>
  <c r="BS26" i="36"/>
  <c r="BT26" i="36"/>
  <c r="BU26" i="36"/>
  <c r="BV26" i="36"/>
  <c r="BW26" i="36"/>
  <c r="BX26" i="36"/>
  <c r="BY26" i="36"/>
  <c r="BZ26" i="36"/>
  <c r="BM39" i="36"/>
  <c r="BN39" i="36"/>
  <c r="BO39" i="36"/>
  <c r="BP39" i="36"/>
  <c r="BQ39" i="36"/>
  <c r="BR39" i="36"/>
  <c r="BS39" i="36"/>
  <c r="BT39" i="36"/>
  <c r="BU39" i="36"/>
  <c r="BV39" i="36"/>
  <c r="BW39" i="36"/>
  <c r="BX39" i="36"/>
  <c r="BY39" i="36"/>
  <c r="BZ39" i="36"/>
  <c r="BM27" i="36"/>
  <c r="BN27" i="36"/>
  <c r="BO27" i="36"/>
  <c r="BP27" i="36"/>
  <c r="BQ27" i="36"/>
  <c r="BR27" i="36"/>
  <c r="BS27" i="36"/>
  <c r="BT27" i="36"/>
  <c r="BU27" i="36"/>
  <c r="BV27" i="36"/>
  <c r="BW27" i="36"/>
  <c r="BX27" i="36"/>
  <c r="BY27" i="36"/>
  <c r="BZ27" i="36"/>
  <c r="BM67" i="36"/>
  <c r="BN67" i="36"/>
  <c r="BO67" i="36"/>
  <c r="BP67" i="36"/>
  <c r="BQ67" i="36"/>
  <c r="BR67" i="36"/>
  <c r="BS67" i="36"/>
  <c r="BT67" i="36"/>
  <c r="BU67" i="36"/>
  <c r="BV67" i="36"/>
  <c r="BW67" i="36"/>
  <c r="BX67" i="36"/>
  <c r="BY67" i="36"/>
  <c r="BZ67" i="36"/>
  <c r="BM111" i="36"/>
  <c r="BN111" i="36"/>
  <c r="BO111" i="36"/>
  <c r="BP111" i="36"/>
  <c r="BQ111" i="36"/>
  <c r="BR111" i="36"/>
  <c r="BS111" i="36"/>
  <c r="BT111" i="36"/>
  <c r="BU111" i="36"/>
  <c r="BV111" i="36"/>
  <c r="BW111" i="36"/>
  <c r="BX111" i="36"/>
  <c r="BY111" i="36"/>
  <c r="BZ111" i="36"/>
  <c r="BM85" i="36"/>
  <c r="BN85" i="36"/>
  <c r="BO85" i="36"/>
  <c r="BP85" i="36"/>
  <c r="BQ85" i="36"/>
  <c r="BR85" i="36"/>
  <c r="BS85" i="36"/>
  <c r="BT85" i="36"/>
  <c r="BU85" i="36"/>
  <c r="BV85" i="36"/>
  <c r="BW85" i="36"/>
  <c r="BX85" i="36"/>
  <c r="BY85" i="36"/>
  <c r="BZ85" i="36"/>
  <c r="BM110" i="36"/>
  <c r="BN110" i="36"/>
  <c r="BO110" i="36"/>
  <c r="BP110" i="36"/>
  <c r="BQ110" i="36"/>
  <c r="BR110" i="36"/>
  <c r="BS110" i="36"/>
  <c r="BT110" i="36"/>
  <c r="BU110" i="36"/>
  <c r="BV110" i="36"/>
  <c r="BW110" i="36"/>
  <c r="BX110" i="36"/>
  <c r="BY110" i="36"/>
  <c r="BZ110" i="36"/>
  <c r="BM64" i="36"/>
  <c r="BN64" i="36"/>
  <c r="BO64" i="36"/>
  <c r="BP64" i="36"/>
  <c r="BQ64" i="36"/>
  <c r="BR64" i="36"/>
  <c r="BS64" i="36"/>
  <c r="BT64" i="36"/>
  <c r="BU64" i="36"/>
  <c r="BV64" i="36"/>
  <c r="BW64" i="36"/>
  <c r="BX64" i="36"/>
  <c r="BY64" i="36"/>
  <c r="BZ64" i="36"/>
  <c r="BM28" i="36"/>
  <c r="BN28" i="36"/>
  <c r="BO28" i="36"/>
  <c r="BP28" i="36"/>
  <c r="BQ28" i="36"/>
  <c r="BR28" i="36"/>
  <c r="BS28" i="36"/>
  <c r="BT28" i="36"/>
  <c r="BU28" i="36"/>
  <c r="BV28" i="36"/>
  <c r="BW28" i="36"/>
  <c r="BX28" i="36"/>
  <c r="BY28" i="36"/>
  <c r="BZ28" i="36"/>
  <c r="BM29" i="36"/>
  <c r="BN29" i="36"/>
  <c r="BO29" i="36"/>
  <c r="BP29" i="36"/>
  <c r="BQ29" i="36"/>
  <c r="BR29" i="36"/>
  <c r="BS29" i="36"/>
  <c r="BT29" i="36"/>
  <c r="BU29" i="36"/>
  <c r="BV29" i="36"/>
  <c r="BW29" i="36"/>
  <c r="BX29" i="36"/>
  <c r="BY29" i="36"/>
  <c r="BZ29" i="36"/>
  <c r="BM30" i="36"/>
  <c r="BN30" i="36"/>
  <c r="BO30" i="36"/>
  <c r="BP30" i="36"/>
  <c r="BQ30" i="36"/>
  <c r="BR30" i="36"/>
  <c r="BS30" i="36"/>
  <c r="BT30" i="36"/>
  <c r="BU30" i="36"/>
  <c r="BV30" i="36"/>
  <c r="BW30" i="36"/>
  <c r="BX30" i="36"/>
  <c r="BY30" i="36"/>
  <c r="BZ30" i="36"/>
  <c r="BM31" i="36"/>
  <c r="BN31" i="36"/>
  <c r="BO31" i="36"/>
  <c r="BP31" i="36"/>
  <c r="BQ31" i="36"/>
  <c r="BR31" i="36"/>
  <c r="BS31" i="36"/>
  <c r="BT31" i="36"/>
  <c r="BU31" i="36"/>
  <c r="BV31" i="36"/>
  <c r="BW31" i="36"/>
  <c r="BX31" i="36"/>
  <c r="BY31" i="36"/>
  <c r="BZ31" i="36"/>
  <c r="BM53" i="36"/>
  <c r="BN53" i="36"/>
  <c r="BO53" i="36"/>
  <c r="BP53" i="36"/>
  <c r="BQ53" i="36"/>
  <c r="BR53" i="36"/>
  <c r="BS53" i="36"/>
  <c r="BT53" i="36"/>
  <c r="BU53" i="36"/>
  <c r="BV53" i="36"/>
  <c r="BW53" i="36"/>
  <c r="BX53" i="36"/>
  <c r="BY53" i="36"/>
  <c r="BZ53" i="36"/>
  <c r="BM133" i="36"/>
  <c r="BN133" i="36"/>
  <c r="BO133" i="36"/>
  <c r="BP133" i="36"/>
  <c r="BQ133" i="36"/>
  <c r="BR133" i="36"/>
  <c r="BS133" i="36"/>
  <c r="BT133" i="36"/>
  <c r="BU133" i="36"/>
  <c r="BV133" i="36"/>
  <c r="BW133" i="36"/>
  <c r="BX133" i="36"/>
  <c r="BY133" i="36"/>
  <c r="BZ133" i="36"/>
  <c r="BM126" i="36"/>
  <c r="BN126" i="36"/>
  <c r="BO126" i="36"/>
  <c r="BP126" i="36"/>
  <c r="BQ126" i="36"/>
  <c r="BR126" i="36"/>
  <c r="BS126" i="36"/>
  <c r="BT126" i="36"/>
  <c r="BU126" i="36"/>
  <c r="BV126" i="36"/>
  <c r="BW126" i="36"/>
  <c r="BX126" i="36"/>
  <c r="BY126" i="36"/>
  <c r="BZ126" i="36"/>
  <c r="BM129" i="36"/>
  <c r="BN129" i="36"/>
  <c r="BO129" i="36"/>
  <c r="BP129" i="36"/>
  <c r="BQ129" i="36"/>
  <c r="BR129" i="36"/>
  <c r="BS129" i="36"/>
  <c r="BT129" i="36"/>
  <c r="BU129" i="36"/>
  <c r="BV129" i="36"/>
  <c r="BW129" i="36"/>
  <c r="BX129" i="36"/>
  <c r="BY129" i="36"/>
  <c r="BZ129" i="36"/>
  <c r="BM125" i="36"/>
  <c r="BN125" i="36"/>
  <c r="BO125" i="36"/>
  <c r="BP125" i="36"/>
  <c r="BQ125" i="36"/>
  <c r="BR125" i="36"/>
  <c r="BS125" i="36"/>
  <c r="BT125" i="36"/>
  <c r="BU125" i="36"/>
  <c r="BV125" i="36"/>
  <c r="BW125" i="36"/>
  <c r="BX125" i="36"/>
  <c r="BY125" i="36"/>
  <c r="BZ125" i="36"/>
  <c r="BM124" i="36"/>
  <c r="BN124" i="36"/>
  <c r="BO124" i="36"/>
  <c r="BP124" i="36"/>
  <c r="BQ124" i="36"/>
  <c r="BR124" i="36"/>
  <c r="BS124" i="36"/>
  <c r="BT124" i="36"/>
  <c r="BU124" i="36"/>
  <c r="BV124" i="36"/>
  <c r="BW124" i="36"/>
  <c r="BX124" i="36"/>
  <c r="BY124" i="36"/>
  <c r="BZ124" i="36"/>
  <c r="BM99" i="36"/>
  <c r="BN99" i="36"/>
  <c r="BO99" i="36"/>
  <c r="BP99" i="36"/>
  <c r="BQ99" i="36"/>
  <c r="BR99" i="36"/>
  <c r="BS99" i="36"/>
  <c r="BT99" i="36"/>
  <c r="BU99" i="36"/>
  <c r="BV99" i="36"/>
  <c r="BW99" i="36"/>
  <c r="BX99" i="36"/>
  <c r="BY99" i="36"/>
  <c r="BZ99" i="36"/>
  <c r="BM97" i="36"/>
  <c r="BN97" i="36"/>
  <c r="BO97" i="36"/>
  <c r="BP97" i="36"/>
  <c r="BQ97" i="36"/>
  <c r="BR97" i="36"/>
  <c r="BS97" i="36"/>
  <c r="BT97" i="36"/>
  <c r="BU97" i="36"/>
  <c r="BV97" i="36"/>
  <c r="BW97" i="36"/>
  <c r="BX97" i="36"/>
  <c r="BY97" i="36"/>
  <c r="BZ97" i="36"/>
  <c r="BM139" i="36"/>
  <c r="BN139" i="36"/>
  <c r="BO139" i="36"/>
  <c r="BP139" i="36"/>
  <c r="BQ139" i="36"/>
  <c r="BR139" i="36"/>
  <c r="BS139" i="36"/>
  <c r="BT139" i="36"/>
  <c r="BU139" i="36"/>
  <c r="BV139" i="36"/>
  <c r="BW139" i="36"/>
  <c r="BX139" i="36"/>
  <c r="BY139" i="36"/>
  <c r="BZ139" i="36"/>
  <c r="BM140" i="36"/>
  <c r="BN140" i="36"/>
  <c r="BO140" i="36"/>
  <c r="BP140" i="36"/>
  <c r="BQ140" i="36"/>
  <c r="BR140" i="36"/>
  <c r="BS140" i="36"/>
  <c r="BT140" i="36"/>
  <c r="BU140" i="36"/>
  <c r="BV140" i="36"/>
  <c r="BW140" i="36"/>
  <c r="BX140" i="36"/>
  <c r="BY140" i="36"/>
  <c r="BZ140" i="36"/>
  <c r="BM105" i="36"/>
  <c r="BN105" i="36"/>
  <c r="BO105" i="36"/>
  <c r="BP105" i="36"/>
  <c r="BQ105" i="36"/>
  <c r="BR105" i="36"/>
  <c r="BS105" i="36"/>
  <c r="BT105" i="36"/>
  <c r="BU105" i="36"/>
  <c r="BV105" i="36"/>
  <c r="BW105" i="36"/>
  <c r="BX105" i="36"/>
  <c r="BY105" i="36"/>
  <c r="BZ105" i="36"/>
  <c r="BM79" i="36"/>
  <c r="BN79" i="36"/>
  <c r="BO79" i="36"/>
  <c r="BP79" i="36"/>
  <c r="BQ79" i="36"/>
  <c r="BR79" i="36"/>
  <c r="BS79" i="36"/>
  <c r="BT79" i="36"/>
  <c r="BU79" i="36"/>
  <c r="BV79" i="36"/>
  <c r="BW79" i="36"/>
  <c r="BX79" i="36"/>
  <c r="BY79" i="36"/>
  <c r="BZ79" i="36"/>
  <c r="BM47" i="36"/>
  <c r="BN47" i="36"/>
  <c r="BO47" i="36"/>
  <c r="BP47" i="36"/>
  <c r="BQ47" i="36"/>
  <c r="BR47" i="36"/>
  <c r="BS47" i="36"/>
  <c r="BT47" i="36"/>
  <c r="BU47" i="36"/>
  <c r="BV47" i="36"/>
  <c r="BW47" i="36"/>
  <c r="BX47" i="36"/>
  <c r="BY47" i="36"/>
  <c r="BZ47" i="36"/>
  <c r="BM71" i="36"/>
  <c r="BN71" i="36"/>
  <c r="BO71" i="36"/>
  <c r="BP71" i="36"/>
  <c r="BQ71" i="36"/>
  <c r="BR71" i="36"/>
  <c r="BS71" i="36"/>
  <c r="BT71" i="36"/>
  <c r="BU71" i="36"/>
  <c r="BV71" i="36"/>
  <c r="BW71" i="36"/>
  <c r="BX71" i="36"/>
  <c r="BY71" i="36"/>
  <c r="BZ71" i="36"/>
  <c r="BM49" i="36"/>
  <c r="BN49" i="36"/>
  <c r="BO49" i="36"/>
  <c r="BP49" i="36"/>
  <c r="BQ49" i="36"/>
  <c r="BR49" i="36"/>
  <c r="BS49" i="36"/>
  <c r="BT49" i="36"/>
  <c r="BU49" i="36"/>
  <c r="BV49" i="36"/>
  <c r="BW49" i="36"/>
  <c r="BX49" i="36"/>
  <c r="BY49" i="36"/>
  <c r="BZ49" i="36"/>
  <c r="BM98" i="36"/>
  <c r="BN98" i="36"/>
  <c r="BO98" i="36"/>
  <c r="BP98" i="36"/>
  <c r="BQ98" i="36"/>
  <c r="BR98" i="36"/>
  <c r="BS98" i="36"/>
  <c r="BT98" i="36"/>
  <c r="BU98" i="36"/>
  <c r="BV98" i="36"/>
  <c r="BW98" i="36"/>
  <c r="BX98" i="36"/>
  <c r="BY98" i="36"/>
  <c r="BZ98" i="36"/>
  <c r="BM143" i="36"/>
  <c r="BN143" i="36"/>
  <c r="BO143" i="36"/>
  <c r="BP143" i="36"/>
  <c r="BQ143" i="36"/>
  <c r="BR143" i="36"/>
  <c r="BS143" i="36"/>
  <c r="BT143" i="36"/>
  <c r="BU143" i="36"/>
  <c r="BV143" i="36"/>
  <c r="BW143" i="36"/>
  <c r="BX143" i="36"/>
  <c r="BY143" i="36"/>
  <c r="BZ143" i="36"/>
  <c r="BM142" i="36"/>
  <c r="BN142" i="36"/>
  <c r="BO142" i="36"/>
  <c r="BP142" i="36"/>
  <c r="BQ142" i="36"/>
  <c r="BR142" i="36"/>
  <c r="BS142" i="36"/>
  <c r="BT142" i="36"/>
  <c r="BU142" i="36"/>
  <c r="BV142" i="36"/>
  <c r="BW142" i="36"/>
  <c r="BX142" i="36"/>
  <c r="BY142" i="36"/>
  <c r="BZ142" i="36"/>
  <c r="BM46" i="36"/>
  <c r="BN46" i="36"/>
  <c r="BO46" i="36"/>
  <c r="BP46" i="36"/>
  <c r="BQ46" i="36"/>
  <c r="BR46" i="36"/>
  <c r="BS46" i="36"/>
  <c r="BT46" i="36"/>
  <c r="BU46" i="36"/>
  <c r="BV46" i="36"/>
  <c r="BW46" i="36"/>
  <c r="BX46" i="36"/>
  <c r="BY46" i="36"/>
  <c r="BZ46" i="36"/>
  <c r="BM86" i="36"/>
  <c r="BN86" i="36"/>
  <c r="BO86" i="36"/>
  <c r="BP86" i="36"/>
  <c r="BQ86" i="36"/>
  <c r="BR86" i="36"/>
  <c r="BS86" i="36"/>
  <c r="BT86" i="36"/>
  <c r="BU86" i="36"/>
  <c r="BV86" i="36"/>
  <c r="BW86" i="36"/>
  <c r="BX86" i="36"/>
  <c r="BY86" i="36"/>
  <c r="BZ86" i="36"/>
  <c r="BM123" i="36"/>
  <c r="BN123" i="36"/>
  <c r="BO123" i="36"/>
  <c r="BP123" i="36"/>
  <c r="BQ123" i="36"/>
  <c r="BR123" i="36"/>
  <c r="BS123" i="36"/>
  <c r="BT123" i="36"/>
  <c r="BU123" i="36"/>
  <c r="BV123" i="36"/>
  <c r="BW123" i="36"/>
  <c r="BX123" i="36"/>
  <c r="BY123" i="36"/>
  <c r="BZ123" i="36"/>
  <c r="BM32" i="36"/>
  <c r="BN32" i="36"/>
  <c r="BO32" i="36"/>
  <c r="BP32" i="36"/>
  <c r="BQ32" i="36"/>
  <c r="BR32" i="36"/>
  <c r="BS32" i="36"/>
  <c r="BT32" i="36"/>
  <c r="BU32" i="36"/>
  <c r="BV32" i="36"/>
  <c r="BW32" i="36"/>
  <c r="BX32" i="36"/>
  <c r="BY32" i="36"/>
  <c r="BZ32" i="36"/>
  <c r="BM138" i="36"/>
  <c r="BN138" i="36"/>
  <c r="BO138" i="36"/>
  <c r="BP138" i="36"/>
  <c r="BQ138" i="36"/>
  <c r="BR138" i="36"/>
  <c r="BS138" i="36"/>
  <c r="BT138" i="36"/>
  <c r="BU138" i="36"/>
  <c r="BV138" i="36"/>
  <c r="BW138" i="36"/>
  <c r="BX138" i="36"/>
  <c r="BY138" i="36"/>
  <c r="BZ138" i="36"/>
  <c r="BM137" i="36"/>
  <c r="BN137" i="36"/>
  <c r="BO137" i="36"/>
  <c r="BP137" i="36"/>
  <c r="BQ137" i="36"/>
  <c r="BR137" i="36"/>
  <c r="BS137" i="36"/>
  <c r="BT137" i="36"/>
  <c r="BU137" i="36"/>
  <c r="BV137" i="36"/>
  <c r="BW137" i="36"/>
  <c r="BX137" i="36"/>
  <c r="BY137" i="36"/>
  <c r="BZ137" i="36"/>
  <c r="BM33" i="36"/>
  <c r="BN33" i="36"/>
  <c r="BO33" i="36"/>
  <c r="BP33" i="36"/>
  <c r="BQ33" i="36"/>
  <c r="BR33" i="36"/>
  <c r="BS33" i="36"/>
  <c r="BT33" i="36"/>
  <c r="BU33" i="36"/>
  <c r="BV33" i="36"/>
  <c r="BW33" i="36"/>
  <c r="BX33" i="36"/>
  <c r="BY33" i="36"/>
  <c r="BZ33" i="36"/>
  <c r="BM34" i="36"/>
  <c r="BN34" i="36"/>
  <c r="BO34" i="36"/>
  <c r="BP34" i="36"/>
  <c r="BQ34" i="36"/>
  <c r="BR34" i="36"/>
  <c r="BS34" i="36"/>
  <c r="BT34" i="36"/>
  <c r="BU34" i="36"/>
  <c r="BV34" i="36"/>
  <c r="BW34" i="36"/>
  <c r="BX34" i="36"/>
  <c r="BY34" i="36"/>
  <c r="BZ34" i="36"/>
  <c r="BM35" i="36"/>
  <c r="BN35" i="36"/>
  <c r="BO35" i="36"/>
  <c r="BP35" i="36"/>
  <c r="BQ35" i="36"/>
  <c r="BR35" i="36"/>
  <c r="BS35" i="36"/>
  <c r="BT35" i="36"/>
  <c r="BU35" i="36"/>
  <c r="BV35" i="36"/>
  <c r="BW35" i="36"/>
  <c r="BX35" i="36"/>
  <c r="BY35" i="36"/>
  <c r="BZ35" i="36"/>
  <c r="BM38" i="36"/>
  <c r="BN38" i="36"/>
  <c r="BO38" i="36"/>
  <c r="BP38" i="36"/>
  <c r="BQ38" i="36"/>
  <c r="BR38" i="36"/>
  <c r="BS38" i="36"/>
  <c r="BT38" i="36"/>
  <c r="BU38" i="36"/>
  <c r="BV38" i="36"/>
  <c r="BW38" i="36"/>
  <c r="BX38" i="36"/>
  <c r="BY38" i="36"/>
  <c r="BZ38" i="36"/>
  <c r="BM36" i="36"/>
  <c r="BN36" i="36"/>
  <c r="BO36" i="36"/>
  <c r="BP36" i="36"/>
  <c r="BQ36" i="36"/>
  <c r="BR36" i="36"/>
  <c r="BS36" i="36"/>
  <c r="BT36" i="36"/>
  <c r="BU36" i="36"/>
  <c r="BV36" i="36"/>
  <c r="BW36" i="36"/>
  <c r="BX36" i="36"/>
  <c r="BY36" i="36"/>
  <c r="BZ36" i="36"/>
  <c r="BM115" i="36"/>
  <c r="BN115" i="36"/>
  <c r="BO115" i="36"/>
  <c r="BP115" i="36"/>
  <c r="BQ115" i="36"/>
  <c r="BR115" i="36"/>
  <c r="BS115" i="36"/>
  <c r="BT115" i="36"/>
  <c r="BU115" i="36"/>
  <c r="BV115" i="36"/>
  <c r="BW115" i="36"/>
  <c r="BX115" i="36"/>
  <c r="BY115" i="36"/>
  <c r="BZ115" i="36"/>
  <c r="BM120" i="36"/>
  <c r="BN120" i="36"/>
  <c r="BO120" i="36"/>
  <c r="BP120" i="36"/>
  <c r="BQ120" i="36"/>
  <c r="BR120" i="36"/>
  <c r="BS120" i="36"/>
  <c r="BT120" i="36"/>
  <c r="BU120" i="36"/>
  <c r="BV120" i="36"/>
  <c r="BW120" i="36"/>
  <c r="BX120" i="36"/>
  <c r="BY120" i="36"/>
  <c r="BZ120" i="36"/>
  <c r="BM148" i="36"/>
  <c r="BN148" i="36"/>
  <c r="BO148" i="36"/>
  <c r="BP148" i="36"/>
  <c r="BQ148" i="36"/>
  <c r="BR148" i="36"/>
  <c r="BS148" i="36"/>
  <c r="BT148" i="36"/>
  <c r="BU148" i="36"/>
  <c r="BV148" i="36"/>
  <c r="BW148" i="36"/>
  <c r="BX148" i="36"/>
  <c r="BY148" i="36"/>
  <c r="BZ148" i="36"/>
  <c r="BM150" i="36"/>
  <c r="BN150" i="36"/>
  <c r="BO150" i="36"/>
  <c r="BP150" i="36"/>
  <c r="BQ150" i="36"/>
  <c r="BR150" i="36"/>
  <c r="BS150" i="36"/>
  <c r="BT150" i="36"/>
  <c r="BU150" i="36"/>
  <c r="BV150" i="36"/>
  <c r="BW150" i="36"/>
  <c r="BX150" i="36"/>
  <c r="BY150" i="36"/>
  <c r="BZ150" i="36"/>
  <c r="BM82" i="36"/>
  <c r="BN82" i="36"/>
  <c r="BO82" i="36"/>
  <c r="BP82" i="36"/>
  <c r="BQ82" i="36"/>
  <c r="BR82" i="36"/>
  <c r="BS82" i="36"/>
  <c r="BT82" i="36"/>
  <c r="BU82" i="36"/>
  <c r="BV82" i="36"/>
  <c r="BW82" i="36"/>
  <c r="BX82" i="36"/>
  <c r="BY82" i="36"/>
  <c r="BZ82" i="36"/>
  <c r="BM118" i="36"/>
  <c r="BN118" i="36"/>
  <c r="BO118" i="36"/>
  <c r="BP118" i="36"/>
  <c r="BQ118" i="36"/>
  <c r="BR118" i="36"/>
  <c r="BS118" i="36"/>
  <c r="BT118" i="36"/>
  <c r="BU118" i="36"/>
  <c r="BV118" i="36"/>
  <c r="BW118" i="36"/>
  <c r="BX118" i="36"/>
  <c r="BY118" i="36"/>
  <c r="BZ118" i="36"/>
  <c r="BM66" i="36"/>
  <c r="BN66" i="36"/>
  <c r="BO66" i="36"/>
  <c r="BP66" i="36"/>
  <c r="BQ66" i="36"/>
  <c r="BR66" i="36"/>
  <c r="BS66" i="36"/>
  <c r="BT66" i="36"/>
  <c r="BU66" i="36"/>
  <c r="BV66" i="36"/>
  <c r="BW66" i="36"/>
  <c r="BX66" i="36"/>
  <c r="BY66" i="36"/>
  <c r="BZ66" i="36"/>
  <c r="K86" i="47" l="1"/>
  <c r="K32" i="47"/>
  <c r="K25" i="47"/>
  <c r="K73" i="47"/>
  <c r="K22" i="47"/>
  <c r="K20" i="47"/>
  <c r="K45" i="47"/>
  <c r="K35" i="47"/>
  <c r="K87" i="47"/>
  <c r="K61" i="47"/>
  <c r="K11" i="47"/>
  <c r="K76" i="47"/>
  <c r="K13" i="47"/>
  <c r="K26" i="47"/>
  <c r="K74" i="47"/>
  <c r="K40" i="47"/>
  <c r="K37" i="47"/>
  <c r="K84" i="47"/>
  <c r="K71" i="47"/>
  <c r="K9" i="47"/>
  <c r="K75" i="47"/>
  <c r="K56" i="47"/>
  <c r="K16" i="47"/>
  <c r="K44" i="47"/>
  <c r="K42" i="47"/>
  <c r="K33" i="47"/>
  <c r="K12" i="47"/>
  <c r="K83" i="47"/>
  <c r="K51" i="47"/>
  <c r="K14" i="47"/>
  <c r="K58" i="47"/>
  <c r="K23" i="47"/>
  <c r="K88" i="47"/>
  <c r="K80" i="47"/>
  <c r="K3" i="47"/>
  <c r="K85" i="47"/>
  <c r="K15" i="47"/>
  <c r="K4" i="47"/>
  <c r="K64" i="47"/>
  <c r="K38" i="47"/>
  <c r="K47" i="47"/>
  <c r="K49" i="47"/>
  <c r="K55" i="47"/>
  <c r="K2" i="47"/>
  <c r="K54" i="47"/>
  <c r="K31" i="47"/>
  <c r="K28" i="47"/>
  <c r="K67" i="47"/>
  <c r="K43" i="47"/>
  <c r="K24" i="47"/>
  <c r="K21" i="47"/>
  <c r="K6" i="47"/>
  <c r="K17" i="47"/>
  <c r="K66" i="47"/>
  <c r="K69" i="47"/>
  <c r="K41" i="47"/>
  <c r="K59" i="47"/>
  <c r="K30" i="47"/>
  <c r="K18" i="47"/>
  <c r="K34" i="47"/>
  <c r="K63" i="47"/>
  <c r="K19" i="47"/>
  <c r="K39" i="47"/>
  <c r="K53" i="47"/>
  <c r="K81" i="47"/>
  <c r="K62" i="47"/>
  <c r="K60" i="47"/>
  <c r="K68" i="47"/>
  <c r="K46" i="47"/>
  <c r="K50" i="47"/>
  <c r="K7" i="47"/>
  <c r="K8" i="47"/>
  <c r="K77" i="47"/>
  <c r="K5" i="47"/>
  <c r="K29" i="47"/>
  <c r="K78" i="47"/>
  <c r="K72" i="47"/>
  <c r="K27" i="47"/>
  <c r="K82" i="47"/>
  <c r="K70" i="47"/>
  <c r="K65" i="47"/>
  <c r="K79" i="47"/>
  <c r="K57" i="47"/>
  <c r="K36" i="47"/>
  <c r="K10" i="47"/>
  <c r="K48" i="47"/>
  <c r="J9" i="41"/>
  <c r="X4" i="25"/>
  <c r="X5" i="25"/>
  <c r="X3" i="25"/>
  <c r="X2" i="25"/>
  <c r="L14" i="43"/>
  <c r="L5" i="43"/>
  <c r="F27" i="43"/>
  <c r="J2" i="41"/>
  <c r="J6" i="41"/>
  <c r="J10" i="41"/>
  <c r="J14" i="41"/>
  <c r="J12" i="41"/>
  <c r="J3" i="41"/>
  <c r="J7" i="41"/>
  <c r="J15" i="41"/>
  <c r="H27" i="43"/>
  <c r="F13" i="43"/>
  <c r="L13" i="43"/>
  <c r="G18" i="43"/>
  <c r="L7" i="43"/>
  <c r="G6" i="43"/>
  <c r="H7" i="43"/>
  <c r="L12" i="43"/>
  <c r="F12" i="43"/>
  <c r="I24" i="43"/>
  <c r="L22" i="43"/>
  <c r="O2" i="43"/>
  <c r="I2" i="43"/>
  <c r="F22" i="43"/>
  <c r="F24" i="43"/>
  <c r="F5" i="43"/>
  <c r="F17" i="43"/>
  <c r="L17" i="43"/>
  <c r="F14" i="43"/>
  <c r="I27" i="43"/>
  <c r="O27" i="43"/>
  <c r="L10" i="43"/>
  <c r="F10" i="43"/>
  <c r="P5" i="42"/>
  <c r="L5" i="42"/>
  <c r="L3" i="42"/>
  <c r="F5" i="42"/>
  <c r="F3" i="42"/>
  <c r="J4" i="41"/>
  <c r="J8" i="41"/>
  <c r="J11" i="41"/>
  <c r="J16" i="41"/>
  <c r="AF2" i="25"/>
  <c r="AJ5" i="25"/>
  <c r="AJ3" i="25"/>
  <c r="Z2" i="25"/>
  <c r="Y4" i="25"/>
  <c r="V4" i="25"/>
  <c r="AI2" i="25"/>
  <c r="AM5" i="25"/>
  <c r="AC5" i="25"/>
  <c r="AH4" i="25"/>
  <c r="AM3" i="25"/>
  <c r="AC3" i="25"/>
  <c r="AH2" i="25"/>
  <c r="AL5" i="25"/>
  <c r="U5" i="25"/>
  <c r="AG4" i="25"/>
  <c r="AL3" i="25"/>
  <c r="AB3" i="25"/>
  <c r="AG2" i="25"/>
  <c r="AK5" i="25"/>
  <c r="AA5" i="25"/>
  <c r="AF4" i="25"/>
  <c r="AK3" i="25"/>
  <c r="AA3" i="25"/>
  <c r="Y5" i="25"/>
  <c r="AE4" i="25"/>
  <c r="Y3" i="25"/>
  <c r="Y2" i="25"/>
  <c r="AD2" i="25"/>
  <c r="AH5" i="25"/>
  <c r="AM4" i="25"/>
  <c r="AC4" i="25"/>
  <c r="AH3" i="25"/>
  <c r="V2" i="25"/>
  <c r="H2" i="25" s="1"/>
  <c r="AM2" i="25"/>
  <c r="AC2" i="25"/>
  <c r="AG5" i="25"/>
  <c r="AL4" i="25"/>
  <c r="U4" i="25"/>
  <c r="G4" i="25" s="1"/>
  <c r="AG3" i="25"/>
  <c r="W4" i="25"/>
  <c r="I4" i="25" s="1"/>
  <c r="AL2" i="25"/>
  <c r="U2" i="25"/>
  <c r="G2" i="25" s="1"/>
  <c r="AF5" i="25"/>
  <c r="AK4" i="25"/>
  <c r="AA4" i="25"/>
  <c r="AF3" i="25"/>
  <c r="W3" i="25"/>
  <c r="I3" i="25" s="1"/>
  <c r="AK2" i="25"/>
  <c r="AA2" i="25"/>
  <c r="AE5" i="25"/>
  <c r="AJ4" i="25"/>
  <c r="Z4" i="25"/>
  <c r="AE3" i="25"/>
  <c r="AJ2" i="25"/>
  <c r="AD5" i="25"/>
  <c r="AI4" i="25"/>
  <c r="AD3" i="25"/>
  <c r="W2" i="25"/>
  <c r="V3" i="25"/>
  <c r="H3" i="25" s="1"/>
  <c r="W5" i="25"/>
  <c r="U3" i="25"/>
  <c r="G3" i="25" s="1"/>
  <c r="AB5" i="25"/>
  <c r="V5" i="25"/>
  <c r="Z5" i="25"/>
  <c r="Z3" i="25"/>
  <c r="AB4" i="25"/>
  <c r="AE2" i="25"/>
  <c r="AI5" i="25"/>
  <c r="AD4" i="25"/>
  <c r="AI3" i="25"/>
  <c r="AB2" i="25"/>
  <c r="F7" i="43" l="1"/>
  <c r="L24" i="43"/>
  <c r="N27" i="43"/>
  <c r="J13" i="41"/>
  <c r="J5" i="41"/>
  <c r="N7" i="43"/>
  <c r="I14" i="43"/>
  <c r="O14" i="43"/>
  <c r="I26" i="43"/>
  <c r="O26" i="43"/>
  <c r="M5" i="43"/>
  <c r="G5" i="43"/>
  <c r="L2" i="43"/>
  <c r="F2" i="43"/>
  <c r="N15" i="43"/>
  <c r="H15" i="43"/>
  <c r="M27" i="43"/>
  <c r="L27" i="43"/>
  <c r="G27" i="43"/>
  <c r="N16" i="43"/>
  <c r="H16" i="43"/>
  <c r="N4" i="43"/>
  <c r="H4" i="43"/>
  <c r="O10" i="43"/>
  <c r="I10" i="43"/>
  <c r="G2" i="43"/>
  <c r="M2" i="43"/>
  <c r="M10" i="43"/>
  <c r="G10" i="43"/>
  <c r="N8" i="43"/>
  <c r="H8" i="43"/>
  <c r="G17" i="43"/>
  <c r="M17" i="43"/>
  <c r="I13" i="43"/>
  <c r="O13" i="43"/>
  <c r="M14" i="43"/>
  <c r="G14" i="43"/>
  <c r="H14" i="43"/>
  <c r="N14" i="43"/>
  <c r="L28" i="43"/>
  <c r="F28" i="43"/>
  <c r="O3" i="43"/>
  <c r="I3" i="43"/>
  <c r="L8" i="43"/>
  <c r="F8" i="43"/>
  <c r="O11" i="43"/>
  <c r="I11" i="43"/>
  <c r="I15" i="43"/>
  <c r="O15" i="43"/>
  <c r="F18" i="43"/>
  <c r="L18" i="43"/>
  <c r="H5" i="43"/>
  <c r="N5" i="43"/>
  <c r="O12" i="43"/>
  <c r="I12" i="43"/>
  <c r="M22" i="43"/>
  <c r="G22" i="43"/>
  <c r="G4" i="43"/>
  <c r="M4" i="43"/>
  <c r="O4" i="43"/>
  <c r="I4" i="43"/>
  <c r="O18" i="43"/>
  <c r="I18" i="43"/>
  <c r="H18" i="43"/>
  <c r="N18" i="43"/>
  <c r="G15" i="43"/>
  <c r="M15" i="43"/>
  <c r="G13" i="43"/>
  <c r="M13" i="43"/>
  <c r="O8" i="43"/>
  <c r="I8" i="43"/>
  <c r="O28" i="43"/>
  <c r="I28" i="43"/>
  <c r="L3" i="43"/>
  <c r="F3" i="43"/>
  <c r="M3" i="43"/>
  <c r="G3" i="43"/>
  <c r="G23" i="43"/>
  <c r="M23" i="43"/>
  <c r="N22" i="43"/>
  <c r="H22" i="43"/>
  <c r="F6" i="43"/>
  <c r="L6" i="43"/>
  <c r="F4" i="43"/>
  <c r="L4" i="43"/>
  <c r="F26" i="43"/>
  <c r="L26" i="43"/>
  <c r="L15" i="43"/>
  <c r="F15" i="43"/>
  <c r="H13" i="43"/>
  <c r="N13" i="43"/>
  <c r="M8" i="43"/>
  <c r="G8" i="43"/>
  <c r="H17" i="43"/>
  <c r="N17" i="43"/>
  <c r="O23" i="43"/>
  <c r="I23" i="43"/>
  <c r="H28" i="43"/>
  <c r="N28" i="43"/>
  <c r="G24" i="43"/>
  <c r="M24" i="43"/>
  <c r="N2" i="43"/>
  <c r="H2" i="43"/>
  <c r="O24" i="43"/>
  <c r="F11" i="43"/>
  <c r="L11" i="43"/>
  <c r="F23" i="43"/>
  <c r="L23" i="43"/>
  <c r="H23" i="43"/>
  <c r="N23" i="43"/>
  <c r="N12" i="43"/>
  <c r="H12" i="43"/>
  <c r="N26" i="43"/>
  <c r="H26" i="43"/>
  <c r="M16" i="43"/>
  <c r="G16" i="43"/>
  <c r="F16" i="43"/>
  <c r="L16" i="43"/>
  <c r="O17" i="43"/>
  <c r="I17" i="43"/>
  <c r="M18" i="43"/>
  <c r="N11" i="43"/>
  <c r="H11" i="43"/>
  <c r="H24" i="43"/>
  <c r="N24" i="43"/>
  <c r="I5" i="43"/>
  <c r="O5" i="43"/>
  <c r="N10" i="43"/>
  <c r="H10" i="43"/>
  <c r="M7" i="43"/>
  <c r="G7" i="43"/>
  <c r="G11" i="43"/>
  <c r="M11" i="43"/>
  <c r="O16" i="43"/>
  <c r="I16" i="43"/>
  <c r="M26" i="43"/>
  <c r="G26" i="43"/>
  <c r="N3" i="43"/>
  <c r="H3" i="43"/>
  <c r="M28" i="43"/>
  <c r="G28" i="43"/>
  <c r="O22" i="43"/>
  <c r="I22" i="43"/>
  <c r="H6" i="43"/>
  <c r="N6" i="43"/>
  <c r="O7" i="43"/>
  <c r="I7" i="43"/>
  <c r="O6" i="43"/>
  <c r="I6" i="43"/>
  <c r="M12" i="43"/>
  <c r="G12" i="43"/>
  <c r="M6" i="43"/>
  <c r="F9" i="42"/>
  <c r="L9" i="42"/>
  <c r="M2" i="42"/>
  <c r="Q2" i="42"/>
  <c r="G2" i="42"/>
  <c r="N3" i="42"/>
  <c r="R3" i="42"/>
  <c r="H3" i="42"/>
  <c r="N8" i="42"/>
  <c r="R8" i="42"/>
  <c r="H8" i="42"/>
  <c r="Q5" i="42"/>
  <c r="G5" i="42"/>
  <c r="M5" i="42"/>
  <c r="R6" i="42"/>
  <c r="H6" i="42"/>
  <c r="N6" i="42"/>
  <c r="G9" i="42"/>
  <c r="Q9" i="42"/>
  <c r="P9" i="42"/>
  <c r="M9" i="42"/>
  <c r="O3" i="42"/>
  <c r="S3" i="42"/>
  <c r="I3" i="42"/>
  <c r="R9" i="42"/>
  <c r="H9" i="42"/>
  <c r="N9" i="42"/>
  <c r="S6" i="42"/>
  <c r="I6" i="42"/>
  <c r="O6" i="42"/>
  <c r="O7" i="42"/>
  <c r="S7" i="42"/>
  <c r="I7" i="42"/>
  <c r="M6" i="42"/>
  <c r="Q6" i="42"/>
  <c r="G6" i="42"/>
  <c r="R4" i="42"/>
  <c r="H4" i="42"/>
  <c r="N4" i="42"/>
  <c r="L7" i="42"/>
  <c r="P7" i="42"/>
  <c r="F7" i="42"/>
  <c r="S4" i="42"/>
  <c r="I4" i="42"/>
  <c r="O4" i="42"/>
  <c r="S9" i="42"/>
  <c r="O9" i="42"/>
  <c r="I9" i="42"/>
  <c r="L8" i="42"/>
  <c r="F8" i="42"/>
  <c r="P8" i="42"/>
  <c r="Q3" i="42"/>
  <c r="G3" i="42"/>
  <c r="M3" i="42"/>
  <c r="S5" i="42"/>
  <c r="I5" i="42"/>
  <c r="O5" i="42"/>
  <c r="Q4" i="42"/>
  <c r="G4" i="42"/>
  <c r="M4" i="42"/>
  <c r="P4" i="42"/>
  <c r="F4" i="42"/>
  <c r="L4" i="42"/>
  <c r="N7" i="42"/>
  <c r="R7" i="42"/>
  <c r="H7" i="42"/>
  <c r="P3" i="42"/>
  <c r="M8" i="42"/>
  <c r="G8" i="42"/>
  <c r="Q8" i="42"/>
  <c r="L6" i="42"/>
  <c r="P6" i="42"/>
  <c r="F6" i="42"/>
  <c r="N2" i="42"/>
  <c r="R2" i="42"/>
  <c r="H2" i="42"/>
  <c r="O2" i="42"/>
  <c r="S2" i="42"/>
  <c r="I2" i="42"/>
  <c r="O8" i="42"/>
  <c r="I8" i="42"/>
  <c r="S8" i="42"/>
  <c r="R5" i="42"/>
  <c r="H5" i="42"/>
  <c r="N5" i="42"/>
  <c r="M7" i="42"/>
  <c r="Q7" i="42"/>
  <c r="G7" i="42"/>
  <c r="L2" i="42"/>
  <c r="P2" i="42"/>
  <c r="F2" i="42"/>
  <c r="O2" i="25"/>
  <c r="I2" i="25"/>
  <c r="N4" i="25"/>
  <c r="H4" i="25"/>
  <c r="M5" i="25"/>
  <c r="G5" i="25"/>
  <c r="N5" i="25"/>
  <c r="H5" i="25"/>
  <c r="O5" i="25"/>
  <c r="I5" i="25"/>
  <c r="K4" i="25"/>
  <c r="K5" i="25"/>
  <c r="AZ3" i="22"/>
  <c r="AK3" i="22" s="1" a="1"/>
  <c r="AK3" i="22" s="1"/>
  <c r="S3" i="25" l="1"/>
  <c r="K3" i="25"/>
  <c r="N2" i="25"/>
  <c r="K2" i="25"/>
  <c r="J10" i="43"/>
  <c r="J5" i="42"/>
  <c r="N3" i="25"/>
  <c r="J22" i="43"/>
  <c r="J7" i="43"/>
  <c r="J16" i="43"/>
  <c r="J6" i="43"/>
  <c r="J28" i="43"/>
  <c r="J5" i="43"/>
  <c r="J12" i="43"/>
  <c r="J13" i="43"/>
  <c r="J8" i="43"/>
  <c r="J24" i="43"/>
  <c r="J4" i="43"/>
  <c r="J3" i="43"/>
  <c r="J17" i="43"/>
  <c r="J18" i="43"/>
  <c r="J15" i="43"/>
  <c r="J14" i="43"/>
  <c r="J27" i="43"/>
  <c r="J23" i="43"/>
  <c r="J11" i="43"/>
  <c r="J26" i="43"/>
  <c r="J2" i="43"/>
  <c r="J3" i="42"/>
  <c r="J7" i="42"/>
  <c r="J8" i="42"/>
  <c r="J4" i="42"/>
  <c r="J9" i="42"/>
  <c r="J2" i="42"/>
  <c r="J6" i="42"/>
  <c r="L5" i="25"/>
  <c r="F5" i="25"/>
  <c r="R2" i="25"/>
  <c r="F2" i="25"/>
  <c r="L4" i="25"/>
  <c r="F4" i="25"/>
  <c r="L3" i="25"/>
  <c r="F3" i="25"/>
  <c r="S2" i="25"/>
  <c r="M2" i="25"/>
  <c r="Q5" i="25"/>
  <c r="P2" i="25"/>
  <c r="L2" i="25"/>
  <c r="O4" i="25"/>
  <c r="P3" i="25"/>
  <c r="Q2" i="25"/>
  <c r="P4" i="25"/>
  <c r="R4" i="25"/>
  <c r="S4" i="25"/>
  <c r="Q4" i="25"/>
  <c r="Q3" i="25"/>
  <c r="M4" i="25"/>
  <c r="P5" i="25"/>
  <c r="R5" i="25"/>
  <c r="R3" i="25"/>
  <c r="O3" i="25"/>
  <c r="M3" i="25"/>
  <c r="S5" i="25"/>
  <c r="J5" i="25" l="1"/>
  <c r="J2" i="25"/>
  <c r="J3" i="25"/>
  <c r="J4" i="25"/>
  <c r="T3" i="22" l="1"/>
  <c r="T2" i="22"/>
  <c r="DJ11" i="22"/>
  <c r="AC148" i="31"/>
  <c r="Y3" i="31"/>
  <c r="Z3" i="31"/>
  <c r="AA3" i="31"/>
  <c r="AB3" i="31"/>
  <c r="Y4" i="31"/>
  <c r="Z4" i="31"/>
  <c r="AA4" i="31"/>
  <c r="AB4" i="31"/>
  <c r="Y5" i="31"/>
  <c r="Z5" i="31"/>
  <c r="AA5" i="31"/>
  <c r="AB5" i="31"/>
  <c r="Y6" i="31"/>
  <c r="Z6" i="31"/>
  <c r="AA6" i="31"/>
  <c r="AB6" i="31"/>
  <c r="Y7" i="31"/>
  <c r="Z7" i="31"/>
  <c r="AA7" i="31"/>
  <c r="AB7" i="31"/>
  <c r="Y8" i="31"/>
  <c r="Z8" i="31"/>
  <c r="AA8" i="31"/>
  <c r="AB8" i="31"/>
  <c r="Y9" i="31"/>
  <c r="Z9" i="31"/>
  <c r="AA9" i="31"/>
  <c r="AB9" i="31"/>
  <c r="Y10" i="31"/>
  <c r="Z10" i="31"/>
  <c r="AA10" i="31"/>
  <c r="AB10" i="31"/>
  <c r="Y11" i="31"/>
  <c r="Z11" i="31"/>
  <c r="AA11" i="31"/>
  <c r="AB11" i="31"/>
  <c r="Y12" i="31"/>
  <c r="Z12" i="31"/>
  <c r="AA12" i="31"/>
  <c r="AB12" i="31"/>
  <c r="Y13" i="31"/>
  <c r="Z13" i="31"/>
  <c r="AA13" i="31"/>
  <c r="AB13" i="31"/>
  <c r="Y14" i="31"/>
  <c r="Z14" i="31"/>
  <c r="AA14" i="31"/>
  <c r="AB14" i="31"/>
  <c r="Y15" i="31"/>
  <c r="Z15" i="31"/>
  <c r="AA15" i="31"/>
  <c r="AB15" i="31"/>
  <c r="Y16" i="31"/>
  <c r="Z16" i="31"/>
  <c r="AA16" i="31"/>
  <c r="AB16" i="31"/>
  <c r="Y17" i="31"/>
  <c r="Z17" i="31"/>
  <c r="AA17" i="31"/>
  <c r="AB17" i="31"/>
  <c r="Y18" i="31"/>
  <c r="Z18" i="31"/>
  <c r="AA18" i="31"/>
  <c r="AB18" i="31"/>
  <c r="Y19" i="31"/>
  <c r="Z19" i="31"/>
  <c r="AA19" i="31"/>
  <c r="AB19" i="31"/>
  <c r="Y20" i="31"/>
  <c r="Z20" i="31"/>
  <c r="AA20" i="31"/>
  <c r="AB20" i="31"/>
  <c r="Y21" i="31"/>
  <c r="Z21" i="31"/>
  <c r="AA21" i="31"/>
  <c r="AB21" i="31"/>
  <c r="Y22" i="31"/>
  <c r="Z22" i="31"/>
  <c r="AA22" i="31"/>
  <c r="AB22" i="31"/>
  <c r="Y23" i="31"/>
  <c r="Z23" i="31"/>
  <c r="AA23" i="31"/>
  <c r="AB23" i="31"/>
  <c r="Y24" i="31"/>
  <c r="Z24" i="31"/>
  <c r="AA24" i="31"/>
  <c r="AB24" i="31"/>
  <c r="Y25" i="31"/>
  <c r="Z25" i="31"/>
  <c r="AA25" i="31"/>
  <c r="AB25" i="31"/>
  <c r="Y26" i="31"/>
  <c r="Z26" i="31"/>
  <c r="AA26" i="31"/>
  <c r="AB26" i="31"/>
  <c r="Y27" i="31"/>
  <c r="Z27" i="31"/>
  <c r="AA27" i="31"/>
  <c r="AB27" i="31"/>
  <c r="Y28" i="31"/>
  <c r="Z28" i="31"/>
  <c r="AA28" i="31"/>
  <c r="AB28" i="31"/>
  <c r="Y29" i="31"/>
  <c r="Z29" i="31"/>
  <c r="AA29" i="31"/>
  <c r="AB29" i="31"/>
  <c r="Y30" i="31"/>
  <c r="Z30" i="31"/>
  <c r="AA30" i="31"/>
  <c r="AB30" i="31"/>
  <c r="Y31" i="31"/>
  <c r="Z31" i="31"/>
  <c r="AA31" i="31"/>
  <c r="AB31" i="31"/>
  <c r="Y32" i="31"/>
  <c r="Z32" i="31"/>
  <c r="AA32" i="31"/>
  <c r="AB32" i="31"/>
  <c r="Y33" i="31"/>
  <c r="Z33" i="31"/>
  <c r="AA33" i="31"/>
  <c r="AB33" i="31"/>
  <c r="Y34" i="31"/>
  <c r="Z34" i="31"/>
  <c r="AA34" i="31"/>
  <c r="AB34" i="31"/>
  <c r="Y35" i="31"/>
  <c r="Z35" i="31"/>
  <c r="AA35" i="31"/>
  <c r="AB35" i="31"/>
  <c r="Y36" i="31"/>
  <c r="Z36" i="31"/>
  <c r="AA36" i="31"/>
  <c r="AB36" i="31"/>
  <c r="Y37" i="31"/>
  <c r="Z37" i="31"/>
  <c r="AA37" i="31"/>
  <c r="AB37" i="31"/>
  <c r="Y38" i="31"/>
  <c r="Z38" i="31"/>
  <c r="AA38" i="31"/>
  <c r="AB38" i="31"/>
  <c r="Y39" i="31"/>
  <c r="Z39" i="31"/>
  <c r="AA39" i="31"/>
  <c r="AB39" i="31"/>
  <c r="Y40" i="31"/>
  <c r="Z40" i="31"/>
  <c r="AA40" i="31"/>
  <c r="AB40" i="31"/>
  <c r="Y41" i="31"/>
  <c r="Z41" i="31"/>
  <c r="AA41" i="31"/>
  <c r="AB41" i="31"/>
  <c r="Y42" i="31"/>
  <c r="Z42" i="31"/>
  <c r="AA42" i="31"/>
  <c r="AB42" i="31"/>
  <c r="Y43" i="31"/>
  <c r="Z43" i="31"/>
  <c r="AA43" i="31"/>
  <c r="AB43" i="31"/>
  <c r="Y44" i="31"/>
  <c r="Z44" i="31"/>
  <c r="AA44" i="31"/>
  <c r="AB44" i="31"/>
  <c r="Y45" i="31"/>
  <c r="Z45" i="31"/>
  <c r="AA45" i="31"/>
  <c r="AB45" i="31"/>
  <c r="Y46" i="31"/>
  <c r="Z46" i="31"/>
  <c r="AA46" i="31"/>
  <c r="AB46" i="31"/>
  <c r="Y47" i="31"/>
  <c r="Z47" i="31"/>
  <c r="AA47" i="31"/>
  <c r="AB47" i="31"/>
  <c r="Y48" i="31"/>
  <c r="Z48" i="31"/>
  <c r="AA48" i="31"/>
  <c r="AB48" i="31"/>
  <c r="Y49" i="31"/>
  <c r="Z49" i="31"/>
  <c r="AA49" i="31"/>
  <c r="AB49" i="31"/>
  <c r="Y50" i="31"/>
  <c r="Z50" i="31"/>
  <c r="AA50" i="31"/>
  <c r="AB50" i="31"/>
  <c r="Y51" i="31"/>
  <c r="Z51" i="31"/>
  <c r="AA51" i="31"/>
  <c r="AB51" i="31"/>
  <c r="Y52" i="31"/>
  <c r="Z52" i="31"/>
  <c r="AA52" i="31"/>
  <c r="AB52" i="31"/>
  <c r="Y53" i="31"/>
  <c r="Z53" i="31"/>
  <c r="AA53" i="31"/>
  <c r="AB53" i="31"/>
  <c r="Y54" i="31"/>
  <c r="Z54" i="31"/>
  <c r="AA54" i="31"/>
  <c r="AB54" i="31"/>
  <c r="Y55" i="31"/>
  <c r="Z55" i="31"/>
  <c r="AA55" i="31"/>
  <c r="AB55" i="31"/>
  <c r="Y56" i="31"/>
  <c r="Z56" i="31"/>
  <c r="AA56" i="31"/>
  <c r="AB56" i="31"/>
  <c r="Y57" i="31"/>
  <c r="Z57" i="31"/>
  <c r="AA57" i="31"/>
  <c r="AB57" i="31"/>
  <c r="Y58" i="31"/>
  <c r="Z58" i="31"/>
  <c r="AA58" i="31"/>
  <c r="AB58" i="31"/>
  <c r="Y59" i="31"/>
  <c r="Z59" i="31"/>
  <c r="AA59" i="31"/>
  <c r="AB59" i="31"/>
  <c r="Y60" i="31"/>
  <c r="Z60" i="31"/>
  <c r="AA60" i="31"/>
  <c r="AB60" i="31"/>
  <c r="Y61" i="31"/>
  <c r="Z61" i="31"/>
  <c r="AA61" i="31"/>
  <c r="AB61" i="31"/>
  <c r="Y62" i="31"/>
  <c r="Z62" i="31"/>
  <c r="AA62" i="31"/>
  <c r="AB62" i="31"/>
  <c r="Y63" i="31"/>
  <c r="Z63" i="31"/>
  <c r="AA63" i="31"/>
  <c r="AB63" i="31"/>
  <c r="Y64" i="31"/>
  <c r="Z64" i="31"/>
  <c r="AA64" i="31"/>
  <c r="AB64" i="31"/>
  <c r="Y65" i="31"/>
  <c r="Z65" i="31"/>
  <c r="AA65" i="31"/>
  <c r="AB65" i="31"/>
  <c r="Y66" i="31"/>
  <c r="Z66" i="31"/>
  <c r="AA66" i="31"/>
  <c r="AB66" i="31"/>
  <c r="Y67" i="31"/>
  <c r="Z67" i="31"/>
  <c r="AA67" i="31"/>
  <c r="AB67" i="31"/>
  <c r="Y68" i="31"/>
  <c r="Z68" i="31"/>
  <c r="AA68" i="31"/>
  <c r="AB68" i="31"/>
  <c r="Y69" i="31"/>
  <c r="Z69" i="31"/>
  <c r="AA69" i="31"/>
  <c r="AB69" i="31"/>
  <c r="Y70" i="31"/>
  <c r="Z70" i="31"/>
  <c r="AA70" i="31"/>
  <c r="AB70" i="31"/>
  <c r="Y71" i="31"/>
  <c r="Z71" i="31"/>
  <c r="AA71" i="31"/>
  <c r="AB71" i="31"/>
  <c r="Y72" i="31"/>
  <c r="Z72" i="31"/>
  <c r="AA72" i="31"/>
  <c r="AB72" i="31"/>
  <c r="Y73" i="31"/>
  <c r="Z73" i="31"/>
  <c r="AA73" i="31"/>
  <c r="AB73" i="31"/>
  <c r="Y74" i="31"/>
  <c r="Z74" i="31"/>
  <c r="AA74" i="31"/>
  <c r="AB74" i="31"/>
  <c r="Y75" i="31"/>
  <c r="Z75" i="31"/>
  <c r="AA75" i="31"/>
  <c r="AB75" i="31"/>
  <c r="Y76" i="31"/>
  <c r="Z76" i="31"/>
  <c r="AA76" i="31"/>
  <c r="AB76" i="31"/>
  <c r="Y77" i="31"/>
  <c r="Z77" i="31"/>
  <c r="AA77" i="31"/>
  <c r="AB77" i="31"/>
  <c r="Y78" i="31"/>
  <c r="Z78" i="31"/>
  <c r="AA78" i="31"/>
  <c r="AB78" i="31"/>
  <c r="Y79" i="31"/>
  <c r="Z79" i="31"/>
  <c r="AA79" i="31"/>
  <c r="AB79" i="31"/>
  <c r="Y80" i="31"/>
  <c r="Z80" i="31"/>
  <c r="AA80" i="31"/>
  <c r="AB80" i="31"/>
  <c r="Y81" i="31"/>
  <c r="Z81" i="31"/>
  <c r="AA81" i="31"/>
  <c r="AB81" i="31"/>
  <c r="Y82" i="31"/>
  <c r="Z82" i="31"/>
  <c r="AA82" i="31"/>
  <c r="AB82" i="31"/>
  <c r="Y83" i="31"/>
  <c r="Z83" i="31"/>
  <c r="AA83" i="31"/>
  <c r="AB83" i="31"/>
  <c r="Y84" i="31"/>
  <c r="Z84" i="31"/>
  <c r="AA84" i="31"/>
  <c r="AB84" i="31"/>
  <c r="Y85" i="31"/>
  <c r="Z85" i="31"/>
  <c r="AA85" i="31"/>
  <c r="AB85" i="31"/>
  <c r="Y86" i="31"/>
  <c r="Z86" i="31"/>
  <c r="AA86" i="31"/>
  <c r="AB86" i="31"/>
  <c r="Y87" i="31"/>
  <c r="Z87" i="31"/>
  <c r="AA87" i="31"/>
  <c r="AB87" i="31"/>
  <c r="Y88" i="31"/>
  <c r="Z88" i="31"/>
  <c r="AA88" i="31"/>
  <c r="AB88" i="31"/>
  <c r="Y89" i="31"/>
  <c r="Z89" i="31"/>
  <c r="AA89" i="31"/>
  <c r="AB89" i="31"/>
  <c r="Y90" i="31"/>
  <c r="Z90" i="31"/>
  <c r="AA90" i="31"/>
  <c r="AB90" i="31"/>
  <c r="Y91" i="31"/>
  <c r="Z91" i="31"/>
  <c r="AA91" i="31"/>
  <c r="AB91" i="31"/>
  <c r="Y92" i="31"/>
  <c r="Z92" i="31"/>
  <c r="AA92" i="31"/>
  <c r="AB92" i="31"/>
  <c r="Y93" i="31"/>
  <c r="Z93" i="31"/>
  <c r="AA93" i="31"/>
  <c r="AB93" i="31"/>
  <c r="Y94" i="31"/>
  <c r="Z94" i="31"/>
  <c r="AA94" i="31"/>
  <c r="AB94" i="31"/>
  <c r="Y95" i="31"/>
  <c r="Z95" i="31"/>
  <c r="AA95" i="31"/>
  <c r="AB95" i="31"/>
  <c r="Y96" i="31"/>
  <c r="Z96" i="31"/>
  <c r="AA96" i="31"/>
  <c r="AB96" i="31"/>
  <c r="Y97" i="31"/>
  <c r="Z97" i="31"/>
  <c r="AA97" i="31"/>
  <c r="AB97" i="31"/>
  <c r="Y98" i="31"/>
  <c r="Z98" i="31"/>
  <c r="AA98" i="31"/>
  <c r="AB98" i="31"/>
  <c r="Y99" i="31"/>
  <c r="Z99" i="31"/>
  <c r="AA99" i="31"/>
  <c r="AB99" i="31"/>
  <c r="Y100" i="31"/>
  <c r="Z100" i="31"/>
  <c r="AA100" i="31"/>
  <c r="AB100" i="31"/>
  <c r="Y101" i="31"/>
  <c r="Z101" i="31"/>
  <c r="AA101" i="31"/>
  <c r="AB101" i="31"/>
  <c r="Y102" i="31"/>
  <c r="Z102" i="31"/>
  <c r="AA102" i="31"/>
  <c r="AB102" i="31"/>
  <c r="Y103" i="31"/>
  <c r="Z103" i="31"/>
  <c r="AA103" i="31"/>
  <c r="AB103" i="31"/>
  <c r="Y104" i="31"/>
  <c r="Z104" i="31"/>
  <c r="AA104" i="31"/>
  <c r="AB104" i="31"/>
  <c r="Y105" i="31"/>
  <c r="Z105" i="31"/>
  <c r="AA105" i="31"/>
  <c r="AB105" i="31"/>
  <c r="Y106" i="31"/>
  <c r="Z106" i="31"/>
  <c r="AA106" i="31"/>
  <c r="AB106" i="31"/>
  <c r="Y107" i="31"/>
  <c r="Z107" i="31"/>
  <c r="AA107" i="31"/>
  <c r="AB107" i="31"/>
  <c r="Y108" i="31"/>
  <c r="Z108" i="31"/>
  <c r="AA108" i="31"/>
  <c r="AB108" i="31"/>
  <c r="Y109" i="31"/>
  <c r="Z109" i="31"/>
  <c r="AA109" i="31"/>
  <c r="AB109" i="31"/>
  <c r="Y110" i="31"/>
  <c r="Z110" i="31"/>
  <c r="AA110" i="31"/>
  <c r="AB110" i="31"/>
  <c r="Y111" i="31"/>
  <c r="Z111" i="31"/>
  <c r="AA111" i="31"/>
  <c r="AB111" i="31"/>
  <c r="Y112" i="31"/>
  <c r="Z112" i="31"/>
  <c r="AA112" i="31"/>
  <c r="AB112" i="31"/>
  <c r="Y113" i="31"/>
  <c r="Z113" i="31"/>
  <c r="AA113" i="31"/>
  <c r="AB113" i="31"/>
  <c r="Y114" i="31"/>
  <c r="Z114" i="31"/>
  <c r="AA114" i="31"/>
  <c r="AB114" i="31"/>
  <c r="Y115" i="31"/>
  <c r="Z115" i="31"/>
  <c r="AA115" i="31"/>
  <c r="AB115" i="31"/>
  <c r="Y116" i="31"/>
  <c r="Z116" i="31"/>
  <c r="AA116" i="31"/>
  <c r="AB116" i="31"/>
  <c r="Y117" i="31"/>
  <c r="Z117" i="31"/>
  <c r="AA117" i="31"/>
  <c r="AB117" i="31"/>
  <c r="Y118" i="31"/>
  <c r="Z118" i="31"/>
  <c r="AA118" i="31"/>
  <c r="AB118" i="31"/>
  <c r="Y119" i="31"/>
  <c r="Z119" i="31"/>
  <c r="AA119" i="31"/>
  <c r="AB119" i="31"/>
  <c r="Y120" i="31"/>
  <c r="Z120" i="31"/>
  <c r="AA120" i="31"/>
  <c r="AB120" i="31"/>
  <c r="Y121" i="31"/>
  <c r="Z121" i="31"/>
  <c r="AA121" i="31"/>
  <c r="AB121" i="31"/>
  <c r="Y122" i="31"/>
  <c r="Z122" i="31"/>
  <c r="AA122" i="31"/>
  <c r="AB122" i="31"/>
  <c r="Y123" i="31"/>
  <c r="Z123" i="31"/>
  <c r="AA123" i="31"/>
  <c r="AB123" i="31"/>
  <c r="Y124" i="31"/>
  <c r="Z124" i="31"/>
  <c r="AA124" i="31"/>
  <c r="AB124" i="31"/>
  <c r="Y125" i="31"/>
  <c r="Z125" i="31"/>
  <c r="AA125" i="31"/>
  <c r="AB125" i="31"/>
  <c r="Y126" i="31"/>
  <c r="Z126" i="31"/>
  <c r="AA126" i="31"/>
  <c r="AB126" i="31"/>
  <c r="Y127" i="31"/>
  <c r="Z127" i="31"/>
  <c r="AA127" i="31"/>
  <c r="AB127" i="31"/>
  <c r="Y128" i="31"/>
  <c r="Z128" i="31"/>
  <c r="AA128" i="31"/>
  <c r="AB128" i="31"/>
  <c r="Y129" i="31"/>
  <c r="Z129" i="31"/>
  <c r="AA129" i="31"/>
  <c r="AB129" i="31"/>
  <c r="Y130" i="31"/>
  <c r="Z130" i="31"/>
  <c r="AA130" i="31"/>
  <c r="AB130" i="31"/>
  <c r="Y131" i="31"/>
  <c r="Z131" i="31"/>
  <c r="AA131" i="31"/>
  <c r="AB131" i="31"/>
  <c r="Y132" i="31"/>
  <c r="Z132" i="31"/>
  <c r="AA132" i="31"/>
  <c r="AB132" i="31"/>
  <c r="Y133" i="31"/>
  <c r="Z133" i="31"/>
  <c r="AA133" i="31"/>
  <c r="AB133" i="31"/>
  <c r="Y134" i="31"/>
  <c r="Z134" i="31"/>
  <c r="AA134" i="31"/>
  <c r="AB134" i="31"/>
  <c r="Y135" i="31"/>
  <c r="Z135" i="31"/>
  <c r="AA135" i="31"/>
  <c r="AB135" i="31"/>
  <c r="Y136" i="31"/>
  <c r="Z136" i="31"/>
  <c r="AA136" i="31"/>
  <c r="AB136" i="31"/>
  <c r="Y137" i="31"/>
  <c r="Z137" i="31"/>
  <c r="AA137" i="31"/>
  <c r="AB137" i="31"/>
  <c r="Y138" i="31"/>
  <c r="Z138" i="31"/>
  <c r="AA138" i="31"/>
  <c r="AB138" i="31"/>
  <c r="Y139" i="31"/>
  <c r="Z139" i="31"/>
  <c r="AA139" i="31"/>
  <c r="AB139" i="31"/>
  <c r="Y140" i="31"/>
  <c r="Z140" i="31"/>
  <c r="AA140" i="31"/>
  <c r="AB140" i="31"/>
  <c r="Y141" i="31"/>
  <c r="Z141" i="31"/>
  <c r="AA141" i="31"/>
  <c r="AB141" i="31"/>
  <c r="Y142" i="31"/>
  <c r="Z142" i="31"/>
  <c r="AA142" i="31"/>
  <c r="AB142" i="31"/>
  <c r="Y143" i="31"/>
  <c r="Z143" i="31"/>
  <c r="AA143" i="31"/>
  <c r="AB143" i="31"/>
  <c r="Y144" i="31"/>
  <c r="Z144" i="31"/>
  <c r="AA144" i="31"/>
  <c r="AB144" i="31"/>
  <c r="Y145" i="31"/>
  <c r="Z145" i="31"/>
  <c r="AA145" i="31"/>
  <c r="AB145" i="31"/>
  <c r="Y146" i="31"/>
  <c r="Z146" i="31"/>
  <c r="AA146" i="31"/>
  <c r="AB146" i="31"/>
  <c r="Y147" i="31"/>
  <c r="Z147" i="31"/>
  <c r="AA147" i="31"/>
  <c r="AB147" i="31"/>
  <c r="Y148" i="31"/>
  <c r="Z148" i="31"/>
  <c r="AA148" i="31"/>
  <c r="AB148" i="31"/>
  <c r="Y149" i="31"/>
  <c r="Z149" i="31"/>
  <c r="AA149" i="31"/>
  <c r="AB149" i="31"/>
  <c r="Y150" i="31"/>
  <c r="Z150" i="31"/>
  <c r="AA150" i="31"/>
  <c r="AB150" i="31"/>
  <c r="Y151" i="31"/>
  <c r="Z151" i="31"/>
  <c r="AA151" i="31"/>
  <c r="AB151" i="31"/>
  <c r="Y152" i="31"/>
  <c r="Z152" i="31"/>
  <c r="AA152" i="31"/>
  <c r="AB152" i="31"/>
  <c r="Y153" i="31"/>
  <c r="Z153" i="31"/>
  <c r="AA153" i="31"/>
  <c r="AB153" i="31"/>
  <c r="Y154" i="31"/>
  <c r="Z154" i="31"/>
  <c r="AA154" i="31"/>
  <c r="AB154" i="31"/>
  <c r="Y155" i="31"/>
  <c r="Z155" i="31"/>
  <c r="AA155" i="31"/>
  <c r="AB155" i="31"/>
  <c r="Y156" i="31"/>
  <c r="Z156" i="31"/>
  <c r="AA156" i="31"/>
  <c r="AB156" i="31"/>
  <c r="Y157" i="31"/>
  <c r="Z157" i="31"/>
  <c r="AA157" i="31"/>
  <c r="AB157" i="31"/>
  <c r="Y158" i="31"/>
  <c r="Z158" i="31"/>
  <c r="AA158" i="31"/>
  <c r="AB158" i="31"/>
  <c r="Y159" i="31"/>
  <c r="Z159" i="31"/>
  <c r="AA159" i="31"/>
  <c r="AB159" i="31"/>
  <c r="Y160" i="31"/>
  <c r="Z160" i="31"/>
  <c r="AA160" i="31"/>
  <c r="AB160" i="31"/>
  <c r="Y161" i="31"/>
  <c r="Z161" i="31"/>
  <c r="AA161" i="31"/>
  <c r="AB161" i="31"/>
  <c r="Y163" i="31"/>
  <c r="Z163" i="31"/>
  <c r="AA163" i="31"/>
  <c r="AB163" i="31"/>
  <c r="Y164" i="31"/>
  <c r="Z164" i="31"/>
  <c r="AA164" i="31"/>
  <c r="AB164" i="31"/>
  <c r="Y165" i="31"/>
  <c r="Z165" i="31"/>
  <c r="AA165" i="31"/>
  <c r="AB165" i="31"/>
  <c r="Y166" i="31"/>
  <c r="Z166" i="31"/>
  <c r="AA166" i="31"/>
  <c r="AB166" i="31"/>
  <c r="Y167" i="31"/>
  <c r="Z167" i="31"/>
  <c r="AA167" i="31"/>
  <c r="AB167" i="31"/>
  <c r="Y168" i="31"/>
  <c r="Z168" i="31"/>
  <c r="AA168" i="31"/>
  <c r="AB168" i="31"/>
  <c r="Y169" i="31"/>
  <c r="Z169" i="31"/>
  <c r="AA169" i="31"/>
  <c r="AB169" i="31"/>
  <c r="Y170" i="31"/>
  <c r="Z170" i="31"/>
  <c r="AA170" i="31"/>
  <c r="AB170" i="31"/>
  <c r="Y171" i="31"/>
  <c r="Z171" i="31"/>
  <c r="AA171" i="31"/>
  <c r="AB171" i="31"/>
  <c r="Y172" i="31"/>
  <c r="Z172" i="31"/>
  <c r="AA172" i="31"/>
  <c r="AB172" i="31"/>
  <c r="Y173" i="31"/>
  <c r="Z173" i="31"/>
  <c r="AA173" i="31"/>
  <c r="AB173" i="31"/>
  <c r="Y174" i="31"/>
  <c r="Z174" i="31"/>
  <c r="AA174" i="31"/>
  <c r="AB174" i="31"/>
  <c r="Y175" i="31"/>
  <c r="Z175" i="31"/>
  <c r="AA175" i="31"/>
  <c r="AB175" i="31"/>
  <c r="Y176" i="31"/>
  <c r="Z176" i="31"/>
  <c r="AA176" i="31"/>
  <c r="AB176" i="31"/>
  <c r="Y177" i="31"/>
  <c r="Z177" i="31"/>
  <c r="AA177" i="31"/>
  <c r="AB177" i="31"/>
  <c r="Y178" i="31"/>
  <c r="Z178" i="31"/>
  <c r="AA178" i="31"/>
  <c r="AB178" i="31"/>
  <c r="Y179" i="31"/>
  <c r="Z179" i="31"/>
  <c r="AA179" i="31"/>
  <c r="AB179" i="31"/>
  <c r="Y180" i="31"/>
  <c r="Z180" i="31"/>
  <c r="AA180" i="31"/>
  <c r="AB180" i="31"/>
  <c r="Y181" i="31"/>
  <c r="Z181" i="31"/>
  <c r="AA181" i="31"/>
  <c r="AB181" i="31"/>
  <c r="Y182" i="31"/>
  <c r="Z182" i="31"/>
  <c r="AA182" i="31"/>
  <c r="AB182" i="31"/>
  <c r="Y183" i="31"/>
  <c r="Z183" i="31"/>
  <c r="AA183" i="31"/>
  <c r="AB183" i="31"/>
  <c r="Y184" i="31"/>
  <c r="Z184" i="31"/>
  <c r="AA184" i="31"/>
  <c r="AB184" i="31"/>
  <c r="Y185" i="31"/>
  <c r="Z185" i="31"/>
  <c r="AA185" i="31"/>
  <c r="AB185" i="31"/>
  <c r="Y186" i="31"/>
  <c r="Z186" i="31"/>
  <c r="AA186" i="31"/>
  <c r="AB186" i="31"/>
  <c r="Y187" i="31"/>
  <c r="Z187" i="31"/>
  <c r="AA187" i="31"/>
  <c r="AB187" i="31"/>
  <c r="Y188" i="31"/>
  <c r="Z188" i="31"/>
  <c r="AA188" i="31"/>
  <c r="AB188" i="31"/>
  <c r="Y189" i="31"/>
  <c r="Z189" i="31"/>
  <c r="AA189" i="31"/>
  <c r="AB189" i="31"/>
  <c r="Y190" i="31"/>
  <c r="Z190" i="31"/>
  <c r="AA190" i="31"/>
  <c r="AB190" i="31"/>
  <c r="Y191" i="31"/>
  <c r="Z191" i="31"/>
  <c r="AA191" i="31"/>
  <c r="AB191" i="31"/>
  <c r="Y192" i="31"/>
  <c r="Z192" i="31"/>
  <c r="AA192" i="31"/>
  <c r="AB192" i="31"/>
  <c r="Y193" i="31"/>
  <c r="Z193" i="31"/>
  <c r="AA193" i="31"/>
  <c r="AB193" i="31"/>
  <c r="Y194" i="31"/>
  <c r="Z194" i="31"/>
  <c r="AA194" i="31"/>
  <c r="AB194" i="31"/>
  <c r="Y195" i="31"/>
  <c r="Z195" i="31"/>
  <c r="AA195" i="31"/>
  <c r="AB195" i="31"/>
  <c r="Y196" i="31"/>
  <c r="Z196" i="31"/>
  <c r="AA196" i="31"/>
  <c r="AB196" i="31"/>
  <c r="Y197" i="31"/>
  <c r="Z197" i="31"/>
  <c r="AA197" i="31"/>
  <c r="AB197" i="31"/>
  <c r="Y198" i="31"/>
  <c r="Z198" i="31"/>
  <c r="AA198" i="31"/>
  <c r="AB198" i="31"/>
  <c r="Y199" i="31"/>
  <c r="Z199" i="31"/>
  <c r="AA199" i="31"/>
  <c r="AB199" i="31"/>
  <c r="Y200" i="31"/>
  <c r="Z200" i="31"/>
  <c r="AA200" i="31"/>
  <c r="AB200" i="31"/>
  <c r="Y201" i="31"/>
  <c r="Z201" i="31"/>
  <c r="AA201" i="31"/>
  <c r="AB201" i="31"/>
  <c r="Y202" i="31"/>
  <c r="Z202" i="31"/>
  <c r="AA202" i="31"/>
  <c r="AB202" i="31"/>
  <c r="Y203" i="31"/>
  <c r="Z203" i="31"/>
  <c r="AA203" i="31"/>
  <c r="AB203" i="31"/>
  <c r="Y204" i="31"/>
  <c r="Z204" i="31"/>
  <c r="AA204" i="31"/>
  <c r="AB204" i="31"/>
  <c r="Y205" i="31"/>
  <c r="Z205" i="31"/>
  <c r="AA205" i="31"/>
  <c r="AB205" i="31"/>
  <c r="Y206" i="31"/>
  <c r="Z206" i="31"/>
  <c r="AA206" i="31"/>
  <c r="AB206" i="31"/>
  <c r="Y207" i="31"/>
  <c r="Z207" i="31"/>
  <c r="AA207" i="31"/>
  <c r="AB207" i="31"/>
  <c r="Y208" i="31"/>
  <c r="Z208" i="31"/>
  <c r="AA208" i="31"/>
  <c r="AB208" i="31"/>
  <c r="Y209" i="31"/>
  <c r="Z209" i="31"/>
  <c r="AA209" i="31"/>
  <c r="AB209" i="31"/>
  <c r="Y210" i="31"/>
  <c r="Z210" i="31"/>
  <c r="AA210" i="31"/>
  <c r="AB210" i="31"/>
  <c r="Y211" i="31"/>
  <c r="Z211" i="31"/>
  <c r="AA211" i="31"/>
  <c r="AB211" i="31"/>
  <c r="Y212" i="31"/>
  <c r="Z212" i="31"/>
  <c r="AA212" i="31"/>
  <c r="AB212" i="31"/>
  <c r="Y213" i="31"/>
  <c r="Z213" i="31"/>
  <c r="AA213" i="31"/>
  <c r="AB213" i="31"/>
  <c r="Y214" i="31"/>
  <c r="Z214" i="31"/>
  <c r="AA214" i="31"/>
  <c r="AB214" i="31"/>
  <c r="Y215" i="31"/>
  <c r="Z215" i="31"/>
  <c r="AA215" i="31"/>
  <c r="AB215" i="31"/>
  <c r="Y216" i="31"/>
  <c r="Z216" i="31"/>
  <c r="AA216" i="31"/>
  <c r="AB216" i="31"/>
  <c r="Y217" i="31"/>
  <c r="Z217" i="31"/>
  <c r="AA217" i="31"/>
  <c r="AB217" i="31"/>
  <c r="Y218" i="31"/>
  <c r="Z218" i="31"/>
  <c r="AA218" i="31"/>
  <c r="AB218" i="31"/>
  <c r="Y219" i="31"/>
  <c r="Z219" i="31"/>
  <c r="AA219" i="31"/>
  <c r="AB219" i="31"/>
  <c r="Y220" i="31"/>
  <c r="Z220" i="31"/>
  <c r="AA220" i="31"/>
  <c r="AB220" i="31"/>
  <c r="Y221" i="31"/>
  <c r="Z221" i="31"/>
  <c r="AA221" i="31"/>
  <c r="AB221" i="31"/>
  <c r="Y222" i="31"/>
  <c r="Z222" i="31"/>
  <c r="AA222" i="31"/>
  <c r="AB222" i="31"/>
  <c r="Y223" i="31"/>
  <c r="Z223" i="31"/>
  <c r="AA223" i="31"/>
  <c r="AB223" i="31"/>
  <c r="Y224" i="31"/>
  <c r="Z224" i="31"/>
  <c r="AA224" i="31"/>
  <c r="AB224" i="31"/>
  <c r="Y225" i="31"/>
  <c r="Z225" i="31"/>
  <c r="AA225" i="31"/>
  <c r="AB225" i="31"/>
  <c r="Y226" i="31"/>
  <c r="Z226" i="31"/>
  <c r="AA226" i="31"/>
  <c r="AB226" i="31"/>
  <c r="Y227" i="31"/>
  <c r="Z227" i="31"/>
  <c r="AA227" i="31"/>
  <c r="AB227" i="31"/>
  <c r="Y228" i="31"/>
  <c r="Z228" i="31"/>
  <c r="AA228" i="31"/>
  <c r="AB228" i="31"/>
  <c r="Y229" i="31"/>
  <c r="Z229" i="31"/>
  <c r="AA229" i="31"/>
  <c r="AB229" i="31"/>
  <c r="Y230" i="31"/>
  <c r="Z230" i="31"/>
  <c r="AA230" i="31"/>
  <c r="AB230" i="31"/>
  <c r="Y231" i="31"/>
  <c r="Z231" i="31"/>
  <c r="AA231" i="31"/>
  <c r="AB231" i="31"/>
  <c r="Y232" i="31"/>
  <c r="Z232" i="31"/>
  <c r="AA232" i="31"/>
  <c r="AB232" i="31"/>
  <c r="Y233" i="31"/>
  <c r="Z233" i="31"/>
  <c r="AA233" i="31"/>
  <c r="AB233" i="31"/>
  <c r="Y234" i="31"/>
  <c r="Z234" i="31"/>
  <c r="AA234" i="31"/>
  <c r="AB234" i="31"/>
  <c r="Y235" i="31"/>
  <c r="Z235" i="31"/>
  <c r="AA235" i="31"/>
  <c r="AB235" i="31"/>
  <c r="Y236" i="31"/>
  <c r="Z236" i="31"/>
  <c r="AA236" i="31"/>
  <c r="AB236" i="31"/>
  <c r="Y237" i="31"/>
  <c r="Z237" i="31"/>
  <c r="AA237" i="31"/>
  <c r="AB237" i="31"/>
  <c r="Y238" i="31"/>
  <c r="Z238" i="31"/>
  <c r="AA238" i="31"/>
  <c r="AB238" i="31"/>
  <c r="Y239" i="31"/>
  <c r="Z239" i="31"/>
  <c r="AA239" i="31"/>
  <c r="AB239" i="31"/>
  <c r="Y240" i="31"/>
  <c r="Z240" i="31"/>
  <c r="AA240" i="31"/>
  <c r="AB240" i="31"/>
  <c r="Y241" i="31"/>
  <c r="Z241" i="31"/>
  <c r="AA241" i="31"/>
  <c r="AB241" i="31"/>
  <c r="Y242" i="31"/>
  <c r="Z242" i="31"/>
  <c r="AA242" i="31"/>
  <c r="AB242" i="31"/>
  <c r="Y243" i="31"/>
  <c r="Z243" i="31"/>
  <c r="AA243" i="31"/>
  <c r="AB243" i="31"/>
  <c r="Y244" i="31"/>
  <c r="Z244" i="31"/>
  <c r="AA244" i="31"/>
  <c r="AB244" i="31"/>
  <c r="Y245" i="31"/>
  <c r="Z245" i="31"/>
  <c r="AA245" i="31"/>
  <c r="AB245" i="31"/>
  <c r="Y246" i="31"/>
  <c r="Z246" i="31"/>
  <c r="AA246" i="31"/>
  <c r="AB246" i="31"/>
  <c r="Y247" i="31"/>
  <c r="Z247" i="31"/>
  <c r="AA247" i="31"/>
  <c r="AB247" i="31"/>
  <c r="Y248" i="31"/>
  <c r="Z248" i="31"/>
  <c r="AA248" i="31"/>
  <c r="AB248" i="31"/>
  <c r="Y249" i="31"/>
  <c r="Z249" i="31"/>
  <c r="AA249" i="31"/>
  <c r="AB249" i="31"/>
  <c r="Y250" i="31"/>
  <c r="Z250" i="31"/>
  <c r="AA250" i="31"/>
  <c r="AB250" i="31"/>
  <c r="Y251" i="31"/>
  <c r="Z251" i="31"/>
  <c r="AA251" i="31"/>
  <c r="AB251" i="31"/>
  <c r="Y252" i="31"/>
  <c r="Z252" i="31"/>
  <c r="AA252" i="31"/>
  <c r="AB252" i="31"/>
  <c r="Y253" i="31"/>
  <c r="Z253" i="31"/>
  <c r="AA253" i="31"/>
  <c r="AB253" i="31"/>
  <c r="Y254" i="31"/>
  <c r="Z254" i="31"/>
  <c r="AA254" i="31"/>
  <c r="AB254" i="31"/>
  <c r="Y255" i="31"/>
  <c r="Z255" i="31"/>
  <c r="AA255" i="31"/>
  <c r="AB255" i="31"/>
  <c r="Y256" i="31"/>
  <c r="Z256" i="31"/>
  <c r="AA256" i="31"/>
  <c r="AB256" i="31"/>
  <c r="Y257" i="31"/>
  <c r="Z257" i="31"/>
  <c r="AA257" i="31"/>
  <c r="AB257" i="31"/>
  <c r="Y258" i="31"/>
  <c r="Z258" i="31"/>
  <c r="AA258" i="31"/>
  <c r="AB258" i="31"/>
  <c r="Y259" i="31"/>
  <c r="Z259" i="31"/>
  <c r="AA259" i="31"/>
  <c r="AB259" i="31"/>
  <c r="Y260" i="31"/>
  <c r="Z260" i="31"/>
  <c r="AA260" i="31"/>
  <c r="AB260" i="31"/>
  <c r="Y261" i="31"/>
  <c r="Z261" i="31"/>
  <c r="AA261" i="31"/>
  <c r="AB261" i="31"/>
  <c r="Y262" i="31"/>
  <c r="Z262" i="31"/>
  <c r="AA262" i="31"/>
  <c r="AB262" i="31"/>
  <c r="Y263" i="31"/>
  <c r="Z263" i="31"/>
  <c r="AA263" i="31"/>
  <c r="AB263" i="31"/>
  <c r="Y264" i="31"/>
  <c r="Z264" i="31"/>
  <c r="AA264" i="31"/>
  <c r="AB264" i="31"/>
  <c r="Y265" i="31"/>
  <c r="Z265" i="31"/>
  <c r="AA265" i="31"/>
  <c r="AB265" i="31"/>
  <c r="Y266" i="31"/>
  <c r="Z266" i="31"/>
  <c r="AA266" i="31"/>
  <c r="AB266" i="31"/>
  <c r="Y267" i="31"/>
  <c r="Z267" i="31"/>
  <c r="AA267" i="31"/>
  <c r="AB267" i="31"/>
  <c r="Y268" i="31"/>
  <c r="Z268" i="31"/>
  <c r="AA268" i="31"/>
  <c r="AB268" i="31"/>
  <c r="Y269" i="31"/>
  <c r="Z269" i="31"/>
  <c r="AA269" i="31"/>
  <c r="AB269" i="31"/>
  <c r="Y270" i="31"/>
  <c r="Z270" i="31"/>
  <c r="AA270" i="31"/>
  <c r="AB270" i="31"/>
  <c r="Y271" i="31"/>
  <c r="Z271" i="31"/>
  <c r="AA271" i="31"/>
  <c r="AB271" i="31"/>
  <c r="Y272" i="31"/>
  <c r="Z272" i="31"/>
  <c r="AA272" i="31"/>
  <c r="AB272" i="31"/>
  <c r="Y273" i="31"/>
  <c r="Z273" i="31"/>
  <c r="AA273" i="31"/>
  <c r="AB273" i="31"/>
  <c r="Y274" i="31"/>
  <c r="Z274" i="31"/>
  <c r="AA274" i="31"/>
  <c r="AB274" i="31"/>
  <c r="Y275" i="31"/>
  <c r="Z275" i="31"/>
  <c r="AA275" i="31"/>
  <c r="AB275" i="31"/>
  <c r="Y276" i="31"/>
  <c r="Z276" i="31"/>
  <c r="AA276" i="31"/>
  <c r="AB276" i="31"/>
  <c r="Y277" i="31"/>
  <c r="Z277" i="31"/>
  <c r="AA277" i="31"/>
  <c r="AB277" i="31"/>
  <c r="Y278" i="31"/>
  <c r="Z278" i="31"/>
  <c r="AA278" i="31"/>
  <c r="AB278" i="31"/>
  <c r="Y279" i="31"/>
  <c r="Z279" i="31"/>
  <c r="AA279" i="31"/>
  <c r="AB279" i="31"/>
  <c r="Y280" i="31"/>
  <c r="Z280" i="31"/>
  <c r="AA280" i="31"/>
  <c r="AB280" i="31"/>
  <c r="Y281" i="31"/>
  <c r="Z281" i="31"/>
  <c r="AA281" i="31"/>
  <c r="AB281" i="31"/>
  <c r="Y282" i="31"/>
  <c r="Z282" i="31"/>
  <c r="AA282" i="31"/>
  <c r="AB282" i="31"/>
  <c r="Y283" i="31"/>
  <c r="Z283" i="31"/>
  <c r="AA283" i="31"/>
  <c r="AB283" i="31"/>
  <c r="Y284" i="31"/>
  <c r="Z284" i="31"/>
  <c r="AA284" i="31"/>
  <c r="AB284" i="31"/>
  <c r="Y285" i="31"/>
  <c r="Z285" i="31"/>
  <c r="AA285" i="31"/>
  <c r="AB285" i="31"/>
  <c r="Y286" i="31"/>
  <c r="Z286" i="31"/>
  <c r="AA286" i="31"/>
  <c r="AB286" i="31"/>
  <c r="Y287" i="31"/>
  <c r="Z287" i="31"/>
  <c r="AA287" i="31"/>
  <c r="AB287" i="31"/>
  <c r="Y288" i="31"/>
  <c r="Z288" i="31"/>
  <c r="AA288" i="31"/>
  <c r="AB288" i="31"/>
  <c r="Y289" i="31"/>
  <c r="Z289" i="31"/>
  <c r="AA289" i="31"/>
  <c r="AB289" i="31"/>
  <c r="Y290" i="31"/>
  <c r="Z290" i="31"/>
  <c r="AA290" i="31"/>
  <c r="AB290" i="31"/>
  <c r="Y291" i="31"/>
  <c r="Z291" i="31"/>
  <c r="AA291" i="31"/>
  <c r="AB291" i="31"/>
  <c r="Y292" i="31"/>
  <c r="Z292" i="31"/>
  <c r="AA292" i="31"/>
  <c r="AB292" i="31"/>
  <c r="Y293" i="31"/>
  <c r="Z293" i="31"/>
  <c r="AA293" i="31"/>
  <c r="AB293" i="31"/>
  <c r="Y294" i="31"/>
  <c r="Z294" i="31"/>
  <c r="AA294" i="31"/>
  <c r="AB294" i="31"/>
  <c r="Y295" i="31"/>
  <c r="Z295" i="31"/>
  <c r="AA295" i="31"/>
  <c r="AB295" i="31"/>
  <c r="Y296" i="31"/>
  <c r="Z296" i="31"/>
  <c r="AA296" i="31"/>
  <c r="AB296" i="31"/>
  <c r="Y297" i="31"/>
  <c r="Z297" i="31"/>
  <c r="AA297" i="31"/>
  <c r="AB297" i="31"/>
  <c r="Y298" i="31"/>
  <c r="Z298" i="31"/>
  <c r="AA298" i="31"/>
  <c r="AB298" i="31"/>
  <c r="Y299" i="31"/>
  <c r="Z299" i="31"/>
  <c r="AA299" i="31"/>
  <c r="AB299" i="31"/>
  <c r="Y300" i="31"/>
  <c r="Z300" i="31"/>
  <c r="AA300" i="31"/>
  <c r="AB300" i="31"/>
  <c r="Y301" i="31"/>
  <c r="Z301" i="31"/>
  <c r="AA301" i="31"/>
  <c r="AB301" i="31"/>
  <c r="Y302" i="31"/>
  <c r="Z302" i="31"/>
  <c r="AA302" i="31"/>
  <c r="AB302" i="31"/>
  <c r="Y303" i="31"/>
  <c r="Z303" i="31"/>
  <c r="AA303" i="31"/>
  <c r="AB303" i="31"/>
  <c r="Y304" i="31"/>
  <c r="Z304" i="31"/>
  <c r="AA304" i="31"/>
  <c r="AB304" i="31"/>
  <c r="Y305" i="31"/>
  <c r="Z305" i="31"/>
  <c r="AA305" i="31"/>
  <c r="AB305" i="31"/>
  <c r="Y306" i="31"/>
  <c r="Z306" i="31"/>
  <c r="AA306" i="31"/>
  <c r="AB306" i="31"/>
  <c r="Y307" i="31"/>
  <c r="Z307" i="31"/>
  <c r="AA307" i="31"/>
  <c r="AB307" i="31"/>
  <c r="Y308" i="31"/>
  <c r="Z308" i="31"/>
  <c r="AA308" i="31"/>
  <c r="AB308" i="31"/>
  <c r="Y309" i="31"/>
  <c r="Z309" i="31"/>
  <c r="AA309" i="31"/>
  <c r="AB309" i="31"/>
  <c r="Y310" i="31"/>
  <c r="Z310" i="31"/>
  <c r="AA310" i="31"/>
  <c r="AB310" i="31"/>
  <c r="Y311" i="31"/>
  <c r="Z311" i="31"/>
  <c r="AA311" i="31"/>
  <c r="AB311" i="31"/>
  <c r="Y312" i="31"/>
  <c r="Z312" i="31"/>
  <c r="AA312" i="31"/>
  <c r="AB312" i="31"/>
  <c r="Y313" i="31"/>
  <c r="Z313" i="31"/>
  <c r="AA313" i="31"/>
  <c r="AB313" i="31"/>
  <c r="Y314" i="31"/>
  <c r="Z314" i="31"/>
  <c r="AA314" i="31"/>
  <c r="AB314" i="31"/>
  <c r="Y315" i="31"/>
  <c r="Z315" i="31"/>
  <c r="AA315" i="31"/>
  <c r="AB315" i="31"/>
  <c r="Y316" i="31"/>
  <c r="Z316" i="31"/>
  <c r="AA316" i="31"/>
  <c r="AB316" i="31"/>
  <c r="Y317" i="31"/>
  <c r="Z317" i="31"/>
  <c r="AA317" i="31"/>
  <c r="AB317" i="31"/>
  <c r="Y318" i="31"/>
  <c r="Z318" i="31"/>
  <c r="AA318" i="31"/>
  <c r="AB318" i="31"/>
  <c r="Y319" i="31"/>
  <c r="Z319" i="31"/>
  <c r="AA319" i="31"/>
  <c r="AB319" i="31"/>
  <c r="Y320" i="31"/>
  <c r="Z320" i="31"/>
  <c r="AA320" i="31"/>
  <c r="AB320" i="31"/>
  <c r="Y321" i="31"/>
  <c r="Z321" i="31"/>
  <c r="AA321" i="31"/>
  <c r="AB321" i="31"/>
  <c r="Y322" i="31"/>
  <c r="Z322" i="31"/>
  <c r="AA322" i="31"/>
  <c r="AB322" i="31"/>
  <c r="Y323" i="31"/>
  <c r="Z323" i="31"/>
  <c r="AA323" i="31"/>
  <c r="AB323" i="31"/>
  <c r="Y324" i="31"/>
  <c r="Z324" i="31"/>
  <c r="AA324" i="31"/>
  <c r="AB324" i="31"/>
  <c r="Y325" i="31"/>
  <c r="Z325" i="31"/>
  <c r="AA325" i="31"/>
  <c r="AB325" i="31"/>
  <c r="Y326" i="31"/>
  <c r="Z326" i="31"/>
  <c r="AA326" i="31"/>
  <c r="AB326" i="31"/>
  <c r="Y327" i="31"/>
  <c r="Z327" i="31"/>
  <c r="AA327" i="31"/>
  <c r="AB327" i="31"/>
  <c r="Y328" i="31"/>
  <c r="Z328" i="31"/>
  <c r="AA328" i="31"/>
  <c r="AB328" i="31"/>
  <c r="Y329" i="31"/>
  <c r="Z329" i="31"/>
  <c r="AA329" i="31"/>
  <c r="AB329" i="31"/>
  <c r="Y330" i="31"/>
  <c r="Z330" i="31"/>
  <c r="AA330" i="31"/>
  <c r="AB330" i="31"/>
  <c r="Y331" i="31"/>
  <c r="Z331" i="31"/>
  <c r="AA331" i="31"/>
  <c r="AB331" i="31"/>
  <c r="Y332" i="31"/>
  <c r="Z332" i="31"/>
  <c r="AA332" i="31"/>
  <c r="AB332" i="31"/>
  <c r="Y333" i="31"/>
  <c r="Z333" i="31"/>
  <c r="AA333" i="31"/>
  <c r="AB333" i="31"/>
  <c r="Y334" i="31"/>
  <c r="Z334" i="31"/>
  <c r="AA334" i="31"/>
  <c r="AB334" i="31"/>
  <c r="Y335" i="31"/>
  <c r="Z335" i="31"/>
  <c r="AA335" i="31"/>
  <c r="AB335" i="31"/>
  <c r="Y336" i="31"/>
  <c r="Z336" i="31"/>
  <c r="AA336" i="31"/>
  <c r="AB336" i="31"/>
  <c r="Y337" i="31"/>
  <c r="Z337" i="31"/>
  <c r="AA337" i="31"/>
  <c r="AB337" i="31"/>
  <c r="Y338" i="31"/>
  <c r="Z338" i="31"/>
  <c r="AA338" i="31"/>
  <c r="AB338" i="31"/>
  <c r="Y339" i="31"/>
  <c r="Z339" i="31"/>
  <c r="AA339" i="31"/>
  <c r="AB339" i="31"/>
  <c r="Y340" i="31"/>
  <c r="Z340" i="31"/>
  <c r="AA340" i="31"/>
  <c r="AB340" i="31"/>
  <c r="Y341" i="31"/>
  <c r="Z341" i="31"/>
  <c r="AA341" i="31"/>
  <c r="AB341" i="31"/>
  <c r="Y342" i="31"/>
  <c r="Z342" i="31"/>
  <c r="AA342" i="31"/>
  <c r="AB342" i="31"/>
  <c r="Y343" i="31"/>
  <c r="Z343" i="31"/>
  <c r="AA343" i="31"/>
  <c r="AB343" i="31"/>
  <c r="Y344" i="31"/>
  <c r="Z344" i="31"/>
  <c r="AA344" i="31"/>
  <c r="AB344" i="31"/>
  <c r="Y345" i="31"/>
  <c r="Z345" i="31"/>
  <c r="AA345" i="31"/>
  <c r="AB345" i="31"/>
  <c r="Y346" i="31"/>
  <c r="Z346" i="31"/>
  <c r="AA346" i="31"/>
  <c r="AB346" i="31"/>
  <c r="Y347" i="31"/>
  <c r="Z347" i="31"/>
  <c r="AA347" i="31"/>
  <c r="AB347" i="31"/>
  <c r="Y348" i="31"/>
  <c r="Z348" i="31"/>
  <c r="AA348" i="31"/>
  <c r="AB348" i="31"/>
  <c r="Y349" i="31"/>
  <c r="Z349" i="31"/>
  <c r="AA349" i="31"/>
  <c r="AB349" i="31"/>
  <c r="Y350" i="31"/>
  <c r="Z350" i="31"/>
  <c r="AA350" i="31"/>
  <c r="AB350" i="31"/>
  <c r="Y351" i="31"/>
  <c r="Z351" i="31"/>
  <c r="AA351" i="31"/>
  <c r="AB351" i="31"/>
  <c r="Y352" i="31"/>
  <c r="Z352" i="31"/>
  <c r="AA352" i="31"/>
  <c r="AB352" i="31"/>
  <c r="Y353" i="31"/>
  <c r="Z353" i="31"/>
  <c r="AA353" i="31"/>
  <c r="AB353" i="31"/>
  <c r="Y354" i="31"/>
  <c r="Z354" i="31"/>
  <c r="AA354" i="31"/>
  <c r="AB354" i="31"/>
  <c r="Y355" i="31"/>
  <c r="Z355" i="31"/>
  <c r="AA355" i="31"/>
  <c r="AB355" i="31"/>
  <c r="Y356" i="31"/>
  <c r="Z356" i="31"/>
  <c r="AA356" i="31"/>
  <c r="AB356" i="31"/>
  <c r="Y357" i="31"/>
  <c r="Z357" i="31"/>
  <c r="AA357" i="31"/>
  <c r="AB357" i="31"/>
  <c r="Y358" i="31"/>
  <c r="Z358" i="31"/>
  <c r="AA358" i="31"/>
  <c r="AB358" i="31"/>
  <c r="Y359" i="31"/>
  <c r="Z359" i="31"/>
  <c r="AA359" i="31"/>
  <c r="AB359" i="31"/>
  <c r="Y360" i="31"/>
  <c r="Z360" i="31"/>
  <c r="AA360" i="31"/>
  <c r="AB360" i="31"/>
  <c r="Y361" i="31"/>
  <c r="Z361" i="31"/>
  <c r="AA361" i="31"/>
  <c r="AB361" i="31"/>
  <c r="Y362" i="31"/>
  <c r="Z362" i="31"/>
  <c r="AA362" i="31"/>
  <c r="AB362" i="31"/>
  <c r="Y363" i="31"/>
  <c r="Z363" i="31"/>
  <c r="AA363" i="31"/>
  <c r="AB363" i="31"/>
  <c r="Y364" i="31"/>
  <c r="Z364" i="31"/>
  <c r="AA364" i="31"/>
  <c r="AB364" i="31"/>
  <c r="Y365" i="31"/>
  <c r="Z365" i="31"/>
  <c r="AA365" i="31"/>
  <c r="AB365" i="31"/>
  <c r="Y366" i="31"/>
  <c r="Z366" i="31"/>
  <c r="AA366" i="31"/>
  <c r="AB366" i="31"/>
  <c r="Y367" i="31"/>
  <c r="Z367" i="31"/>
  <c r="AA367" i="31"/>
  <c r="AB367" i="31"/>
  <c r="Y368" i="31"/>
  <c r="Z368" i="31"/>
  <c r="AA368" i="31"/>
  <c r="AB368" i="31"/>
  <c r="Y369" i="31"/>
  <c r="Z369" i="31"/>
  <c r="AA369" i="31"/>
  <c r="AB369" i="31"/>
  <c r="Y370" i="31"/>
  <c r="Z370" i="31"/>
  <c r="AA370" i="31"/>
  <c r="AB370" i="31"/>
  <c r="Y371" i="31"/>
  <c r="Z371" i="31"/>
  <c r="AA371" i="31"/>
  <c r="AB371" i="31"/>
  <c r="Y372" i="31"/>
  <c r="Z372" i="31"/>
  <c r="AA372" i="31"/>
  <c r="AB372" i="31"/>
  <c r="Y373" i="31"/>
  <c r="Z373" i="31"/>
  <c r="AA373" i="31"/>
  <c r="AB373" i="31"/>
  <c r="Y374" i="31"/>
  <c r="Z374" i="31"/>
  <c r="AA374" i="31"/>
  <c r="AB374" i="31"/>
  <c r="Y375" i="31"/>
  <c r="Z375" i="31"/>
  <c r="AA375" i="31"/>
  <c r="AB375" i="31"/>
  <c r="Y376" i="31"/>
  <c r="Z376" i="31"/>
  <c r="AA376" i="31"/>
  <c r="AB376" i="31"/>
  <c r="Y377" i="31"/>
  <c r="Z377" i="31"/>
  <c r="AA377" i="31"/>
  <c r="AB377" i="31"/>
  <c r="Y378" i="31"/>
  <c r="Z378" i="31"/>
  <c r="AA378" i="31"/>
  <c r="AB378" i="31"/>
  <c r="Y379" i="31"/>
  <c r="Z379" i="31"/>
  <c r="AA379" i="31"/>
  <c r="AB379" i="31"/>
  <c r="Y380" i="31"/>
  <c r="Z380" i="31"/>
  <c r="AA380" i="31"/>
  <c r="AB380" i="31"/>
  <c r="Y381" i="31"/>
  <c r="Z381" i="31"/>
  <c r="AA381" i="31"/>
  <c r="AB381" i="31"/>
  <c r="Y382" i="31"/>
  <c r="Z382" i="31"/>
  <c r="AA382" i="31"/>
  <c r="AB382" i="31"/>
  <c r="Y383" i="31"/>
  <c r="Z383" i="31"/>
  <c r="AA383" i="31"/>
  <c r="AB383" i="31"/>
  <c r="Y384" i="31"/>
  <c r="Z384" i="31"/>
  <c r="AA384" i="31"/>
  <c r="AB384" i="31"/>
  <c r="Y385" i="31"/>
  <c r="Z385" i="31"/>
  <c r="AA385" i="31"/>
  <c r="AB385" i="31"/>
  <c r="Y386" i="31"/>
  <c r="Z386" i="31"/>
  <c r="AA386" i="31"/>
  <c r="AB386" i="31"/>
  <c r="Y387" i="31"/>
  <c r="Z387" i="31"/>
  <c r="AA387" i="31"/>
  <c r="AB387" i="31"/>
  <c r="Y388" i="31"/>
  <c r="Z388" i="31"/>
  <c r="AA388" i="31"/>
  <c r="AB388" i="31"/>
  <c r="Y389" i="31"/>
  <c r="Z389" i="31"/>
  <c r="AA389" i="31"/>
  <c r="AB389" i="31"/>
  <c r="Y390" i="31"/>
  <c r="Z390" i="31"/>
  <c r="AA390" i="31"/>
  <c r="AB390" i="31"/>
  <c r="Y391" i="31"/>
  <c r="Z391" i="31"/>
  <c r="AA391" i="31"/>
  <c r="AB391" i="31"/>
  <c r="Y392" i="31"/>
  <c r="Z392" i="31"/>
  <c r="AA392" i="31"/>
  <c r="AB392" i="31"/>
  <c r="Y393" i="31"/>
  <c r="Z393" i="31"/>
  <c r="AA393" i="31"/>
  <c r="AB393" i="31"/>
  <c r="Y394" i="31"/>
  <c r="Z394" i="31"/>
  <c r="AA394" i="31"/>
  <c r="AB394" i="31"/>
  <c r="Y395" i="31"/>
  <c r="Z395" i="31"/>
  <c r="AA395" i="31"/>
  <c r="AB395" i="31"/>
  <c r="Y396" i="31"/>
  <c r="Z396" i="31"/>
  <c r="AA396" i="31"/>
  <c r="AB396" i="31"/>
  <c r="Y397" i="31"/>
  <c r="Z397" i="31"/>
  <c r="AA397" i="31"/>
  <c r="AB397" i="31"/>
  <c r="Y398" i="31"/>
  <c r="Z398" i="31"/>
  <c r="AA398" i="31"/>
  <c r="AB398" i="31"/>
  <c r="Y399" i="31"/>
  <c r="Z399" i="31"/>
  <c r="AA399" i="31"/>
  <c r="AB399" i="31"/>
  <c r="Y400" i="31"/>
  <c r="Z400" i="31"/>
  <c r="AA400" i="31"/>
  <c r="AB400" i="31"/>
  <c r="Y401" i="31"/>
  <c r="Z401" i="31"/>
  <c r="AA401" i="31"/>
  <c r="AB401" i="31"/>
  <c r="Z2" i="31"/>
  <c r="AA2" i="31"/>
  <c r="AB2" i="31"/>
  <c r="Y2" i="31"/>
  <c r="U149" i="31"/>
  <c r="L2" i="22" l="1"/>
  <c r="L3" i="22"/>
  <c r="F3" i="22"/>
  <c r="F2" i="22"/>
  <c r="Q2" i="31"/>
  <c r="R2" i="31"/>
  <c r="S2" i="31"/>
  <c r="T2" i="31"/>
  <c r="U2" i="31"/>
  <c r="V2" i="31"/>
  <c r="W2" i="31"/>
  <c r="X2" i="31"/>
  <c r="Q3" i="31"/>
  <c r="R3" i="31"/>
  <c r="S3" i="31"/>
  <c r="T3" i="31"/>
  <c r="U3" i="31"/>
  <c r="AD3" i="31" s="1"/>
  <c r="V3" i="31"/>
  <c r="W3" i="31"/>
  <c r="X3" i="31"/>
  <c r="AC3" i="31"/>
  <c r="Q4" i="31"/>
  <c r="R4" i="31"/>
  <c r="S4" i="31"/>
  <c r="T4" i="31"/>
  <c r="U4" i="31"/>
  <c r="V4" i="31"/>
  <c r="W4" i="31"/>
  <c r="X4" i="31"/>
  <c r="Q5" i="31"/>
  <c r="R5" i="31"/>
  <c r="S5" i="31"/>
  <c r="T5" i="31"/>
  <c r="U5" i="31"/>
  <c r="AD5" i="31" s="1"/>
  <c r="V5" i="31"/>
  <c r="W5" i="31"/>
  <c r="X5" i="31"/>
  <c r="AC5" i="31"/>
  <c r="Q6" i="31"/>
  <c r="R6" i="31"/>
  <c r="S6" i="31"/>
  <c r="T6" i="31"/>
  <c r="U6" i="31"/>
  <c r="V6" i="31"/>
  <c r="W6" i="31"/>
  <c r="X6" i="31"/>
  <c r="Q7" i="31"/>
  <c r="R7" i="31"/>
  <c r="S7" i="31"/>
  <c r="T7" i="31"/>
  <c r="U7" i="31"/>
  <c r="AD7" i="31" s="1"/>
  <c r="V7" i="31"/>
  <c r="W7" i="31"/>
  <c r="X7" i="31"/>
  <c r="AC7" i="31"/>
  <c r="Q8" i="31"/>
  <c r="R8" i="31"/>
  <c r="S8" i="31"/>
  <c r="T8" i="31"/>
  <c r="U8" i="31"/>
  <c r="V8" i="31"/>
  <c r="W8" i="31"/>
  <c r="X8" i="31"/>
  <c r="Q9" i="31"/>
  <c r="R9" i="31"/>
  <c r="S9" i="31"/>
  <c r="T9" i="31"/>
  <c r="U9" i="31"/>
  <c r="AD9" i="31" s="1"/>
  <c r="V9" i="31"/>
  <c r="W9" i="31"/>
  <c r="X9" i="31"/>
  <c r="AC9" i="31"/>
  <c r="Q10" i="31"/>
  <c r="R10" i="31"/>
  <c r="S10" i="31"/>
  <c r="T10" i="31"/>
  <c r="U10" i="31"/>
  <c r="V10" i="31"/>
  <c r="W10" i="31"/>
  <c r="X10" i="31"/>
  <c r="Q11" i="31"/>
  <c r="R11" i="31"/>
  <c r="S11" i="31"/>
  <c r="T11" i="31"/>
  <c r="U11" i="31"/>
  <c r="AD11" i="31" s="1"/>
  <c r="V11" i="31"/>
  <c r="W11" i="31"/>
  <c r="X11" i="31"/>
  <c r="AC11" i="31"/>
  <c r="Q12" i="31"/>
  <c r="R12" i="31"/>
  <c r="S12" i="31"/>
  <c r="T12" i="31"/>
  <c r="U12" i="31"/>
  <c r="V12" i="31"/>
  <c r="W12" i="31"/>
  <c r="X12" i="31"/>
  <c r="AD12" i="31"/>
  <c r="Q13" i="31"/>
  <c r="R13" i="31"/>
  <c r="S13" i="31"/>
  <c r="T13" i="31"/>
  <c r="U13" i="31"/>
  <c r="AD13" i="31" s="1"/>
  <c r="V13" i="31"/>
  <c r="W13" i="31"/>
  <c r="X13" i="31"/>
  <c r="AC13" i="31"/>
  <c r="Q14" i="31"/>
  <c r="R14" i="31"/>
  <c r="S14" i="31"/>
  <c r="T14" i="31"/>
  <c r="U14" i="31"/>
  <c r="V14" i="31"/>
  <c r="W14" i="31"/>
  <c r="X14" i="31"/>
  <c r="Q15" i="31"/>
  <c r="R15" i="31"/>
  <c r="S15" i="31"/>
  <c r="T15" i="31"/>
  <c r="U15" i="31"/>
  <c r="AD15" i="31" s="1"/>
  <c r="V15" i="31"/>
  <c r="W15" i="31"/>
  <c r="X15" i="31"/>
  <c r="AC15" i="31"/>
  <c r="Q16" i="31"/>
  <c r="R16" i="31"/>
  <c r="S16" i="31"/>
  <c r="T16" i="31"/>
  <c r="U16" i="31"/>
  <c r="V16" i="31"/>
  <c r="W16" i="31"/>
  <c r="X16" i="31"/>
  <c r="Q17" i="31"/>
  <c r="R17" i="31"/>
  <c r="S17" i="31"/>
  <c r="T17" i="31"/>
  <c r="U17" i="31"/>
  <c r="AD17" i="31" s="1"/>
  <c r="V17" i="31"/>
  <c r="W17" i="31"/>
  <c r="X17" i="31"/>
  <c r="AC17" i="31"/>
  <c r="Q18" i="31"/>
  <c r="R18" i="31"/>
  <c r="S18" i="31"/>
  <c r="T18" i="31"/>
  <c r="U18" i="31"/>
  <c r="V18" i="31"/>
  <c r="W18" i="31"/>
  <c r="X18" i="31"/>
  <c r="Q19" i="31"/>
  <c r="R19" i="31"/>
  <c r="S19" i="31"/>
  <c r="T19" i="31"/>
  <c r="U19" i="31"/>
  <c r="AD19" i="31" s="1"/>
  <c r="V19" i="31"/>
  <c r="W19" i="31"/>
  <c r="X19" i="31"/>
  <c r="Q20" i="31"/>
  <c r="R20" i="31"/>
  <c r="S20" i="31"/>
  <c r="T20" i="31"/>
  <c r="U20" i="31"/>
  <c r="V20" i="31"/>
  <c r="W20" i="31"/>
  <c r="X20" i="31"/>
  <c r="Q21" i="31"/>
  <c r="R21" i="31"/>
  <c r="S21" i="31"/>
  <c r="T21" i="31"/>
  <c r="U21" i="31"/>
  <c r="V21" i="31"/>
  <c r="W21" i="31"/>
  <c r="X21" i="31"/>
  <c r="AC21" i="31"/>
  <c r="Q22" i="31"/>
  <c r="R22" i="31"/>
  <c r="S22" i="31"/>
  <c r="T22" i="31"/>
  <c r="U22" i="31"/>
  <c r="V22" i="31"/>
  <c r="W22" i="31"/>
  <c r="X22" i="31"/>
  <c r="AC22" i="31"/>
  <c r="Q23" i="31"/>
  <c r="R23" i="31"/>
  <c r="S23" i="31"/>
  <c r="T23" i="31"/>
  <c r="U23" i="31"/>
  <c r="V23" i="31"/>
  <c r="W23" i="31"/>
  <c r="X23" i="31"/>
  <c r="Q24" i="31"/>
  <c r="R24" i="31"/>
  <c r="S24" i="31"/>
  <c r="T24" i="31"/>
  <c r="U24" i="31"/>
  <c r="V24" i="31"/>
  <c r="W24" i="31"/>
  <c r="X24" i="31"/>
  <c r="AD24" i="31"/>
  <c r="Q25" i="31"/>
  <c r="R25" i="31"/>
  <c r="S25" i="31"/>
  <c r="T25" i="31"/>
  <c r="U25" i="31"/>
  <c r="V25" i="31"/>
  <c r="W25" i="31"/>
  <c r="X25" i="31"/>
  <c r="Q26" i="31"/>
  <c r="R26" i="31"/>
  <c r="S26" i="31"/>
  <c r="T26" i="31"/>
  <c r="U26" i="31"/>
  <c r="V26" i="31"/>
  <c r="W26" i="31"/>
  <c r="X26" i="31"/>
  <c r="AC26" i="31"/>
  <c r="Q27" i="31"/>
  <c r="R27" i="31"/>
  <c r="S27" i="31"/>
  <c r="T27" i="31"/>
  <c r="U27" i="31"/>
  <c r="V27" i="31"/>
  <c r="W27" i="31"/>
  <c r="X27" i="31"/>
  <c r="Q28" i="31"/>
  <c r="R28" i="31"/>
  <c r="S28" i="31"/>
  <c r="T28" i="31"/>
  <c r="U28" i="31"/>
  <c r="V28" i="31"/>
  <c r="W28" i="31"/>
  <c r="X28" i="31"/>
  <c r="Q29" i="31"/>
  <c r="R29" i="31"/>
  <c r="S29" i="31"/>
  <c r="T29" i="31"/>
  <c r="U29" i="31"/>
  <c r="V29" i="31"/>
  <c r="W29" i="31"/>
  <c r="X29" i="31"/>
  <c r="Q30" i="31"/>
  <c r="R30" i="31"/>
  <c r="S30" i="31"/>
  <c r="T30" i="31"/>
  <c r="U30" i="31"/>
  <c r="V30" i="31"/>
  <c r="W30" i="31"/>
  <c r="X30" i="31"/>
  <c r="Q31" i="31"/>
  <c r="R31" i="31"/>
  <c r="S31" i="31"/>
  <c r="T31" i="31"/>
  <c r="U31" i="31"/>
  <c r="V31" i="31"/>
  <c r="W31" i="31"/>
  <c r="X31" i="31"/>
  <c r="AC31" i="31"/>
  <c r="Q32" i="31"/>
  <c r="R32" i="31"/>
  <c r="S32" i="31"/>
  <c r="T32" i="31"/>
  <c r="U32" i="31"/>
  <c r="V32" i="31"/>
  <c r="W32" i="31"/>
  <c r="X32" i="31"/>
  <c r="AC32" i="31"/>
  <c r="Q33" i="31"/>
  <c r="R33" i="31"/>
  <c r="S33" i="31"/>
  <c r="T33" i="31"/>
  <c r="U33" i="31"/>
  <c r="V33" i="31"/>
  <c r="W33" i="31"/>
  <c r="X33" i="31"/>
  <c r="Q34" i="31"/>
  <c r="R34" i="31"/>
  <c r="S34" i="31"/>
  <c r="T34" i="31"/>
  <c r="U34" i="31"/>
  <c r="V34" i="31"/>
  <c r="W34" i="31"/>
  <c r="X34" i="31"/>
  <c r="Q35" i="31"/>
  <c r="R35" i="31"/>
  <c r="S35" i="31"/>
  <c r="T35" i="31"/>
  <c r="U35" i="31"/>
  <c r="V35" i="31"/>
  <c r="W35" i="31"/>
  <c r="X35" i="31"/>
  <c r="Q36" i="31"/>
  <c r="R36" i="31"/>
  <c r="S36" i="31"/>
  <c r="T36" i="31"/>
  <c r="U36" i="31"/>
  <c r="V36" i="31"/>
  <c r="W36" i="31"/>
  <c r="X36" i="31"/>
  <c r="Q37" i="31"/>
  <c r="R37" i="31"/>
  <c r="S37" i="31"/>
  <c r="T37" i="31"/>
  <c r="U37" i="31"/>
  <c r="V37" i="31"/>
  <c r="W37" i="31"/>
  <c r="X37" i="31"/>
  <c r="Q38" i="31"/>
  <c r="R38" i="31"/>
  <c r="S38" i="31"/>
  <c r="T38" i="31"/>
  <c r="U38" i="31"/>
  <c r="V38" i="31"/>
  <c r="W38" i="31"/>
  <c r="X38" i="31"/>
  <c r="Q39" i="31"/>
  <c r="R39" i="31"/>
  <c r="S39" i="31"/>
  <c r="T39" i="31"/>
  <c r="U39" i="31"/>
  <c r="V39" i="31"/>
  <c r="W39" i="31"/>
  <c r="X39" i="31"/>
  <c r="Q40" i="31"/>
  <c r="R40" i="31"/>
  <c r="S40" i="31"/>
  <c r="T40" i="31"/>
  <c r="U40" i="31"/>
  <c r="V40" i="31"/>
  <c r="W40" i="31"/>
  <c r="X40" i="31"/>
  <c r="Q41" i="31"/>
  <c r="R41" i="31"/>
  <c r="S41" i="31"/>
  <c r="T41" i="31"/>
  <c r="U41" i="31"/>
  <c r="V41" i="31"/>
  <c r="W41" i="31"/>
  <c r="X41" i="31"/>
  <c r="AC41" i="31"/>
  <c r="Q42" i="31"/>
  <c r="R42" i="31"/>
  <c r="S42" i="31"/>
  <c r="T42" i="31"/>
  <c r="U42" i="31"/>
  <c r="V42" i="31"/>
  <c r="W42" i="31"/>
  <c r="X42" i="31"/>
  <c r="AC42" i="31"/>
  <c r="AD42" i="31"/>
  <c r="Q43" i="31"/>
  <c r="R43" i="31"/>
  <c r="S43" i="31"/>
  <c r="T43" i="31"/>
  <c r="U43" i="31"/>
  <c r="V43" i="31"/>
  <c r="W43" i="31"/>
  <c r="X43" i="31"/>
  <c r="Q44" i="31"/>
  <c r="R44" i="31"/>
  <c r="S44" i="31"/>
  <c r="T44" i="31"/>
  <c r="U44" i="31"/>
  <c r="V44" i="31"/>
  <c r="W44" i="31"/>
  <c r="X44" i="31"/>
  <c r="AC44" i="31"/>
  <c r="Q45" i="31"/>
  <c r="R45" i="31"/>
  <c r="S45" i="31"/>
  <c r="T45" i="31"/>
  <c r="U45" i="31"/>
  <c r="V45" i="31"/>
  <c r="W45" i="31"/>
  <c r="X45" i="31"/>
  <c r="Q46" i="31"/>
  <c r="R46" i="31"/>
  <c r="S46" i="31"/>
  <c r="T46" i="31"/>
  <c r="U46" i="31"/>
  <c r="V46" i="31"/>
  <c r="W46" i="31"/>
  <c r="X46" i="31"/>
  <c r="Q47" i="31"/>
  <c r="R47" i="31"/>
  <c r="S47" i="31"/>
  <c r="T47" i="31"/>
  <c r="U47" i="31"/>
  <c r="V47" i="31"/>
  <c r="W47" i="31"/>
  <c r="X47" i="31"/>
  <c r="Q48" i="31"/>
  <c r="R48" i="31"/>
  <c r="S48" i="31"/>
  <c r="T48" i="31"/>
  <c r="U48" i="31"/>
  <c r="V48" i="31"/>
  <c r="W48" i="31"/>
  <c r="X48" i="31"/>
  <c r="AD48" i="31"/>
  <c r="Q49" i="31"/>
  <c r="R49" i="31"/>
  <c r="S49" i="31"/>
  <c r="T49" i="31"/>
  <c r="U49" i="31"/>
  <c r="V49" i="31"/>
  <c r="W49" i="31"/>
  <c r="X49" i="31"/>
  <c r="Q50" i="31"/>
  <c r="R50" i="31"/>
  <c r="S50" i="31"/>
  <c r="T50" i="31"/>
  <c r="U50" i="31"/>
  <c r="V50" i="31"/>
  <c r="AD50" i="31" s="1"/>
  <c r="W50" i="31"/>
  <c r="X50" i="31"/>
  <c r="Q51" i="31"/>
  <c r="R51" i="31"/>
  <c r="S51" i="31"/>
  <c r="T51" i="31"/>
  <c r="U51" i="31"/>
  <c r="V51" i="31"/>
  <c r="W51" i="31"/>
  <c r="X51" i="31"/>
  <c r="Q52" i="31"/>
  <c r="R52" i="31"/>
  <c r="S52" i="31"/>
  <c r="T52" i="31"/>
  <c r="U52" i="31"/>
  <c r="V52" i="31"/>
  <c r="W52" i="31"/>
  <c r="X52" i="31"/>
  <c r="Q53" i="31"/>
  <c r="R53" i="31"/>
  <c r="S53" i="31"/>
  <c r="T53" i="31"/>
  <c r="U53" i="31"/>
  <c r="V53" i="31"/>
  <c r="W53" i="31"/>
  <c r="X53" i="31"/>
  <c r="AC53" i="31"/>
  <c r="Q54" i="31"/>
  <c r="R54" i="31"/>
  <c r="S54" i="31"/>
  <c r="T54" i="31"/>
  <c r="U54" i="31"/>
  <c r="V54" i="31"/>
  <c r="W54" i="31"/>
  <c r="X54" i="31"/>
  <c r="AC54" i="31"/>
  <c r="Q55" i="31"/>
  <c r="R55" i="31"/>
  <c r="S55" i="31"/>
  <c r="T55" i="31"/>
  <c r="U55" i="31"/>
  <c r="V55" i="31"/>
  <c r="W55" i="31"/>
  <c r="X55" i="31"/>
  <c r="Q56" i="31"/>
  <c r="R56" i="31"/>
  <c r="S56" i="31"/>
  <c r="T56" i="31"/>
  <c r="U56" i="31"/>
  <c r="V56" i="31"/>
  <c r="W56" i="31"/>
  <c r="X56" i="31"/>
  <c r="Q57" i="31"/>
  <c r="R57" i="31"/>
  <c r="S57" i="31"/>
  <c r="T57" i="31"/>
  <c r="U57" i="31"/>
  <c r="V57" i="31"/>
  <c r="W57" i="31"/>
  <c r="X57" i="31"/>
  <c r="Q58" i="31"/>
  <c r="R58" i="31"/>
  <c r="S58" i="31"/>
  <c r="T58" i="31"/>
  <c r="U58" i="31"/>
  <c r="V58" i="31"/>
  <c r="W58" i="31"/>
  <c r="X58" i="31"/>
  <c r="Q59" i="31"/>
  <c r="R59" i="31"/>
  <c r="S59" i="31"/>
  <c r="T59" i="31"/>
  <c r="U59" i="31"/>
  <c r="V59" i="31"/>
  <c r="W59" i="31"/>
  <c r="X59" i="31"/>
  <c r="AC59" i="31"/>
  <c r="Q60" i="31"/>
  <c r="R60" i="31"/>
  <c r="S60" i="31"/>
  <c r="T60" i="31"/>
  <c r="U60" i="31"/>
  <c r="V60" i="31"/>
  <c r="W60" i="31"/>
  <c r="X60" i="31"/>
  <c r="Q61" i="31"/>
  <c r="R61" i="31"/>
  <c r="S61" i="31"/>
  <c r="T61" i="31"/>
  <c r="U61" i="31"/>
  <c r="V61" i="31"/>
  <c r="W61" i="31"/>
  <c r="X61" i="31"/>
  <c r="Q62" i="31"/>
  <c r="R62" i="31"/>
  <c r="S62" i="31"/>
  <c r="T62" i="31"/>
  <c r="U62" i="31"/>
  <c r="V62" i="31"/>
  <c r="W62" i="31"/>
  <c r="X62" i="31"/>
  <c r="Q63" i="31"/>
  <c r="R63" i="31"/>
  <c r="S63" i="31"/>
  <c r="T63" i="31"/>
  <c r="U63" i="31"/>
  <c r="V63" i="31"/>
  <c r="W63" i="31"/>
  <c r="X63" i="31"/>
  <c r="Q64" i="31"/>
  <c r="R64" i="31"/>
  <c r="S64" i="31"/>
  <c r="T64" i="31"/>
  <c r="U64" i="31"/>
  <c r="V64" i="31"/>
  <c r="W64" i="31"/>
  <c r="X64" i="31"/>
  <c r="AD64" i="31"/>
  <c r="Q65" i="31"/>
  <c r="R65" i="31"/>
  <c r="S65" i="31"/>
  <c r="T65" i="31"/>
  <c r="U65" i="31"/>
  <c r="V65" i="31"/>
  <c r="W65" i="31"/>
  <c r="X65" i="31"/>
  <c r="Q66" i="31"/>
  <c r="R66" i="31"/>
  <c r="S66" i="31"/>
  <c r="T66" i="31"/>
  <c r="U66" i="31"/>
  <c r="V66" i="31"/>
  <c r="W66" i="31"/>
  <c r="X66" i="31"/>
  <c r="Q67" i="31"/>
  <c r="R67" i="31"/>
  <c r="S67" i="31"/>
  <c r="T67" i="31"/>
  <c r="U67" i="31"/>
  <c r="V67" i="31"/>
  <c r="W67" i="31"/>
  <c r="X67" i="31"/>
  <c r="Q68" i="31"/>
  <c r="R68" i="31"/>
  <c r="S68" i="31"/>
  <c r="T68" i="31"/>
  <c r="U68" i="31"/>
  <c r="V68" i="31"/>
  <c r="W68" i="31"/>
  <c r="X68" i="31"/>
  <c r="AC68" i="31"/>
  <c r="Q69" i="31"/>
  <c r="R69" i="31"/>
  <c r="S69" i="31"/>
  <c r="T69" i="31"/>
  <c r="U69" i="31"/>
  <c r="V69" i="31"/>
  <c r="AC69" i="31" s="1"/>
  <c r="W69" i="31"/>
  <c r="X69" i="31"/>
  <c r="Q70" i="31"/>
  <c r="R70" i="31"/>
  <c r="S70" i="31"/>
  <c r="T70" i="31"/>
  <c r="U70" i="31"/>
  <c r="V70" i="31"/>
  <c r="W70" i="31"/>
  <c r="X70" i="31"/>
  <c r="Q71" i="31"/>
  <c r="R71" i="31"/>
  <c r="S71" i="31"/>
  <c r="T71" i="31"/>
  <c r="U71" i="31"/>
  <c r="V71" i="31"/>
  <c r="W71" i="31"/>
  <c r="X71" i="31"/>
  <c r="AC71" i="31"/>
  <c r="Q72" i="31"/>
  <c r="R72" i="31"/>
  <c r="S72" i="31"/>
  <c r="T72" i="31"/>
  <c r="U72" i="31"/>
  <c r="V72" i="31"/>
  <c r="W72" i="31"/>
  <c r="X72" i="31"/>
  <c r="Q73" i="31"/>
  <c r="R73" i="31"/>
  <c r="S73" i="31"/>
  <c r="T73" i="31"/>
  <c r="U73" i="31"/>
  <c r="V73" i="31"/>
  <c r="W73" i="31"/>
  <c r="X73" i="31"/>
  <c r="Q74" i="31"/>
  <c r="R74" i="31"/>
  <c r="S74" i="31"/>
  <c r="T74" i="31"/>
  <c r="U74" i="31"/>
  <c r="V74" i="31"/>
  <c r="W74" i="31"/>
  <c r="X74" i="31"/>
  <c r="AC74" i="31" s="1"/>
  <c r="Q75" i="31"/>
  <c r="R75" i="31"/>
  <c r="S75" i="31"/>
  <c r="T75" i="31"/>
  <c r="U75" i="31"/>
  <c r="V75" i="31"/>
  <c r="W75" i="31"/>
  <c r="X75" i="31"/>
  <c r="Q76" i="31"/>
  <c r="R76" i="31"/>
  <c r="S76" i="31"/>
  <c r="T76" i="31"/>
  <c r="U76" i="31"/>
  <c r="V76" i="31"/>
  <c r="W76" i="31"/>
  <c r="X76" i="31"/>
  <c r="AC76" i="31"/>
  <c r="AD76" i="31"/>
  <c r="Q77" i="31"/>
  <c r="R77" i="31"/>
  <c r="S77" i="31"/>
  <c r="T77" i="31"/>
  <c r="U77" i="31"/>
  <c r="V77" i="31"/>
  <c r="W77" i="31"/>
  <c r="X77" i="31"/>
  <c r="Q78" i="31"/>
  <c r="R78" i="31"/>
  <c r="S78" i="31"/>
  <c r="T78" i="31"/>
  <c r="U78" i="31"/>
  <c r="V78" i="31"/>
  <c r="W78" i="31"/>
  <c r="X78" i="31"/>
  <c r="AC78" i="31"/>
  <c r="Q79" i="31"/>
  <c r="R79" i="31"/>
  <c r="S79" i="31"/>
  <c r="T79" i="31"/>
  <c r="U79" i="31"/>
  <c r="V79" i="31"/>
  <c r="AC79" i="31" s="1"/>
  <c r="W79" i="31"/>
  <c r="X79" i="31"/>
  <c r="Q80" i="31"/>
  <c r="R80" i="31"/>
  <c r="S80" i="31"/>
  <c r="T80" i="31"/>
  <c r="U80" i="31"/>
  <c r="V80" i="31"/>
  <c r="W80" i="31"/>
  <c r="X80" i="31"/>
  <c r="Q81" i="31"/>
  <c r="R81" i="31"/>
  <c r="S81" i="31"/>
  <c r="T81" i="31"/>
  <c r="U81" i="31"/>
  <c r="V81" i="31"/>
  <c r="W81" i="31"/>
  <c r="X81" i="31"/>
  <c r="Q82" i="31"/>
  <c r="R82" i="31"/>
  <c r="S82" i="31"/>
  <c r="T82" i="31"/>
  <c r="U82" i="31"/>
  <c r="V82" i="31"/>
  <c r="W82" i="31"/>
  <c r="X82" i="31"/>
  <c r="Q83" i="31"/>
  <c r="R83" i="31"/>
  <c r="S83" i="31"/>
  <c r="T83" i="31"/>
  <c r="U83" i="31"/>
  <c r="V83" i="31"/>
  <c r="W83" i="31"/>
  <c r="X83" i="31"/>
  <c r="Q84" i="31"/>
  <c r="R84" i="31"/>
  <c r="S84" i="31"/>
  <c r="T84" i="31"/>
  <c r="U84" i="31"/>
  <c r="V84" i="31"/>
  <c r="W84" i="31"/>
  <c r="X84" i="31"/>
  <c r="Q85" i="31"/>
  <c r="R85" i="31"/>
  <c r="S85" i="31"/>
  <c r="T85" i="31"/>
  <c r="U85" i="31"/>
  <c r="V85" i="31"/>
  <c r="W85" i="31"/>
  <c r="X85" i="31"/>
  <c r="Q86" i="31"/>
  <c r="R86" i="31"/>
  <c r="S86" i="31"/>
  <c r="T86" i="31"/>
  <c r="U86" i="31"/>
  <c r="V86" i="31"/>
  <c r="W86" i="31"/>
  <c r="X86" i="31"/>
  <c r="AC86" i="31"/>
  <c r="AD86" i="31"/>
  <c r="Q87" i="31"/>
  <c r="R87" i="31"/>
  <c r="S87" i="31"/>
  <c r="T87" i="31"/>
  <c r="U87" i="31"/>
  <c r="V87" i="31"/>
  <c r="W87" i="31"/>
  <c r="X87" i="31"/>
  <c r="Q88" i="31"/>
  <c r="R88" i="31"/>
  <c r="S88" i="31"/>
  <c r="T88" i="31"/>
  <c r="U88" i="31"/>
  <c r="V88" i="31"/>
  <c r="W88" i="31"/>
  <c r="X88" i="31"/>
  <c r="AC88" i="31"/>
  <c r="AD88" i="31"/>
  <c r="Q89" i="31"/>
  <c r="R89" i="31"/>
  <c r="S89" i="31"/>
  <c r="T89" i="31"/>
  <c r="U89" i="31"/>
  <c r="V89" i="31"/>
  <c r="W89" i="31"/>
  <c r="X89" i="31"/>
  <c r="Q90" i="31"/>
  <c r="R90" i="31"/>
  <c r="S90" i="31"/>
  <c r="T90" i="31"/>
  <c r="U90" i="31"/>
  <c r="V90" i="31"/>
  <c r="W90" i="31"/>
  <c r="X90" i="31"/>
  <c r="Q91" i="31"/>
  <c r="R91" i="31"/>
  <c r="S91" i="31"/>
  <c r="T91" i="31"/>
  <c r="U91" i="31"/>
  <c r="V91" i="31"/>
  <c r="W91" i="31"/>
  <c r="X91" i="31"/>
  <c r="Q92" i="31"/>
  <c r="R92" i="31"/>
  <c r="S92" i="31"/>
  <c r="T92" i="31"/>
  <c r="U92" i="31"/>
  <c r="V92" i="31"/>
  <c r="W92" i="31"/>
  <c r="X92" i="31"/>
  <c r="AC92" i="31"/>
  <c r="AD92" i="31"/>
  <c r="Q93" i="31"/>
  <c r="R93" i="31"/>
  <c r="S93" i="31"/>
  <c r="T93" i="31"/>
  <c r="U93" i="31"/>
  <c r="V93" i="31"/>
  <c r="W93" i="31"/>
  <c r="X93" i="31"/>
  <c r="Q94" i="31"/>
  <c r="R94" i="31"/>
  <c r="S94" i="31"/>
  <c r="T94" i="31"/>
  <c r="U94" i="31"/>
  <c r="V94" i="31"/>
  <c r="W94" i="31"/>
  <c r="X94" i="31"/>
  <c r="Q95" i="31"/>
  <c r="R95" i="31"/>
  <c r="S95" i="31"/>
  <c r="T95" i="31"/>
  <c r="U95" i="31"/>
  <c r="AD95" i="31" s="1"/>
  <c r="V95" i="31"/>
  <c r="W95" i="31"/>
  <c r="X95" i="31"/>
  <c r="AC95" i="31"/>
  <c r="Q96" i="31"/>
  <c r="R96" i="31"/>
  <c r="S96" i="31"/>
  <c r="T96" i="31"/>
  <c r="U96" i="31"/>
  <c r="V96" i="31"/>
  <c r="W96" i="31"/>
  <c r="X96" i="31"/>
  <c r="Q97" i="31"/>
  <c r="R97" i="31"/>
  <c r="S97" i="31"/>
  <c r="T97" i="31"/>
  <c r="U97" i="31"/>
  <c r="V97" i="31"/>
  <c r="W97" i="31"/>
  <c r="X97" i="31"/>
  <c r="AD97" i="31"/>
  <c r="Q98" i="31"/>
  <c r="R98" i="31"/>
  <c r="S98" i="31"/>
  <c r="T98" i="31"/>
  <c r="U98" i="31"/>
  <c r="AC98" i="31" s="1"/>
  <c r="V98" i="31"/>
  <c r="W98" i="31"/>
  <c r="X98" i="31"/>
  <c r="Q99" i="31"/>
  <c r="R99" i="31"/>
  <c r="S99" i="31"/>
  <c r="T99" i="31"/>
  <c r="U99" i="31"/>
  <c r="V99" i="31"/>
  <c r="W99" i="31"/>
  <c r="X99" i="31"/>
  <c r="AD99" i="31"/>
  <c r="Q100" i="31"/>
  <c r="R100" i="31"/>
  <c r="S100" i="31"/>
  <c r="T100" i="31"/>
  <c r="U100" i="31"/>
  <c r="AC100" i="31" s="1"/>
  <c r="V100" i="31"/>
  <c r="W100" i="31"/>
  <c r="X100" i="31"/>
  <c r="Q101" i="31"/>
  <c r="R101" i="31"/>
  <c r="S101" i="31"/>
  <c r="T101" i="31"/>
  <c r="U101" i="31"/>
  <c r="V101" i="31"/>
  <c r="W101" i="31"/>
  <c r="X101" i="31"/>
  <c r="Q102" i="31"/>
  <c r="R102" i="31"/>
  <c r="S102" i="31"/>
  <c r="T102" i="31"/>
  <c r="U102" i="31"/>
  <c r="V102" i="31"/>
  <c r="W102" i="31"/>
  <c r="X102" i="31"/>
  <c r="AC102" i="31"/>
  <c r="AD102" i="31"/>
  <c r="Q103" i="31"/>
  <c r="R103" i="31"/>
  <c r="S103" i="31"/>
  <c r="T103" i="31"/>
  <c r="U103" i="31"/>
  <c r="V103" i="31"/>
  <c r="W103" i="31"/>
  <c r="X103" i="31"/>
  <c r="Q104" i="31"/>
  <c r="R104" i="31"/>
  <c r="S104" i="31"/>
  <c r="T104" i="31"/>
  <c r="U104" i="31"/>
  <c r="V104" i="31"/>
  <c r="W104" i="31"/>
  <c r="X104" i="31"/>
  <c r="AC104" i="31"/>
  <c r="Q105" i="31"/>
  <c r="R105" i="31"/>
  <c r="S105" i="31"/>
  <c r="T105" i="31"/>
  <c r="U105" i="31"/>
  <c r="V105" i="31"/>
  <c r="W105" i="31"/>
  <c r="X105" i="31"/>
  <c r="AC105" i="31"/>
  <c r="Q106" i="31"/>
  <c r="R106" i="31"/>
  <c r="S106" i="31"/>
  <c r="T106" i="31"/>
  <c r="U106" i="31"/>
  <c r="V106" i="31"/>
  <c r="W106" i="31"/>
  <c r="X106" i="31"/>
  <c r="Q107" i="31"/>
  <c r="R107" i="31"/>
  <c r="S107" i="31"/>
  <c r="T107" i="31"/>
  <c r="U107" i="31"/>
  <c r="V107" i="31"/>
  <c r="W107" i="31"/>
  <c r="X107" i="31"/>
  <c r="AD107" i="31"/>
  <c r="Q108" i="31"/>
  <c r="R108" i="31"/>
  <c r="S108" i="31"/>
  <c r="T108" i="31"/>
  <c r="U108" i="31"/>
  <c r="AC108" i="31" s="1"/>
  <c r="V108" i="31"/>
  <c r="W108" i="31"/>
  <c r="X108" i="31"/>
  <c r="AD108" i="31"/>
  <c r="Q109" i="31"/>
  <c r="R109" i="31"/>
  <c r="S109" i="31"/>
  <c r="T109" i="31"/>
  <c r="U109" i="31"/>
  <c r="V109" i="31"/>
  <c r="W109" i="31"/>
  <c r="X109" i="31"/>
  <c r="AD109" i="31"/>
  <c r="Q110" i="31"/>
  <c r="R110" i="31"/>
  <c r="S110" i="31"/>
  <c r="T110" i="31"/>
  <c r="U110" i="31"/>
  <c r="AC110" i="31" s="1"/>
  <c r="V110" i="31"/>
  <c r="W110" i="31"/>
  <c r="X110" i="31"/>
  <c r="AD110" i="31" s="1"/>
  <c r="Q111" i="31"/>
  <c r="R111" i="31"/>
  <c r="S111" i="31"/>
  <c r="T111" i="31"/>
  <c r="U111" i="31"/>
  <c r="V111" i="31"/>
  <c r="W111" i="31"/>
  <c r="X111" i="31"/>
  <c r="Q112" i="31"/>
  <c r="R112" i="31"/>
  <c r="S112" i="31"/>
  <c r="T112" i="31"/>
  <c r="U112" i="31"/>
  <c r="V112" i="31"/>
  <c r="W112" i="31"/>
  <c r="X112" i="31"/>
  <c r="AC112" i="31"/>
  <c r="AD112" i="31"/>
  <c r="Q113" i="31"/>
  <c r="R113" i="31"/>
  <c r="S113" i="31"/>
  <c r="T113" i="31"/>
  <c r="U113" i="31"/>
  <c r="V113" i="31"/>
  <c r="W113" i="31"/>
  <c r="X113" i="31"/>
  <c r="Q114" i="31"/>
  <c r="R114" i="31"/>
  <c r="S114" i="31"/>
  <c r="T114" i="31"/>
  <c r="U114" i="31"/>
  <c r="V114" i="31"/>
  <c r="W114" i="31"/>
  <c r="X114" i="31"/>
  <c r="Q115" i="31"/>
  <c r="R115" i="31"/>
  <c r="S115" i="31"/>
  <c r="T115" i="31"/>
  <c r="U115" i="31"/>
  <c r="V115" i="31"/>
  <c r="W115" i="31"/>
  <c r="X115" i="31"/>
  <c r="AC115" i="31"/>
  <c r="Q116" i="31"/>
  <c r="R116" i="31"/>
  <c r="S116" i="31"/>
  <c r="T116" i="31"/>
  <c r="U116" i="31"/>
  <c r="V116" i="31"/>
  <c r="W116" i="31"/>
  <c r="X116" i="31"/>
  <c r="Q117" i="31"/>
  <c r="R117" i="31"/>
  <c r="S117" i="31"/>
  <c r="T117" i="31"/>
  <c r="U117" i="31"/>
  <c r="V117" i="31"/>
  <c r="W117" i="31"/>
  <c r="X117" i="31"/>
  <c r="AD117" i="31"/>
  <c r="Q118" i="31"/>
  <c r="R118" i="31"/>
  <c r="S118" i="31"/>
  <c r="T118" i="31"/>
  <c r="U118" i="31"/>
  <c r="AC118" i="31" s="1"/>
  <c r="V118" i="31"/>
  <c r="W118" i="31"/>
  <c r="X118" i="31"/>
  <c r="AD118" i="31"/>
  <c r="Q119" i="31"/>
  <c r="R119" i="31"/>
  <c r="S119" i="31"/>
  <c r="T119" i="31"/>
  <c r="U119" i="31"/>
  <c r="V119" i="31"/>
  <c r="W119" i="31"/>
  <c r="X119" i="31"/>
  <c r="AD119" i="31"/>
  <c r="Q120" i="31"/>
  <c r="R120" i="31"/>
  <c r="S120" i="31"/>
  <c r="T120" i="31"/>
  <c r="U120" i="31"/>
  <c r="AC120" i="31" s="1"/>
  <c r="V120" i="31"/>
  <c r="W120" i="31"/>
  <c r="X120" i="31"/>
  <c r="AD120" i="31" s="1"/>
  <c r="Q121" i="31"/>
  <c r="R121" i="31"/>
  <c r="S121" i="31"/>
  <c r="T121" i="31"/>
  <c r="U121" i="31"/>
  <c r="V121" i="31"/>
  <c r="W121" i="31"/>
  <c r="X121" i="31"/>
  <c r="Q122" i="31"/>
  <c r="R122" i="31"/>
  <c r="S122" i="31"/>
  <c r="T122" i="31"/>
  <c r="U122" i="31"/>
  <c r="V122" i="31"/>
  <c r="W122" i="31"/>
  <c r="X122" i="31"/>
  <c r="AC122" i="31"/>
  <c r="AD122" i="31"/>
  <c r="Q123" i="31"/>
  <c r="R123" i="31"/>
  <c r="S123" i="31"/>
  <c r="T123" i="31"/>
  <c r="U123" i="31"/>
  <c r="V123" i="31"/>
  <c r="W123" i="31"/>
  <c r="X123" i="31"/>
  <c r="Q124" i="31"/>
  <c r="R124" i="31"/>
  <c r="S124" i="31"/>
  <c r="T124" i="31"/>
  <c r="U124" i="31"/>
  <c r="V124" i="31"/>
  <c r="W124" i="31"/>
  <c r="X124" i="31"/>
  <c r="Q125" i="31"/>
  <c r="R125" i="31"/>
  <c r="S125" i="31"/>
  <c r="T125" i="31"/>
  <c r="U125" i="31"/>
  <c r="AD125" i="31" s="1"/>
  <c r="V125" i="31"/>
  <c r="W125" i="31"/>
  <c r="X125" i="31"/>
  <c r="AC125" i="31"/>
  <c r="Q126" i="31"/>
  <c r="R126" i="31"/>
  <c r="S126" i="31"/>
  <c r="T126" i="31"/>
  <c r="U126" i="31"/>
  <c r="V126" i="31"/>
  <c r="W126" i="31"/>
  <c r="X126" i="31"/>
  <c r="Q127" i="31"/>
  <c r="R127" i="31"/>
  <c r="S127" i="31"/>
  <c r="T127" i="31"/>
  <c r="U127" i="31"/>
  <c r="V127" i="31"/>
  <c r="W127" i="31"/>
  <c r="X127" i="31"/>
  <c r="AD127" i="31"/>
  <c r="Q128" i="31"/>
  <c r="R128" i="31"/>
  <c r="S128" i="31"/>
  <c r="T128" i="31"/>
  <c r="U128" i="31"/>
  <c r="AC128" i="31" s="1"/>
  <c r="V128" i="31"/>
  <c r="W128" i="31"/>
  <c r="X128" i="31"/>
  <c r="Q129" i="31"/>
  <c r="R129" i="31"/>
  <c r="S129" i="31"/>
  <c r="T129" i="31"/>
  <c r="U129" i="31"/>
  <c r="V129" i="31"/>
  <c r="W129" i="31"/>
  <c r="X129" i="31"/>
  <c r="AD129" i="31"/>
  <c r="Q130" i="31"/>
  <c r="R130" i="31"/>
  <c r="S130" i="31"/>
  <c r="T130" i="31"/>
  <c r="U130" i="31"/>
  <c r="AC130" i="31" s="1"/>
  <c r="V130" i="31"/>
  <c r="W130" i="31"/>
  <c r="X130" i="31"/>
  <c r="AD130" i="31" s="1"/>
  <c r="Q131" i="31"/>
  <c r="R131" i="31"/>
  <c r="S131" i="31"/>
  <c r="T131" i="31"/>
  <c r="U131" i="31"/>
  <c r="V131" i="31"/>
  <c r="W131" i="31"/>
  <c r="X131" i="31"/>
  <c r="Q132" i="31"/>
  <c r="R132" i="31"/>
  <c r="S132" i="31"/>
  <c r="T132" i="31"/>
  <c r="U132" i="31"/>
  <c r="V132" i="31"/>
  <c r="W132" i="31"/>
  <c r="X132" i="31"/>
  <c r="AC132" i="31"/>
  <c r="AD132" i="31"/>
  <c r="Q133" i="31"/>
  <c r="R133" i="31"/>
  <c r="S133" i="31"/>
  <c r="T133" i="31"/>
  <c r="U133" i="31"/>
  <c r="V133" i="31"/>
  <c r="W133" i="31"/>
  <c r="X133" i="31"/>
  <c r="Q134" i="31"/>
  <c r="R134" i="31"/>
  <c r="S134" i="31"/>
  <c r="T134" i="31"/>
  <c r="U134" i="31"/>
  <c r="V134" i="31"/>
  <c r="W134" i="31"/>
  <c r="X134" i="31"/>
  <c r="AC134" i="31"/>
  <c r="Q135" i="31"/>
  <c r="R135" i="31"/>
  <c r="S135" i="31"/>
  <c r="T135" i="31"/>
  <c r="U135" i="31"/>
  <c r="V135" i="31"/>
  <c r="W135" i="31"/>
  <c r="X135" i="31"/>
  <c r="Q136" i="31"/>
  <c r="R136" i="31"/>
  <c r="S136" i="31"/>
  <c r="T136" i="31"/>
  <c r="U136" i="31"/>
  <c r="V136" i="31"/>
  <c r="W136" i="31"/>
  <c r="X136" i="31"/>
  <c r="Q137" i="31"/>
  <c r="R137" i="31"/>
  <c r="S137" i="31"/>
  <c r="T137" i="31"/>
  <c r="U137" i="31"/>
  <c r="V137" i="31"/>
  <c r="W137" i="31"/>
  <c r="X137" i="31"/>
  <c r="AD137" i="31"/>
  <c r="Q138" i="31"/>
  <c r="R138" i="31"/>
  <c r="S138" i="31"/>
  <c r="T138" i="31"/>
  <c r="U138" i="31"/>
  <c r="AC138" i="31" s="1"/>
  <c r="V138" i="31"/>
  <c r="W138" i="31"/>
  <c r="X138" i="31"/>
  <c r="Q139" i="31"/>
  <c r="R139" i="31"/>
  <c r="S139" i="31"/>
  <c r="T139" i="31"/>
  <c r="U139" i="31"/>
  <c r="V139" i="31"/>
  <c r="W139" i="31"/>
  <c r="X139" i="31"/>
  <c r="Q140" i="31"/>
  <c r="R140" i="31"/>
  <c r="S140" i="31"/>
  <c r="T140" i="31"/>
  <c r="U140" i="31"/>
  <c r="V140" i="31"/>
  <c r="W140" i="31"/>
  <c r="X140" i="31"/>
  <c r="Q141" i="31"/>
  <c r="R141" i="31"/>
  <c r="S141" i="31"/>
  <c r="T141" i="31"/>
  <c r="U141" i="31"/>
  <c r="V141" i="31"/>
  <c r="W141" i="31"/>
  <c r="X141" i="31"/>
  <c r="Q142" i="31"/>
  <c r="R142" i="31"/>
  <c r="S142" i="31"/>
  <c r="T142" i="31"/>
  <c r="U142" i="31"/>
  <c r="AC142" i="31" s="1"/>
  <c r="V142" i="31"/>
  <c r="AD142" i="31" s="1"/>
  <c r="W142" i="31"/>
  <c r="X142" i="31"/>
  <c r="Q143" i="31"/>
  <c r="R143" i="31"/>
  <c r="S143" i="31"/>
  <c r="T143" i="31"/>
  <c r="U143" i="31"/>
  <c r="V143" i="31"/>
  <c r="W143" i="31"/>
  <c r="X143" i="31"/>
  <c r="Q144" i="31"/>
  <c r="R144" i="31"/>
  <c r="S144" i="31"/>
  <c r="T144" i="31"/>
  <c r="U144" i="31"/>
  <c r="AD144" i="31" s="1"/>
  <c r="V144" i="31"/>
  <c r="W144" i="31"/>
  <c r="X144" i="31"/>
  <c r="AC144" i="31"/>
  <c r="Q145" i="31"/>
  <c r="R145" i="31"/>
  <c r="S145" i="31"/>
  <c r="T145" i="31"/>
  <c r="U145" i="31"/>
  <c r="V145" i="31"/>
  <c r="W145" i="31"/>
  <c r="X145" i="31"/>
  <c r="Q146" i="31"/>
  <c r="R146" i="31"/>
  <c r="S146" i="31"/>
  <c r="T146" i="31"/>
  <c r="U146" i="31"/>
  <c r="V146" i="31"/>
  <c r="W146" i="31"/>
  <c r="X146" i="31"/>
  <c r="AC146" i="31"/>
  <c r="AD146" i="31"/>
  <c r="Q147" i="31"/>
  <c r="R147" i="31"/>
  <c r="S147" i="31"/>
  <c r="T147" i="31"/>
  <c r="U147" i="31"/>
  <c r="V147" i="31"/>
  <c r="W147" i="31"/>
  <c r="X147" i="31"/>
  <c r="Q148" i="31"/>
  <c r="R148" i="31"/>
  <c r="S148" i="31"/>
  <c r="T148" i="31"/>
  <c r="U148" i="31"/>
  <c r="V148" i="31"/>
  <c r="W148" i="31"/>
  <c r="X148" i="31"/>
  <c r="Q149" i="31"/>
  <c r="R149" i="31"/>
  <c r="S149" i="31"/>
  <c r="T149" i="31"/>
  <c r="V149" i="31"/>
  <c r="W149" i="31"/>
  <c r="X149" i="31"/>
  <c r="Q150" i="31"/>
  <c r="R150" i="31"/>
  <c r="S150" i="31"/>
  <c r="T150" i="31"/>
  <c r="U150" i="31"/>
  <c r="V150" i="31"/>
  <c r="W150" i="31"/>
  <c r="X150" i="31"/>
  <c r="AC150" i="31"/>
  <c r="Q151" i="31"/>
  <c r="R151" i="31"/>
  <c r="S151" i="31"/>
  <c r="T151" i="31"/>
  <c r="U151" i="31"/>
  <c r="AD151" i="31" s="1"/>
  <c r="V151" i="31"/>
  <c r="W151" i="31"/>
  <c r="X151" i="31"/>
  <c r="AC151" i="31"/>
  <c r="Q152" i="31"/>
  <c r="R152" i="31"/>
  <c r="S152" i="31"/>
  <c r="T152" i="31"/>
  <c r="U152" i="31"/>
  <c r="V152" i="31"/>
  <c r="W152" i="31"/>
  <c r="X152" i="31"/>
  <c r="AD152" i="31"/>
  <c r="Q153" i="31"/>
  <c r="R153" i="31"/>
  <c r="S153" i="31"/>
  <c r="T153" i="31"/>
  <c r="U153" i="31"/>
  <c r="V153" i="31"/>
  <c r="W153" i="31"/>
  <c r="X153" i="31"/>
  <c r="AC153" i="31"/>
  <c r="AD153" i="31"/>
  <c r="Q154" i="31"/>
  <c r="R154" i="31"/>
  <c r="S154" i="31"/>
  <c r="T154" i="31"/>
  <c r="U154" i="31"/>
  <c r="V154" i="31"/>
  <c r="W154" i="31"/>
  <c r="X154" i="31"/>
  <c r="Q155" i="31"/>
  <c r="R155" i="31"/>
  <c r="S155" i="31"/>
  <c r="T155" i="31"/>
  <c r="U155" i="31"/>
  <c r="V155" i="31"/>
  <c r="W155" i="31"/>
  <c r="X155" i="31"/>
  <c r="AC155" i="31"/>
  <c r="AD155" i="31"/>
  <c r="Q156" i="31"/>
  <c r="R156" i="31"/>
  <c r="S156" i="31"/>
  <c r="T156" i="31"/>
  <c r="U156" i="31"/>
  <c r="V156" i="31"/>
  <c r="W156" i="31"/>
  <c r="X156" i="31"/>
  <c r="Q157" i="31"/>
  <c r="R157" i="31"/>
  <c r="S157" i="31"/>
  <c r="T157" i="31"/>
  <c r="U157" i="31"/>
  <c r="V157" i="31"/>
  <c r="W157" i="31"/>
  <c r="X157" i="31"/>
  <c r="AD157" i="31"/>
  <c r="Q158" i="31"/>
  <c r="R158" i="31"/>
  <c r="S158" i="31"/>
  <c r="T158" i="31"/>
  <c r="U158" i="31"/>
  <c r="AC158" i="31" s="1"/>
  <c r="V158" i="31"/>
  <c r="W158" i="31"/>
  <c r="X158" i="31"/>
  <c r="Q159" i="31"/>
  <c r="R159" i="31"/>
  <c r="S159" i="31"/>
  <c r="T159" i="31"/>
  <c r="U159" i="31"/>
  <c r="V159" i="31"/>
  <c r="W159" i="31"/>
  <c r="X159" i="31"/>
  <c r="AC159" i="31"/>
  <c r="Q160" i="31"/>
  <c r="R160" i="31"/>
  <c r="S160" i="31"/>
  <c r="T160" i="31"/>
  <c r="U160" i="31"/>
  <c r="V160" i="31"/>
  <c r="W160" i="31"/>
  <c r="X160" i="31"/>
  <c r="Q161" i="31"/>
  <c r="R161" i="31"/>
  <c r="S161" i="31"/>
  <c r="T161" i="31"/>
  <c r="U161" i="31"/>
  <c r="V161" i="31"/>
  <c r="W161" i="31"/>
  <c r="X161" i="31"/>
  <c r="Q162" i="31"/>
  <c r="S162" i="31"/>
  <c r="T162" i="31"/>
  <c r="U162" i="31"/>
  <c r="V162" i="31"/>
  <c r="W162" i="31"/>
  <c r="X162" i="31"/>
  <c r="Q163" i="31"/>
  <c r="R163" i="31"/>
  <c r="S163" i="31"/>
  <c r="T163" i="31"/>
  <c r="U163" i="31"/>
  <c r="V163" i="31"/>
  <c r="W163" i="31"/>
  <c r="X163" i="31"/>
  <c r="Q164" i="31"/>
  <c r="R164" i="31"/>
  <c r="S164" i="31"/>
  <c r="T164" i="31"/>
  <c r="U164" i="31"/>
  <c r="V164" i="31"/>
  <c r="W164" i="31"/>
  <c r="X164" i="31"/>
  <c r="AC164" i="31"/>
  <c r="AD164" i="31"/>
  <c r="Q165" i="31"/>
  <c r="R165" i="31"/>
  <c r="S165" i="31"/>
  <c r="T165" i="31"/>
  <c r="U165" i="31"/>
  <c r="V165" i="31"/>
  <c r="W165" i="31"/>
  <c r="X165" i="31"/>
  <c r="Q166" i="31"/>
  <c r="R166" i="31"/>
  <c r="S166" i="31"/>
  <c r="T166" i="31"/>
  <c r="U166" i="31"/>
  <c r="V166" i="31"/>
  <c r="W166" i="31"/>
  <c r="X166" i="31"/>
  <c r="Q167" i="31"/>
  <c r="R167" i="31"/>
  <c r="S167" i="31"/>
  <c r="T167" i="31"/>
  <c r="U167" i="31"/>
  <c r="AC167" i="31" s="1"/>
  <c r="V167" i="31"/>
  <c r="W167" i="31"/>
  <c r="X167" i="31"/>
  <c r="Q168" i="31"/>
  <c r="R168" i="31"/>
  <c r="S168" i="31"/>
  <c r="T168" i="31"/>
  <c r="U168" i="31"/>
  <c r="V168" i="31"/>
  <c r="W168" i="31"/>
  <c r="X168" i="31"/>
  <c r="Q169" i="31"/>
  <c r="R169" i="31"/>
  <c r="S169" i="31"/>
  <c r="T169" i="31"/>
  <c r="U169" i="31"/>
  <c r="V169" i="31"/>
  <c r="W169" i="31"/>
  <c r="X169" i="31"/>
  <c r="Q170" i="31"/>
  <c r="R170" i="31"/>
  <c r="S170" i="31"/>
  <c r="T170" i="31"/>
  <c r="U170" i="31"/>
  <c r="V170" i="31"/>
  <c r="W170" i="31"/>
  <c r="X170" i="31"/>
  <c r="Q171" i="31"/>
  <c r="R171" i="31"/>
  <c r="S171" i="31"/>
  <c r="T171" i="31"/>
  <c r="U171" i="31"/>
  <c r="V171" i="31"/>
  <c r="W171" i="31"/>
  <c r="X171" i="31"/>
  <c r="Q172" i="31"/>
  <c r="R172" i="31"/>
  <c r="S172" i="31"/>
  <c r="T172" i="31"/>
  <c r="U172" i="31"/>
  <c r="V172" i="31"/>
  <c r="W172" i="31"/>
  <c r="X172" i="31"/>
  <c r="Q173" i="31"/>
  <c r="R173" i="31"/>
  <c r="S173" i="31"/>
  <c r="T173" i="31"/>
  <c r="U173" i="31"/>
  <c r="V173" i="31"/>
  <c r="W173" i="31"/>
  <c r="X173" i="31"/>
  <c r="AC173" i="31"/>
  <c r="AD173" i="31"/>
  <c r="Q174" i="31"/>
  <c r="R174" i="31"/>
  <c r="S174" i="31"/>
  <c r="T174" i="31"/>
  <c r="U174" i="31"/>
  <c r="V174" i="31"/>
  <c r="W174" i="31"/>
  <c r="X174" i="31"/>
  <c r="Q175" i="31"/>
  <c r="R175" i="31"/>
  <c r="S175" i="31"/>
  <c r="T175" i="31"/>
  <c r="U175" i="31"/>
  <c r="V175" i="31"/>
  <c r="W175" i="31"/>
  <c r="X175" i="31"/>
  <c r="AC175" i="31"/>
  <c r="AD175" i="31"/>
  <c r="Q176" i="31"/>
  <c r="R176" i="31"/>
  <c r="S176" i="31"/>
  <c r="T176" i="31"/>
  <c r="U176" i="31"/>
  <c r="V176" i="31"/>
  <c r="W176" i="31"/>
  <c r="X176" i="31"/>
  <c r="Q177" i="31"/>
  <c r="R177" i="31"/>
  <c r="S177" i="31"/>
  <c r="T177" i="31"/>
  <c r="U177" i="31"/>
  <c r="V177" i="31"/>
  <c r="W177" i="31"/>
  <c r="X177" i="31"/>
  <c r="AC177" i="31"/>
  <c r="AD177" i="31"/>
  <c r="Q178" i="31"/>
  <c r="R178" i="31"/>
  <c r="S178" i="31"/>
  <c r="T178" i="31"/>
  <c r="U178" i="31"/>
  <c r="V178" i="31"/>
  <c r="W178" i="31"/>
  <c r="X178" i="31"/>
  <c r="Q179" i="31"/>
  <c r="R179" i="31"/>
  <c r="S179" i="31"/>
  <c r="T179" i="31"/>
  <c r="U179" i="31"/>
  <c r="V179" i="31"/>
  <c r="W179" i="31"/>
  <c r="X179" i="31"/>
  <c r="AC179" i="31"/>
  <c r="AD179" i="31"/>
  <c r="Q180" i="31"/>
  <c r="R180" i="31"/>
  <c r="S180" i="31"/>
  <c r="T180" i="31"/>
  <c r="U180" i="31"/>
  <c r="V180" i="31"/>
  <c r="W180" i="31"/>
  <c r="X180" i="31"/>
  <c r="Q181" i="31"/>
  <c r="R181" i="31"/>
  <c r="S181" i="31"/>
  <c r="T181" i="31"/>
  <c r="U181" i="31"/>
  <c r="V181" i="31"/>
  <c r="W181" i="31"/>
  <c r="X181" i="31"/>
  <c r="AC181" i="31"/>
  <c r="AD181" i="31"/>
  <c r="Q182" i="31"/>
  <c r="R182" i="31"/>
  <c r="S182" i="31"/>
  <c r="T182" i="31"/>
  <c r="U182" i="31"/>
  <c r="V182" i="31"/>
  <c r="W182" i="31"/>
  <c r="X182" i="31"/>
  <c r="Q183" i="31"/>
  <c r="R183" i="31"/>
  <c r="S183" i="31"/>
  <c r="T183" i="31"/>
  <c r="U183" i="31"/>
  <c r="V183" i="31"/>
  <c r="W183" i="31"/>
  <c r="X183" i="31"/>
  <c r="AC183" i="31"/>
  <c r="AD183" i="31"/>
  <c r="Q184" i="31"/>
  <c r="R184" i="31"/>
  <c r="S184" i="31"/>
  <c r="T184" i="31"/>
  <c r="U184" i="31"/>
  <c r="V184" i="31"/>
  <c r="W184" i="31"/>
  <c r="X184" i="31"/>
  <c r="AC184" i="31"/>
  <c r="Q185" i="31"/>
  <c r="R185" i="31"/>
  <c r="S185" i="31"/>
  <c r="T185" i="31"/>
  <c r="U185" i="31"/>
  <c r="V185" i="31"/>
  <c r="W185" i="31"/>
  <c r="X185" i="31"/>
  <c r="AD185" i="31" s="1"/>
  <c r="AC185" i="31"/>
  <c r="Q186" i="31"/>
  <c r="R186" i="31"/>
  <c r="S186" i="31"/>
  <c r="T186" i="31"/>
  <c r="U186" i="31"/>
  <c r="V186" i="31"/>
  <c r="W186" i="31"/>
  <c r="X186" i="31"/>
  <c r="Q187" i="31"/>
  <c r="R187" i="31"/>
  <c r="S187" i="31"/>
  <c r="T187" i="31"/>
  <c r="U187" i="31"/>
  <c r="V187" i="31"/>
  <c r="W187" i="31"/>
  <c r="X187" i="31"/>
  <c r="AC187" i="31"/>
  <c r="AD187" i="31"/>
  <c r="Q188" i="31"/>
  <c r="R188" i="31"/>
  <c r="S188" i="31"/>
  <c r="T188" i="31"/>
  <c r="U188" i="31"/>
  <c r="V188" i="31"/>
  <c r="W188" i="31"/>
  <c r="X188" i="31"/>
  <c r="AC188" i="31"/>
  <c r="Q189" i="31"/>
  <c r="R189" i="31"/>
  <c r="S189" i="31"/>
  <c r="T189" i="31"/>
  <c r="U189" i="31"/>
  <c r="V189" i="31"/>
  <c r="W189" i="31"/>
  <c r="X189" i="31"/>
  <c r="AC189" i="31" s="1"/>
  <c r="Q190" i="31"/>
  <c r="R190" i="31"/>
  <c r="S190" i="31"/>
  <c r="T190" i="31"/>
  <c r="U190" i="31"/>
  <c r="V190" i="31"/>
  <c r="W190" i="31"/>
  <c r="X190" i="31"/>
  <c r="Q191" i="31"/>
  <c r="R191" i="31"/>
  <c r="S191" i="31"/>
  <c r="T191" i="31"/>
  <c r="U191" i="31"/>
  <c r="V191" i="31"/>
  <c r="W191" i="31"/>
  <c r="X191" i="31"/>
  <c r="AD191" i="31" s="1"/>
  <c r="Q192" i="31"/>
  <c r="R192" i="31"/>
  <c r="S192" i="31"/>
  <c r="T192" i="31"/>
  <c r="U192" i="31"/>
  <c r="V192" i="31"/>
  <c r="W192" i="31"/>
  <c r="X192" i="31"/>
  <c r="AC192" i="31"/>
  <c r="Q193" i="31"/>
  <c r="R193" i="31"/>
  <c r="S193" i="31"/>
  <c r="T193" i="31"/>
  <c r="U193" i="31"/>
  <c r="V193" i="31"/>
  <c r="W193" i="31"/>
  <c r="X193" i="31"/>
  <c r="AC193" i="31"/>
  <c r="Q194" i="31"/>
  <c r="R194" i="31"/>
  <c r="S194" i="31"/>
  <c r="T194" i="31"/>
  <c r="U194" i="31"/>
  <c r="V194" i="31"/>
  <c r="W194" i="31"/>
  <c r="X194" i="31"/>
  <c r="Q195" i="31"/>
  <c r="R195" i="31"/>
  <c r="S195" i="31"/>
  <c r="T195" i="31"/>
  <c r="U195" i="31"/>
  <c r="V195" i="31"/>
  <c r="W195" i="31"/>
  <c r="X195" i="31"/>
  <c r="AC195" i="31"/>
  <c r="AD195" i="31"/>
  <c r="Q196" i="31"/>
  <c r="R196" i="31"/>
  <c r="S196" i="31"/>
  <c r="T196" i="31"/>
  <c r="U196" i="31"/>
  <c r="V196" i="31"/>
  <c r="W196" i="31"/>
  <c r="X196" i="31"/>
  <c r="Q197" i="31"/>
  <c r="R197" i="31"/>
  <c r="S197" i="31"/>
  <c r="T197" i="31"/>
  <c r="U197" i="31"/>
  <c r="V197" i="31"/>
  <c r="W197" i="31"/>
  <c r="X197" i="31"/>
  <c r="AC197" i="31"/>
  <c r="AD197" i="31"/>
  <c r="Q198" i="31"/>
  <c r="R198" i="31"/>
  <c r="S198" i="31"/>
  <c r="T198" i="31"/>
  <c r="U198" i="31"/>
  <c r="AC198" i="31" s="1"/>
  <c r="V198" i="31"/>
  <c r="W198" i="31"/>
  <c r="X198" i="31"/>
  <c r="AD198" i="31"/>
  <c r="Q199" i="31"/>
  <c r="R199" i="31"/>
  <c r="S199" i="31"/>
  <c r="T199" i="31"/>
  <c r="U199" i="31"/>
  <c r="V199" i="31"/>
  <c r="W199" i="31"/>
  <c r="X199" i="31"/>
  <c r="AC199" i="31"/>
  <c r="Q200" i="31"/>
  <c r="R200" i="31"/>
  <c r="S200" i="31"/>
  <c r="T200" i="31"/>
  <c r="U200" i="31"/>
  <c r="V200" i="31"/>
  <c r="W200" i="31"/>
  <c r="X200" i="31"/>
  <c r="Q201" i="31"/>
  <c r="R201" i="31"/>
  <c r="S201" i="31"/>
  <c r="T201" i="31"/>
  <c r="U201" i="31"/>
  <c r="V201" i="31"/>
  <c r="W201" i="31"/>
  <c r="X201" i="31"/>
  <c r="AD201" i="31" s="1"/>
  <c r="AC201" i="31"/>
  <c r="Q202" i="31"/>
  <c r="R202" i="31"/>
  <c r="S202" i="31"/>
  <c r="T202" i="31"/>
  <c r="U202" i="31"/>
  <c r="V202" i="31"/>
  <c r="W202" i="31"/>
  <c r="X202" i="31"/>
  <c r="AC202" i="31"/>
  <c r="Q203" i="31"/>
  <c r="R203" i="31"/>
  <c r="S203" i="31"/>
  <c r="T203" i="31"/>
  <c r="U203" i="31"/>
  <c r="V203" i="31"/>
  <c r="W203" i="31"/>
  <c r="X203" i="31"/>
  <c r="AC203" i="31"/>
  <c r="AD203" i="31"/>
  <c r="Q204" i="31"/>
  <c r="R204" i="31"/>
  <c r="S204" i="31"/>
  <c r="T204" i="31"/>
  <c r="U204" i="31"/>
  <c r="V204" i="31"/>
  <c r="W204" i="31"/>
  <c r="X204" i="31"/>
  <c r="Q205" i="31"/>
  <c r="R205" i="31"/>
  <c r="S205" i="31"/>
  <c r="T205" i="31"/>
  <c r="U205" i="31"/>
  <c r="V205" i="31"/>
  <c r="W205" i="31"/>
  <c r="X205" i="31"/>
  <c r="Q206" i="31"/>
  <c r="R206" i="31"/>
  <c r="S206" i="31"/>
  <c r="T206" i="31"/>
  <c r="U206" i="31"/>
  <c r="V206" i="31"/>
  <c r="W206" i="31"/>
  <c r="X206" i="31"/>
  <c r="AC206" i="31"/>
  <c r="AD206" i="31"/>
  <c r="Q207" i="31"/>
  <c r="R207" i="31"/>
  <c r="S207" i="31"/>
  <c r="T207" i="31"/>
  <c r="U207" i="31"/>
  <c r="V207" i="31"/>
  <c r="W207" i="31"/>
  <c r="X207" i="31"/>
  <c r="AC207" i="31"/>
  <c r="Q208" i="31"/>
  <c r="R208" i="31"/>
  <c r="S208" i="31"/>
  <c r="T208" i="31"/>
  <c r="U208" i="31"/>
  <c r="V208" i="31"/>
  <c r="W208" i="31"/>
  <c r="X208" i="31"/>
  <c r="Q209" i="31"/>
  <c r="R209" i="31"/>
  <c r="S209" i="31"/>
  <c r="T209" i="31"/>
  <c r="U209" i="31"/>
  <c r="AC209" i="31" s="1"/>
  <c r="V209" i="31"/>
  <c r="W209" i="31"/>
  <c r="X209" i="31"/>
  <c r="Q210" i="31"/>
  <c r="R210" i="31"/>
  <c r="S210" i="31"/>
  <c r="T210" i="31"/>
  <c r="U210" i="31"/>
  <c r="V210" i="31"/>
  <c r="W210" i="31"/>
  <c r="X210" i="31"/>
  <c r="Q211" i="31"/>
  <c r="R211" i="31"/>
  <c r="S211" i="31"/>
  <c r="T211" i="31"/>
  <c r="U211" i="31"/>
  <c r="V211" i="31"/>
  <c r="W211" i="31"/>
  <c r="X211" i="31"/>
  <c r="AC211" i="31"/>
  <c r="AD211" i="31"/>
  <c r="Q212" i="31"/>
  <c r="R212" i="31"/>
  <c r="S212" i="31"/>
  <c r="T212" i="31"/>
  <c r="U212" i="31"/>
  <c r="V212" i="31"/>
  <c r="W212" i="31"/>
  <c r="X212" i="31"/>
  <c r="AC212" i="31"/>
  <c r="Q213" i="31"/>
  <c r="R213" i="31"/>
  <c r="S213" i="31"/>
  <c r="T213" i="31"/>
  <c r="U213" i="31"/>
  <c r="V213" i="31"/>
  <c r="W213" i="31"/>
  <c r="X213" i="31"/>
  <c r="Q214" i="31"/>
  <c r="R214" i="31"/>
  <c r="S214" i="31"/>
  <c r="T214" i="31"/>
  <c r="U214" i="31"/>
  <c r="AC214" i="31" s="1"/>
  <c r="V214" i="31"/>
  <c r="W214" i="31"/>
  <c r="X214" i="31"/>
  <c r="Q215" i="31"/>
  <c r="R215" i="31"/>
  <c r="S215" i="31"/>
  <c r="T215" i="31"/>
  <c r="U215" i="31"/>
  <c r="V215" i="31"/>
  <c r="W215" i="31"/>
  <c r="X215" i="31"/>
  <c r="Q216" i="31"/>
  <c r="R216" i="31"/>
  <c r="S216" i="31"/>
  <c r="T216" i="31"/>
  <c r="U216" i="31"/>
  <c r="V216" i="31"/>
  <c r="W216" i="31"/>
  <c r="X216" i="31"/>
  <c r="AC216" i="31"/>
  <c r="AD216" i="31"/>
  <c r="Q217" i="31"/>
  <c r="R217" i="31"/>
  <c r="S217" i="31"/>
  <c r="T217" i="31"/>
  <c r="U217" i="31"/>
  <c r="V217" i="31"/>
  <c r="W217" i="31"/>
  <c r="X217" i="31"/>
  <c r="Q218" i="31"/>
  <c r="R218" i="31"/>
  <c r="S218" i="31"/>
  <c r="T218" i="31"/>
  <c r="U218" i="31"/>
  <c r="V218" i="31"/>
  <c r="W218" i="31"/>
  <c r="X218" i="31"/>
  <c r="Q219" i="31"/>
  <c r="R219" i="31"/>
  <c r="S219" i="31"/>
  <c r="T219" i="31"/>
  <c r="U219" i="31"/>
  <c r="AC219" i="31" s="1"/>
  <c r="V219" i="31"/>
  <c r="W219" i="31"/>
  <c r="X219" i="31"/>
  <c r="Q220" i="31"/>
  <c r="R220" i="31"/>
  <c r="S220" i="31"/>
  <c r="T220" i="31"/>
  <c r="U220" i="31"/>
  <c r="V220" i="31"/>
  <c r="W220" i="31"/>
  <c r="X220" i="31"/>
  <c r="Q221" i="31"/>
  <c r="R221" i="31"/>
  <c r="S221" i="31"/>
  <c r="T221" i="31"/>
  <c r="U221" i="31"/>
  <c r="V221" i="31"/>
  <c r="W221" i="31"/>
  <c r="X221" i="31"/>
  <c r="AC221" i="31"/>
  <c r="AD221" i="31"/>
  <c r="Q222" i="31"/>
  <c r="R222" i="31"/>
  <c r="S222" i="31"/>
  <c r="T222" i="31"/>
  <c r="U222" i="31"/>
  <c r="V222" i="31"/>
  <c r="W222" i="31"/>
  <c r="X222" i="31"/>
  <c r="Q223" i="31"/>
  <c r="R223" i="31"/>
  <c r="S223" i="31"/>
  <c r="T223" i="31"/>
  <c r="U223" i="31"/>
  <c r="V223" i="31"/>
  <c r="W223" i="31"/>
  <c r="X223" i="31"/>
  <c r="Q224" i="31"/>
  <c r="R224" i="31"/>
  <c r="S224" i="31"/>
  <c r="T224" i="31"/>
  <c r="U224" i="31"/>
  <c r="AC224" i="31" s="1"/>
  <c r="V224" i="31"/>
  <c r="W224" i="31"/>
  <c r="X224" i="31"/>
  <c r="Q225" i="31"/>
  <c r="R225" i="31"/>
  <c r="S225" i="31"/>
  <c r="T225" i="31"/>
  <c r="U225" i="31"/>
  <c r="V225" i="31"/>
  <c r="W225" i="31"/>
  <c r="X225" i="31"/>
  <c r="Q226" i="31"/>
  <c r="R226" i="31"/>
  <c r="S226" i="31"/>
  <c r="T226" i="31"/>
  <c r="U226" i="31"/>
  <c r="V226" i="31"/>
  <c r="W226" i="31"/>
  <c r="X226" i="31"/>
  <c r="AC226" i="31"/>
  <c r="AD226" i="31"/>
  <c r="Q227" i="31"/>
  <c r="R227" i="31"/>
  <c r="S227" i="31"/>
  <c r="T227" i="31"/>
  <c r="U227" i="31"/>
  <c r="V227" i="31"/>
  <c r="W227" i="31"/>
  <c r="X227" i="31"/>
  <c r="Q228" i="31"/>
  <c r="R228" i="31"/>
  <c r="S228" i="31"/>
  <c r="T228" i="31"/>
  <c r="U228" i="31"/>
  <c r="V228" i="31"/>
  <c r="W228" i="31"/>
  <c r="X228" i="31"/>
  <c r="Q229" i="31"/>
  <c r="R229" i="31"/>
  <c r="S229" i="31"/>
  <c r="T229" i="31"/>
  <c r="U229" i="31"/>
  <c r="V229" i="31"/>
  <c r="W229" i="31"/>
  <c r="X229" i="31"/>
  <c r="Q230" i="31"/>
  <c r="R230" i="31"/>
  <c r="S230" i="31"/>
  <c r="T230" i="31"/>
  <c r="U230" i="31"/>
  <c r="V230" i="31"/>
  <c r="W230" i="31"/>
  <c r="X230" i="31"/>
  <c r="Q231" i="31"/>
  <c r="R231" i="31"/>
  <c r="S231" i="31"/>
  <c r="T231" i="31"/>
  <c r="U231" i="31"/>
  <c r="V231" i="31"/>
  <c r="W231" i="31"/>
  <c r="X231" i="31"/>
  <c r="AC231" i="31"/>
  <c r="AD231" i="31"/>
  <c r="Q232" i="31"/>
  <c r="R232" i="31"/>
  <c r="S232" i="31"/>
  <c r="T232" i="31"/>
  <c r="U232" i="31"/>
  <c r="V232" i="31"/>
  <c r="W232" i="31"/>
  <c r="AC232" i="31" s="1"/>
  <c r="X232" i="31"/>
  <c r="Q233" i="31"/>
  <c r="R233" i="31"/>
  <c r="S233" i="31"/>
  <c r="T233" i="31"/>
  <c r="U233" i="31"/>
  <c r="V233" i="31"/>
  <c r="W233" i="31"/>
  <c r="X233" i="31"/>
  <c r="Q234" i="31"/>
  <c r="R234" i="31"/>
  <c r="S234" i="31"/>
  <c r="T234" i="31"/>
  <c r="U234" i="31"/>
  <c r="V234" i="31"/>
  <c r="W234" i="31"/>
  <c r="X234" i="31"/>
  <c r="Q235" i="31"/>
  <c r="R235" i="31"/>
  <c r="S235" i="31"/>
  <c r="T235" i="31"/>
  <c r="U235" i="31"/>
  <c r="V235" i="31"/>
  <c r="W235" i="31"/>
  <c r="X235" i="31"/>
  <c r="Q236" i="31"/>
  <c r="R236" i="31"/>
  <c r="S236" i="31"/>
  <c r="T236" i="31"/>
  <c r="U236" i="31"/>
  <c r="V236" i="31"/>
  <c r="W236" i="31"/>
  <c r="X236" i="31"/>
  <c r="AC236" i="31"/>
  <c r="AD236" i="31"/>
  <c r="Q237" i="31"/>
  <c r="R237" i="31"/>
  <c r="S237" i="31"/>
  <c r="T237" i="31"/>
  <c r="U237" i="31"/>
  <c r="V237" i="31"/>
  <c r="W237" i="31"/>
  <c r="X237" i="31"/>
  <c r="Q238" i="31"/>
  <c r="R238" i="31"/>
  <c r="S238" i="31"/>
  <c r="T238" i="31"/>
  <c r="U238" i="31"/>
  <c r="V238" i="31"/>
  <c r="W238" i="31"/>
  <c r="X238" i="31"/>
  <c r="AC238" i="31"/>
  <c r="Q239" i="31"/>
  <c r="R239" i="31"/>
  <c r="S239" i="31"/>
  <c r="T239" i="31"/>
  <c r="U239" i="31"/>
  <c r="V239" i="31"/>
  <c r="W239" i="31"/>
  <c r="X239" i="31"/>
  <c r="AC239" i="31"/>
  <c r="Q240" i="31"/>
  <c r="R240" i="31"/>
  <c r="S240" i="31"/>
  <c r="T240" i="31"/>
  <c r="U240" i="31"/>
  <c r="V240" i="31"/>
  <c r="W240" i="31"/>
  <c r="X240" i="31"/>
  <c r="Q241" i="31"/>
  <c r="R241" i="31"/>
  <c r="S241" i="31"/>
  <c r="T241" i="31"/>
  <c r="U241" i="31"/>
  <c r="AC241" i="31" s="1"/>
  <c r="V241" i="31"/>
  <c r="W241" i="31"/>
  <c r="X241" i="31"/>
  <c r="AD241" i="31"/>
  <c r="Q242" i="31"/>
  <c r="R242" i="31"/>
  <c r="S242" i="31"/>
  <c r="T242" i="31"/>
  <c r="U242" i="31"/>
  <c r="V242" i="31"/>
  <c r="W242" i="31"/>
  <c r="X242" i="31"/>
  <c r="AD242" i="31"/>
  <c r="Q243" i="31"/>
  <c r="R243" i="31"/>
  <c r="S243" i="31"/>
  <c r="T243" i="31"/>
  <c r="U243" i="31"/>
  <c r="V243" i="31"/>
  <c r="W243" i="31"/>
  <c r="X243" i="31"/>
  <c r="Q244" i="31"/>
  <c r="R244" i="31"/>
  <c r="S244" i="31"/>
  <c r="T244" i="31"/>
  <c r="U244" i="31"/>
  <c r="V244" i="31"/>
  <c r="W244" i="31"/>
  <c r="X244" i="31"/>
  <c r="Q245" i="31"/>
  <c r="R245" i="31"/>
  <c r="S245" i="31"/>
  <c r="T245" i="31"/>
  <c r="U245" i="31"/>
  <c r="V245" i="31"/>
  <c r="W245" i="31"/>
  <c r="X245" i="31"/>
  <c r="Q246" i="31"/>
  <c r="R246" i="31"/>
  <c r="S246" i="31"/>
  <c r="T246" i="31"/>
  <c r="U246" i="31"/>
  <c r="V246" i="31"/>
  <c r="W246" i="31"/>
  <c r="X246" i="31"/>
  <c r="AD246" i="31"/>
  <c r="Q247" i="31"/>
  <c r="R247" i="31"/>
  <c r="S247" i="31"/>
  <c r="T247" i="31"/>
  <c r="U247" i="31"/>
  <c r="V247" i="31"/>
  <c r="W247" i="31"/>
  <c r="X247" i="31"/>
  <c r="Q248" i="31"/>
  <c r="R248" i="31"/>
  <c r="S248" i="31"/>
  <c r="T248" i="31"/>
  <c r="U248" i="31"/>
  <c r="V248" i="31"/>
  <c r="W248" i="31"/>
  <c r="X248" i="31"/>
  <c r="Q249" i="31"/>
  <c r="R249" i="31"/>
  <c r="S249" i="31"/>
  <c r="T249" i="31"/>
  <c r="U249" i="31"/>
  <c r="V249" i="31"/>
  <c r="W249" i="31"/>
  <c r="X249" i="31"/>
  <c r="Q250" i="31"/>
  <c r="R250" i="31"/>
  <c r="S250" i="31"/>
  <c r="T250" i="31"/>
  <c r="U250" i="31"/>
  <c r="V250" i="31"/>
  <c r="W250" i="31"/>
  <c r="X250" i="31"/>
  <c r="AD250" i="31"/>
  <c r="Q251" i="31"/>
  <c r="R251" i="31"/>
  <c r="S251" i="31"/>
  <c r="T251" i="31"/>
  <c r="U251" i="31"/>
  <c r="V251" i="31"/>
  <c r="W251" i="31"/>
  <c r="X251" i="31"/>
  <c r="Q252" i="31"/>
  <c r="R252" i="31"/>
  <c r="S252" i="31"/>
  <c r="T252" i="31"/>
  <c r="U252" i="31"/>
  <c r="V252" i="31"/>
  <c r="W252" i="31"/>
  <c r="X252" i="31"/>
  <c r="Q253" i="31"/>
  <c r="R253" i="31"/>
  <c r="S253" i="31"/>
  <c r="T253" i="31"/>
  <c r="U253" i="31"/>
  <c r="V253" i="31"/>
  <c r="W253" i="31"/>
  <c r="X253" i="31"/>
  <c r="Q254" i="31"/>
  <c r="R254" i="31"/>
  <c r="S254" i="31"/>
  <c r="T254" i="31"/>
  <c r="U254" i="31"/>
  <c r="V254" i="31"/>
  <c r="W254" i="31"/>
  <c r="X254" i="31"/>
  <c r="AD254" i="31"/>
  <c r="Q255" i="31"/>
  <c r="R255" i="31"/>
  <c r="S255" i="31"/>
  <c r="T255" i="31"/>
  <c r="U255" i="31"/>
  <c r="V255" i="31"/>
  <c r="W255" i="31"/>
  <c r="X255" i="31"/>
  <c r="Q256" i="31"/>
  <c r="R256" i="31"/>
  <c r="S256" i="31"/>
  <c r="T256" i="31"/>
  <c r="U256" i="31"/>
  <c r="V256" i="31"/>
  <c r="W256" i="31"/>
  <c r="X256" i="31"/>
  <c r="Q257" i="31"/>
  <c r="R257" i="31"/>
  <c r="S257" i="31"/>
  <c r="T257" i="31"/>
  <c r="U257" i="31"/>
  <c r="V257" i="31"/>
  <c r="W257" i="31"/>
  <c r="X257" i="31"/>
  <c r="Q258" i="31"/>
  <c r="R258" i="31"/>
  <c r="S258" i="31"/>
  <c r="T258" i="31"/>
  <c r="U258" i="31"/>
  <c r="V258" i="31"/>
  <c r="W258" i="31"/>
  <c r="X258" i="31"/>
  <c r="AD258" i="31"/>
  <c r="Q259" i="31"/>
  <c r="R259" i="31"/>
  <c r="S259" i="31"/>
  <c r="T259" i="31"/>
  <c r="U259" i="31"/>
  <c r="V259" i="31"/>
  <c r="W259" i="31"/>
  <c r="X259" i="31"/>
  <c r="Q260" i="31"/>
  <c r="R260" i="31"/>
  <c r="S260" i="31"/>
  <c r="T260" i="31"/>
  <c r="U260" i="31"/>
  <c r="V260" i="31"/>
  <c r="W260" i="31"/>
  <c r="X260" i="31"/>
  <c r="Q261" i="31"/>
  <c r="R261" i="31"/>
  <c r="S261" i="31"/>
  <c r="T261" i="31"/>
  <c r="U261" i="31"/>
  <c r="V261" i="31"/>
  <c r="W261" i="31"/>
  <c r="X261" i="31"/>
  <c r="Q262" i="31"/>
  <c r="R262" i="31"/>
  <c r="S262" i="31"/>
  <c r="T262" i="31"/>
  <c r="U262" i="31"/>
  <c r="V262" i="31"/>
  <c r="W262" i="31"/>
  <c r="X262" i="31"/>
  <c r="AD262" i="31"/>
  <c r="Q263" i="31"/>
  <c r="R263" i="31"/>
  <c r="S263" i="31"/>
  <c r="T263" i="31"/>
  <c r="U263" i="31"/>
  <c r="V263" i="31"/>
  <c r="W263" i="31"/>
  <c r="X263" i="31"/>
  <c r="Q264" i="31"/>
  <c r="R264" i="31"/>
  <c r="S264" i="31"/>
  <c r="T264" i="31"/>
  <c r="U264" i="31"/>
  <c r="V264" i="31"/>
  <c r="W264" i="31"/>
  <c r="X264" i="31"/>
  <c r="Q265" i="31"/>
  <c r="R265" i="31"/>
  <c r="S265" i="31"/>
  <c r="T265" i="31"/>
  <c r="U265" i="31"/>
  <c r="V265" i="31"/>
  <c r="W265" i="31"/>
  <c r="X265" i="31"/>
  <c r="Q266" i="31"/>
  <c r="R266" i="31"/>
  <c r="S266" i="31"/>
  <c r="T266" i="31"/>
  <c r="U266" i="31"/>
  <c r="V266" i="31"/>
  <c r="W266" i="31"/>
  <c r="X266" i="31"/>
  <c r="AD266" i="31"/>
  <c r="Q267" i="31"/>
  <c r="R267" i="31"/>
  <c r="S267" i="31"/>
  <c r="T267" i="31"/>
  <c r="U267" i="31"/>
  <c r="V267" i="31"/>
  <c r="W267" i="31"/>
  <c r="X267" i="31"/>
  <c r="Q268" i="31"/>
  <c r="R268" i="31"/>
  <c r="S268" i="31"/>
  <c r="T268" i="31"/>
  <c r="U268" i="31"/>
  <c r="V268" i="31"/>
  <c r="W268" i="31"/>
  <c r="X268" i="31"/>
  <c r="Q269" i="31"/>
  <c r="R269" i="31"/>
  <c r="S269" i="31"/>
  <c r="T269" i="31"/>
  <c r="U269" i="31"/>
  <c r="V269" i="31"/>
  <c r="W269" i="31"/>
  <c r="X269" i="31"/>
  <c r="Q270" i="31"/>
  <c r="R270" i="31"/>
  <c r="S270" i="31"/>
  <c r="T270" i="31"/>
  <c r="U270" i="31"/>
  <c r="V270" i="31"/>
  <c r="W270" i="31"/>
  <c r="X270" i="31"/>
  <c r="AD270" i="31"/>
  <c r="Q271" i="31"/>
  <c r="R271" i="31"/>
  <c r="S271" i="31"/>
  <c r="T271" i="31"/>
  <c r="U271" i="31"/>
  <c r="V271" i="31"/>
  <c r="W271" i="31"/>
  <c r="X271" i="31"/>
  <c r="Q272" i="31"/>
  <c r="R272" i="31"/>
  <c r="S272" i="31"/>
  <c r="T272" i="31"/>
  <c r="U272" i="31"/>
  <c r="V272" i="31"/>
  <c r="W272" i="31"/>
  <c r="X272" i="31"/>
  <c r="Q273" i="31"/>
  <c r="R273" i="31"/>
  <c r="S273" i="31"/>
  <c r="T273" i="31"/>
  <c r="U273" i="31"/>
  <c r="V273" i="31"/>
  <c r="W273" i="31"/>
  <c r="X273" i="31"/>
  <c r="Q274" i="31"/>
  <c r="R274" i="31"/>
  <c r="S274" i="31"/>
  <c r="T274" i="31"/>
  <c r="U274" i="31"/>
  <c r="V274" i="31"/>
  <c r="W274" i="31"/>
  <c r="X274" i="31"/>
  <c r="Q275" i="31"/>
  <c r="R275" i="31"/>
  <c r="S275" i="31"/>
  <c r="T275" i="31"/>
  <c r="U275" i="31"/>
  <c r="V275" i="31"/>
  <c r="W275" i="31"/>
  <c r="X275" i="31"/>
  <c r="Q276" i="31"/>
  <c r="R276" i="31"/>
  <c r="S276" i="31"/>
  <c r="T276" i="31"/>
  <c r="U276" i="31"/>
  <c r="V276" i="31"/>
  <c r="W276" i="31"/>
  <c r="X276" i="31"/>
  <c r="Q277" i="31"/>
  <c r="R277" i="31"/>
  <c r="S277" i="31"/>
  <c r="T277" i="31"/>
  <c r="U277" i="31"/>
  <c r="V277" i="31"/>
  <c r="W277" i="31"/>
  <c r="X277" i="31"/>
  <c r="Q278" i="31"/>
  <c r="R278" i="31"/>
  <c r="S278" i="31"/>
  <c r="T278" i="31"/>
  <c r="U278" i="31"/>
  <c r="V278" i="31"/>
  <c r="W278" i="31"/>
  <c r="X278" i="31"/>
  <c r="Q279" i="31"/>
  <c r="R279" i="31"/>
  <c r="S279" i="31"/>
  <c r="T279" i="31"/>
  <c r="U279" i="31"/>
  <c r="V279" i="31"/>
  <c r="W279" i="31"/>
  <c r="X279" i="31"/>
  <c r="Q280" i="31"/>
  <c r="R280" i="31"/>
  <c r="S280" i="31"/>
  <c r="T280" i="31"/>
  <c r="U280" i="31"/>
  <c r="V280" i="31"/>
  <c r="W280" i="31"/>
  <c r="X280" i="31"/>
  <c r="Q281" i="31"/>
  <c r="R281" i="31"/>
  <c r="S281" i="31"/>
  <c r="T281" i="31"/>
  <c r="U281" i="31"/>
  <c r="V281" i="31"/>
  <c r="W281" i="31"/>
  <c r="X281" i="31"/>
  <c r="Q282" i="31"/>
  <c r="R282" i="31"/>
  <c r="S282" i="31"/>
  <c r="T282" i="31"/>
  <c r="U282" i="31"/>
  <c r="V282" i="31"/>
  <c r="W282" i="31"/>
  <c r="X282" i="31"/>
  <c r="Q283" i="31"/>
  <c r="R283" i="31"/>
  <c r="S283" i="31"/>
  <c r="T283" i="31"/>
  <c r="U283" i="31"/>
  <c r="V283" i="31"/>
  <c r="W283" i="31"/>
  <c r="X283" i="31"/>
  <c r="Q284" i="31"/>
  <c r="R284" i="31"/>
  <c r="S284" i="31"/>
  <c r="T284" i="31"/>
  <c r="U284" i="31"/>
  <c r="V284" i="31"/>
  <c r="W284" i="31"/>
  <c r="X284" i="31"/>
  <c r="Q285" i="31"/>
  <c r="R285" i="31"/>
  <c r="S285" i="31"/>
  <c r="T285" i="31"/>
  <c r="U285" i="31"/>
  <c r="V285" i="31"/>
  <c r="W285" i="31"/>
  <c r="X285" i="31"/>
  <c r="Q286" i="31"/>
  <c r="R286" i="31"/>
  <c r="S286" i="31"/>
  <c r="T286" i="31"/>
  <c r="U286" i="31"/>
  <c r="AD286" i="31" s="1"/>
  <c r="V286" i="31"/>
  <c r="W286" i="31"/>
  <c r="X286" i="31"/>
  <c r="Q287" i="31"/>
  <c r="R287" i="31"/>
  <c r="S287" i="31"/>
  <c r="T287" i="31"/>
  <c r="U287" i="31"/>
  <c r="V287" i="31"/>
  <c r="W287" i="31"/>
  <c r="X287" i="31"/>
  <c r="Q288" i="31"/>
  <c r="R288" i="31"/>
  <c r="S288" i="31"/>
  <c r="T288" i="31"/>
  <c r="U288" i="31"/>
  <c r="V288" i="31"/>
  <c r="W288" i="31"/>
  <c r="X288" i="31"/>
  <c r="Q289" i="31"/>
  <c r="R289" i="31"/>
  <c r="S289" i="31"/>
  <c r="T289" i="31"/>
  <c r="U289" i="31"/>
  <c r="V289" i="31"/>
  <c r="W289" i="31"/>
  <c r="X289" i="31"/>
  <c r="Q290" i="31"/>
  <c r="R290" i="31"/>
  <c r="S290" i="31"/>
  <c r="T290" i="31"/>
  <c r="U290" i="31"/>
  <c r="V290" i="31"/>
  <c r="W290" i="31"/>
  <c r="X290" i="31"/>
  <c r="AD290" i="31"/>
  <c r="Q291" i="31"/>
  <c r="R291" i="31"/>
  <c r="S291" i="31"/>
  <c r="T291" i="31"/>
  <c r="U291" i="31"/>
  <c r="V291" i="31"/>
  <c r="W291" i="31"/>
  <c r="X291" i="31"/>
  <c r="Q292" i="31"/>
  <c r="R292" i="31"/>
  <c r="S292" i="31"/>
  <c r="T292" i="31"/>
  <c r="U292" i="31"/>
  <c r="V292" i="31"/>
  <c r="W292" i="31"/>
  <c r="X292" i="31"/>
  <c r="Q293" i="31"/>
  <c r="R293" i="31"/>
  <c r="S293" i="31"/>
  <c r="T293" i="31"/>
  <c r="U293" i="31"/>
  <c r="V293" i="31"/>
  <c r="W293" i="31"/>
  <c r="X293" i="31"/>
  <c r="Q294" i="31"/>
  <c r="R294" i="31"/>
  <c r="S294" i="31"/>
  <c r="T294" i="31"/>
  <c r="U294" i="31"/>
  <c r="V294" i="31"/>
  <c r="W294" i="31"/>
  <c r="X294" i="31"/>
  <c r="AD294" i="31"/>
  <c r="Q295" i="31"/>
  <c r="R295" i="31"/>
  <c r="S295" i="31"/>
  <c r="T295" i="31"/>
  <c r="U295" i="31"/>
  <c r="V295" i="31"/>
  <c r="W295" i="31"/>
  <c r="X295" i="31"/>
  <c r="Q296" i="31"/>
  <c r="R296" i="31"/>
  <c r="S296" i="31"/>
  <c r="T296" i="31"/>
  <c r="U296" i="31"/>
  <c r="V296" i="31"/>
  <c r="W296" i="31"/>
  <c r="X296" i="31"/>
  <c r="Q297" i="31"/>
  <c r="R297" i="31"/>
  <c r="S297" i="31"/>
  <c r="T297" i="31"/>
  <c r="U297" i="31"/>
  <c r="V297" i="31"/>
  <c r="W297" i="31"/>
  <c r="X297" i="31"/>
  <c r="Q298" i="31"/>
  <c r="R298" i="31"/>
  <c r="S298" i="31"/>
  <c r="T298" i="31"/>
  <c r="U298" i="31"/>
  <c r="V298" i="31"/>
  <c r="W298" i="31"/>
  <c r="X298" i="31"/>
  <c r="Q299" i="31"/>
  <c r="R299" i="31"/>
  <c r="S299" i="31"/>
  <c r="T299" i="31"/>
  <c r="U299" i="31"/>
  <c r="V299" i="31"/>
  <c r="W299" i="31"/>
  <c r="X299" i="31"/>
  <c r="Q300" i="31"/>
  <c r="R300" i="31"/>
  <c r="S300" i="31"/>
  <c r="T300" i="31"/>
  <c r="U300" i="31"/>
  <c r="V300" i="31"/>
  <c r="W300" i="31"/>
  <c r="X300" i="31"/>
  <c r="Q301" i="31"/>
  <c r="R301" i="31"/>
  <c r="S301" i="31"/>
  <c r="T301" i="31"/>
  <c r="U301" i="31"/>
  <c r="V301" i="31"/>
  <c r="W301" i="31"/>
  <c r="X301" i="31"/>
  <c r="Q302" i="31"/>
  <c r="R302" i="31"/>
  <c r="S302" i="31"/>
  <c r="T302" i="31"/>
  <c r="U302" i="31"/>
  <c r="V302" i="31"/>
  <c r="W302" i="31"/>
  <c r="X302" i="31"/>
  <c r="Q303" i="31"/>
  <c r="R303" i="31"/>
  <c r="S303" i="31"/>
  <c r="T303" i="31"/>
  <c r="U303" i="31"/>
  <c r="V303" i="31"/>
  <c r="W303" i="31"/>
  <c r="X303" i="31"/>
  <c r="Q304" i="31"/>
  <c r="R304" i="31"/>
  <c r="S304" i="31"/>
  <c r="T304" i="31"/>
  <c r="U304" i="31"/>
  <c r="V304" i="31"/>
  <c r="W304" i="31"/>
  <c r="X304" i="31"/>
  <c r="Q305" i="31"/>
  <c r="R305" i="31"/>
  <c r="S305" i="31"/>
  <c r="T305" i="31"/>
  <c r="U305" i="31"/>
  <c r="V305" i="31"/>
  <c r="W305" i="31"/>
  <c r="X305" i="31"/>
  <c r="Q306" i="31"/>
  <c r="R306" i="31"/>
  <c r="S306" i="31"/>
  <c r="T306" i="31"/>
  <c r="U306" i="31"/>
  <c r="V306" i="31"/>
  <c r="W306" i="31"/>
  <c r="X306" i="31"/>
  <c r="Q307" i="31"/>
  <c r="R307" i="31"/>
  <c r="S307" i="31"/>
  <c r="T307" i="31"/>
  <c r="U307" i="31"/>
  <c r="V307" i="31"/>
  <c r="W307" i="31"/>
  <c r="X307" i="31"/>
  <c r="Q308" i="31"/>
  <c r="R308" i="31"/>
  <c r="S308" i="31"/>
  <c r="T308" i="31"/>
  <c r="U308" i="31"/>
  <c r="V308" i="31"/>
  <c r="W308" i="31"/>
  <c r="X308" i="31"/>
  <c r="Q309" i="31"/>
  <c r="R309" i="31"/>
  <c r="S309" i="31"/>
  <c r="T309" i="31"/>
  <c r="U309" i="31"/>
  <c r="V309" i="31"/>
  <c r="W309" i="31"/>
  <c r="X309" i="31"/>
  <c r="Q310" i="31"/>
  <c r="R310" i="31"/>
  <c r="S310" i="31"/>
  <c r="T310" i="31"/>
  <c r="U310" i="31"/>
  <c r="V310" i="31"/>
  <c r="W310" i="31"/>
  <c r="X310" i="31"/>
  <c r="Q311" i="31"/>
  <c r="R311" i="31"/>
  <c r="S311" i="31"/>
  <c r="T311" i="31"/>
  <c r="U311" i="31"/>
  <c r="V311" i="31"/>
  <c r="W311" i="31"/>
  <c r="X311" i="31"/>
  <c r="Q312" i="31"/>
  <c r="R312" i="31"/>
  <c r="S312" i="31"/>
  <c r="T312" i="31"/>
  <c r="U312" i="31"/>
  <c r="V312" i="31"/>
  <c r="W312" i="31"/>
  <c r="X312" i="31"/>
  <c r="Q313" i="31"/>
  <c r="R313" i="31"/>
  <c r="S313" i="31"/>
  <c r="T313" i="31"/>
  <c r="U313" i="31"/>
  <c r="V313" i="31"/>
  <c r="W313" i="31"/>
  <c r="X313" i="31"/>
  <c r="Q314" i="31"/>
  <c r="R314" i="31"/>
  <c r="S314" i="31"/>
  <c r="T314" i="31"/>
  <c r="U314" i="31"/>
  <c r="V314" i="31"/>
  <c r="W314" i="31"/>
  <c r="X314" i="31"/>
  <c r="Q315" i="31"/>
  <c r="R315" i="31"/>
  <c r="S315" i="31"/>
  <c r="T315" i="31"/>
  <c r="U315" i="31"/>
  <c r="V315" i="31"/>
  <c r="W315" i="31"/>
  <c r="X315" i="31"/>
  <c r="Q316" i="31"/>
  <c r="R316" i="31"/>
  <c r="S316" i="31"/>
  <c r="T316" i="31"/>
  <c r="U316" i="31"/>
  <c r="V316" i="31"/>
  <c r="W316" i="31"/>
  <c r="X316" i="31"/>
  <c r="Q317" i="31"/>
  <c r="R317" i="31"/>
  <c r="S317" i="31"/>
  <c r="T317" i="31"/>
  <c r="U317" i="31"/>
  <c r="V317" i="31"/>
  <c r="W317" i="31"/>
  <c r="X317" i="31"/>
  <c r="Q318" i="31"/>
  <c r="R318" i="31"/>
  <c r="S318" i="31"/>
  <c r="T318" i="31"/>
  <c r="U318" i="31"/>
  <c r="V318" i="31"/>
  <c r="W318" i="31"/>
  <c r="X318" i="31"/>
  <c r="Q319" i="31"/>
  <c r="R319" i="31"/>
  <c r="S319" i="31"/>
  <c r="T319" i="31"/>
  <c r="U319" i="31"/>
  <c r="V319" i="31"/>
  <c r="W319" i="31"/>
  <c r="X319" i="31"/>
  <c r="Q320" i="31"/>
  <c r="R320" i="31"/>
  <c r="S320" i="31"/>
  <c r="T320" i="31"/>
  <c r="U320" i="31"/>
  <c r="V320" i="31"/>
  <c r="W320" i="31"/>
  <c r="X320" i="31"/>
  <c r="Q321" i="31"/>
  <c r="R321" i="31"/>
  <c r="S321" i="31"/>
  <c r="T321" i="31"/>
  <c r="U321" i="31"/>
  <c r="V321" i="31"/>
  <c r="W321" i="31"/>
  <c r="X321" i="31"/>
  <c r="Q322" i="31"/>
  <c r="R322" i="31"/>
  <c r="S322" i="31"/>
  <c r="T322" i="31"/>
  <c r="U322" i="31"/>
  <c r="AD322" i="31" s="1"/>
  <c r="V322" i="31"/>
  <c r="W322" i="31"/>
  <c r="X322" i="31"/>
  <c r="Q323" i="31"/>
  <c r="R323" i="31"/>
  <c r="S323" i="31"/>
  <c r="T323" i="31"/>
  <c r="U323" i="31"/>
  <c r="V323" i="31"/>
  <c r="W323" i="31"/>
  <c r="X323" i="31"/>
  <c r="Q324" i="31"/>
  <c r="R324" i="31"/>
  <c r="S324" i="31"/>
  <c r="T324" i="31"/>
  <c r="U324" i="31"/>
  <c r="V324" i="31"/>
  <c r="W324" i="31"/>
  <c r="X324" i="31"/>
  <c r="Q325" i="31"/>
  <c r="R325" i="31"/>
  <c r="S325" i="31"/>
  <c r="T325" i="31"/>
  <c r="U325" i="31"/>
  <c r="V325" i="31"/>
  <c r="W325" i="31"/>
  <c r="X325" i="31"/>
  <c r="Q326" i="31"/>
  <c r="R326" i="31"/>
  <c r="S326" i="31"/>
  <c r="T326" i="31"/>
  <c r="U326" i="31"/>
  <c r="AD326" i="31" s="1"/>
  <c r="V326" i="31"/>
  <c r="W326" i="31"/>
  <c r="X326" i="31"/>
  <c r="Q327" i="31"/>
  <c r="R327" i="31"/>
  <c r="S327" i="31"/>
  <c r="T327" i="31"/>
  <c r="U327" i="31"/>
  <c r="V327" i="31"/>
  <c r="W327" i="31"/>
  <c r="X327" i="31"/>
  <c r="Q328" i="31"/>
  <c r="R328" i="31"/>
  <c r="S328" i="31"/>
  <c r="T328" i="31"/>
  <c r="U328" i="31"/>
  <c r="V328" i="31"/>
  <c r="W328" i="31"/>
  <c r="X328" i="31"/>
  <c r="Q329" i="31"/>
  <c r="R329" i="31"/>
  <c r="S329" i="31"/>
  <c r="T329" i="31"/>
  <c r="U329" i="31"/>
  <c r="V329" i="31"/>
  <c r="W329" i="31"/>
  <c r="X329" i="31"/>
  <c r="Q330" i="31"/>
  <c r="R330" i="31"/>
  <c r="S330" i="31"/>
  <c r="T330" i="31"/>
  <c r="U330" i="31"/>
  <c r="AD330" i="31" s="1"/>
  <c r="V330" i="31"/>
  <c r="W330" i="31"/>
  <c r="X330" i="31"/>
  <c r="Q331" i="31"/>
  <c r="R331" i="31"/>
  <c r="S331" i="31"/>
  <c r="T331" i="31"/>
  <c r="U331" i="31"/>
  <c r="V331" i="31"/>
  <c r="W331" i="31"/>
  <c r="X331" i="31"/>
  <c r="Q332" i="31"/>
  <c r="R332" i="31"/>
  <c r="S332" i="31"/>
  <c r="T332" i="31"/>
  <c r="U332" i="31"/>
  <c r="V332" i="31"/>
  <c r="W332" i="31"/>
  <c r="X332" i="31"/>
  <c r="Q333" i="31"/>
  <c r="R333" i="31"/>
  <c r="S333" i="31"/>
  <c r="T333" i="31"/>
  <c r="U333" i="31"/>
  <c r="V333" i="31"/>
  <c r="W333" i="31"/>
  <c r="X333" i="31"/>
  <c r="Q334" i="31"/>
  <c r="R334" i="31"/>
  <c r="S334" i="31"/>
  <c r="T334" i="31"/>
  <c r="U334" i="31"/>
  <c r="V334" i="31"/>
  <c r="W334" i="31"/>
  <c r="X334" i="31"/>
  <c r="AC334" i="31"/>
  <c r="AD334" i="31"/>
  <c r="Q335" i="31"/>
  <c r="R335" i="31"/>
  <c r="S335" i="31"/>
  <c r="T335" i="31"/>
  <c r="U335" i="31"/>
  <c r="V335" i="31"/>
  <c r="W335" i="31"/>
  <c r="X335" i="31"/>
  <c r="Q336" i="31"/>
  <c r="R336" i="31"/>
  <c r="S336" i="31"/>
  <c r="T336" i="31"/>
  <c r="U336" i="31"/>
  <c r="V336" i="31"/>
  <c r="W336" i="31"/>
  <c r="X336" i="31"/>
  <c r="Q337" i="31"/>
  <c r="R337" i="31"/>
  <c r="S337" i="31"/>
  <c r="T337" i="31"/>
  <c r="U337" i="31"/>
  <c r="V337" i="31"/>
  <c r="W337" i="31"/>
  <c r="X337" i="31"/>
  <c r="Q338" i="31"/>
  <c r="R338" i="31"/>
  <c r="S338" i="31"/>
  <c r="T338" i="31"/>
  <c r="U338" i="31"/>
  <c r="V338" i="31"/>
  <c r="W338" i="31"/>
  <c r="X338" i="31"/>
  <c r="AC338" i="31"/>
  <c r="Q339" i="31"/>
  <c r="R339" i="31"/>
  <c r="S339" i="31"/>
  <c r="T339" i="31"/>
  <c r="U339" i="31"/>
  <c r="V339" i="31"/>
  <c r="W339" i="31"/>
  <c r="X339" i="31"/>
  <c r="Q340" i="31"/>
  <c r="R340" i="31"/>
  <c r="S340" i="31"/>
  <c r="T340" i="31"/>
  <c r="U340" i="31"/>
  <c r="V340" i="31"/>
  <c r="W340" i="31"/>
  <c r="X340" i="31"/>
  <c r="Q341" i="31"/>
  <c r="R341" i="31"/>
  <c r="S341" i="31"/>
  <c r="T341" i="31"/>
  <c r="U341" i="31"/>
  <c r="V341" i="31"/>
  <c r="W341" i="31"/>
  <c r="X341" i="31"/>
  <c r="Q342" i="31"/>
  <c r="R342" i="31"/>
  <c r="S342" i="31"/>
  <c r="T342" i="31"/>
  <c r="U342" i="31"/>
  <c r="V342" i="31"/>
  <c r="W342" i="31"/>
  <c r="X342" i="31"/>
  <c r="Q343" i="31"/>
  <c r="R343" i="31"/>
  <c r="S343" i="31"/>
  <c r="T343" i="31"/>
  <c r="U343" i="31"/>
  <c r="V343" i="31"/>
  <c r="W343" i="31"/>
  <c r="X343" i="31"/>
  <c r="Q344" i="31"/>
  <c r="R344" i="31"/>
  <c r="S344" i="31"/>
  <c r="T344" i="31"/>
  <c r="U344" i="31"/>
  <c r="V344" i="31"/>
  <c r="W344" i="31"/>
  <c r="X344" i="31"/>
  <c r="AC344" i="31"/>
  <c r="AD344" i="31"/>
  <c r="Q345" i="31"/>
  <c r="R345" i="31"/>
  <c r="S345" i="31"/>
  <c r="T345" i="31"/>
  <c r="U345" i="31"/>
  <c r="V345" i="31"/>
  <c r="W345" i="31"/>
  <c r="X345" i="31"/>
  <c r="Q346" i="31"/>
  <c r="R346" i="31"/>
  <c r="S346" i="31"/>
  <c r="T346" i="31"/>
  <c r="U346" i="31"/>
  <c r="V346" i="31"/>
  <c r="W346" i="31"/>
  <c r="X346" i="31"/>
  <c r="Q347" i="31"/>
  <c r="R347" i="31"/>
  <c r="S347" i="31"/>
  <c r="T347" i="31"/>
  <c r="U347" i="31"/>
  <c r="V347" i="31"/>
  <c r="W347" i="31"/>
  <c r="X347" i="31"/>
  <c r="Q348" i="31"/>
  <c r="R348" i="31"/>
  <c r="S348" i="31"/>
  <c r="T348" i="31"/>
  <c r="U348" i="31"/>
  <c r="V348" i="31"/>
  <c r="W348" i="31"/>
  <c r="X348" i="31"/>
  <c r="Q349" i="31"/>
  <c r="R349" i="31"/>
  <c r="S349" i="31"/>
  <c r="T349" i="31"/>
  <c r="U349" i="31"/>
  <c r="V349" i="31"/>
  <c r="W349" i="31"/>
  <c r="X349" i="31"/>
  <c r="Q350" i="31"/>
  <c r="R350" i="31"/>
  <c r="S350" i="31"/>
  <c r="T350" i="31"/>
  <c r="U350" i="31"/>
  <c r="V350" i="31"/>
  <c r="W350" i="31"/>
  <c r="X350" i="31"/>
  <c r="AC350" i="31"/>
  <c r="AD350" i="31"/>
  <c r="Q351" i="31"/>
  <c r="R351" i="31"/>
  <c r="S351" i="31"/>
  <c r="T351" i="31"/>
  <c r="U351" i="31"/>
  <c r="V351" i="31"/>
  <c r="W351" i="31"/>
  <c r="X351" i="31"/>
  <c r="Q352" i="31"/>
  <c r="R352" i="31"/>
  <c r="S352" i="31"/>
  <c r="T352" i="31"/>
  <c r="U352" i="31"/>
  <c r="V352" i="31"/>
  <c r="W352" i="31"/>
  <c r="X352" i="31"/>
  <c r="Q353" i="31"/>
  <c r="R353" i="31"/>
  <c r="S353" i="31"/>
  <c r="T353" i="31"/>
  <c r="U353" i="31"/>
  <c r="V353" i="31"/>
  <c r="W353" i="31"/>
  <c r="X353" i="31"/>
  <c r="Q354" i="31"/>
  <c r="R354" i="31"/>
  <c r="S354" i="31"/>
  <c r="T354" i="31"/>
  <c r="U354" i="31"/>
  <c r="V354" i="31"/>
  <c r="W354" i="31"/>
  <c r="X354" i="31"/>
  <c r="Q355" i="31"/>
  <c r="R355" i="31"/>
  <c r="S355" i="31"/>
  <c r="T355" i="31"/>
  <c r="U355" i="31"/>
  <c r="V355" i="31"/>
  <c r="W355" i="31"/>
  <c r="X355" i="31"/>
  <c r="Q356" i="31"/>
  <c r="R356" i="31"/>
  <c r="S356" i="31"/>
  <c r="T356" i="31"/>
  <c r="U356" i="31"/>
  <c r="V356" i="31"/>
  <c r="W356" i="31"/>
  <c r="AC356" i="31" s="1"/>
  <c r="X356" i="31"/>
  <c r="Q357" i="31"/>
  <c r="R357" i="31"/>
  <c r="S357" i="31"/>
  <c r="T357" i="31"/>
  <c r="U357" i="31"/>
  <c r="V357" i="31"/>
  <c r="W357" i="31"/>
  <c r="X357" i="31"/>
  <c r="Q358" i="31"/>
  <c r="R358" i="31"/>
  <c r="S358" i="31"/>
  <c r="T358" i="31"/>
  <c r="U358" i="31"/>
  <c r="V358" i="31"/>
  <c r="W358" i="31"/>
  <c r="X358" i="31"/>
  <c r="AC358" i="31"/>
  <c r="AD358" i="31"/>
  <c r="Q359" i="31"/>
  <c r="R359" i="31"/>
  <c r="S359" i="31"/>
  <c r="T359" i="31"/>
  <c r="U359" i="31"/>
  <c r="V359" i="31"/>
  <c r="W359" i="31"/>
  <c r="X359" i="31"/>
  <c r="Q360" i="31"/>
  <c r="R360" i="31"/>
  <c r="S360" i="31"/>
  <c r="T360" i="31"/>
  <c r="U360" i="31"/>
  <c r="V360" i="31"/>
  <c r="W360" i="31"/>
  <c r="X360" i="31"/>
  <c r="Q361" i="31"/>
  <c r="R361" i="31"/>
  <c r="S361" i="31"/>
  <c r="T361" i="31"/>
  <c r="U361" i="31"/>
  <c r="V361" i="31"/>
  <c r="W361" i="31"/>
  <c r="X361" i="31"/>
  <c r="Q362" i="31"/>
  <c r="R362" i="31"/>
  <c r="S362" i="31"/>
  <c r="T362" i="31"/>
  <c r="U362" i="31"/>
  <c r="V362" i="31"/>
  <c r="AD362" i="31" s="1"/>
  <c r="W362" i="31"/>
  <c r="X362" i="31"/>
  <c r="Q363" i="31"/>
  <c r="R363" i="31"/>
  <c r="S363" i="31"/>
  <c r="T363" i="31"/>
  <c r="U363" i="31"/>
  <c r="AD363" i="31" s="1"/>
  <c r="V363" i="31"/>
  <c r="W363" i="31"/>
  <c r="X363" i="31"/>
  <c r="Q364" i="31"/>
  <c r="R364" i="31"/>
  <c r="S364" i="31"/>
  <c r="T364" i="31"/>
  <c r="U364" i="31"/>
  <c r="V364" i="31"/>
  <c r="W364" i="31"/>
  <c r="X364" i="31"/>
  <c r="AD364" i="31" s="1"/>
  <c r="AC364" i="31"/>
  <c r="Q365" i="31"/>
  <c r="R365" i="31"/>
  <c r="S365" i="31"/>
  <c r="T365" i="31"/>
  <c r="U365" i="31"/>
  <c r="V365" i="31"/>
  <c r="W365" i="31"/>
  <c r="X365" i="31"/>
  <c r="Q366" i="31"/>
  <c r="R366" i="31"/>
  <c r="S366" i="31"/>
  <c r="T366" i="31"/>
  <c r="U366" i="31"/>
  <c r="V366" i="31"/>
  <c r="W366" i="31"/>
  <c r="X366" i="31"/>
  <c r="AC366" i="31"/>
  <c r="AD366" i="31"/>
  <c r="Q367" i="31"/>
  <c r="R367" i="31"/>
  <c r="S367" i="31"/>
  <c r="T367" i="31"/>
  <c r="U367" i="31"/>
  <c r="V367" i="31"/>
  <c r="AC367" i="31" s="1"/>
  <c r="W367" i="31"/>
  <c r="X367" i="31"/>
  <c r="Q368" i="31"/>
  <c r="R368" i="31"/>
  <c r="S368" i="31"/>
  <c r="T368" i="31"/>
  <c r="U368" i="31"/>
  <c r="V368" i="31"/>
  <c r="W368" i="31"/>
  <c r="X368" i="31"/>
  <c r="Q369" i="31"/>
  <c r="R369" i="31"/>
  <c r="S369" i="31"/>
  <c r="T369" i="31"/>
  <c r="U369" i="31"/>
  <c r="V369" i="31"/>
  <c r="W369" i="31"/>
  <c r="X369" i="31"/>
  <c r="AC369" i="31" s="1"/>
  <c r="Q370" i="31"/>
  <c r="R370" i="31"/>
  <c r="S370" i="31"/>
  <c r="T370" i="31"/>
  <c r="U370" i="31"/>
  <c r="V370" i="31"/>
  <c r="W370" i="31"/>
  <c r="X370" i="31"/>
  <c r="Q371" i="31"/>
  <c r="R371" i="31"/>
  <c r="S371" i="31"/>
  <c r="T371" i="31"/>
  <c r="U371" i="31"/>
  <c r="V371" i="31"/>
  <c r="W371" i="31"/>
  <c r="X371" i="31"/>
  <c r="AC371" i="31"/>
  <c r="AD371" i="31"/>
  <c r="Q372" i="31"/>
  <c r="R372" i="31"/>
  <c r="S372" i="31"/>
  <c r="T372" i="31"/>
  <c r="U372" i="31"/>
  <c r="AC372" i="31" s="1"/>
  <c r="V372" i="31"/>
  <c r="W372" i="31"/>
  <c r="X372" i="31"/>
  <c r="Q373" i="31"/>
  <c r="R373" i="31"/>
  <c r="S373" i="31"/>
  <c r="T373" i="31"/>
  <c r="U373" i="31"/>
  <c r="V373" i="31"/>
  <c r="W373" i="31"/>
  <c r="X373" i="31"/>
  <c r="AC373" i="31"/>
  <c r="AD373" i="31"/>
  <c r="Q374" i="31"/>
  <c r="R374" i="31"/>
  <c r="S374" i="31"/>
  <c r="T374" i="31"/>
  <c r="U374" i="31"/>
  <c r="AC374" i="31" s="1"/>
  <c r="V374" i="31"/>
  <c r="W374" i="31"/>
  <c r="X374" i="31"/>
  <c r="Q375" i="31"/>
  <c r="R375" i="31"/>
  <c r="S375" i="31"/>
  <c r="T375" i="31"/>
  <c r="U375" i="31"/>
  <c r="V375" i="31"/>
  <c r="W375" i="31"/>
  <c r="X375" i="31"/>
  <c r="AC375" i="31"/>
  <c r="AD375" i="31"/>
  <c r="Q376" i="31"/>
  <c r="R376" i="31"/>
  <c r="S376" i="31"/>
  <c r="T376" i="31"/>
  <c r="U376" i="31"/>
  <c r="AC376" i="31" s="1"/>
  <c r="V376" i="31"/>
  <c r="W376" i="31"/>
  <c r="X376" i="31"/>
  <c r="Q377" i="31"/>
  <c r="R377" i="31"/>
  <c r="S377" i="31"/>
  <c r="T377" i="31"/>
  <c r="U377" i="31"/>
  <c r="V377" i="31"/>
  <c r="W377" i="31"/>
  <c r="X377" i="31"/>
  <c r="AC377" i="31"/>
  <c r="AD377" i="31"/>
  <c r="Q378" i="31"/>
  <c r="R378" i="31"/>
  <c r="S378" i="31"/>
  <c r="T378" i="31"/>
  <c r="U378" i="31"/>
  <c r="AC378" i="31" s="1"/>
  <c r="V378" i="31"/>
  <c r="W378" i="31"/>
  <c r="X378" i="31"/>
  <c r="Q379" i="31"/>
  <c r="R379" i="31"/>
  <c r="S379" i="31"/>
  <c r="T379" i="31"/>
  <c r="U379" i="31"/>
  <c r="V379" i="31"/>
  <c r="W379" i="31"/>
  <c r="X379" i="31"/>
  <c r="AC379" i="31"/>
  <c r="AD379" i="31"/>
  <c r="Q380" i="31"/>
  <c r="R380" i="31"/>
  <c r="S380" i="31"/>
  <c r="T380" i="31"/>
  <c r="U380" i="31"/>
  <c r="AC380" i="31" s="1"/>
  <c r="V380" i="31"/>
  <c r="W380" i="31"/>
  <c r="X380" i="31"/>
  <c r="Q381" i="31"/>
  <c r="R381" i="31"/>
  <c r="S381" i="31"/>
  <c r="T381" i="31"/>
  <c r="U381" i="31"/>
  <c r="V381" i="31"/>
  <c r="W381" i="31"/>
  <c r="X381" i="31"/>
  <c r="AC381" i="31"/>
  <c r="AD381" i="31"/>
  <c r="Q382" i="31"/>
  <c r="R382" i="31"/>
  <c r="S382" i="31"/>
  <c r="T382" i="31"/>
  <c r="U382" i="31"/>
  <c r="AC382" i="31" s="1"/>
  <c r="V382" i="31"/>
  <c r="W382" i="31"/>
  <c r="X382" i="31"/>
  <c r="Q383" i="31"/>
  <c r="R383" i="31"/>
  <c r="S383" i="31"/>
  <c r="T383" i="31"/>
  <c r="U383" i="31"/>
  <c r="V383" i="31"/>
  <c r="W383" i="31"/>
  <c r="X383" i="31"/>
  <c r="AC383" i="31"/>
  <c r="AD383" i="31"/>
  <c r="Q384" i="31"/>
  <c r="R384" i="31"/>
  <c r="S384" i="31"/>
  <c r="T384" i="31"/>
  <c r="U384" i="31"/>
  <c r="AC384" i="31" s="1"/>
  <c r="V384" i="31"/>
  <c r="W384" i="31"/>
  <c r="X384" i="31"/>
  <c r="Q385" i="31"/>
  <c r="R385" i="31"/>
  <c r="S385" i="31"/>
  <c r="T385" i="31"/>
  <c r="U385" i="31"/>
  <c r="V385" i="31"/>
  <c r="W385" i="31"/>
  <c r="X385" i="31"/>
  <c r="AC385" i="31"/>
  <c r="AD385" i="31"/>
  <c r="Q386" i="31"/>
  <c r="R386" i="31"/>
  <c r="S386" i="31"/>
  <c r="T386" i="31"/>
  <c r="U386" i="31"/>
  <c r="AC386" i="31" s="1"/>
  <c r="V386" i="31"/>
  <c r="W386" i="31"/>
  <c r="X386" i="31"/>
  <c r="Q387" i="31"/>
  <c r="R387" i="31"/>
  <c r="S387" i="31"/>
  <c r="T387" i="31"/>
  <c r="U387" i="31"/>
  <c r="AD387" i="31" s="1"/>
  <c r="V387" i="31"/>
  <c r="W387" i="31"/>
  <c r="X387" i="31"/>
  <c r="AC387" i="31"/>
  <c r="Q388" i="31"/>
  <c r="R388" i="31"/>
  <c r="S388" i="31"/>
  <c r="T388" i="31"/>
  <c r="U388" i="31"/>
  <c r="AC388" i="31" s="1"/>
  <c r="V388" i="31"/>
  <c r="W388" i="31"/>
  <c r="X388" i="31"/>
  <c r="Q389" i="31"/>
  <c r="R389" i="31"/>
  <c r="S389" i="31"/>
  <c r="T389" i="31"/>
  <c r="U389" i="31"/>
  <c r="AD389" i="31" s="1"/>
  <c r="V389" i="31"/>
  <c r="W389" i="31"/>
  <c r="X389" i="31"/>
  <c r="AC389" i="31"/>
  <c r="Q390" i="31"/>
  <c r="R390" i="31"/>
  <c r="S390" i="31"/>
  <c r="T390" i="31"/>
  <c r="U390" i="31"/>
  <c r="AC390" i="31" s="1"/>
  <c r="V390" i="31"/>
  <c r="W390" i="31"/>
  <c r="X390" i="31"/>
  <c r="Q391" i="31"/>
  <c r="R391" i="31"/>
  <c r="S391" i="31"/>
  <c r="T391" i="31"/>
  <c r="U391" i="31"/>
  <c r="AD391" i="31" s="1"/>
  <c r="V391" i="31"/>
  <c r="W391" i="31"/>
  <c r="X391" i="31"/>
  <c r="AC391" i="31"/>
  <c r="Q392" i="31"/>
  <c r="R392" i="31"/>
  <c r="S392" i="31"/>
  <c r="T392" i="31"/>
  <c r="U392" i="31"/>
  <c r="AC392" i="31" s="1"/>
  <c r="V392" i="31"/>
  <c r="W392" i="31"/>
  <c r="X392" i="31"/>
  <c r="Q393" i="31"/>
  <c r="R393" i="31"/>
  <c r="S393" i="31"/>
  <c r="T393" i="31"/>
  <c r="U393" i="31"/>
  <c r="AD393" i="31" s="1"/>
  <c r="V393" i="31"/>
  <c r="W393" i="31"/>
  <c r="X393" i="31"/>
  <c r="AC393" i="31"/>
  <c r="Q394" i="31"/>
  <c r="R394" i="31"/>
  <c r="S394" i="31"/>
  <c r="T394" i="31"/>
  <c r="U394" i="31"/>
  <c r="AC394" i="31" s="1"/>
  <c r="V394" i="31"/>
  <c r="W394" i="31"/>
  <c r="X394" i="31"/>
  <c r="Q395" i="31"/>
  <c r="R395" i="31"/>
  <c r="S395" i="31"/>
  <c r="T395" i="31"/>
  <c r="U395" i="31"/>
  <c r="AD395" i="31" s="1"/>
  <c r="V395" i="31"/>
  <c r="W395" i="31"/>
  <c r="X395" i="31"/>
  <c r="AC395" i="31"/>
  <c r="Q396" i="31"/>
  <c r="R396" i="31"/>
  <c r="S396" i="31"/>
  <c r="T396" i="31"/>
  <c r="U396" i="31"/>
  <c r="AC396" i="31" s="1"/>
  <c r="V396" i="31"/>
  <c r="W396" i="31"/>
  <c r="X396" i="31"/>
  <c r="Q397" i="31"/>
  <c r="R397" i="31"/>
  <c r="S397" i="31"/>
  <c r="T397" i="31"/>
  <c r="U397" i="31"/>
  <c r="AD397" i="31" s="1"/>
  <c r="V397" i="31"/>
  <c r="W397" i="31"/>
  <c r="X397" i="31"/>
  <c r="AC397" i="31"/>
  <c r="Q398" i="31"/>
  <c r="R398" i="31"/>
  <c r="S398" i="31"/>
  <c r="T398" i="31"/>
  <c r="U398" i="31"/>
  <c r="AC398" i="31" s="1"/>
  <c r="V398" i="31"/>
  <c r="W398" i="31"/>
  <c r="X398" i="31"/>
  <c r="Q399" i="31"/>
  <c r="R399" i="31"/>
  <c r="S399" i="31"/>
  <c r="T399" i="31"/>
  <c r="U399" i="31"/>
  <c r="AD399" i="31" s="1"/>
  <c r="V399" i="31"/>
  <c r="W399" i="31"/>
  <c r="X399" i="31"/>
  <c r="AC399" i="31"/>
  <c r="Q400" i="31"/>
  <c r="R400" i="31"/>
  <c r="S400" i="31"/>
  <c r="T400" i="31"/>
  <c r="U400" i="31"/>
  <c r="AC400" i="31" s="1"/>
  <c r="V400" i="31"/>
  <c r="W400" i="31"/>
  <c r="X400" i="31"/>
  <c r="Q401" i="31"/>
  <c r="R401" i="31"/>
  <c r="S401" i="31"/>
  <c r="T401" i="31"/>
  <c r="U401" i="31"/>
  <c r="AC401" i="31" s="1"/>
  <c r="V401" i="31"/>
  <c r="W401" i="31"/>
  <c r="X401" i="31"/>
  <c r="AD401" i="31"/>
  <c r="AD162" i="31" l="1"/>
  <c r="Z162" i="31"/>
  <c r="Y162" i="31"/>
  <c r="AC162" i="31"/>
  <c r="AB162" i="31"/>
  <c r="AA162" i="31"/>
  <c r="AC20" i="31"/>
  <c r="AD20" i="31"/>
  <c r="AC317" i="31"/>
  <c r="AD317" i="31"/>
  <c r="AD222" i="31"/>
  <c r="AD368" i="31"/>
  <c r="AD365" i="31"/>
  <c r="AC363" i="31"/>
  <c r="AC352" i="31"/>
  <c r="AC351" i="31"/>
  <c r="AD351" i="31"/>
  <c r="AD346" i="31"/>
  <c r="AD340" i="31"/>
  <c r="AC339" i="31"/>
  <c r="AD339" i="31"/>
  <c r="AD318" i="31"/>
  <c r="AD314" i="31"/>
  <c r="AD310" i="31"/>
  <c r="AD306" i="31"/>
  <c r="AD302" i="31"/>
  <c r="AD298" i="31"/>
  <c r="AD282" i="31"/>
  <c r="AD278" i="31"/>
  <c r="AD274" i="31"/>
  <c r="AD227" i="31"/>
  <c r="AD217" i="31"/>
  <c r="AC200" i="31"/>
  <c r="AC196" i="31"/>
  <c r="AD190" i="31"/>
  <c r="AC190" i="31"/>
  <c r="AD156" i="31"/>
  <c r="AC121" i="31"/>
  <c r="AD121" i="31"/>
  <c r="AC210" i="31"/>
  <c r="AD210" i="31"/>
  <c r="AC27" i="31"/>
  <c r="AC325" i="31"/>
  <c r="AD325" i="31"/>
  <c r="AC313" i="31"/>
  <c r="AD313" i="31"/>
  <c r="AC265" i="31"/>
  <c r="AD265" i="31"/>
  <c r="AC261" i="31"/>
  <c r="AD261" i="31"/>
  <c r="AC257" i="31"/>
  <c r="AD257" i="31"/>
  <c r="AC345" i="31"/>
  <c r="AD345" i="31"/>
  <c r="AC340" i="31"/>
  <c r="AC328" i="31"/>
  <c r="AC324" i="31"/>
  <c r="AC320" i="31"/>
  <c r="AC316" i="31"/>
  <c r="AC312" i="31"/>
  <c r="AC308" i="31"/>
  <c r="AC304" i="31"/>
  <c r="AC300" i="31"/>
  <c r="AC296" i="31"/>
  <c r="AC292" i="31"/>
  <c r="AC288" i="31"/>
  <c r="AC284" i="31"/>
  <c r="AC280" i="31"/>
  <c r="AC276" i="31"/>
  <c r="AC272" i="31"/>
  <c r="AC268" i="31"/>
  <c r="AC264" i="31"/>
  <c r="AC260" i="31"/>
  <c r="AC256" i="31"/>
  <c r="AC252" i="31"/>
  <c r="AC248" i="31"/>
  <c r="AC244" i="31"/>
  <c r="AD233" i="31"/>
  <c r="AD212" i="31"/>
  <c r="AC333" i="31"/>
  <c r="AD333" i="31"/>
  <c r="AC321" i="31"/>
  <c r="AD321" i="31"/>
  <c r="AC305" i="31"/>
  <c r="AD305" i="31"/>
  <c r="AC301" i="31"/>
  <c r="AD301" i="31"/>
  <c r="AC273" i="31"/>
  <c r="AD273" i="31"/>
  <c r="AC253" i="31"/>
  <c r="AD253" i="31"/>
  <c r="AC249" i="31"/>
  <c r="AD249" i="31"/>
  <c r="AC368" i="31"/>
  <c r="AD360" i="31"/>
  <c r="AD398" i="31"/>
  <c r="AD396" i="31"/>
  <c r="AD394" i="31"/>
  <c r="AD390" i="31"/>
  <c r="AD386" i="31"/>
  <c r="AD380" i="31"/>
  <c r="AD376" i="31"/>
  <c r="AD372" i="31"/>
  <c r="AD370" i="31"/>
  <c r="AC365" i="31"/>
  <c r="AC359" i="31"/>
  <c r="AD359" i="31"/>
  <c r="AD354" i="31"/>
  <c r="AD336" i="31"/>
  <c r="AC335" i="31"/>
  <c r="AD335" i="31"/>
  <c r="AC233" i="31"/>
  <c r="AD228" i="31"/>
  <c r="AD207" i="31"/>
  <c r="AC204" i="31"/>
  <c r="AC329" i="31"/>
  <c r="AD329" i="31"/>
  <c r="AC277" i="31"/>
  <c r="AD277" i="31"/>
  <c r="AD400" i="31"/>
  <c r="AD392" i="31"/>
  <c r="AD388" i="31"/>
  <c r="AD384" i="31"/>
  <c r="AD382" i="31"/>
  <c r="AD378" i="31"/>
  <c r="AD374" i="31"/>
  <c r="AD367" i="31"/>
  <c r="AC360" i="31"/>
  <c r="AC370" i="31"/>
  <c r="AC354" i="31"/>
  <c r="AC353" i="31"/>
  <c r="AD353" i="31"/>
  <c r="AD348" i="31"/>
  <c r="AC336" i="31"/>
  <c r="AD239" i="31"/>
  <c r="AC235" i="31"/>
  <c r="AD235" i="31"/>
  <c r="AC228" i="31"/>
  <c r="AD223" i="31"/>
  <c r="AC141" i="31"/>
  <c r="AD141" i="31"/>
  <c r="AC343" i="31"/>
  <c r="AD343" i="31"/>
  <c r="AC357" i="31"/>
  <c r="AD357" i="31"/>
  <c r="AD352" i="31"/>
  <c r="AC293" i="31"/>
  <c r="AD293" i="31"/>
  <c r="AC285" i="31"/>
  <c r="AD285" i="31"/>
  <c r="AC281" i="31"/>
  <c r="AD281" i="31"/>
  <c r="AC245" i="31"/>
  <c r="AD245" i="31"/>
  <c r="AD369" i="31"/>
  <c r="AC348" i="31"/>
  <c r="AD342" i="31"/>
  <c r="AC341" i="31"/>
  <c r="AD341" i="31"/>
  <c r="AD332" i="31"/>
  <c r="AC327" i="31"/>
  <c r="AD327" i="31"/>
  <c r="AC315" i="31"/>
  <c r="AD315" i="31"/>
  <c r="AC307" i="31"/>
  <c r="AD307" i="31"/>
  <c r="AC303" i="31"/>
  <c r="AD303" i="31"/>
  <c r="AC299" i="31"/>
  <c r="AD299" i="31"/>
  <c r="AC295" i="31"/>
  <c r="AD295" i="31"/>
  <c r="AC291" i="31"/>
  <c r="AD291" i="31"/>
  <c r="AC287" i="31"/>
  <c r="AD287" i="31"/>
  <c r="AC283" i="31"/>
  <c r="AD283" i="31"/>
  <c r="AC279" i="31"/>
  <c r="AD279" i="31"/>
  <c r="AC275" i="31"/>
  <c r="AD275" i="31"/>
  <c r="AC271" i="31"/>
  <c r="AD271" i="31"/>
  <c r="AC267" i="31"/>
  <c r="AD267" i="31"/>
  <c r="AC263" i="31"/>
  <c r="AD263" i="31"/>
  <c r="AC259" i="31"/>
  <c r="AD259" i="31"/>
  <c r="AC255" i="31"/>
  <c r="AD255" i="31"/>
  <c r="AC251" i="31"/>
  <c r="AD251" i="31"/>
  <c r="AC247" i="31"/>
  <c r="AD247" i="31"/>
  <c r="AC243" i="31"/>
  <c r="AD243" i="31"/>
  <c r="AD238" i="31"/>
  <c r="AC230" i="31"/>
  <c r="AD230" i="31"/>
  <c r="AC227" i="31"/>
  <c r="AC223" i="31"/>
  <c r="AD218" i="31"/>
  <c r="AD196" i="31"/>
  <c r="AD194" i="31"/>
  <c r="AC194" i="31"/>
  <c r="AD170" i="31"/>
  <c r="AC170" i="31"/>
  <c r="AC205" i="31"/>
  <c r="AD205" i="31"/>
  <c r="AC309" i="31"/>
  <c r="AD309" i="31"/>
  <c r="AC297" i="31"/>
  <c r="AD297" i="31"/>
  <c r="AC289" i="31"/>
  <c r="AD289" i="31"/>
  <c r="AC269" i="31"/>
  <c r="AD269" i="31"/>
  <c r="AC346" i="31"/>
  <c r="AC347" i="31"/>
  <c r="AD347" i="31"/>
  <c r="AC331" i="31"/>
  <c r="AD331" i="31"/>
  <c r="AC323" i="31"/>
  <c r="AD323" i="31"/>
  <c r="AC319" i="31"/>
  <c r="AD319" i="31"/>
  <c r="AC311" i="31"/>
  <c r="AD311" i="31"/>
  <c r="AC362" i="31"/>
  <c r="AC361" i="31"/>
  <c r="AD361" i="31"/>
  <c r="AD356" i="31"/>
  <c r="AC342" i="31"/>
  <c r="AC332" i="31"/>
  <c r="AD328" i="31"/>
  <c r="AD324" i="31"/>
  <c r="AD320" i="31"/>
  <c r="AD316" i="31"/>
  <c r="AD312" i="31"/>
  <c r="AD308" i="31"/>
  <c r="AD304" i="31"/>
  <c r="AD300" i="31"/>
  <c r="AD296" i="31"/>
  <c r="AD292" i="31"/>
  <c r="AD288" i="31"/>
  <c r="AD284" i="31"/>
  <c r="AD280" i="31"/>
  <c r="AD276" i="31"/>
  <c r="AD272" i="31"/>
  <c r="AD268" i="31"/>
  <c r="AD264" i="31"/>
  <c r="AD260" i="31"/>
  <c r="AD256" i="31"/>
  <c r="AD252" i="31"/>
  <c r="AD248" i="31"/>
  <c r="AD244" i="31"/>
  <c r="AD240" i="31"/>
  <c r="AC234" i="31"/>
  <c r="AC225" i="31"/>
  <c r="AD225" i="31"/>
  <c r="AC222" i="31"/>
  <c r="AC218" i="31"/>
  <c r="AD213" i="31"/>
  <c r="AD200" i="31"/>
  <c r="AD148" i="31"/>
  <c r="AD139" i="31"/>
  <c r="AC139" i="31"/>
  <c r="AC355" i="31"/>
  <c r="AD355" i="31"/>
  <c r="AD338" i="31"/>
  <c r="AC337" i="31"/>
  <c r="AD337" i="31"/>
  <c r="AC330" i="31"/>
  <c r="AC326" i="31"/>
  <c r="AC322" i="31"/>
  <c r="AC318" i="31"/>
  <c r="AC314" i="31"/>
  <c r="AC310" i="31"/>
  <c r="AC306" i="31"/>
  <c r="AC302" i="31"/>
  <c r="AC298" i="31"/>
  <c r="AC294" i="31"/>
  <c r="AC290" i="31"/>
  <c r="AC286" i="31"/>
  <c r="AC282" i="31"/>
  <c r="AC278" i="31"/>
  <c r="AC274" i="31"/>
  <c r="AC270" i="31"/>
  <c r="AC266" i="31"/>
  <c r="AC262" i="31"/>
  <c r="AC258" i="31"/>
  <c r="AC254" i="31"/>
  <c r="AC250" i="31"/>
  <c r="AC246" i="31"/>
  <c r="AC242" i="31"/>
  <c r="AC240" i="31"/>
  <c r="AC237" i="31"/>
  <c r="AD237" i="31"/>
  <c r="AC229" i="31"/>
  <c r="AC220" i="31"/>
  <c r="AD220" i="31"/>
  <c r="AC217" i="31"/>
  <c r="AC213" i="31"/>
  <c r="AD208" i="31"/>
  <c r="AD202" i="31"/>
  <c r="AC349" i="31"/>
  <c r="AD349" i="31"/>
  <c r="AD232" i="31"/>
  <c r="AC215" i="31"/>
  <c r="AD215" i="31"/>
  <c r="AC208" i="31"/>
  <c r="AC191" i="31"/>
  <c r="AC180" i="31"/>
  <c r="AD180" i="31"/>
  <c r="AC178" i="31"/>
  <c r="AD178" i="31"/>
  <c r="AC168" i="31"/>
  <c r="AC156" i="31"/>
  <c r="AC145" i="31"/>
  <c r="AD145" i="31"/>
  <c r="AC135" i="31"/>
  <c r="AC131" i="31"/>
  <c r="AD131" i="31"/>
  <c r="AC126" i="31"/>
  <c r="AD126" i="31"/>
  <c r="AC101" i="31"/>
  <c r="AD101" i="31"/>
  <c r="AC96" i="31"/>
  <c r="AD96" i="31"/>
  <c r="AC172" i="31"/>
  <c r="AC161" i="31"/>
  <c r="AC119" i="31"/>
  <c r="AD114" i="31"/>
  <c r="AC113" i="31"/>
  <c r="AD186" i="31"/>
  <c r="AD182" i="31"/>
  <c r="AD150" i="31"/>
  <c r="AC143" i="31"/>
  <c r="AD143" i="31"/>
  <c r="AC80" i="31"/>
  <c r="AC52" i="31"/>
  <c r="AC160" i="31"/>
  <c r="AC111" i="31"/>
  <c r="AD111" i="31"/>
  <c r="AD51" i="31"/>
  <c r="AC51" i="31"/>
  <c r="AD34" i="31"/>
  <c r="AC34" i="31"/>
  <c r="AC176" i="31"/>
  <c r="AD176" i="31"/>
  <c r="AD171" i="31"/>
  <c r="AD168" i="31"/>
  <c r="AC165" i="31"/>
  <c r="AD165" i="31"/>
  <c r="AD159" i="31"/>
  <c r="AC154" i="31"/>
  <c r="AD154" i="31"/>
  <c r="AC149" i="31"/>
  <c r="AC136" i="31"/>
  <c r="AD136" i="31"/>
  <c r="AD124" i="31"/>
  <c r="AC123" i="31"/>
  <c r="AC114" i="31"/>
  <c r="AC106" i="31"/>
  <c r="AD106" i="31"/>
  <c r="AD94" i="31"/>
  <c r="AC93" i="31"/>
  <c r="AD81" i="31"/>
  <c r="AD199" i="31"/>
  <c r="AD193" i="31"/>
  <c r="AD192" i="31"/>
  <c r="AD135" i="31"/>
  <c r="AC129" i="31"/>
  <c r="AD105" i="31"/>
  <c r="AC99" i="31"/>
  <c r="AC84" i="31"/>
  <c r="AD84" i="31"/>
  <c r="AC91" i="31"/>
  <c r="AD91" i="31"/>
  <c r="AD58" i="31"/>
  <c r="AC58" i="31"/>
  <c r="AC39" i="31"/>
  <c r="AD234" i="31"/>
  <c r="AD229" i="31"/>
  <c r="AD224" i="31"/>
  <c r="AD219" i="31"/>
  <c r="AD214" i="31"/>
  <c r="AD209" i="31"/>
  <c r="AD204" i="31"/>
  <c r="AD189" i="31"/>
  <c r="AD188" i="31"/>
  <c r="AC186" i="31"/>
  <c r="AD184" i="31"/>
  <c r="AC182" i="31"/>
  <c r="AD172" i="31"/>
  <c r="AD166" i="31"/>
  <c r="AC163" i="31"/>
  <c r="AD163" i="31"/>
  <c r="AD161" i="31"/>
  <c r="AC152" i="31"/>
  <c r="AC147" i="31"/>
  <c r="AC140" i="31"/>
  <c r="AC124" i="31"/>
  <c r="AC116" i="31"/>
  <c r="AD116" i="31"/>
  <c r="AC94" i="31"/>
  <c r="AC81" i="31"/>
  <c r="AC60" i="31"/>
  <c r="AC46" i="31"/>
  <c r="AD46" i="31"/>
  <c r="AC174" i="31"/>
  <c r="AD174" i="31"/>
  <c r="AC171" i="31"/>
  <c r="AC169" i="31"/>
  <c r="AC166" i="31"/>
  <c r="AC157" i="31"/>
  <c r="AD134" i="31"/>
  <c r="AC133" i="31"/>
  <c r="AD115" i="31"/>
  <c r="AC109" i="31"/>
  <c r="AD104" i="31"/>
  <c r="AC103" i="31"/>
  <c r="AC137" i="31"/>
  <c r="AC127" i="31"/>
  <c r="AC117" i="31"/>
  <c r="AC107" i="31"/>
  <c r="AC97" i="31"/>
  <c r="AC89" i="31"/>
  <c r="AD71" i="31"/>
  <c r="AC64" i="31"/>
  <c r="AC49" i="31"/>
  <c r="AC45" i="31"/>
  <c r="AC36" i="31"/>
  <c r="AC30" i="31"/>
  <c r="AD33" i="31"/>
  <c r="AD87" i="31"/>
  <c r="AD61" i="31"/>
  <c r="AD55" i="31"/>
  <c r="AC55" i="31"/>
  <c r="AC10" i="31"/>
  <c r="AD10" i="31"/>
  <c r="AD83" i="31"/>
  <c r="AD43" i="31"/>
  <c r="AC43" i="31"/>
  <c r="AC38" i="31"/>
  <c r="AD167" i="31"/>
  <c r="AD158" i="31"/>
  <c r="AD147" i="31"/>
  <c r="AD138" i="31"/>
  <c r="AD128" i="31"/>
  <c r="AD98" i="31"/>
  <c r="AD23" i="31"/>
  <c r="AC23" i="31"/>
  <c r="AD169" i="31"/>
  <c r="AD160" i="31"/>
  <c r="AD149" i="31"/>
  <c r="AD140" i="31"/>
  <c r="AD133" i="31"/>
  <c r="AD123" i="31"/>
  <c r="AD113" i="31"/>
  <c r="AD103" i="31"/>
  <c r="AD93" i="31"/>
  <c r="AD78" i="31"/>
  <c r="AD73" i="31"/>
  <c r="AC73" i="31"/>
  <c r="AD66" i="31"/>
  <c r="AC61" i="31"/>
  <c r="AD56" i="31"/>
  <c r="AD54" i="31"/>
  <c r="AC48" i="31"/>
  <c r="AC33" i="31"/>
  <c r="AD100" i="31"/>
  <c r="AD90" i="31"/>
  <c r="AD89" i="31"/>
  <c r="AC87" i="31"/>
  <c r="AC70" i="31"/>
  <c r="AC66" i="31"/>
  <c r="AC56" i="31"/>
  <c r="AD36" i="31"/>
  <c r="AD35" i="31"/>
  <c r="AC35" i="31"/>
  <c r="AD30" i="31"/>
  <c r="AC90" i="31"/>
  <c r="AD85" i="31"/>
  <c r="AC85" i="31"/>
  <c r="AC83" i="31"/>
  <c r="AD74" i="31"/>
  <c r="AD68" i="31"/>
  <c r="AD63" i="31"/>
  <c r="AC63" i="31"/>
  <c r="AD53" i="31"/>
  <c r="AD38" i="31"/>
  <c r="AD47" i="31"/>
  <c r="AC24" i="31"/>
  <c r="AC4" i="31"/>
  <c r="AD41" i="31"/>
  <c r="AD29" i="31"/>
  <c r="AD16" i="31"/>
  <c r="AC14" i="31"/>
  <c r="AD6" i="31"/>
  <c r="AD75" i="31"/>
  <c r="AD65" i="31"/>
  <c r="AC50" i="31"/>
  <c r="AD49" i="31"/>
  <c r="AC47" i="31"/>
  <c r="AD44" i="31"/>
  <c r="AD26" i="31"/>
  <c r="AD25" i="31"/>
  <c r="AC18" i="31"/>
  <c r="AC8" i="31"/>
  <c r="AD80" i="31"/>
  <c r="AD77" i="31"/>
  <c r="AC75" i="31"/>
  <c r="AD70" i="31"/>
  <c r="AD67" i="31"/>
  <c r="AC65" i="31"/>
  <c r="AD60" i="31"/>
  <c r="AD57" i="31"/>
  <c r="AD52" i="31"/>
  <c r="AD37" i="31"/>
  <c r="AD32" i="31"/>
  <c r="AD31" i="31"/>
  <c r="AC29" i="31"/>
  <c r="AD22" i="31"/>
  <c r="AD21" i="31"/>
  <c r="AC19" i="31"/>
  <c r="AD14" i="31"/>
  <c r="AC12" i="31"/>
  <c r="AD4" i="31"/>
  <c r="AD82" i="31"/>
  <c r="AD79" i="31"/>
  <c r="AC77" i="31"/>
  <c r="AD72" i="31"/>
  <c r="AD69" i="31"/>
  <c r="AC67" i="31"/>
  <c r="AD62" i="31"/>
  <c r="AD59" i="31"/>
  <c r="AC57" i="31"/>
  <c r="AD45" i="31"/>
  <c r="AD40" i="31"/>
  <c r="AD28" i="31"/>
  <c r="AD27" i="31"/>
  <c r="AC25" i="31"/>
  <c r="AD18" i="31"/>
  <c r="AC16" i="31"/>
  <c r="AD8" i="31"/>
  <c r="AC6" i="31"/>
  <c r="AC82" i="31"/>
  <c r="AC72" i="31"/>
  <c r="AC62" i="31"/>
  <c r="AC40" i="31"/>
  <c r="AD39" i="31"/>
  <c r="AC37" i="31"/>
  <c r="AC28" i="31"/>
  <c r="AD2" i="31"/>
  <c r="AC2" i="31"/>
  <c r="AD1" i="31" l="1"/>
  <c r="DK11" i="22" l="1"/>
  <c r="E95" i="22"/>
  <c r="D95" i="22"/>
  <c r="C95" i="22"/>
  <c r="CT95" i="22"/>
  <c r="CS95" i="22"/>
  <c r="E16" i="22"/>
  <c r="D16" i="22"/>
  <c r="C16" i="22"/>
  <c r="CA66" i="36" s="1"/>
  <c r="CT16" i="22"/>
  <c r="CS16" i="22"/>
  <c r="E9" i="22"/>
  <c r="D9" i="22"/>
  <c r="C9" i="22"/>
  <c r="CA82" i="36" s="1"/>
  <c r="CT9" i="22"/>
  <c r="CS9" i="22"/>
  <c r="E32" i="22"/>
  <c r="D32" i="22"/>
  <c r="C32" i="22"/>
  <c r="CT32" i="22"/>
  <c r="CS32" i="22"/>
  <c r="E52" i="22"/>
  <c r="D52" i="22"/>
  <c r="C52" i="22"/>
  <c r="CT52" i="22"/>
  <c r="CS52" i="22"/>
  <c r="E33" i="22"/>
  <c r="D33" i="22"/>
  <c r="C33" i="22"/>
  <c r="CA86" i="36" s="1"/>
  <c r="CT33" i="22"/>
  <c r="CS33" i="22"/>
  <c r="E99" i="22"/>
  <c r="D99" i="22"/>
  <c r="C99" i="22"/>
  <c r="CT99" i="22"/>
  <c r="CS99" i="22"/>
  <c r="E48" i="22"/>
  <c r="D48" i="22"/>
  <c r="C48" i="22"/>
  <c r="CA98" i="36" s="1"/>
  <c r="CT48" i="22"/>
  <c r="CS48" i="22"/>
  <c r="E26" i="22"/>
  <c r="D26" i="22"/>
  <c r="C26" i="22"/>
  <c r="CT26" i="22"/>
  <c r="CS26" i="22"/>
  <c r="E38" i="22"/>
  <c r="D38" i="22"/>
  <c r="C38" i="22"/>
  <c r="CA71" i="36" s="1"/>
  <c r="CT38" i="22"/>
  <c r="CS38" i="22"/>
  <c r="E74" i="22"/>
  <c r="D74" i="22"/>
  <c r="C74" i="22"/>
  <c r="CT74" i="22"/>
  <c r="CS74" i="22"/>
  <c r="E12" i="22"/>
  <c r="D12" i="22"/>
  <c r="C12" i="22"/>
  <c r="CA79" i="36" s="1"/>
  <c r="CT12" i="22"/>
  <c r="CS12" i="22"/>
  <c r="E42" i="22"/>
  <c r="D42" i="22"/>
  <c r="C42" i="22"/>
  <c r="CA97" i="36" s="1"/>
  <c r="CT42" i="22"/>
  <c r="CS42" i="22"/>
  <c r="E54" i="22"/>
  <c r="D54" i="22"/>
  <c r="C54" i="22"/>
  <c r="CA99" i="36" s="1"/>
  <c r="CT54" i="22"/>
  <c r="CS54" i="22"/>
  <c r="E62" i="22"/>
  <c r="D62" i="22"/>
  <c r="C62" i="22"/>
  <c r="CT62" i="22"/>
  <c r="CS62" i="22"/>
  <c r="E63" i="22"/>
  <c r="D63" i="22"/>
  <c r="C63" i="22"/>
  <c r="CA64" i="36" s="1"/>
  <c r="CT63" i="22"/>
  <c r="CS63" i="22"/>
  <c r="E50" i="22"/>
  <c r="D50" i="22"/>
  <c r="C50" i="22"/>
  <c r="CA85" i="36" s="1"/>
  <c r="CT50" i="22"/>
  <c r="CS50" i="22"/>
  <c r="E18" i="22"/>
  <c r="D18" i="22"/>
  <c r="C18" i="22"/>
  <c r="CA67" i="36" s="1"/>
  <c r="CT18" i="22"/>
  <c r="CS18" i="22"/>
  <c r="E60" i="22"/>
  <c r="D60" i="22"/>
  <c r="C60" i="22"/>
  <c r="CT60" i="22"/>
  <c r="CS60" i="22"/>
  <c r="E64" i="22"/>
  <c r="D64" i="22"/>
  <c r="C64" i="22"/>
  <c r="CT64" i="22"/>
  <c r="CS64" i="22"/>
  <c r="E56" i="22"/>
  <c r="D56" i="22"/>
  <c r="C56" i="22"/>
  <c r="CT56" i="22"/>
  <c r="CS56" i="22"/>
  <c r="E47" i="22"/>
  <c r="D47" i="22"/>
  <c r="C47" i="22"/>
  <c r="CT47" i="22"/>
  <c r="CS47" i="22"/>
  <c r="E88" i="22"/>
  <c r="D88" i="22"/>
  <c r="C88" i="22"/>
  <c r="CT88" i="22"/>
  <c r="CS88" i="22"/>
  <c r="E34" i="22"/>
  <c r="D34" i="22"/>
  <c r="C34" i="22"/>
  <c r="CT34" i="22"/>
  <c r="CS34" i="22"/>
  <c r="E90" i="22"/>
  <c r="D90" i="22"/>
  <c r="C90" i="22"/>
  <c r="CT90" i="22"/>
  <c r="CS90" i="22"/>
  <c r="E39" i="22"/>
  <c r="D39" i="22"/>
  <c r="C39" i="22"/>
  <c r="CT39" i="22"/>
  <c r="CS39" i="22"/>
  <c r="E83" i="22"/>
  <c r="D83" i="22"/>
  <c r="C83" i="22"/>
  <c r="CT83" i="22"/>
  <c r="CS83" i="22"/>
  <c r="E21" i="22"/>
  <c r="D21" i="22"/>
  <c r="C21" i="22"/>
  <c r="CT21" i="22"/>
  <c r="CS21" i="22"/>
  <c r="E27" i="22"/>
  <c r="D27" i="22"/>
  <c r="C27" i="22"/>
  <c r="CA61" i="36" s="1"/>
  <c r="CT27" i="22"/>
  <c r="CS27" i="22"/>
  <c r="E37" i="22"/>
  <c r="D37" i="22"/>
  <c r="C37" i="22"/>
  <c r="CT37" i="22"/>
  <c r="CS37" i="22"/>
  <c r="E89" i="22"/>
  <c r="D89" i="22"/>
  <c r="C89" i="22"/>
  <c r="CA89" i="36" s="1"/>
  <c r="CT89" i="22"/>
  <c r="CS89" i="22"/>
  <c r="E19" i="22"/>
  <c r="D19" i="22"/>
  <c r="C19" i="22"/>
  <c r="CA88" i="36" s="1"/>
  <c r="CT19" i="22"/>
  <c r="CS19" i="22"/>
  <c r="E44" i="22"/>
  <c r="D44" i="22"/>
  <c r="C44" i="22"/>
  <c r="CA92" i="36" s="1"/>
  <c r="CT44" i="22"/>
  <c r="CS44" i="22"/>
  <c r="E55" i="22"/>
  <c r="D55" i="22"/>
  <c r="C55" i="22"/>
  <c r="CA96" i="36" s="1"/>
  <c r="CT55" i="22"/>
  <c r="CS55" i="22"/>
  <c r="E24" i="22"/>
  <c r="D24" i="22"/>
  <c r="C24" i="22"/>
  <c r="CT24" i="22"/>
  <c r="CS24" i="22"/>
  <c r="E53" i="22"/>
  <c r="D53" i="22"/>
  <c r="C53" i="22"/>
  <c r="CA56" i="36" s="1"/>
  <c r="CT53" i="22"/>
  <c r="CS53" i="22"/>
  <c r="E93" i="22"/>
  <c r="D93" i="22"/>
  <c r="C93" i="22"/>
  <c r="CT93" i="22"/>
  <c r="CS93" i="22"/>
  <c r="E87" i="22"/>
  <c r="D87" i="22"/>
  <c r="C87" i="22"/>
  <c r="CT87" i="22"/>
  <c r="CS87" i="22"/>
  <c r="E92" i="22"/>
  <c r="D92" i="22"/>
  <c r="C92" i="22"/>
  <c r="CT92" i="22"/>
  <c r="CS92" i="22"/>
  <c r="E94" i="22"/>
  <c r="D94" i="22"/>
  <c r="C94" i="22"/>
  <c r="CT94" i="22"/>
  <c r="CS94" i="22"/>
  <c r="E43" i="22"/>
  <c r="D43" i="22"/>
  <c r="C43" i="22"/>
  <c r="CT43" i="22"/>
  <c r="CS43" i="22"/>
  <c r="E100" i="22"/>
  <c r="D100" i="22"/>
  <c r="C100" i="22"/>
  <c r="CT100" i="22"/>
  <c r="CS100" i="22"/>
  <c r="E29" i="22"/>
  <c r="D29" i="22"/>
  <c r="C29" i="22"/>
  <c r="CT29" i="22"/>
  <c r="CS29" i="22"/>
  <c r="E96" i="22"/>
  <c r="D96" i="22"/>
  <c r="C96" i="22"/>
  <c r="CT96" i="22"/>
  <c r="CS96" i="22"/>
  <c r="E72" i="22"/>
  <c r="D72" i="22"/>
  <c r="C72" i="22"/>
  <c r="CT72" i="22"/>
  <c r="CS72" i="22"/>
  <c r="E81" i="22"/>
  <c r="D81" i="22"/>
  <c r="C81" i="22"/>
  <c r="CT81" i="22"/>
  <c r="CS81" i="22"/>
  <c r="E101" i="22"/>
  <c r="D101" i="22"/>
  <c r="C101" i="22"/>
  <c r="CT101" i="22"/>
  <c r="CS101" i="22"/>
  <c r="E80" i="22"/>
  <c r="D80" i="22"/>
  <c r="C80" i="22"/>
  <c r="CT80" i="22"/>
  <c r="CS80" i="22"/>
  <c r="E57" i="22"/>
  <c r="D57" i="22"/>
  <c r="C57" i="22"/>
  <c r="CA94" i="36" s="1"/>
  <c r="CT57" i="22"/>
  <c r="CS57" i="22"/>
  <c r="E35" i="22"/>
  <c r="D35" i="22"/>
  <c r="C35" i="22"/>
  <c r="CT35" i="22"/>
  <c r="CS35" i="22"/>
  <c r="E59" i="22"/>
  <c r="D59" i="22"/>
  <c r="C59" i="22"/>
  <c r="CT59" i="22"/>
  <c r="CS59" i="22"/>
  <c r="E46" i="22"/>
  <c r="D46" i="22"/>
  <c r="C46" i="22"/>
  <c r="CT46" i="22"/>
  <c r="CS46" i="22"/>
  <c r="E36" i="22"/>
  <c r="D36" i="22"/>
  <c r="C36" i="22"/>
  <c r="CT36" i="22"/>
  <c r="CS36" i="22"/>
  <c r="E69" i="22"/>
  <c r="D69" i="22"/>
  <c r="C69" i="22"/>
  <c r="CA90" i="36" s="1"/>
  <c r="CT69" i="22"/>
  <c r="CS69" i="22"/>
  <c r="E45" i="22"/>
  <c r="D45" i="22"/>
  <c r="C45" i="22"/>
  <c r="CA91" i="36" s="1"/>
  <c r="CT45" i="22"/>
  <c r="CS45" i="22"/>
  <c r="E91" i="22"/>
  <c r="D91" i="22"/>
  <c r="C91" i="22"/>
  <c r="CT91" i="22"/>
  <c r="CS91" i="22"/>
  <c r="E86" i="22"/>
  <c r="D86" i="22"/>
  <c r="C86" i="22"/>
  <c r="CA87" i="36" s="1"/>
  <c r="CT86" i="22"/>
  <c r="CS86" i="22"/>
  <c r="E51" i="22"/>
  <c r="D51" i="22"/>
  <c r="C51" i="22"/>
  <c r="CA77" i="36" s="1"/>
  <c r="CT51" i="22"/>
  <c r="CS51" i="22"/>
  <c r="E14" i="22"/>
  <c r="D14" i="22"/>
  <c r="C14" i="22"/>
  <c r="CA69" i="36" s="1"/>
  <c r="CT14" i="22"/>
  <c r="CS14" i="22"/>
  <c r="E82" i="22"/>
  <c r="D82" i="22"/>
  <c r="C82" i="22"/>
  <c r="CT82" i="22"/>
  <c r="CS82" i="22"/>
  <c r="E31" i="22"/>
  <c r="D31" i="22"/>
  <c r="C31" i="22"/>
  <c r="CA73" i="36" s="1"/>
  <c r="CT31" i="22"/>
  <c r="CS31" i="22"/>
  <c r="E85" i="22"/>
  <c r="D85" i="22"/>
  <c r="C85" i="22"/>
  <c r="CT85" i="22"/>
  <c r="CS85" i="22"/>
  <c r="E97" i="22"/>
  <c r="D97" i="22"/>
  <c r="C97" i="22"/>
  <c r="CT97" i="22"/>
  <c r="CS97" i="22"/>
  <c r="E40" i="22"/>
  <c r="D40" i="22"/>
  <c r="C40" i="22"/>
  <c r="CT40" i="22"/>
  <c r="CS40" i="22"/>
  <c r="E65" i="22"/>
  <c r="D65" i="22"/>
  <c r="C65" i="22"/>
  <c r="CT65" i="22"/>
  <c r="CS65" i="22"/>
  <c r="E20" i="22"/>
  <c r="D20" i="22"/>
  <c r="C20" i="22"/>
  <c r="CT20" i="22"/>
  <c r="CS20" i="22"/>
  <c r="E84" i="22"/>
  <c r="D84" i="22"/>
  <c r="C84" i="22"/>
  <c r="CT84" i="22"/>
  <c r="CS84" i="22"/>
  <c r="E49" i="22"/>
  <c r="D49" i="22"/>
  <c r="C49" i="22"/>
  <c r="CT49" i="22"/>
  <c r="CS49" i="22"/>
  <c r="E41" i="22"/>
  <c r="D41" i="22"/>
  <c r="C41" i="22"/>
  <c r="CA95" i="36" s="1"/>
  <c r="CT41" i="22"/>
  <c r="CS41" i="22"/>
  <c r="E15" i="22"/>
  <c r="D15" i="22"/>
  <c r="C15" i="22"/>
  <c r="CA93" i="36" s="1"/>
  <c r="CT15" i="22"/>
  <c r="CS15" i="22"/>
  <c r="E66" i="22"/>
  <c r="D66" i="22"/>
  <c r="C66" i="22"/>
  <c r="CT66" i="22"/>
  <c r="CS66" i="22"/>
  <c r="E77" i="22"/>
  <c r="D77" i="22"/>
  <c r="C77" i="22"/>
  <c r="CT77" i="22"/>
  <c r="CS77" i="22"/>
  <c r="E10" i="22"/>
  <c r="D10" i="22"/>
  <c r="C10" i="22"/>
  <c r="CA83" i="36" s="1"/>
  <c r="CT10" i="22"/>
  <c r="CS10" i="22"/>
  <c r="E70" i="22"/>
  <c r="D70" i="22"/>
  <c r="C70" i="22"/>
  <c r="CT70" i="22"/>
  <c r="CS70" i="22"/>
  <c r="E30" i="22"/>
  <c r="D30" i="22"/>
  <c r="C30" i="22"/>
  <c r="CT30" i="22"/>
  <c r="CS30" i="22"/>
  <c r="E22" i="22"/>
  <c r="D22" i="22"/>
  <c r="C22" i="22"/>
  <c r="CT22" i="22"/>
  <c r="CS22" i="22"/>
  <c r="E3" i="22"/>
  <c r="D3" i="22"/>
  <c r="C3" i="22"/>
  <c r="CA80" i="36" s="1"/>
  <c r="CT3" i="22"/>
  <c r="CS3" i="22"/>
  <c r="E76" i="22"/>
  <c r="D76" i="22"/>
  <c r="C76" i="22"/>
  <c r="CT76" i="22"/>
  <c r="CS76" i="22"/>
  <c r="E79" i="22"/>
  <c r="D79" i="22"/>
  <c r="C79" i="22"/>
  <c r="CA58" i="36" s="1"/>
  <c r="CT79" i="22"/>
  <c r="CS79" i="22"/>
  <c r="E61" i="22"/>
  <c r="D61" i="22"/>
  <c r="C61" i="22"/>
  <c r="CA100" i="36" s="1"/>
  <c r="CT61" i="22"/>
  <c r="CS61" i="22"/>
  <c r="E17" i="22"/>
  <c r="D17" i="22"/>
  <c r="C17" i="22"/>
  <c r="CT17" i="22"/>
  <c r="CS17" i="22"/>
  <c r="E23" i="22"/>
  <c r="D23" i="22"/>
  <c r="C23" i="22"/>
  <c r="CA78" i="36" s="1"/>
  <c r="CT23" i="22"/>
  <c r="CS23" i="22"/>
  <c r="E67" i="22"/>
  <c r="D67" i="22"/>
  <c r="C67" i="22"/>
  <c r="CT67" i="22"/>
  <c r="CS67" i="22"/>
  <c r="E58" i="22"/>
  <c r="D58" i="22"/>
  <c r="C58" i="22"/>
  <c r="CA72" i="36" s="1"/>
  <c r="CT58" i="22"/>
  <c r="CS58" i="22"/>
  <c r="E7" i="22"/>
  <c r="D7" i="22"/>
  <c r="C7" i="22"/>
  <c r="CA74" i="36" s="1"/>
  <c r="CT7" i="22"/>
  <c r="CS7" i="22"/>
  <c r="E4" i="22"/>
  <c r="D4" i="22"/>
  <c r="C4" i="22"/>
  <c r="CA75" i="36" s="1"/>
  <c r="CT4" i="22"/>
  <c r="CS4" i="22"/>
  <c r="E8" i="22"/>
  <c r="D8" i="22"/>
  <c r="C8" i="22"/>
  <c r="CA62" i="36" s="1"/>
  <c r="CT8" i="22"/>
  <c r="CS8" i="22"/>
  <c r="E2" i="22"/>
  <c r="D2" i="22"/>
  <c r="C2" i="22"/>
  <c r="CA84" i="36" s="1"/>
  <c r="CT2" i="22"/>
  <c r="CS2" i="22"/>
  <c r="E5" i="22"/>
  <c r="D5" i="22"/>
  <c r="C5" i="22"/>
  <c r="CA70" i="36" s="1"/>
  <c r="CT5" i="22"/>
  <c r="CS5" i="22"/>
  <c r="E6" i="22"/>
  <c r="D6" i="22"/>
  <c r="C6" i="22"/>
  <c r="CA68" i="36" s="1"/>
  <c r="CT6" i="22"/>
  <c r="CS6" i="22"/>
  <c r="E78" i="22"/>
  <c r="D78" i="22"/>
  <c r="C78" i="22"/>
  <c r="CT78" i="22"/>
  <c r="CS78" i="22"/>
  <c r="E25" i="22"/>
  <c r="D25" i="22"/>
  <c r="C25" i="22"/>
  <c r="CA63" i="36" s="1"/>
  <c r="CT25" i="22"/>
  <c r="CS25" i="22"/>
  <c r="E73" i="22"/>
  <c r="D73" i="22"/>
  <c r="C73" i="22"/>
  <c r="CA55" i="36" s="1"/>
  <c r="CT73" i="22"/>
  <c r="CS73" i="22"/>
  <c r="E75" i="22"/>
  <c r="D75" i="22"/>
  <c r="C75" i="22"/>
  <c r="CA57" i="36" s="1"/>
  <c r="CT75" i="22"/>
  <c r="CS75" i="22"/>
  <c r="E28" i="22"/>
  <c r="D28" i="22"/>
  <c r="C28" i="22"/>
  <c r="CA65" i="36" s="1"/>
  <c r="CT28" i="22"/>
  <c r="CS28" i="22"/>
  <c r="E71" i="22"/>
  <c r="D71" i="22"/>
  <c r="C71" i="22"/>
  <c r="CA81" i="36" s="1"/>
  <c r="CT71" i="22"/>
  <c r="CS71" i="22"/>
  <c r="E13" i="22"/>
  <c r="D13" i="22"/>
  <c r="C13" i="22"/>
  <c r="CA59" i="36" s="1"/>
  <c r="CT13" i="22"/>
  <c r="CS13" i="22"/>
  <c r="E98" i="22"/>
  <c r="D98" i="22"/>
  <c r="C98" i="22"/>
  <c r="CT98" i="22"/>
  <c r="CS98" i="22"/>
  <c r="E68" i="22"/>
  <c r="D68" i="22"/>
  <c r="C68" i="22"/>
  <c r="CA60" i="36" s="1"/>
  <c r="CT68" i="22"/>
  <c r="CS68" i="22"/>
  <c r="E11" i="22"/>
  <c r="D11" i="22"/>
  <c r="C11" i="22"/>
  <c r="CA76" i="36" s="1"/>
  <c r="CT11" i="22"/>
  <c r="CS11" i="22"/>
  <c r="AZ11" i="22"/>
  <c r="AK11" i="22" s="1" a="1"/>
  <c r="AK11" i="22" s="1"/>
  <c r="AL11" i="22" a="1"/>
  <c r="AL11" i="22" s="1"/>
  <c r="DJ68" i="22" l="1"/>
  <c r="DK68" i="22"/>
  <c r="DL68" i="22"/>
  <c r="DM68" i="22"/>
  <c r="DN68" i="22"/>
  <c r="DO68" i="22"/>
  <c r="DP68" i="22"/>
  <c r="DQ68" i="22"/>
  <c r="DR68" i="22"/>
  <c r="DS68" i="22"/>
  <c r="DT68" i="22"/>
  <c r="DU68" i="22"/>
  <c r="DV68" i="22"/>
  <c r="DW68" i="22"/>
  <c r="DX68" i="22"/>
  <c r="DJ98" i="22"/>
  <c r="DK98" i="22"/>
  <c r="DL98" i="22"/>
  <c r="DM98" i="22"/>
  <c r="DN98" i="22"/>
  <c r="DO98" i="22"/>
  <c r="DP98" i="22"/>
  <c r="DQ98" i="22"/>
  <c r="DR98" i="22"/>
  <c r="DS98" i="22"/>
  <c r="DT98" i="22"/>
  <c r="DU98" i="22"/>
  <c r="DV98" i="22"/>
  <c r="DW98" i="22"/>
  <c r="DX98" i="22"/>
  <c r="DJ13" i="22"/>
  <c r="DK13" i="22"/>
  <c r="DL13" i="22"/>
  <c r="DM13" i="22"/>
  <c r="DN13" i="22"/>
  <c r="DO13" i="22"/>
  <c r="DP13" i="22"/>
  <c r="DQ13" i="22"/>
  <c r="DR13" i="22"/>
  <c r="DS13" i="22"/>
  <c r="DT13" i="22"/>
  <c r="DU13" i="22"/>
  <c r="DV13" i="22"/>
  <c r="DW13" i="22"/>
  <c r="DX13" i="22"/>
  <c r="DJ71" i="22"/>
  <c r="DK71" i="22"/>
  <c r="DL71" i="22"/>
  <c r="DM71" i="22"/>
  <c r="DN71" i="22"/>
  <c r="DO71" i="22"/>
  <c r="DP71" i="22"/>
  <c r="DQ71" i="22"/>
  <c r="DR71" i="22"/>
  <c r="DS71" i="22"/>
  <c r="DT71" i="22"/>
  <c r="DU71" i="22"/>
  <c r="DV71" i="22"/>
  <c r="DW71" i="22"/>
  <c r="DX71" i="22"/>
  <c r="DJ28" i="22"/>
  <c r="DK28" i="22"/>
  <c r="DL28" i="22"/>
  <c r="DM28" i="22"/>
  <c r="DN28" i="22"/>
  <c r="DO28" i="22"/>
  <c r="DP28" i="22"/>
  <c r="DQ28" i="22"/>
  <c r="DR28" i="22"/>
  <c r="DS28" i="22"/>
  <c r="DT28" i="22"/>
  <c r="DU28" i="22"/>
  <c r="DV28" i="22"/>
  <c r="DW28" i="22"/>
  <c r="DX28" i="22"/>
  <c r="DJ75" i="22"/>
  <c r="DK75" i="22"/>
  <c r="DL75" i="22"/>
  <c r="DM75" i="22"/>
  <c r="DN75" i="22"/>
  <c r="DO75" i="22"/>
  <c r="DP75" i="22"/>
  <c r="DQ75" i="22"/>
  <c r="DR75" i="22"/>
  <c r="DS75" i="22"/>
  <c r="DT75" i="22"/>
  <c r="DU75" i="22"/>
  <c r="DV75" i="22"/>
  <c r="DW75" i="22"/>
  <c r="DX75" i="22"/>
  <c r="DJ73" i="22"/>
  <c r="DK73" i="22"/>
  <c r="DL73" i="22"/>
  <c r="DM73" i="22"/>
  <c r="DN73" i="22"/>
  <c r="DO73" i="22"/>
  <c r="DP73" i="22"/>
  <c r="DQ73" i="22"/>
  <c r="DR73" i="22"/>
  <c r="DS73" i="22"/>
  <c r="DT73" i="22"/>
  <c r="DU73" i="22"/>
  <c r="DV73" i="22"/>
  <c r="DW73" i="22"/>
  <c r="DX73" i="22"/>
  <c r="DJ25" i="22"/>
  <c r="DK25" i="22"/>
  <c r="DL25" i="22"/>
  <c r="DM25" i="22"/>
  <c r="DN25" i="22"/>
  <c r="DO25" i="22"/>
  <c r="DP25" i="22"/>
  <c r="DQ25" i="22"/>
  <c r="DR25" i="22"/>
  <c r="DS25" i="22"/>
  <c r="DT25" i="22"/>
  <c r="DU25" i="22"/>
  <c r="DV25" i="22"/>
  <c r="DW25" i="22"/>
  <c r="DX25" i="22"/>
  <c r="DJ78" i="22"/>
  <c r="DK78" i="22"/>
  <c r="DL78" i="22"/>
  <c r="DM78" i="22"/>
  <c r="DN78" i="22"/>
  <c r="DO78" i="22"/>
  <c r="DP78" i="22"/>
  <c r="DQ78" i="22"/>
  <c r="DR78" i="22"/>
  <c r="DS78" i="22"/>
  <c r="DT78" i="22"/>
  <c r="DU78" i="22"/>
  <c r="DV78" i="22"/>
  <c r="DW78" i="22"/>
  <c r="DX78" i="22"/>
  <c r="DJ6" i="22"/>
  <c r="DK6" i="22"/>
  <c r="DL6" i="22"/>
  <c r="DM6" i="22"/>
  <c r="DN6" i="22"/>
  <c r="DO6" i="22"/>
  <c r="DP6" i="22"/>
  <c r="DQ6" i="22"/>
  <c r="DR6" i="22"/>
  <c r="DS6" i="22"/>
  <c r="DT6" i="22"/>
  <c r="DU6" i="22"/>
  <c r="DV6" i="22"/>
  <c r="DW6" i="22"/>
  <c r="DX6" i="22"/>
  <c r="DJ5" i="22"/>
  <c r="DK5" i="22"/>
  <c r="DL5" i="22"/>
  <c r="DM5" i="22"/>
  <c r="DN5" i="22"/>
  <c r="DO5" i="22"/>
  <c r="DP5" i="22"/>
  <c r="DQ5" i="22"/>
  <c r="DR5" i="22"/>
  <c r="DS5" i="22"/>
  <c r="DT5" i="22"/>
  <c r="DU5" i="22"/>
  <c r="DV5" i="22"/>
  <c r="DW5" i="22"/>
  <c r="DX5" i="22"/>
  <c r="DJ2" i="22"/>
  <c r="DK2" i="22"/>
  <c r="DL2" i="22"/>
  <c r="DM2" i="22"/>
  <c r="DN2" i="22"/>
  <c r="DO2" i="22"/>
  <c r="DP2" i="22"/>
  <c r="DQ2" i="22"/>
  <c r="DR2" i="22"/>
  <c r="DS2" i="22"/>
  <c r="DT2" i="22"/>
  <c r="DU2" i="22"/>
  <c r="DV2" i="22"/>
  <c r="DW2" i="22"/>
  <c r="DX2" i="22"/>
  <c r="DJ8" i="22"/>
  <c r="DK8" i="22"/>
  <c r="DL8" i="22"/>
  <c r="DM8" i="22"/>
  <c r="DN8" i="22"/>
  <c r="DO8" i="22"/>
  <c r="DP8" i="22"/>
  <c r="DQ8" i="22"/>
  <c r="DR8" i="22"/>
  <c r="DS8" i="22"/>
  <c r="DT8" i="22"/>
  <c r="DU8" i="22"/>
  <c r="DV8" i="22"/>
  <c r="DW8" i="22"/>
  <c r="DX8" i="22"/>
  <c r="DJ4" i="22"/>
  <c r="DK4" i="22"/>
  <c r="DL4" i="22"/>
  <c r="DM4" i="22"/>
  <c r="DN4" i="22"/>
  <c r="DO4" i="22"/>
  <c r="DP4" i="22"/>
  <c r="DQ4" i="22"/>
  <c r="DR4" i="22"/>
  <c r="DS4" i="22"/>
  <c r="DT4" i="22"/>
  <c r="DU4" i="22"/>
  <c r="DV4" i="22"/>
  <c r="DW4" i="22"/>
  <c r="DX4" i="22"/>
  <c r="DJ7" i="22"/>
  <c r="DK7" i="22"/>
  <c r="DL7" i="22"/>
  <c r="DM7" i="22"/>
  <c r="DN7" i="22"/>
  <c r="DO7" i="22"/>
  <c r="DP7" i="22"/>
  <c r="DQ7" i="22"/>
  <c r="DR7" i="22"/>
  <c r="DS7" i="22"/>
  <c r="DT7" i="22"/>
  <c r="DU7" i="22"/>
  <c r="DV7" i="22"/>
  <c r="DW7" i="22"/>
  <c r="DX7" i="22"/>
  <c r="DJ58" i="22"/>
  <c r="DK58" i="22"/>
  <c r="DL58" i="22"/>
  <c r="DM58" i="22"/>
  <c r="DN58" i="22"/>
  <c r="DO58" i="22"/>
  <c r="DP58" i="22"/>
  <c r="DQ58" i="22"/>
  <c r="DR58" i="22"/>
  <c r="DS58" i="22"/>
  <c r="DT58" i="22"/>
  <c r="DU58" i="22"/>
  <c r="DV58" i="22"/>
  <c r="DW58" i="22"/>
  <c r="DX58" i="22"/>
  <c r="DJ67" i="22"/>
  <c r="DK67" i="22"/>
  <c r="DL67" i="22"/>
  <c r="DM67" i="22"/>
  <c r="DN67" i="22"/>
  <c r="DO67" i="22"/>
  <c r="DP67" i="22"/>
  <c r="DQ67" i="22"/>
  <c r="DR67" i="22"/>
  <c r="DS67" i="22"/>
  <c r="DT67" i="22"/>
  <c r="DU67" i="22"/>
  <c r="DV67" i="22"/>
  <c r="DW67" i="22"/>
  <c r="DX67" i="22"/>
  <c r="DJ23" i="22"/>
  <c r="DK23" i="22"/>
  <c r="DL23" i="22"/>
  <c r="DM23" i="22"/>
  <c r="DN23" i="22"/>
  <c r="DO23" i="22"/>
  <c r="DP23" i="22"/>
  <c r="DQ23" i="22"/>
  <c r="DR23" i="22"/>
  <c r="DS23" i="22"/>
  <c r="DT23" i="22"/>
  <c r="DU23" i="22"/>
  <c r="DV23" i="22"/>
  <c r="DW23" i="22"/>
  <c r="DX23" i="22"/>
  <c r="DJ17" i="22"/>
  <c r="DK17" i="22"/>
  <c r="DL17" i="22"/>
  <c r="DM17" i="22"/>
  <c r="DN17" i="22"/>
  <c r="DO17" i="22"/>
  <c r="DP17" i="22"/>
  <c r="DQ17" i="22"/>
  <c r="DR17" i="22"/>
  <c r="DS17" i="22"/>
  <c r="DT17" i="22"/>
  <c r="DU17" i="22"/>
  <c r="DV17" i="22"/>
  <c r="DW17" i="22"/>
  <c r="DX17" i="22"/>
  <c r="DJ61" i="22"/>
  <c r="DK61" i="22"/>
  <c r="DL61" i="22"/>
  <c r="DM61" i="22"/>
  <c r="DN61" i="22"/>
  <c r="DO61" i="22"/>
  <c r="DP61" i="22"/>
  <c r="DQ61" i="22"/>
  <c r="DR61" i="22"/>
  <c r="DS61" i="22"/>
  <c r="DT61" i="22"/>
  <c r="DU61" i="22"/>
  <c r="DV61" i="22"/>
  <c r="DW61" i="22"/>
  <c r="DX61" i="22"/>
  <c r="DJ79" i="22"/>
  <c r="DK79" i="22"/>
  <c r="DL79" i="22"/>
  <c r="DM79" i="22"/>
  <c r="DN79" i="22"/>
  <c r="DO79" i="22"/>
  <c r="DP79" i="22"/>
  <c r="DQ79" i="22"/>
  <c r="DR79" i="22"/>
  <c r="DS79" i="22"/>
  <c r="DT79" i="22"/>
  <c r="DU79" i="22"/>
  <c r="DV79" i="22"/>
  <c r="DW79" i="22"/>
  <c r="DX79" i="22"/>
  <c r="DJ76" i="22"/>
  <c r="DK76" i="22"/>
  <c r="DL76" i="22"/>
  <c r="DM76" i="22"/>
  <c r="DN76" i="22"/>
  <c r="DO76" i="22"/>
  <c r="DP76" i="22"/>
  <c r="DQ76" i="22"/>
  <c r="DR76" i="22"/>
  <c r="DS76" i="22"/>
  <c r="DT76" i="22"/>
  <c r="DU76" i="22"/>
  <c r="DV76" i="22"/>
  <c r="DW76" i="22"/>
  <c r="DX76" i="22"/>
  <c r="DJ3" i="22"/>
  <c r="DK3" i="22"/>
  <c r="DL3" i="22"/>
  <c r="DM3" i="22"/>
  <c r="DN3" i="22"/>
  <c r="DO3" i="22"/>
  <c r="DP3" i="22"/>
  <c r="DQ3" i="22"/>
  <c r="DR3" i="22"/>
  <c r="DS3" i="22"/>
  <c r="DT3" i="22"/>
  <c r="DU3" i="22"/>
  <c r="DV3" i="22"/>
  <c r="DW3" i="22"/>
  <c r="DX3" i="22"/>
  <c r="DJ22" i="22"/>
  <c r="DK22" i="22"/>
  <c r="DL22" i="22"/>
  <c r="DM22" i="22"/>
  <c r="DN22" i="22"/>
  <c r="DO22" i="22"/>
  <c r="DP22" i="22"/>
  <c r="DQ22" i="22"/>
  <c r="DR22" i="22"/>
  <c r="DS22" i="22"/>
  <c r="DT22" i="22"/>
  <c r="DU22" i="22"/>
  <c r="DV22" i="22"/>
  <c r="DW22" i="22"/>
  <c r="DX22" i="22"/>
  <c r="DJ30" i="22"/>
  <c r="DK30" i="22"/>
  <c r="DL30" i="22"/>
  <c r="DM30" i="22"/>
  <c r="DN30" i="22"/>
  <c r="DO30" i="22"/>
  <c r="DP30" i="22"/>
  <c r="DQ30" i="22"/>
  <c r="DR30" i="22"/>
  <c r="DS30" i="22"/>
  <c r="DT30" i="22"/>
  <c r="DU30" i="22"/>
  <c r="DV30" i="22"/>
  <c r="DW30" i="22"/>
  <c r="DX30" i="22"/>
  <c r="DJ70" i="22"/>
  <c r="DK70" i="22"/>
  <c r="DL70" i="22"/>
  <c r="DM70" i="22"/>
  <c r="DN70" i="22"/>
  <c r="DO70" i="22"/>
  <c r="DP70" i="22"/>
  <c r="DQ70" i="22"/>
  <c r="DR70" i="22"/>
  <c r="DS70" i="22"/>
  <c r="DT70" i="22"/>
  <c r="DU70" i="22"/>
  <c r="DV70" i="22"/>
  <c r="DW70" i="22"/>
  <c r="DX70" i="22"/>
  <c r="DJ10" i="22"/>
  <c r="DK10" i="22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J77" i="22"/>
  <c r="DK77" i="22"/>
  <c r="DL77" i="22"/>
  <c r="DM77" i="22"/>
  <c r="DN77" i="22"/>
  <c r="DO77" i="22"/>
  <c r="DP77" i="22"/>
  <c r="DQ77" i="22"/>
  <c r="DR77" i="22"/>
  <c r="DS77" i="22"/>
  <c r="DT77" i="22"/>
  <c r="DU77" i="22"/>
  <c r="DV77" i="22"/>
  <c r="DW77" i="22"/>
  <c r="DX77" i="22"/>
  <c r="DJ66" i="22"/>
  <c r="DK66" i="22"/>
  <c r="DL66" i="22"/>
  <c r="DM66" i="22"/>
  <c r="DN66" i="22"/>
  <c r="DO66" i="22"/>
  <c r="DP66" i="22"/>
  <c r="DQ66" i="22"/>
  <c r="DR66" i="22"/>
  <c r="DS66" i="22"/>
  <c r="DT66" i="22"/>
  <c r="DU66" i="22"/>
  <c r="DV66" i="22"/>
  <c r="DW66" i="22"/>
  <c r="DX66" i="22"/>
  <c r="DJ15" i="22"/>
  <c r="DK15" i="22"/>
  <c r="DL15" i="22"/>
  <c r="DM15" i="22"/>
  <c r="DN15" i="22"/>
  <c r="DO15" i="22"/>
  <c r="DP15" i="22"/>
  <c r="DQ15" i="22"/>
  <c r="DR15" i="22"/>
  <c r="DS15" i="22"/>
  <c r="DT15" i="22"/>
  <c r="DU15" i="22"/>
  <c r="DV15" i="22"/>
  <c r="DW15" i="22"/>
  <c r="DX15" i="22"/>
  <c r="DJ41" i="22"/>
  <c r="DK41" i="22"/>
  <c r="DL41" i="22"/>
  <c r="DM41" i="22"/>
  <c r="DN41" i="22"/>
  <c r="DO41" i="22"/>
  <c r="DP41" i="22"/>
  <c r="DQ41" i="22"/>
  <c r="DR41" i="22"/>
  <c r="DS41" i="22"/>
  <c r="DT41" i="22"/>
  <c r="DU41" i="22"/>
  <c r="DV41" i="22"/>
  <c r="DW41" i="22"/>
  <c r="DX41" i="22"/>
  <c r="DJ49" i="22"/>
  <c r="DK49" i="22"/>
  <c r="DL49" i="22"/>
  <c r="DM49" i="22"/>
  <c r="DN49" i="22"/>
  <c r="DO49" i="22"/>
  <c r="DP49" i="22"/>
  <c r="DQ49" i="22"/>
  <c r="DR49" i="22"/>
  <c r="DS49" i="22"/>
  <c r="DT49" i="22"/>
  <c r="DU49" i="22"/>
  <c r="DV49" i="22"/>
  <c r="DW49" i="22"/>
  <c r="DX49" i="22"/>
  <c r="DJ84" i="22"/>
  <c r="DK84" i="22"/>
  <c r="DL84" i="22"/>
  <c r="DM84" i="22"/>
  <c r="DN84" i="22"/>
  <c r="DO84" i="22"/>
  <c r="DP84" i="22"/>
  <c r="DQ84" i="22"/>
  <c r="DR84" i="22"/>
  <c r="DS84" i="22"/>
  <c r="DT84" i="22"/>
  <c r="DU84" i="22"/>
  <c r="DV84" i="22"/>
  <c r="DW84" i="22"/>
  <c r="DX84" i="22"/>
  <c r="DJ20" i="22"/>
  <c r="DK20" i="22"/>
  <c r="DL20" i="22"/>
  <c r="DM20" i="22"/>
  <c r="DN20" i="22"/>
  <c r="DO20" i="22"/>
  <c r="DP20" i="22"/>
  <c r="DQ20" i="22"/>
  <c r="DR20" i="22"/>
  <c r="DS20" i="22"/>
  <c r="DT20" i="22"/>
  <c r="DU20" i="22"/>
  <c r="DV20" i="22"/>
  <c r="DW20" i="22"/>
  <c r="DX20" i="22"/>
  <c r="DJ65" i="22"/>
  <c r="DK65" i="22"/>
  <c r="DL65" i="22"/>
  <c r="DM65" i="22"/>
  <c r="DN65" i="22"/>
  <c r="DO65" i="22"/>
  <c r="DP65" i="22"/>
  <c r="DQ65" i="22"/>
  <c r="DR65" i="22"/>
  <c r="DS65" i="22"/>
  <c r="DT65" i="22"/>
  <c r="DU65" i="22"/>
  <c r="DV65" i="22"/>
  <c r="DW65" i="22"/>
  <c r="DX65" i="22"/>
  <c r="DJ40" i="22"/>
  <c r="DK40" i="22"/>
  <c r="DL40" i="22"/>
  <c r="DM40" i="22"/>
  <c r="DN40" i="22"/>
  <c r="DO40" i="22"/>
  <c r="DP40" i="22"/>
  <c r="DQ40" i="22"/>
  <c r="DR40" i="22"/>
  <c r="DS40" i="22"/>
  <c r="DT40" i="22"/>
  <c r="DU40" i="22"/>
  <c r="DV40" i="22"/>
  <c r="DW40" i="22"/>
  <c r="DX40" i="22"/>
  <c r="DJ97" i="22"/>
  <c r="DK97" i="22"/>
  <c r="DL97" i="22"/>
  <c r="DM97" i="22"/>
  <c r="DN97" i="22"/>
  <c r="DO97" i="22"/>
  <c r="DP97" i="22"/>
  <c r="DQ97" i="22"/>
  <c r="DR97" i="22"/>
  <c r="DS97" i="22"/>
  <c r="DT97" i="22"/>
  <c r="DU97" i="22"/>
  <c r="DV97" i="22"/>
  <c r="DW97" i="22"/>
  <c r="DX97" i="22"/>
  <c r="DJ85" i="22"/>
  <c r="DK85" i="22"/>
  <c r="DL85" i="22"/>
  <c r="DM85" i="22"/>
  <c r="DN85" i="22"/>
  <c r="DO85" i="22"/>
  <c r="DP85" i="22"/>
  <c r="DQ85" i="22"/>
  <c r="DR85" i="22"/>
  <c r="DS85" i="22"/>
  <c r="DT85" i="22"/>
  <c r="DU85" i="22"/>
  <c r="DV85" i="22"/>
  <c r="DW85" i="22"/>
  <c r="DX85" i="22"/>
  <c r="DJ31" i="22"/>
  <c r="DK31" i="22"/>
  <c r="DL31" i="22"/>
  <c r="DM31" i="22"/>
  <c r="DN31" i="22"/>
  <c r="DO31" i="22"/>
  <c r="DP31" i="22"/>
  <c r="DQ31" i="22"/>
  <c r="DR31" i="22"/>
  <c r="DS31" i="22"/>
  <c r="DT31" i="22"/>
  <c r="DU31" i="22"/>
  <c r="DV31" i="22"/>
  <c r="DW31" i="22"/>
  <c r="DX31" i="22"/>
  <c r="DJ82" i="22"/>
  <c r="DK82" i="22"/>
  <c r="DL82" i="22"/>
  <c r="DM82" i="22"/>
  <c r="DN82" i="22"/>
  <c r="DO82" i="22"/>
  <c r="DP82" i="22"/>
  <c r="DQ82" i="22"/>
  <c r="DR82" i="22"/>
  <c r="DS82" i="22"/>
  <c r="DT82" i="22"/>
  <c r="DU82" i="22"/>
  <c r="DV82" i="22"/>
  <c r="DW82" i="22"/>
  <c r="DX82" i="22"/>
  <c r="DJ14" i="22"/>
  <c r="DK14" i="22"/>
  <c r="DL14" i="22"/>
  <c r="DM14" i="22"/>
  <c r="DN14" i="22"/>
  <c r="DO14" i="22"/>
  <c r="DP14" i="22"/>
  <c r="DQ14" i="22"/>
  <c r="DR14" i="22"/>
  <c r="DS14" i="22"/>
  <c r="DT14" i="22"/>
  <c r="DU14" i="22"/>
  <c r="DV14" i="22"/>
  <c r="DW14" i="22"/>
  <c r="DX14" i="22"/>
  <c r="DJ51" i="22"/>
  <c r="DK51" i="22"/>
  <c r="DL51" i="22"/>
  <c r="DM51" i="22"/>
  <c r="DN51" i="22"/>
  <c r="DO51" i="22"/>
  <c r="DP51" i="22"/>
  <c r="DQ51" i="22"/>
  <c r="DR51" i="22"/>
  <c r="DS51" i="22"/>
  <c r="DT51" i="22"/>
  <c r="DU51" i="22"/>
  <c r="DV51" i="22"/>
  <c r="DW51" i="22"/>
  <c r="DX51" i="22"/>
  <c r="DJ86" i="22"/>
  <c r="DK86" i="22"/>
  <c r="DL86" i="22"/>
  <c r="DM86" i="22"/>
  <c r="DN86" i="22"/>
  <c r="DO86" i="22"/>
  <c r="DP86" i="22"/>
  <c r="DQ86" i="22"/>
  <c r="DR86" i="22"/>
  <c r="DS86" i="22"/>
  <c r="DT86" i="22"/>
  <c r="DU86" i="22"/>
  <c r="DV86" i="22"/>
  <c r="DW86" i="22"/>
  <c r="DX86" i="22"/>
  <c r="DJ91" i="22"/>
  <c r="DK91" i="22"/>
  <c r="DL91" i="22"/>
  <c r="DM91" i="22"/>
  <c r="DN91" i="22"/>
  <c r="DO91" i="22"/>
  <c r="DP91" i="22"/>
  <c r="DQ91" i="22"/>
  <c r="DR91" i="22"/>
  <c r="DS91" i="22"/>
  <c r="DT91" i="22"/>
  <c r="DU91" i="22"/>
  <c r="DV91" i="22"/>
  <c r="DW91" i="22"/>
  <c r="DX91" i="22"/>
  <c r="DJ45" i="22"/>
  <c r="DK45" i="22"/>
  <c r="DL45" i="22"/>
  <c r="DM45" i="22"/>
  <c r="DN45" i="22"/>
  <c r="DO45" i="22"/>
  <c r="DP45" i="22"/>
  <c r="DQ45" i="22"/>
  <c r="DR45" i="22"/>
  <c r="DS45" i="22"/>
  <c r="DT45" i="22"/>
  <c r="DU45" i="22"/>
  <c r="DV45" i="22"/>
  <c r="DW45" i="22"/>
  <c r="DX45" i="22"/>
  <c r="DJ69" i="22"/>
  <c r="DK69" i="22"/>
  <c r="DL69" i="22"/>
  <c r="DM69" i="22"/>
  <c r="DN69" i="22"/>
  <c r="DO69" i="22"/>
  <c r="DP69" i="22"/>
  <c r="DQ69" i="22"/>
  <c r="DR69" i="22"/>
  <c r="DS69" i="22"/>
  <c r="DT69" i="22"/>
  <c r="DU69" i="22"/>
  <c r="DV69" i="22"/>
  <c r="DW69" i="22"/>
  <c r="DX69" i="22"/>
  <c r="DJ36" i="22"/>
  <c r="DK36" i="22"/>
  <c r="DL36" i="22"/>
  <c r="DM36" i="22"/>
  <c r="DN36" i="22"/>
  <c r="DO36" i="22"/>
  <c r="DP36" i="22"/>
  <c r="DQ36" i="22"/>
  <c r="DR36" i="22"/>
  <c r="DS36" i="22"/>
  <c r="DT36" i="22"/>
  <c r="DU36" i="22"/>
  <c r="DV36" i="22"/>
  <c r="DW36" i="22"/>
  <c r="DX36" i="22"/>
  <c r="DJ46" i="22"/>
  <c r="DK46" i="22"/>
  <c r="DL46" i="22"/>
  <c r="DM46" i="22"/>
  <c r="DN46" i="22"/>
  <c r="DO46" i="22"/>
  <c r="DP46" i="22"/>
  <c r="DQ46" i="22"/>
  <c r="DR46" i="22"/>
  <c r="DS46" i="22"/>
  <c r="DT46" i="22"/>
  <c r="DU46" i="22"/>
  <c r="DV46" i="22"/>
  <c r="DW46" i="22"/>
  <c r="DX46" i="22"/>
  <c r="DJ59" i="22"/>
  <c r="DK59" i="22"/>
  <c r="DL59" i="22"/>
  <c r="DM59" i="22"/>
  <c r="DN59" i="22"/>
  <c r="DO59" i="22"/>
  <c r="DP59" i="22"/>
  <c r="DQ59" i="22"/>
  <c r="DR59" i="22"/>
  <c r="DS59" i="22"/>
  <c r="DT59" i="22"/>
  <c r="DU59" i="22"/>
  <c r="DV59" i="22"/>
  <c r="DW59" i="22"/>
  <c r="DX59" i="22"/>
  <c r="DJ35" i="22"/>
  <c r="DK35" i="22"/>
  <c r="DL35" i="22"/>
  <c r="DM35" i="22"/>
  <c r="DN35" i="22"/>
  <c r="DO35" i="22"/>
  <c r="DP35" i="22"/>
  <c r="DQ35" i="22"/>
  <c r="DR35" i="22"/>
  <c r="DS35" i="22"/>
  <c r="DT35" i="22"/>
  <c r="DU35" i="22"/>
  <c r="DV35" i="22"/>
  <c r="DW35" i="22"/>
  <c r="DX35" i="22"/>
  <c r="DJ57" i="22"/>
  <c r="DK57" i="22"/>
  <c r="DL57" i="22"/>
  <c r="DM57" i="22"/>
  <c r="DN57" i="22"/>
  <c r="DO57" i="22"/>
  <c r="DP57" i="22"/>
  <c r="DQ57" i="22"/>
  <c r="DR57" i="22"/>
  <c r="DS57" i="22"/>
  <c r="DT57" i="22"/>
  <c r="DU57" i="22"/>
  <c r="DV57" i="22"/>
  <c r="DW57" i="22"/>
  <c r="DX57" i="22"/>
  <c r="DJ80" i="22"/>
  <c r="DK80" i="22"/>
  <c r="DL80" i="22"/>
  <c r="DM80" i="22"/>
  <c r="DN80" i="22"/>
  <c r="DO80" i="22"/>
  <c r="DP80" i="22"/>
  <c r="DQ80" i="22"/>
  <c r="DR80" i="22"/>
  <c r="DS80" i="22"/>
  <c r="DT80" i="22"/>
  <c r="DU80" i="22"/>
  <c r="DV80" i="22"/>
  <c r="DW80" i="22"/>
  <c r="DX80" i="22"/>
  <c r="DJ101" i="22"/>
  <c r="DK101" i="22"/>
  <c r="DL101" i="22"/>
  <c r="DM101" i="22"/>
  <c r="DN101" i="22"/>
  <c r="DO101" i="22"/>
  <c r="DP101" i="22"/>
  <c r="DQ101" i="22"/>
  <c r="DR101" i="22"/>
  <c r="DS101" i="22"/>
  <c r="DT101" i="22"/>
  <c r="DU101" i="22"/>
  <c r="DV101" i="22"/>
  <c r="DW101" i="22"/>
  <c r="DX101" i="22"/>
  <c r="DJ81" i="22"/>
  <c r="DK81" i="22"/>
  <c r="DL81" i="22"/>
  <c r="DM81" i="22"/>
  <c r="DN81" i="22"/>
  <c r="DO81" i="22"/>
  <c r="DP81" i="22"/>
  <c r="DQ81" i="22"/>
  <c r="DR81" i="22"/>
  <c r="DS81" i="22"/>
  <c r="DT81" i="22"/>
  <c r="DU81" i="22"/>
  <c r="DV81" i="22"/>
  <c r="DW81" i="22"/>
  <c r="DX81" i="22"/>
  <c r="DJ72" i="22"/>
  <c r="DK72" i="22"/>
  <c r="DL72" i="22"/>
  <c r="DM72" i="22"/>
  <c r="DN72" i="22"/>
  <c r="DO72" i="22"/>
  <c r="DP72" i="22"/>
  <c r="DQ72" i="22"/>
  <c r="DR72" i="22"/>
  <c r="DS72" i="22"/>
  <c r="DT72" i="22"/>
  <c r="DU72" i="22"/>
  <c r="DV72" i="22"/>
  <c r="DW72" i="22"/>
  <c r="DX72" i="22"/>
  <c r="DJ96" i="22"/>
  <c r="DK96" i="22"/>
  <c r="DL96" i="22"/>
  <c r="DM96" i="22"/>
  <c r="DN96" i="22"/>
  <c r="DO96" i="22"/>
  <c r="DP96" i="22"/>
  <c r="DQ96" i="22"/>
  <c r="DR96" i="22"/>
  <c r="DS96" i="22"/>
  <c r="DT96" i="22"/>
  <c r="DU96" i="22"/>
  <c r="DV96" i="22"/>
  <c r="DW96" i="22"/>
  <c r="DX96" i="22"/>
  <c r="DJ29" i="22"/>
  <c r="DK29" i="22"/>
  <c r="DL29" i="22"/>
  <c r="DM29" i="22"/>
  <c r="DN29" i="22"/>
  <c r="DO29" i="22"/>
  <c r="DP29" i="22"/>
  <c r="DQ29" i="22"/>
  <c r="DR29" i="22"/>
  <c r="DS29" i="22"/>
  <c r="DT29" i="22"/>
  <c r="DU29" i="22"/>
  <c r="DV29" i="22"/>
  <c r="DW29" i="22"/>
  <c r="DX29" i="22"/>
  <c r="DJ100" i="22"/>
  <c r="DK100" i="22"/>
  <c r="DL100" i="22"/>
  <c r="DM100" i="22"/>
  <c r="DN100" i="22"/>
  <c r="DO100" i="22"/>
  <c r="DP100" i="22"/>
  <c r="DQ100" i="22"/>
  <c r="DR100" i="22"/>
  <c r="DS100" i="22"/>
  <c r="DT100" i="22"/>
  <c r="DU100" i="22"/>
  <c r="DV100" i="22"/>
  <c r="DW100" i="22"/>
  <c r="DX100" i="22"/>
  <c r="DJ43" i="22"/>
  <c r="DK43" i="22"/>
  <c r="DL43" i="22"/>
  <c r="DM43" i="22"/>
  <c r="DN43" i="22"/>
  <c r="DO43" i="22"/>
  <c r="DP43" i="22"/>
  <c r="DQ43" i="22"/>
  <c r="DR43" i="22"/>
  <c r="DS43" i="22"/>
  <c r="DT43" i="22"/>
  <c r="DU43" i="22"/>
  <c r="DV43" i="22"/>
  <c r="DW43" i="22"/>
  <c r="DX43" i="22"/>
  <c r="DJ94" i="22"/>
  <c r="DK94" i="22"/>
  <c r="DL94" i="22"/>
  <c r="DM94" i="22"/>
  <c r="DN94" i="22"/>
  <c r="DO94" i="22"/>
  <c r="DP94" i="22"/>
  <c r="DQ94" i="22"/>
  <c r="DR94" i="22"/>
  <c r="DS94" i="22"/>
  <c r="DT94" i="22"/>
  <c r="DU94" i="22"/>
  <c r="DV94" i="22"/>
  <c r="DW94" i="22"/>
  <c r="DX94" i="22"/>
  <c r="DJ92" i="22"/>
  <c r="DK92" i="22"/>
  <c r="DL92" i="22"/>
  <c r="DM92" i="22"/>
  <c r="DN92" i="22"/>
  <c r="DO92" i="22"/>
  <c r="DP92" i="22"/>
  <c r="DQ92" i="22"/>
  <c r="DR92" i="22"/>
  <c r="DS92" i="22"/>
  <c r="DT92" i="22"/>
  <c r="DU92" i="22"/>
  <c r="DV92" i="22"/>
  <c r="DW92" i="22"/>
  <c r="DX92" i="22"/>
  <c r="DJ87" i="22"/>
  <c r="DK87" i="22"/>
  <c r="DL87" i="22"/>
  <c r="DM87" i="22"/>
  <c r="DN87" i="22"/>
  <c r="DO87" i="22"/>
  <c r="DP87" i="22"/>
  <c r="DQ87" i="22"/>
  <c r="DR87" i="22"/>
  <c r="DS87" i="22"/>
  <c r="DT87" i="22"/>
  <c r="DU87" i="22"/>
  <c r="DV87" i="22"/>
  <c r="DW87" i="22"/>
  <c r="DX87" i="22"/>
  <c r="DJ93" i="22"/>
  <c r="DK93" i="22"/>
  <c r="DL93" i="22"/>
  <c r="DM93" i="22"/>
  <c r="DN93" i="22"/>
  <c r="DO93" i="22"/>
  <c r="DP93" i="22"/>
  <c r="DQ93" i="22"/>
  <c r="DR93" i="22"/>
  <c r="DS93" i="22"/>
  <c r="DT93" i="22"/>
  <c r="DU93" i="22"/>
  <c r="DV93" i="22"/>
  <c r="DW93" i="22"/>
  <c r="DX93" i="22"/>
  <c r="DJ53" i="22"/>
  <c r="DK53" i="22"/>
  <c r="DL53" i="22"/>
  <c r="DM53" i="22"/>
  <c r="DN53" i="22"/>
  <c r="DO53" i="22"/>
  <c r="DP53" i="22"/>
  <c r="DQ53" i="22"/>
  <c r="DR53" i="22"/>
  <c r="DS53" i="22"/>
  <c r="DT53" i="22"/>
  <c r="DU53" i="22"/>
  <c r="DV53" i="22"/>
  <c r="DW53" i="22"/>
  <c r="DX53" i="22"/>
  <c r="DJ24" i="22"/>
  <c r="DK24" i="22"/>
  <c r="DL24" i="22"/>
  <c r="DM24" i="22"/>
  <c r="DN24" i="22"/>
  <c r="DO24" i="22"/>
  <c r="DP24" i="22"/>
  <c r="DQ24" i="22"/>
  <c r="DR24" i="22"/>
  <c r="DS24" i="22"/>
  <c r="DT24" i="22"/>
  <c r="DU24" i="22"/>
  <c r="DV24" i="22"/>
  <c r="DW24" i="22"/>
  <c r="DX24" i="22"/>
  <c r="DJ55" i="22"/>
  <c r="DK55" i="22"/>
  <c r="DL55" i="22"/>
  <c r="DM55" i="22"/>
  <c r="DN55" i="22"/>
  <c r="DO55" i="22"/>
  <c r="DP55" i="22"/>
  <c r="DQ55" i="22"/>
  <c r="DR55" i="22"/>
  <c r="DS55" i="22"/>
  <c r="DT55" i="22"/>
  <c r="DU55" i="22"/>
  <c r="DV55" i="22"/>
  <c r="DW55" i="22"/>
  <c r="DX55" i="22"/>
  <c r="DJ44" i="22"/>
  <c r="DK44" i="22"/>
  <c r="DL44" i="22"/>
  <c r="DM44" i="22"/>
  <c r="DN44" i="22"/>
  <c r="DO44" i="22"/>
  <c r="DP44" i="22"/>
  <c r="DQ44" i="22"/>
  <c r="DR44" i="22"/>
  <c r="DS44" i="22"/>
  <c r="DT44" i="22"/>
  <c r="DU44" i="22"/>
  <c r="DV44" i="22"/>
  <c r="DW44" i="22"/>
  <c r="DX44" i="22"/>
  <c r="DJ19" i="22"/>
  <c r="DK19" i="22"/>
  <c r="DL19" i="22"/>
  <c r="DM19" i="22"/>
  <c r="DN19" i="22"/>
  <c r="DO19" i="22"/>
  <c r="DP19" i="22"/>
  <c r="DQ19" i="22"/>
  <c r="DR19" i="22"/>
  <c r="DS19" i="22"/>
  <c r="DT19" i="22"/>
  <c r="DU19" i="22"/>
  <c r="DV19" i="22"/>
  <c r="DW19" i="22"/>
  <c r="DX19" i="22"/>
  <c r="DJ89" i="22"/>
  <c r="DK89" i="22"/>
  <c r="DL89" i="22"/>
  <c r="DM89" i="22"/>
  <c r="DN89" i="22"/>
  <c r="DO89" i="22"/>
  <c r="DP89" i="22"/>
  <c r="DQ89" i="22"/>
  <c r="DR89" i="22"/>
  <c r="DS89" i="22"/>
  <c r="DT89" i="22"/>
  <c r="DU89" i="22"/>
  <c r="DV89" i="22"/>
  <c r="DW89" i="22"/>
  <c r="DX89" i="22"/>
  <c r="DJ37" i="22"/>
  <c r="DK37" i="22"/>
  <c r="DL37" i="22"/>
  <c r="DM37" i="22"/>
  <c r="DN37" i="22"/>
  <c r="DO37" i="22"/>
  <c r="DP37" i="22"/>
  <c r="DQ37" i="22"/>
  <c r="DR37" i="22"/>
  <c r="DS37" i="22"/>
  <c r="DT37" i="22"/>
  <c r="DU37" i="22"/>
  <c r="DV37" i="22"/>
  <c r="DW37" i="22"/>
  <c r="DX37" i="22"/>
  <c r="DJ27" i="22"/>
  <c r="DK27" i="22"/>
  <c r="DL27" i="22"/>
  <c r="DM27" i="22"/>
  <c r="DN27" i="22"/>
  <c r="DO27" i="22"/>
  <c r="DP27" i="22"/>
  <c r="DQ27" i="22"/>
  <c r="DR27" i="22"/>
  <c r="DS27" i="22"/>
  <c r="DT27" i="22"/>
  <c r="DU27" i="22"/>
  <c r="DV27" i="22"/>
  <c r="DW27" i="22"/>
  <c r="DX27" i="22"/>
  <c r="DJ21" i="22"/>
  <c r="DK21" i="22"/>
  <c r="DL21" i="22"/>
  <c r="DM21" i="22"/>
  <c r="DN21" i="22"/>
  <c r="DO21" i="22"/>
  <c r="DP21" i="22"/>
  <c r="DQ21" i="22"/>
  <c r="DR21" i="22"/>
  <c r="DS21" i="22"/>
  <c r="DT21" i="22"/>
  <c r="DU21" i="22"/>
  <c r="DV21" i="22"/>
  <c r="DW21" i="22"/>
  <c r="DX21" i="22"/>
  <c r="DJ83" i="22"/>
  <c r="DK83" i="22"/>
  <c r="DL83" i="22"/>
  <c r="DM83" i="22"/>
  <c r="DN83" i="22"/>
  <c r="DO83" i="22"/>
  <c r="DP83" i="22"/>
  <c r="DQ83" i="22"/>
  <c r="DR83" i="22"/>
  <c r="DS83" i="22"/>
  <c r="DT83" i="22"/>
  <c r="DU83" i="22"/>
  <c r="DV83" i="22"/>
  <c r="DW83" i="22"/>
  <c r="DX83" i="22"/>
  <c r="DJ39" i="22"/>
  <c r="DK39" i="22"/>
  <c r="DL39" i="22"/>
  <c r="DM39" i="22"/>
  <c r="DN39" i="22"/>
  <c r="DO39" i="22"/>
  <c r="DP39" i="22"/>
  <c r="DQ39" i="22"/>
  <c r="DR39" i="22"/>
  <c r="DS39" i="22"/>
  <c r="DT39" i="22"/>
  <c r="DU39" i="22"/>
  <c r="DV39" i="22"/>
  <c r="DW39" i="22"/>
  <c r="DX39" i="22"/>
  <c r="DJ90" i="22"/>
  <c r="DK90" i="22"/>
  <c r="DL90" i="22"/>
  <c r="DM90" i="22"/>
  <c r="DN90" i="22"/>
  <c r="DO90" i="22"/>
  <c r="DP90" i="22"/>
  <c r="DQ90" i="22"/>
  <c r="DR90" i="22"/>
  <c r="DS90" i="22"/>
  <c r="DT90" i="22"/>
  <c r="DU90" i="22"/>
  <c r="DV90" i="22"/>
  <c r="DW90" i="22"/>
  <c r="DX90" i="22"/>
  <c r="DJ34" i="22"/>
  <c r="DK34" i="22"/>
  <c r="DL34" i="22"/>
  <c r="DM34" i="22"/>
  <c r="DN34" i="22"/>
  <c r="DO34" i="22"/>
  <c r="DP34" i="22"/>
  <c r="DQ34" i="22"/>
  <c r="DR34" i="22"/>
  <c r="DS34" i="22"/>
  <c r="DT34" i="22"/>
  <c r="DU34" i="22"/>
  <c r="DV34" i="22"/>
  <c r="DW34" i="22"/>
  <c r="DX34" i="22"/>
  <c r="DJ88" i="22"/>
  <c r="DK88" i="22"/>
  <c r="DL88" i="22"/>
  <c r="DM88" i="22"/>
  <c r="DN88" i="22"/>
  <c r="DO88" i="22"/>
  <c r="DP88" i="22"/>
  <c r="DQ88" i="22"/>
  <c r="DR88" i="22"/>
  <c r="DS88" i="22"/>
  <c r="DT88" i="22"/>
  <c r="DU88" i="22"/>
  <c r="DV88" i="22"/>
  <c r="DW88" i="22"/>
  <c r="DX88" i="22"/>
  <c r="DJ47" i="22"/>
  <c r="DK47" i="22"/>
  <c r="DL47" i="22"/>
  <c r="DM47" i="22"/>
  <c r="DN47" i="22"/>
  <c r="DO47" i="22"/>
  <c r="DP47" i="22"/>
  <c r="DQ47" i="22"/>
  <c r="DR47" i="22"/>
  <c r="DS47" i="22"/>
  <c r="DT47" i="22"/>
  <c r="DU47" i="22"/>
  <c r="DV47" i="22"/>
  <c r="DW47" i="22"/>
  <c r="DX47" i="22"/>
  <c r="DJ56" i="22"/>
  <c r="DK56" i="22"/>
  <c r="DL56" i="22"/>
  <c r="DM56" i="22"/>
  <c r="DN56" i="22"/>
  <c r="DO56" i="22"/>
  <c r="DP56" i="22"/>
  <c r="DQ56" i="22"/>
  <c r="DR56" i="22"/>
  <c r="DS56" i="22"/>
  <c r="DT56" i="22"/>
  <c r="DU56" i="22"/>
  <c r="DV56" i="22"/>
  <c r="DW56" i="22"/>
  <c r="DX56" i="22"/>
  <c r="DJ64" i="22"/>
  <c r="DK64" i="22"/>
  <c r="DL64" i="22"/>
  <c r="DM64" i="22"/>
  <c r="DN64" i="22"/>
  <c r="DO64" i="22"/>
  <c r="DP64" i="22"/>
  <c r="DQ64" i="22"/>
  <c r="DR64" i="22"/>
  <c r="DS64" i="22"/>
  <c r="DT64" i="22"/>
  <c r="DU64" i="22"/>
  <c r="DV64" i="22"/>
  <c r="DW64" i="22"/>
  <c r="DX64" i="22"/>
  <c r="DJ60" i="22"/>
  <c r="DK60" i="22"/>
  <c r="DL60" i="22"/>
  <c r="DM60" i="22"/>
  <c r="DN60" i="22"/>
  <c r="DO60" i="22"/>
  <c r="DP60" i="22"/>
  <c r="DQ60" i="22"/>
  <c r="DR60" i="22"/>
  <c r="DS60" i="22"/>
  <c r="DT60" i="22"/>
  <c r="DU60" i="22"/>
  <c r="DV60" i="22"/>
  <c r="DW60" i="22"/>
  <c r="DX60" i="22"/>
  <c r="DJ18" i="22"/>
  <c r="DK18" i="22"/>
  <c r="DL18" i="22"/>
  <c r="DM18" i="22"/>
  <c r="DN18" i="22"/>
  <c r="DO18" i="22"/>
  <c r="DP18" i="22"/>
  <c r="DQ18" i="22"/>
  <c r="DR18" i="22"/>
  <c r="DS18" i="22"/>
  <c r="DT18" i="22"/>
  <c r="DU18" i="22"/>
  <c r="DV18" i="22"/>
  <c r="DW18" i="22"/>
  <c r="DX18" i="22"/>
  <c r="DJ50" i="22"/>
  <c r="DK50" i="22"/>
  <c r="DL50" i="22"/>
  <c r="DM50" i="22"/>
  <c r="DN50" i="22"/>
  <c r="DO50" i="22"/>
  <c r="DP50" i="22"/>
  <c r="DQ50" i="22"/>
  <c r="DR50" i="22"/>
  <c r="DS50" i="22"/>
  <c r="DT50" i="22"/>
  <c r="DU50" i="22"/>
  <c r="DV50" i="22"/>
  <c r="DW50" i="22"/>
  <c r="DX50" i="22"/>
  <c r="DJ63" i="22"/>
  <c r="DK63" i="22"/>
  <c r="DL63" i="22"/>
  <c r="DM63" i="22"/>
  <c r="DN63" i="22"/>
  <c r="DO63" i="22"/>
  <c r="DP63" i="22"/>
  <c r="DQ63" i="22"/>
  <c r="DR63" i="22"/>
  <c r="DS63" i="22"/>
  <c r="DT63" i="22"/>
  <c r="DU63" i="22"/>
  <c r="DV63" i="22"/>
  <c r="DW63" i="22"/>
  <c r="DX63" i="22"/>
  <c r="DJ62" i="22"/>
  <c r="DK62" i="22"/>
  <c r="DL62" i="22"/>
  <c r="DM62" i="22"/>
  <c r="DN62" i="22"/>
  <c r="DO62" i="22"/>
  <c r="DP62" i="22"/>
  <c r="DQ62" i="22"/>
  <c r="DR62" i="22"/>
  <c r="DS62" i="22"/>
  <c r="DT62" i="22"/>
  <c r="DU62" i="22"/>
  <c r="DV62" i="22"/>
  <c r="DW62" i="22"/>
  <c r="DX62" i="22"/>
  <c r="DJ54" i="22"/>
  <c r="DK54" i="22"/>
  <c r="DL54" i="22"/>
  <c r="DM54" i="22"/>
  <c r="DN54" i="22"/>
  <c r="DO54" i="22"/>
  <c r="DP54" i="22"/>
  <c r="DQ54" i="22"/>
  <c r="DR54" i="22"/>
  <c r="DS54" i="22"/>
  <c r="DT54" i="22"/>
  <c r="DU54" i="22"/>
  <c r="DV54" i="22"/>
  <c r="DW54" i="22"/>
  <c r="DX54" i="22"/>
  <c r="DJ42" i="22"/>
  <c r="DK42" i="22"/>
  <c r="DL42" i="22"/>
  <c r="DM42" i="22"/>
  <c r="DN42" i="22"/>
  <c r="DO42" i="22"/>
  <c r="DP42" i="22"/>
  <c r="DQ42" i="22"/>
  <c r="DR42" i="22"/>
  <c r="DS42" i="22"/>
  <c r="DT42" i="22"/>
  <c r="DU42" i="22"/>
  <c r="DV42" i="22"/>
  <c r="DW42" i="22"/>
  <c r="DX42" i="22"/>
  <c r="DJ12" i="22"/>
  <c r="DK12" i="22"/>
  <c r="DL12" i="22"/>
  <c r="DM12" i="22"/>
  <c r="DN12" i="22"/>
  <c r="DO12" i="22"/>
  <c r="DP12" i="22"/>
  <c r="DQ12" i="22"/>
  <c r="DR12" i="22"/>
  <c r="DS12" i="22"/>
  <c r="DT12" i="22"/>
  <c r="DU12" i="22"/>
  <c r="DV12" i="22"/>
  <c r="DW12" i="22"/>
  <c r="DX12" i="22"/>
  <c r="DJ74" i="22"/>
  <c r="DK74" i="22"/>
  <c r="DL74" i="22"/>
  <c r="DM74" i="22"/>
  <c r="DN74" i="22"/>
  <c r="DO74" i="22"/>
  <c r="DP74" i="22"/>
  <c r="DQ74" i="22"/>
  <c r="DR74" i="22"/>
  <c r="DS74" i="22"/>
  <c r="DT74" i="22"/>
  <c r="DU74" i="22"/>
  <c r="DV74" i="22"/>
  <c r="DW74" i="22"/>
  <c r="DX74" i="22"/>
  <c r="DJ38" i="22"/>
  <c r="DK38" i="22"/>
  <c r="DL38" i="22"/>
  <c r="DM38" i="22"/>
  <c r="DN38" i="22"/>
  <c r="DO38" i="22"/>
  <c r="DP38" i="22"/>
  <c r="DQ38" i="22"/>
  <c r="DR38" i="22"/>
  <c r="DS38" i="22"/>
  <c r="DT38" i="22"/>
  <c r="DU38" i="22"/>
  <c r="DV38" i="22"/>
  <c r="DW38" i="22"/>
  <c r="DX38" i="22"/>
  <c r="DJ26" i="22"/>
  <c r="DK26" i="22"/>
  <c r="DL26" i="22"/>
  <c r="DM26" i="22"/>
  <c r="DN26" i="22"/>
  <c r="DO26" i="22"/>
  <c r="DP26" i="22"/>
  <c r="DQ26" i="22"/>
  <c r="DR26" i="22"/>
  <c r="DS26" i="22"/>
  <c r="DT26" i="22"/>
  <c r="DU26" i="22"/>
  <c r="DV26" i="22"/>
  <c r="DW26" i="22"/>
  <c r="DX26" i="22"/>
  <c r="DJ48" i="22"/>
  <c r="DK48" i="22"/>
  <c r="DL48" i="22"/>
  <c r="DM48" i="22"/>
  <c r="DN48" i="22"/>
  <c r="DO48" i="22"/>
  <c r="DP48" i="22"/>
  <c r="DQ48" i="22"/>
  <c r="DR48" i="22"/>
  <c r="DS48" i="22"/>
  <c r="DT48" i="22"/>
  <c r="DU48" i="22"/>
  <c r="DV48" i="22"/>
  <c r="DW48" i="22"/>
  <c r="DX48" i="22"/>
  <c r="DJ99" i="22"/>
  <c r="DK99" i="22"/>
  <c r="DL99" i="22"/>
  <c r="DM99" i="22"/>
  <c r="DN99" i="22"/>
  <c r="DO99" i="22"/>
  <c r="DP99" i="22"/>
  <c r="DQ99" i="22"/>
  <c r="DR99" i="22"/>
  <c r="DS99" i="22"/>
  <c r="DT99" i="22"/>
  <c r="DU99" i="22"/>
  <c r="DV99" i="22"/>
  <c r="DW99" i="22"/>
  <c r="DX99" i="22"/>
  <c r="DJ33" i="22"/>
  <c r="DK33" i="22"/>
  <c r="DL33" i="22"/>
  <c r="DM33" i="22"/>
  <c r="DN33" i="22"/>
  <c r="DO33" i="22"/>
  <c r="DP33" i="22"/>
  <c r="DQ33" i="22"/>
  <c r="DR33" i="22"/>
  <c r="DS33" i="22"/>
  <c r="DT33" i="22"/>
  <c r="DU33" i="22"/>
  <c r="DV33" i="22"/>
  <c r="DW33" i="22"/>
  <c r="DX33" i="22"/>
  <c r="DJ52" i="22"/>
  <c r="DK52" i="22"/>
  <c r="DL52" i="22"/>
  <c r="DM52" i="22"/>
  <c r="DN52" i="22"/>
  <c r="DO52" i="22"/>
  <c r="DP52" i="22"/>
  <c r="DQ52" i="22"/>
  <c r="DR52" i="22"/>
  <c r="DS52" i="22"/>
  <c r="DT52" i="22"/>
  <c r="DU52" i="22"/>
  <c r="DV52" i="22"/>
  <c r="DW52" i="22"/>
  <c r="DX52" i="22"/>
  <c r="DJ32" i="22"/>
  <c r="DK32" i="22"/>
  <c r="DL32" i="22"/>
  <c r="DM32" i="22"/>
  <c r="DN32" i="22"/>
  <c r="DO32" i="22"/>
  <c r="DP32" i="22"/>
  <c r="DQ32" i="22"/>
  <c r="DR32" i="22"/>
  <c r="DS32" i="22"/>
  <c r="DT32" i="22"/>
  <c r="DU32" i="22"/>
  <c r="DV32" i="22"/>
  <c r="DW32" i="22"/>
  <c r="DX32" i="22"/>
  <c r="DJ9" i="22"/>
  <c r="DK9" i="22"/>
  <c r="DL9" i="22"/>
  <c r="DM9" i="22"/>
  <c r="DN9" i="22"/>
  <c r="DO9" i="22"/>
  <c r="DP9" i="22"/>
  <c r="DQ9" i="22"/>
  <c r="DR9" i="22"/>
  <c r="DS9" i="22"/>
  <c r="DT9" i="22"/>
  <c r="DU9" i="22"/>
  <c r="DV9" i="22"/>
  <c r="DW9" i="22"/>
  <c r="DX9" i="22"/>
  <c r="DJ16" i="22"/>
  <c r="DK16" i="22"/>
  <c r="DL16" i="22"/>
  <c r="DM16" i="22"/>
  <c r="DN16" i="22"/>
  <c r="DO16" i="22"/>
  <c r="DP16" i="22"/>
  <c r="DQ16" i="22"/>
  <c r="DR16" i="22"/>
  <c r="DS16" i="22"/>
  <c r="DT16" i="22"/>
  <c r="DU16" i="22"/>
  <c r="DV16" i="22"/>
  <c r="DW16" i="22"/>
  <c r="DX16" i="22"/>
  <c r="DJ95" i="22"/>
  <c r="DK95" i="22"/>
  <c r="DL95" i="22"/>
  <c r="DM95" i="22"/>
  <c r="DN95" i="22"/>
  <c r="DO95" i="22"/>
  <c r="DP95" i="22"/>
  <c r="DQ95" i="22"/>
  <c r="DR95" i="22"/>
  <c r="DS95" i="22"/>
  <c r="DT95" i="22"/>
  <c r="DU95" i="22"/>
  <c r="DV95" i="22"/>
  <c r="DW95" i="22"/>
  <c r="DX95" i="22"/>
  <c r="DL11" i="22"/>
  <c r="DM11" i="22"/>
  <c r="DN11" i="22"/>
  <c r="DO11" i="22"/>
  <c r="DP11" i="22"/>
  <c r="DQ11" i="22"/>
  <c r="DR11" i="22"/>
  <c r="DS11" i="22"/>
  <c r="DT11" i="22"/>
  <c r="DU11" i="22"/>
  <c r="DV11" i="22"/>
  <c r="DW11" i="22"/>
  <c r="DX11" i="22"/>
  <c r="AZ68" i="22"/>
  <c r="AK68" i="22" s="1" a="1"/>
  <c r="AK68" i="22" s="1"/>
  <c r="AL68" i="22" a="1"/>
  <c r="AL68" i="22" s="1"/>
  <c r="AM68" i="22" a="1"/>
  <c r="AM68" i="22" s="1"/>
  <c r="AN68" i="22" a="1"/>
  <c r="AN68" i="22" s="1"/>
  <c r="AO68" i="22" a="1"/>
  <c r="AO68" i="22" s="1"/>
  <c r="AP68" i="22" a="1"/>
  <c r="AP68" i="22" s="1"/>
  <c r="AQ68" i="22" a="1"/>
  <c r="AQ68" i="22" s="1"/>
  <c r="AR68" i="22" a="1"/>
  <c r="AR68" i="22" s="1"/>
  <c r="AS68" i="22" a="1"/>
  <c r="AS68" i="22" s="1"/>
  <c r="AT68" i="22" a="1"/>
  <c r="AT68" i="22" s="1"/>
  <c r="AU68" i="22" a="1"/>
  <c r="AU68" i="22" s="1"/>
  <c r="AV68" i="22" a="1"/>
  <c r="AV68" i="22" s="1"/>
  <c r="AW68" i="22" a="1"/>
  <c r="AW68" i="22" s="1"/>
  <c r="AX68" i="22" a="1"/>
  <c r="AX68" i="22" s="1"/>
  <c r="AY68" i="22" a="1"/>
  <c r="AY68" i="22" s="1"/>
  <c r="AZ98" i="22"/>
  <c r="AK98" i="22" s="1" a="1"/>
  <c r="AK98" i="22" s="1"/>
  <c r="AL98" i="22" a="1"/>
  <c r="AL98" i="22" s="1"/>
  <c r="AM98" i="22" a="1"/>
  <c r="AM98" i="22" s="1"/>
  <c r="AN98" i="22" a="1"/>
  <c r="AN98" i="22" s="1"/>
  <c r="AO98" i="22" a="1"/>
  <c r="AO98" i="22" s="1"/>
  <c r="AP98" i="22" a="1"/>
  <c r="AP98" i="22" s="1"/>
  <c r="AQ98" i="22" a="1"/>
  <c r="AQ98" i="22" s="1"/>
  <c r="AR98" i="22" a="1"/>
  <c r="AR98" i="22" s="1"/>
  <c r="AS98" i="22" a="1"/>
  <c r="AS98" i="22" s="1"/>
  <c r="AT98" i="22" a="1"/>
  <c r="AT98" i="22" s="1"/>
  <c r="AU98" i="22" a="1"/>
  <c r="AU98" i="22" s="1"/>
  <c r="AV98" i="22" a="1"/>
  <c r="AV98" i="22" s="1"/>
  <c r="AW98" i="22" a="1"/>
  <c r="AW98" i="22" s="1"/>
  <c r="AX98" i="22" a="1"/>
  <c r="AX98" i="22" s="1"/>
  <c r="AY98" i="22" a="1"/>
  <c r="AY98" i="22" s="1"/>
  <c r="AZ13" i="22"/>
  <c r="AK13" i="22" s="1" a="1"/>
  <c r="AK13" i="22" s="1"/>
  <c r="AL13" i="22" a="1"/>
  <c r="AL13" i="22" s="1"/>
  <c r="AM13" i="22" a="1"/>
  <c r="AM13" i="22" s="1"/>
  <c r="AN13" i="22" a="1"/>
  <c r="AN13" i="22" s="1"/>
  <c r="AO13" i="22" a="1"/>
  <c r="AO13" i="22" s="1"/>
  <c r="AP13" i="22" a="1"/>
  <c r="AP13" i="22" s="1"/>
  <c r="AQ13" i="22" a="1"/>
  <c r="AQ13" i="22" s="1"/>
  <c r="AR13" i="22" a="1"/>
  <c r="AR13" i="22" s="1"/>
  <c r="AS13" i="22" a="1"/>
  <c r="AS13" i="22" s="1"/>
  <c r="AT13" i="22" a="1"/>
  <c r="AT13" i="22" s="1"/>
  <c r="AU13" i="22" a="1"/>
  <c r="AU13" i="22" s="1"/>
  <c r="AV13" i="22" a="1"/>
  <c r="AV13" i="22" s="1"/>
  <c r="AW13" i="22" a="1"/>
  <c r="AW13" i="22" s="1"/>
  <c r="AX13" i="22" a="1"/>
  <c r="AX13" i="22" s="1"/>
  <c r="AY13" i="22" a="1"/>
  <c r="AY13" i="22" s="1"/>
  <c r="AZ71" i="22"/>
  <c r="AK71" i="22" s="1" a="1"/>
  <c r="AK71" i="22" s="1"/>
  <c r="AL71" i="22" a="1"/>
  <c r="AL71" i="22" s="1"/>
  <c r="AM71" i="22" a="1"/>
  <c r="AM71" i="22" s="1"/>
  <c r="AN71" i="22" a="1"/>
  <c r="AN71" i="22" s="1"/>
  <c r="AO71" i="22" a="1"/>
  <c r="AO71" i="22" s="1"/>
  <c r="AP71" i="22" a="1"/>
  <c r="AP71" i="22" s="1"/>
  <c r="AQ71" i="22" a="1"/>
  <c r="AQ71" i="22" s="1"/>
  <c r="AR71" i="22" a="1"/>
  <c r="AR71" i="22" s="1"/>
  <c r="AS71" i="22" a="1"/>
  <c r="AS71" i="22" s="1"/>
  <c r="AT71" i="22" a="1"/>
  <c r="AT71" i="22" s="1"/>
  <c r="AU71" i="22" a="1"/>
  <c r="AU71" i="22" s="1"/>
  <c r="AV71" i="22" a="1"/>
  <c r="AV71" i="22" s="1"/>
  <c r="AW71" i="22" a="1"/>
  <c r="AW71" i="22" s="1"/>
  <c r="AX71" i="22" a="1"/>
  <c r="AX71" i="22" s="1"/>
  <c r="AY71" i="22" a="1"/>
  <c r="AY71" i="22" s="1"/>
  <c r="AZ28" i="22"/>
  <c r="AK28" i="22" s="1" a="1"/>
  <c r="AK28" i="22" s="1"/>
  <c r="AL28" i="22" a="1"/>
  <c r="AL28" i="22" s="1"/>
  <c r="AM28" i="22" a="1"/>
  <c r="AM28" i="22" s="1"/>
  <c r="AN28" i="22" a="1"/>
  <c r="AN28" i="22" s="1"/>
  <c r="AO28" i="22" a="1"/>
  <c r="AO28" i="22" s="1"/>
  <c r="AP28" i="22" a="1"/>
  <c r="AP28" i="22" s="1"/>
  <c r="AQ28" i="22" a="1"/>
  <c r="AQ28" i="22" s="1"/>
  <c r="AR28" i="22" a="1"/>
  <c r="AR28" i="22" s="1"/>
  <c r="AS28" i="22" a="1"/>
  <c r="AS28" i="22" s="1"/>
  <c r="AT28" i="22" a="1"/>
  <c r="AT28" i="22" s="1"/>
  <c r="AU28" i="22" a="1"/>
  <c r="AU28" i="22" s="1"/>
  <c r="AV28" i="22" a="1"/>
  <c r="AV28" i="22" s="1"/>
  <c r="AW28" i="22" a="1"/>
  <c r="AW28" i="22" s="1"/>
  <c r="AX28" i="22" a="1"/>
  <c r="AX28" i="22" s="1"/>
  <c r="AY28" i="22" a="1"/>
  <c r="AY28" i="22" s="1"/>
  <c r="AZ75" i="22"/>
  <c r="AK75" i="22" s="1" a="1"/>
  <c r="AK75" i="22" s="1"/>
  <c r="AL75" i="22" a="1"/>
  <c r="AL75" i="22" s="1"/>
  <c r="AM75" i="22" a="1"/>
  <c r="AM75" i="22" s="1"/>
  <c r="AN75" i="22" a="1"/>
  <c r="AN75" i="22" s="1"/>
  <c r="AO75" i="22" a="1"/>
  <c r="AO75" i="22" s="1"/>
  <c r="AP75" i="22" a="1"/>
  <c r="AP75" i="22" s="1"/>
  <c r="AQ75" i="22" a="1"/>
  <c r="AQ75" i="22" s="1"/>
  <c r="AR75" i="22" a="1"/>
  <c r="AR75" i="22" s="1"/>
  <c r="AS75" i="22" a="1"/>
  <c r="AS75" i="22" s="1"/>
  <c r="AT75" i="22" a="1"/>
  <c r="AT75" i="22" s="1"/>
  <c r="AU75" i="22" a="1"/>
  <c r="AU75" i="22" s="1"/>
  <c r="AV75" i="22" a="1"/>
  <c r="AV75" i="22" s="1"/>
  <c r="AW75" i="22" a="1"/>
  <c r="AW75" i="22" s="1"/>
  <c r="AX75" i="22" a="1"/>
  <c r="AX75" i="22" s="1"/>
  <c r="AY75" i="22" a="1"/>
  <c r="AY75" i="22" s="1"/>
  <c r="AZ73" i="22"/>
  <c r="AK73" i="22" s="1" a="1"/>
  <c r="AK73" i="22" s="1"/>
  <c r="AL73" i="22" a="1"/>
  <c r="AL73" i="22" s="1"/>
  <c r="AM73" i="22" a="1"/>
  <c r="AM73" i="22" s="1"/>
  <c r="AN73" i="22" a="1"/>
  <c r="AN73" i="22" s="1"/>
  <c r="AO73" i="22" a="1"/>
  <c r="AO73" i="22" s="1"/>
  <c r="AP73" i="22" a="1"/>
  <c r="AP73" i="22" s="1"/>
  <c r="AQ73" i="22" a="1"/>
  <c r="AQ73" i="22" s="1"/>
  <c r="AR73" i="22" a="1"/>
  <c r="AR73" i="22" s="1"/>
  <c r="AS73" i="22" a="1"/>
  <c r="AS73" i="22" s="1"/>
  <c r="AT73" i="22" a="1"/>
  <c r="AT73" i="22" s="1"/>
  <c r="AU73" i="22" a="1"/>
  <c r="AU73" i="22" s="1"/>
  <c r="AV73" i="22" a="1"/>
  <c r="AV73" i="22" s="1"/>
  <c r="AW73" i="22" a="1"/>
  <c r="AW73" i="22" s="1"/>
  <c r="AX73" i="22" a="1"/>
  <c r="AX73" i="22" s="1"/>
  <c r="AY73" i="22" a="1"/>
  <c r="AY73" i="22" s="1"/>
  <c r="AZ25" i="22"/>
  <c r="AK25" i="22" s="1" a="1"/>
  <c r="AK25" i="22" s="1"/>
  <c r="AL25" i="22" a="1"/>
  <c r="AL25" i="22" s="1"/>
  <c r="AM25" i="22" a="1"/>
  <c r="AM25" i="22" s="1"/>
  <c r="AN25" i="22" a="1"/>
  <c r="AN25" i="22" s="1"/>
  <c r="AO25" i="22" a="1"/>
  <c r="AO25" i="22" s="1"/>
  <c r="AP25" i="22" a="1"/>
  <c r="AP25" i="22" s="1"/>
  <c r="AQ25" i="22" a="1"/>
  <c r="AQ25" i="22" s="1"/>
  <c r="AR25" i="22" a="1"/>
  <c r="AR25" i="22" s="1"/>
  <c r="AS25" i="22" a="1"/>
  <c r="AS25" i="22" s="1"/>
  <c r="AT25" i="22" a="1"/>
  <c r="AT25" i="22" s="1"/>
  <c r="AU25" i="22" a="1"/>
  <c r="AU25" i="22" s="1"/>
  <c r="AV25" i="22" a="1"/>
  <c r="AV25" i="22" s="1"/>
  <c r="AW25" i="22" a="1"/>
  <c r="AW25" i="22" s="1"/>
  <c r="AX25" i="22" a="1"/>
  <c r="AX25" i="22" s="1"/>
  <c r="AY25" i="22" a="1"/>
  <c r="AY25" i="22" s="1"/>
  <c r="AZ78" i="22"/>
  <c r="AK78" i="22" s="1" a="1"/>
  <c r="AK78" i="22" s="1"/>
  <c r="AL78" i="22" a="1"/>
  <c r="AL78" i="22" s="1"/>
  <c r="AM78" i="22" a="1"/>
  <c r="AM78" i="22" s="1"/>
  <c r="AN78" i="22" a="1"/>
  <c r="AN78" i="22" s="1"/>
  <c r="AO78" i="22" a="1"/>
  <c r="AO78" i="22" s="1"/>
  <c r="AP78" i="22" a="1"/>
  <c r="AP78" i="22" s="1"/>
  <c r="AQ78" i="22" a="1"/>
  <c r="AQ78" i="22" s="1"/>
  <c r="AR78" i="22" a="1"/>
  <c r="AR78" i="22" s="1"/>
  <c r="AS78" i="22" a="1"/>
  <c r="AS78" i="22" s="1"/>
  <c r="AT78" i="22" a="1"/>
  <c r="AT78" i="22" s="1"/>
  <c r="AU78" i="22" a="1"/>
  <c r="AU78" i="22" s="1"/>
  <c r="AV78" i="22" a="1"/>
  <c r="AV78" i="22" s="1"/>
  <c r="AW78" i="22" a="1"/>
  <c r="AW78" i="22" s="1"/>
  <c r="AX78" i="22" a="1"/>
  <c r="AX78" i="22" s="1"/>
  <c r="AY78" i="22" a="1"/>
  <c r="AY78" i="22" s="1"/>
  <c r="AZ6" i="22"/>
  <c r="AK6" i="22" s="1" a="1"/>
  <c r="AK6" i="22" s="1"/>
  <c r="AL6" i="22" a="1"/>
  <c r="AL6" i="22" s="1"/>
  <c r="AM6" i="22" a="1"/>
  <c r="AM6" i="22" s="1"/>
  <c r="AN6" i="22" a="1"/>
  <c r="AN6" i="22" s="1"/>
  <c r="AO6" i="22" a="1"/>
  <c r="AO6" i="22" s="1"/>
  <c r="AP6" i="22" a="1"/>
  <c r="AP6" i="22" s="1"/>
  <c r="AQ6" i="22" a="1"/>
  <c r="AQ6" i="22" s="1"/>
  <c r="AR6" i="22" a="1"/>
  <c r="AR6" i="22" s="1"/>
  <c r="AS6" i="22" a="1"/>
  <c r="AS6" i="22" s="1"/>
  <c r="AT6" i="22" a="1"/>
  <c r="AT6" i="22" s="1"/>
  <c r="AU6" i="22" a="1"/>
  <c r="AU6" i="22" s="1"/>
  <c r="AV6" i="22" a="1"/>
  <c r="AV6" i="22" s="1"/>
  <c r="AW6" i="22" a="1"/>
  <c r="AW6" i="22" s="1"/>
  <c r="AX6" i="22" a="1"/>
  <c r="AX6" i="22" s="1"/>
  <c r="AY6" i="22" a="1"/>
  <c r="AY6" i="22" s="1"/>
  <c r="AZ5" i="22"/>
  <c r="AK5" i="22" s="1" a="1"/>
  <c r="AK5" i="22" s="1"/>
  <c r="AL5" i="22" a="1"/>
  <c r="AL5" i="22" s="1"/>
  <c r="AM5" i="22" a="1"/>
  <c r="AM5" i="22" s="1"/>
  <c r="AN5" i="22" a="1"/>
  <c r="AN5" i="22" s="1"/>
  <c r="AO5" i="22" a="1"/>
  <c r="AO5" i="22" s="1"/>
  <c r="AP5" i="22" a="1"/>
  <c r="AP5" i="22" s="1"/>
  <c r="AQ5" i="22" a="1"/>
  <c r="AQ5" i="22" s="1"/>
  <c r="AR5" i="22" a="1"/>
  <c r="AR5" i="22" s="1"/>
  <c r="AS5" i="22" a="1"/>
  <c r="AS5" i="22" s="1"/>
  <c r="AT5" i="22" a="1"/>
  <c r="AT5" i="22" s="1"/>
  <c r="AU5" i="22" a="1"/>
  <c r="AU5" i="22" s="1"/>
  <c r="AV5" i="22" a="1"/>
  <c r="AV5" i="22" s="1"/>
  <c r="AW5" i="22" a="1"/>
  <c r="AW5" i="22" s="1"/>
  <c r="AX5" i="22" a="1"/>
  <c r="AX5" i="22" s="1"/>
  <c r="AY5" i="22" a="1"/>
  <c r="AY5" i="22" s="1"/>
  <c r="AL2" i="22" a="1"/>
  <c r="AL2" i="22" s="1"/>
  <c r="AM2" i="22" a="1"/>
  <c r="AM2" i="22" s="1"/>
  <c r="AN2" i="22" a="1"/>
  <c r="AN2" i="22" s="1"/>
  <c r="AO2" i="22" a="1"/>
  <c r="AO2" i="22" s="1"/>
  <c r="AP2" i="22" a="1"/>
  <c r="AP2" i="22" s="1"/>
  <c r="AQ2" i="22" a="1"/>
  <c r="AQ2" i="22" s="1"/>
  <c r="AR2" i="22" a="1"/>
  <c r="AR2" i="22" s="1"/>
  <c r="AS2" i="22" a="1"/>
  <c r="AS2" i="22" s="1"/>
  <c r="AT2" i="22" a="1"/>
  <c r="AT2" i="22" s="1"/>
  <c r="AU2" i="22" a="1"/>
  <c r="AU2" i="22" s="1"/>
  <c r="AV2" i="22" a="1"/>
  <c r="AV2" i="22" s="1"/>
  <c r="AX2" i="22" a="1"/>
  <c r="AX2" i="22" s="1"/>
  <c r="AY2" i="22" a="1"/>
  <c r="AY2" i="22" s="1"/>
  <c r="AZ8" i="22"/>
  <c r="AK8" i="22" s="1" a="1"/>
  <c r="AK8" i="22" s="1"/>
  <c r="AL8" i="22" a="1"/>
  <c r="AL8" i="22" s="1"/>
  <c r="AM8" i="22" a="1"/>
  <c r="AM8" i="22" s="1"/>
  <c r="AN8" i="22" a="1"/>
  <c r="AN8" i="22" s="1"/>
  <c r="AO8" i="22" a="1"/>
  <c r="AO8" i="22" s="1"/>
  <c r="AP8" i="22" a="1"/>
  <c r="AP8" i="22" s="1"/>
  <c r="AQ8" i="22" a="1"/>
  <c r="AQ8" i="22" s="1"/>
  <c r="AR8" i="22" a="1"/>
  <c r="AR8" i="22" s="1"/>
  <c r="AS8" i="22" a="1"/>
  <c r="AS8" i="22" s="1"/>
  <c r="AT8" i="22" a="1"/>
  <c r="AT8" i="22" s="1"/>
  <c r="AU8" i="22" a="1"/>
  <c r="AU8" i="22" s="1"/>
  <c r="AV8" i="22" a="1"/>
  <c r="AV8" i="22" s="1"/>
  <c r="AW8" i="22" a="1"/>
  <c r="AW8" i="22" s="1"/>
  <c r="AX8" i="22" a="1"/>
  <c r="AX8" i="22" s="1"/>
  <c r="AY8" i="22" a="1"/>
  <c r="AY8" i="22" s="1"/>
  <c r="AZ4" i="22"/>
  <c r="AK4" i="22" s="1" a="1"/>
  <c r="AK4" i="22" s="1"/>
  <c r="AL4" i="22" a="1"/>
  <c r="AL4" i="22" s="1"/>
  <c r="AM4" i="22" a="1"/>
  <c r="AM4" i="22" s="1"/>
  <c r="AN4" i="22" a="1"/>
  <c r="AN4" i="22" s="1"/>
  <c r="AO4" i="22" a="1"/>
  <c r="AO4" i="22" s="1"/>
  <c r="AP4" i="22" a="1"/>
  <c r="AP4" i="22" s="1"/>
  <c r="AQ4" i="22" a="1"/>
  <c r="AQ4" i="22" s="1"/>
  <c r="AR4" i="22" a="1"/>
  <c r="AR4" i="22" s="1"/>
  <c r="AS4" i="22" a="1"/>
  <c r="AS4" i="22" s="1"/>
  <c r="AT4" i="22" a="1"/>
  <c r="AT4" i="22" s="1"/>
  <c r="AU4" i="22" a="1"/>
  <c r="AU4" i="22" s="1"/>
  <c r="AV4" i="22" a="1"/>
  <c r="AV4" i="22" s="1"/>
  <c r="AW4" i="22" a="1"/>
  <c r="AW4" i="22" s="1"/>
  <c r="AX4" i="22" a="1"/>
  <c r="AX4" i="22" s="1"/>
  <c r="AY4" i="22" a="1"/>
  <c r="AY4" i="22" s="1"/>
  <c r="AZ7" i="22"/>
  <c r="AK7" i="22" s="1" a="1"/>
  <c r="AK7" i="22" s="1"/>
  <c r="AL7" i="22" a="1"/>
  <c r="AL7" i="22" s="1"/>
  <c r="AM7" i="22" a="1"/>
  <c r="AM7" i="22" s="1"/>
  <c r="AN7" i="22" a="1"/>
  <c r="AN7" i="22" s="1"/>
  <c r="AO7" i="22" a="1"/>
  <c r="AO7" i="22" s="1"/>
  <c r="AP7" i="22" a="1"/>
  <c r="AP7" i="22" s="1"/>
  <c r="AQ7" i="22" a="1"/>
  <c r="AQ7" i="22" s="1"/>
  <c r="AR7" i="22" a="1"/>
  <c r="AR7" i="22" s="1"/>
  <c r="AS7" i="22" a="1"/>
  <c r="AS7" i="22" s="1"/>
  <c r="AT7" i="22" a="1"/>
  <c r="AT7" i="22" s="1"/>
  <c r="AU7" i="22" a="1"/>
  <c r="AU7" i="22" s="1"/>
  <c r="AV7" i="22" a="1"/>
  <c r="AV7" i="22" s="1"/>
  <c r="AW7" i="22" a="1"/>
  <c r="AW7" i="22" s="1"/>
  <c r="AX7" i="22" a="1"/>
  <c r="AX7" i="22" s="1"/>
  <c r="AY7" i="22" a="1"/>
  <c r="AY7" i="22" s="1"/>
  <c r="AZ58" i="22"/>
  <c r="AK58" i="22" s="1" a="1"/>
  <c r="AK58" i="22" s="1"/>
  <c r="AL58" i="22" a="1"/>
  <c r="AL58" i="22" s="1"/>
  <c r="AM58" i="22" a="1"/>
  <c r="AM58" i="22" s="1"/>
  <c r="AN58" i="22" a="1"/>
  <c r="AN58" i="22" s="1"/>
  <c r="AO58" i="22" a="1"/>
  <c r="AO58" i="22" s="1"/>
  <c r="AP58" i="22" a="1"/>
  <c r="AP58" i="22" s="1"/>
  <c r="AQ58" i="22" a="1"/>
  <c r="AQ58" i="22" s="1"/>
  <c r="AR58" i="22" a="1"/>
  <c r="AR58" i="22" s="1"/>
  <c r="AS58" i="22" a="1"/>
  <c r="AS58" i="22" s="1"/>
  <c r="AT58" i="22" a="1"/>
  <c r="AT58" i="22" s="1"/>
  <c r="AU58" i="22" a="1"/>
  <c r="AU58" i="22" s="1"/>
  <c r="AV58" i="22" a="1"/>
  <c r="AV58" i="22" s="1"/>
  <c r="AW58" i="22" a="1"/>
  <c r="AW58" i="22" s="1"/>
  <c r="AX58" i="22" a="1"/>
  <c r="AX58" i="22" s="1"/>
  <c r="AY58" i="22" a="1"/>
  <c r="AY58" i="22" s="1"/>
  <c r="AZ67" i="22"/>
  <c r="AK67" i="22" s="1" a="1"/>
  <c r="AK67" i="22" s="1"/>
  <c r="AL67" i="22" a="1"/>
  <c r="AL67" i="22" s="1"/>
  <c r="AM67" i="22" a="1"/>
  <c r="AM67" i="22" s="1"/>
  <c r="AN67" i="22" a="1"/>
  <c r="AN67" i="22" s="1"/>
  <c r="AO67" i="22" a="1"/>
  <c r="AO67" i="22" s="1"/>
  <c r="AP67" i="22" a="1"/>
  <c r="AP67" i="22" s="1"/>
  <c r="AQ67" i="22" a="1"/>
  <c r="AQ67" i="22" s="1"/>
  <c r="AR67" i="22" a="1"/>
  <c r="AR67" i="22" s="1"/>
  <c r="AS67" i="22" a="1"/>
  <c r="AS67" i="22" s="1"/>
  <c r="AT67" i="22" a="1"/>
  <c r="AT67" i="22" s="1"/>
  <c r="AU67" i="22" a="1"/>
  <c r="AU67" i="22" s="1"/>
  <c r="AV67" i="22" a="1"/>
  <c r="AV67" i="22" s="1"/>
  <c r="AW67" i="22" a="1"/>
  <c r="AW67" i="22" s="1"/>
  <c r="AX67" i="22" a="1"/>
  <c r="AX67" i="22" s="1"/>
  <c r="AY67" i="22" a="1"/>
  <c r="AY67" i="22" s="1"/>
  <c r="AZ23" i="22"/>
  <c r="AK23" i="22" s="1" a="1"/>
  <c r="AK23" i="22" s="1"/>
  <c r="AL23" i="22" a="1"/>
  <c r="AL23" i="22" s="1"/>
  <c r="AM23" i="22" a="1"/>
  <c r="AM23" i="22" s="1"/>
  <c r="AN23" i="22" a="1"/>
  <c r="AN23" i="22" s="1"/>
  <c r="AO23" i="22" a="1"/>
  <c r="AO23" i="22" s="1"/>
  <c r="AP23" i="22" a="1"/>
  <c r="AP23" i="22" s="1"/>
  <c r="AQ23" i="22" a="1"/>
  <c r="AQ23" i="22" s="1"/>
  <c r="AR23" i="22" a="1"/>
  <c r="AR23" i="22" s="1"/>
  <c r="AS23" i="22" a="1"/>
  <c r="AS23" i="22" s="1"/>
  <c r="AT23" i="22" a="1"/>
  <c r="AT23" i="22" s="1"/>
  <c r="AU23" i="22" a="1"/>
  <c r="AU23" i="22" s="1"/>
  <c r="AV23" i="22" a="1"/>
  <c r="AV23" i="22" s="1"/>
  <c r="AW23" i="22" a="1"/>
  <c r="AW23" i="22" s="1"/>
  <c r="AX23" i="22" a="1"/>
  <c r="AX23" i="22" s="1"/>
  <c r="AY23" i="22" a="1"/>
  <c r="AY23" i="22" s="1"/>
  <c r="AZ17" i="22"/>
  <c r="AK17" i="22" s="1" a="1"/>
  <c r="AK17" i="22" s="1"/>
  <c r="AL17" i="22" a="1"/>
  <c r="AL17" i="22" s="1"/>
  <c r="AM17" i="22" a="1"/>
  <c r="AM17" i="22" s="1"/>
  <c r="AN17" i="22" a="1"/>
  <c r="AN17" i="22" s="1"/>
  <c r="AO17" i="22" a="1"/>
  <c r="AO17" i="22" s="1"/>
  <c r="AP17" i="22" a="1"/>
  <c r="AP17" i="22" s="1"/>
  <c r="AQ17" i="22" a="1"/>
  <c r="AQ17" i="22" s="1"/>
  <c r="AR17" i="22" a="1"/>
  <c r="AR17" i="22" s="1"/>
  <c r="AS17" i="22" a="1"/>
  <c r="AS17" i="22" s="1"/>
  <c r="AT17" i="22" a="1"/>
  <c r="AT17" i="22" s="1"/>
  <c r="AU17" i="22" a="1"/>
  <c r="AU17" i="22" s="1"/>
  <c r="AV17" i="22" a="1"/>
  <c r="AV17" i="22" s="1"/>
  <c r="AW17" i="22" a="1"/>
  <c r="AW17" i="22" s="1"/>
  <c r="AX17" i="22" a="1"/>
  <c r="AX17" i="22" s="1"/>
  <c r="AY17" i="22" a="1"/>
  <c r="AY17" i="22" s="1"/>
  <c r="AZ61" i="22"/>
  <c r="AK61" i="22" s="1" a="1"/>
  <c r="AK61" i="22" s="1"/>
  <c r="AL61" i="22" a="1"/>
  <c r="AL61" i="22" s="1"/>
  <c r="AM61" i="22" a="1"/>
  <c r="AM61" i="22" s="1"/>
  <c r="AN61" i="22" a="1"/>
  <c r="AN61" i="22" s="1"/>
  <c r="AO61" i="22" a="1"/>
  <c r="AO61" i="22" s="1"/>
  <c r="AP61" i="22" a="1"/>
  <c r="AP61" i="22" s="1"/>
  <c r="AQ61" i="22" a="1"/>
  <c r="AQ61" i="22" s="1"/>
  <c r="AR61" i="22" a="1"/>
  <c r="AR61" i="22" s="1"/>
  <c r="AS61" i="22" a="1"/>
  <c r="AS61" i="22" s="1"/>
  <c r="AT61" i="22" a="1"/>
  <c r="AT61" i="22" s="1"/>
  <c r="AU61" i="22" a="1"/>
  <c r="AU61" i="22" s="1"/>
  <c r="AV61" i="22" a="1"/>
  <c r="AV61" i="22" s="1"/>
  <c r="AW61" i="22" a="1"/>
  <c r="AW61" i="22" s="1"/>
  <c r="AX61" i="22" a="1"/>
  <c r="AX61" i="22" s="1"/>
  <c r="AY61" i="22" a="1"/>
  <c r="AY61" i="22" s="1"/>
  <c r="AZ79" i="22"/>
  <c r="AK79" i="22" s="1" a="1"/>
  <c r="AK79" i="22" s="1"/>
  <c r="AL79" i="22" a="1"/>
  <c r="AL79" i="22" s="1"/>
  <c r="AM79" i="22" a="1"/>
  <c r="AM79" i="22" s="1"/>
  <c r="AN79" i="22" a="1"/>
  <c r="AN79" i="22" s="1"/>
  <c r="AO79" i="22" a="1"/>
  <c r="AO79" i="22" s="1"/>
  <c r="AP79" i="22" a="1"/>
  <c r="AP79" i="22" s="1"/>
  <c r="AQ79" i="22" a="1"/>
  <c r="AQ79" i="22" s="1"/>
  <c r="AR79" i="22" a="1"/>
  <c r="AR79" i="22" s="1"/>
  <c r="AS79" i="22" a="1"/>
  <c r="AS79" i="22" s="1"/>
  <c r="AT79" i="22" a="1"/>
  <c r="AT79" i="22" s="1"/>
  <c r="AU79" i="22" a="1"/>
  <c r="AU79" i="22" s="1"/>
  <c r="AV79" i="22" a="1"/>
  <c r="AV79" i="22" s="1"/>
  <c r="AW79" i="22" a="1"/>
  <c r="AW79" i="22" s="1"/>
  <c r="AX79" i="22" a="1"/>
  <c r="AX79" i="22" s="1"/>
  <c r="AY79" i="22" a="1"/>
  <c r="AY79" i="22" s="1"/>
  <c r="AZ76" i="22"/>
  <c r="AK76" i="22" s="1" a="1"/>
  <c r="AK76" i="22" s="1"/>
  <c r="AL76" i="22" a="1"/>
  <c r="AL76" i="22" s="1"/>
  <c r="AM76" i="22" a="1"/>
  <c r="AM76" i="22" s="1"/>
  <c r="AN76" i="22" a="1"/>
  <c r="AN76" i="22" s="1"/>
  <c r="AO76" i="22" a="1"/>
  <c r="AO76" i="22" s="1"/>
  <c r="AP76" i="22" a="1"/>
  <c r="AP76" i="22" s="1"/>
  <c r="AQ76" i="22" a="1"/>
  <c r="AQ76" i="22" s="1"/>
  <c r="AR76" i="22" a="1"/>
  <c r="AR76" i="22" s="1"/>
  <c r="AS76" i="22" a="1"/>
  <c r="AS76" i="22" s="1"/>
  <c r="AT76" i="22" a="1"/>
  <c r="AT76" i="22" s="1"/>
  <c r="AU76" i="22" a="1"/>
  <c r="AU76" i="22" s="1"/>
  <c r="AV76" i="22" a="1"/>
  <c r="AV76" i="22" s="1"/>
  <c r="AW76" i="22" a="1"/>
  <c r="AW76" i="22" s="1"/>
  <c r="AX76" i="22" a="1"/>
  <c r="AX76" i="22" s="1"/>
  <c r="AY76" i="22" a="1"/>
  <c r="AY76" i="22" s="1"/>
  <c r="AL3" i="22" a="1"/>
  <c r="AL3" i="22" s="1"/>
  <c r="AM3" i="22" a="1"/>
  <c r="AM3" i="22" s="1"/>
  <c r="AN3" i="22" a="1"/>
  <c r="AN3" i="22" s="1"/>
  <c r="AO3" i="22" a="1"/>
  <c r="AO3" i="22" s="1"/>
  <c r="AP3" i="22" a="1"/>
  <c r="AP3" i="22" s="1"/>
  <c r="AQ3" i="22" a="1"/>
  <c r="AQ3" i="22" s="1"/>
  <c r="AR3" i="22" a="1"/>
  <c r="AR3" i="22" s="1"/>
  <c r="AS3" i="22" a="1"/>
  <c r="AS3" i="22" s="1"/>
  <c r="AT3" i="22" a="1"/>
  <c r="AT3" i="22" s="1"/>
  <c r="AU3" i="22" a="1"/>
  <c r="AU3" i="22" s="1"/>
  <c r="AV3" i="22" a="1"/>
  <c r="AV3" i="22" s="1"/>
  <c r="AW3" i="22" a="1"/>
  <c r="AW3" i="22" s="1"/>
  <c r="AX3" i="22" a="1"/>
  <c r="AX3" i="22" s="1"/>
  <c r="AY3" i="22" a="1"/>
  <c r="AY3" i="22" s="1"/>
  <c r="AZ22" i="22"/>
  <c r="AK22" i="22" s="1" a="1"/>
  <c r="AK22" i="22" s="1"/>
  <c r="AL22" i="22" a="1"/>
  <c r="AL22" i="22" s="1"/>
  <c r="AM22" i="22" a="1"/>
  <c r="AM22" i="22" s="1"/>
  <c r="AN22" i="22" a="1"/>
  <c r="AN22" i="22" s="1"/>
  <c r="AO22" i="22" a="1"/>
  <c r="AO22" i="22" s="1"/>
  <c r="AP22" i="22" a="1"/>
  <c r="AP22" i="22" s="1"/>
  <c r="AQ22" i="22" a="1"/>
  <c r="AQ22" i="22" s="1"/>
  <c r="AR22" i="22" a="1"/>
  <c r="AR22" i="22" s="1"/>
  <c r="AS22" i="22" a="1"/>
  <c r="AS22" i="22" s="1"/>
  <c r="AT22" i="22" a="1"/>
  <c r="AT22" i="22" s="1"/>
  <c r="AU22" i="22" a="1"/>
  <c r="AU22" i="22" s="1"/>
  <c r="AV22" i="22" a="1"/>
  <c r="AV22" i="22" s="1"/>
  <c r="AW22" i="22" a="1"/>
  <c r="AW22" i="22" s="1"/>
  <c r="AX22" i="22" a="1"/>
  <c r="AX22" i="22" s="1"/>
  <c r="AY22" i="22" a="1"/>
  <c r="AY22" i="22" s="1"/>
  <c r="AZ30" i="22"/>
  <c r="AK30" i="22" s="1" a="1"/>
  <c r="AK30" i="22" s="1"/>
  <c r="AL30" i="22" a="1"/>
  <c r="AL30" i="22" s="1"/>
  <c r="AM30" i="22" a="1"/>
  <c r="AM30" i="22" s="1"/>
  <c r="AN30" i="22" a="1"/>
  <c r="AN30" i="22" s="1"/>
  <c r="AO30" i="22" a="1"/>
  <c r="AO30" i="22" s="1"/>
  <c r="AP30" i="22" a="1"/>
  <c r="AP30" i="22" s="1"/>
  <c r="AQ30" i="22" a="1"/>
  <c r="AQ30" i="22" s="1"/>
  <c r="AR30" i="22" a="1"/>
  <c r="AR30" i="22" s="1"/>
  <c r="AS30" i="22" a="1"/>
  <c r="AS30" i="22" s="1"/>
  <c r="AT30" i="22" a="1"/>
  <c r="AT30" i="22" s="1"/>
  <c r="AU30" i="22" a="1"/>
  <c r="AU30" i="22" s="1"/>
  <c r="AV30" i="22" a="1"/>
  <c r="AV30" i="22" s="1"/>
  <c r="AW30" i="22" a="1"/>
  <c r="AW30" i="22" s="1"/>
  <c r="AX30" i="22" a="1"/>
  <c r="AX30" i="22" s="1"/>
  <c r="AY30" i="22" a="1"/>
  <c r="AY30" i="22" s="1"/>
  <c r="AZ70" i="22"/>
  <c r="AK70" i="22" s="1" a="1"/>
  <c r="AK70" i="22" s="1"/>
  <c r="AL70" i="22" a="1"/>
  <c r="AL70" i="22" s="1"/>
  <c r="AM70" i="22" a="1"/>
  <c r="AM70" i="22" s="1"/>
  <c r="AN70" i="22" a="1"/>
  <c r="AN70" i="22" s="1"/>
  <c r="AO70" i="22" a="1"/>
  <c r="AO70" i="22" s="1"/>
  <c r="AP70" i="22" a="1"/>
  <c r="AP70" i="22" s="1"/>
  <c r="AQ70" i="22" a="1"/>
  <c r="AQ70" i="22" s="1"/>
  <c r="AR70" i="22" a="1"/>
  <c r="AR70" i="22" s="1"/>
  <c r="AS70" i="22" a="1"/>
  <c r="AS70" i="22" s="1"/>
  <c r="AT70" i="22" a="1"/>
  <c r="AT70" i="22" s="1"/>
  <c r="AU70" i="22" a="1"/>
  <c r="AU70" i="22" s="1"/>
  <c r="AV70" i="22" a="1"/>
  <c r="AV70" i="22" s="1"/>
  <c r="AW70" i="22" a="1"/>
  <c r="AW70" i="22" s="1"/>
  <c r="AX70" i="22" a="1"/>
  <c r="AX70" i="22" s="1"/>
  <c r="AY70" i="22" a="1"/>
  <c r="AY70" i="22" s="1"/>
  <c r="AZ10" i="22"/>
  <c r="AK10" i="22" s="1" a="1"/>
  <c r="AK10" i="22" s="1"/>
  <c r="AL10" i="22" a="1"/>
  <c r="AL10" i="22" s="1"/>
  <c r="AM10" i="22" a="1"/>
  <c r="AM10" i="22" s="1"/>
  <c r="AN10" i="22" a="1"/>
  <c r="AN10" i="22" s="1"/>
  <c r="AO10" i="22" a="1"/>
  <c r="AO10" i="22" s="1"/>
  <c r="AP10" i="22" a="1"/>
  <c r="AP10" i="22" s="1"/>
  <c r="AQ10" i="22" a="1"/>
  <c r="AQ10" i="22" s="1"/>
  <c r="AR10" i="22" a="1"/>
  <c r="AR10" i="22" s="1"/>
  <c r="AS10" i="22" a="1"/>
  <c r="AS10" i="22" s="1"/>
  <c r="AT10" i="22" a="1"/>
  <c r="AT10" i="22" s="1"/>
  <c r="AU10" i="22" a="1"/>
  <c r="AU10" i="22" s="1"/>
  <c r="AV10" i="22" a="1"/>
  <c r="AV10" i="22" s="1"/>
  <c r="AW10" i="22" a="1"/>
  <c r="AW10" i="22" s="1"/>
  <c r="AX10" i="22" a="1"/>
  <c r="AX10" i="22" s="1"/>
  <c r="AY10" i="22" a="1"/>
  <c r="AY10" i="22" s="1"/>
  <c r="AZ77" i="22"/>
  <c r="AK77" i="22" s="1" a="1"/>
  <c r="AK77" i="22" s="1"/>
  <c r="AL77" i="22" a="1"/>
  <c r="AL77" i="22" s="1"/>
  <c r="AM77" i="22" a="1"/>
  <c r="AM77" i="22" s="1"/>
  <c r="AN77" i="22" a="1"/>
  <c r="AN77" i="22" s="1"/>
  <c r="AO77" i="22" a="1"/>
  <c r="AO77" i="22" s="1"/>
  <c r="AP77" i="22" a="1"/>
  <c r="AP77" i="22" s="1"/>
  <c r="AQ77" i="22" a="1"/>
  <c r="AQ77" i="22" s="1"/>
  <c r="AR77" i="22" a="1"/>
  <c r="AR77" i="22" s="1"/>
  <c r="AS77" i="22" a="1"/>
  <c r="AS77" i="22" s="1"/>
  <c r="AT77" i="22" a="1"/>
  <c r="AT77" i="22" s="1"/>
  <c r="AU77" i="22" a="1"/>
  <c r="AU77" i="22" s="1"/>
  <c r="AV77" i="22" a="1"/>
  <c r="AV77" i="22" s="1"/>
  <c r="AW77" i="22" a="1"/>
  <c r="AW77" i="22" s="1"/>
  <c r="AX77" i="22" a="1"/>
  <c r="AX77" i="22" s="1"/>
  <c r="AY77" i="22" a="1"/>
  <c r="AY77" i="22" s="1"/>
  <c r="AZ66" i="22"/>
  <c r="AK66" i="22" s="1" a="1"/>
  <c r="AK66" i="22" s="1"/>
  <c r="AL66" i="22" a="1"/>
  <c r="AL66" i="22" s="1"/>
  <c r="AM66" i="22" a="1"/>
  <c r="AM66" i="22" s="1"/>
  <c r="AN66" i="22" a="1"/>
  <c r="AN66" i="22" s="1"/>
  <c r="AO66" i="22" a="1"/>
  <c r="AO66" i="22" s="1"/>
  <c r="AP66" i="22" a="1"/>
  <c r="AP66" i="22" s="1"/>
  <c r="AQ66" i="22" a="1"/>
  <c r="AQ66" i="22" s="1"/>
  <c r="AR66" i="22" a="1"/>
  <c r="AR66" i="22" s="1"/>
  <c r="AS66" i="22" a="1"/>
  <c r="AS66" i="22" s="1"/>
  <c r="AT66" i="22" a="1"/>
  <c r="AT66" i="22" s="1"/>
  <c r="AU66" i="22" a="1"/>
  <c r="AU66" i="22" s="1"/>
  <c r="AV66" i="22" a="1"/>
  <c r="AV66" i="22" s="1"/>
  <c r="AW66" i="22" a="1"/>
  <c r="AW66" i="22" s="1"/>
  <c r="AX66" i="22" a="1"/>
  <c r="AX66" i="22" s="1"/>
  <c r="AY66" i="22" a="1"/>
  <c r="AY66" i="22" s="1"/>
  <c r="AZ15" i="22"/>
  <c r="AK15" i="22" s="1" a="1"/>
  <c r="AK15" i="22" s="1"/>
  <c r="AL15" i="22" a="1"/>
  <c r="AL15" i="22" s="1"/>
  <c r="AM15" i="22" a="1"/>
  <c r="AM15" i="22" s="1"/>
  <c r="AN15" i="22" a="1"/>
  <c r="AN15" i="22" s="1"/>
  <c r="AO15" i="22" a="1"/>
  <c r="AO15" i="22" s="1"/>
  <c r="AP15" i="22" a="1"/>
  <c r="AP15" i="22" s="1"/>
  <c r="AQ15" i="22" a="1"/>
  <c r="AQ15" i="22" s="1"/>
  <c r="AR15" i="22" a="1"/>
  <c r="AR15" i="22" s="1"/>
  <c r="AS15" i="22" a="1"/>
  <c r="AS15" i="22" s="1"/>
  <c r="AT15" i="22" a="1"/>
  <c r="AT15" i="22" s="1"/>
  <c r="AU15" i="22" a="1"/>
  <c r="AU15" i="22" s="1"/>
  <c r="AV15" i="22" a="1"/>
  <c r="AV15" i="22" s="1"/>
  <c r="AW15" i="22" a="1"/>
  <c r="AW15" i="22" s="1"/>
  <c r="AX15" i="22" a="1"/>
  <c r="AX15" i="22" s="1"/>
  <c r="AY15" i="22" a="1"/>
  <c r="AY15" i="22" s="1"/>
  <c r="AZ41" i="22"/>
  <c r="AK41" i="22" s="1" a="1"/>
  <c r="AK41" i="22" s="1"/>
  <c r="AL41" i="22" a="1"/>
  <c r="AL41" i="22" s="1"/>
  <c r="AM41" i="22" a="1"/>
  <c r="AM41" i="22" s="1"/>
  <c r="AN41" i="22" a="1"/>
  <c r="AN41" i="22" s="1"/>
  <c r="AO41" i="22" a="1"/>
  <c r="AO41" i="22" s="1"/>
  <c r="AP41" i="22" a="1"/>
  <c r="AP41" i="22" s="1"/>
  <c r="AQ41" i="22" a="1"/>
  <c r="AQ41" i="22" s="1"/>
  <c r="AR41" i="22" a="1"/>
  <c r="AR41" i="22" s="1"/>
  <c r="AS41" i="22" a="1"/>
  <c r="AS41" i="22" s="1"/>
  <c r="AT41" i="22" a="1"/>
  <c r="AT41" i="22" s="1"/>
  <c r="AU41" i="22" a="1"/>
  <c r="AU41" i="22" s="1"/>
  <c r="AV41" i="22" a="1"/>
  <c r="AV41" i="22" s="1"/>
  <c r="AW41" i="22" a="1"/>
  <c r="AW41" i="22" s="1"/>
  <c r="AX41" i="22" a="1"/>
  <c r="AX41" i="22" s="1"/>
  <c r="AY41" i="22" a="1"/>
  <c r="AY41" i="22" s="1"/>
  <c r="AZ49" i="22"/>
  <c r="AK49" i="22" s="1" a="1"/>
  <c r="AK49" i="22" s="1"/>
  <c r="AL49" i="22" a="1"/>
  <c r="AL49" i="22" s="1"/>
  <c r="AM49" i="22" a="1"/>
  <c r="AM49" i="22" s="1"/>
  <c r="AN49" i="22" a="1"/>
  <c r="AN49" i="22" s="1"/>
  <c r="AO49" i="22" a="1"/>
  <c r="AO49" i="22" s="1"/>
  <c r="AP49" i="22" a="1"/>
  <c r="AP49" i="22" s="1"/>
  <c r="AQ49" i="22" a="1"/>
  <c r="AQ49" i="22" s="1"/>
  <c r="AR49" i="22" a="1"/>
  <c r="AR49" i="22" s="1"/>
  <c r="AS49" i="22" a="1"/>
  <c r="AS49" i="22" s="1"/>
  <c r="AT49" i="22" a="1"/>
  <c r="AT49" i="22" s="1"/>
  <c r="AU49" i="22" a="1"/>
  <c r="AU49" i="22" s="1"/>
  <c r="AV49" i="22" a="1"/>
  <c r="AV49" i="22" s="1"/>
  <c r="AW49" i="22" a="1"/>
  <c r="AW49" i="22" s="1"/>
  <c r="AX49" i="22" a="1"/>
  <c r="AX49" i="22" s="1"/>
  <c r="AY49" i="22" a="1"/>
  <c r="AY49" i="22" s="1"/>
  <c r="AZ84" i="22"/>
  <c r="AK84" i="22" s="1" a="1"/>
  <c r="AK84" i="22" s="1"/>
  <c r="AL84" i="22" a="1"/>
  <c r="AL84" i="22" s="1"/>
  <c r="AM84" i="22" a="1"/>
  <c r="AM84" i="22" s="1"/>
  <c r="AN84" i="22" a="1"/>
  <c r="AN84" i="22" s="1"/>
  <c r="AO84" i="22" a="1"/>
  <c r="AO84" i="22" s="1"/>
  <c r="AP84" i="22" a="1"/>
  <c r="AP84" i="22" s="1"/>
  <c r="AQ84" i="22" a="1"/>
  <c r="AQ84" i="22" s="1"/>
  <c r="AR84" i="22" a="1"/>
  <c r="AR84" i="22" s="1"/>
  <c r="AS84" i="22" a="1"/>
  <c r="AS84" i="22" s="1"/>
  <c r="AT84" i="22" a="1"/>
  <c r="AT84" i="22" s="1"/>
  <c r="AU84" i="22" a="1"/>
  <c r="AU84" i="22" s="1"/>
  <c r="AV84" i="22" a="1"/>
  <c r="AV84" i="22" s="1"/>
  <c r="AW84" i="22" a="1"/>
  <c r="AW84" i="22" s="1"/>
  <c r="AX84" i="22" a="1"/>
  <c r="AX84" i="22" s="1"/>
  <c r="AY84" i="22" a="1"/>
  <c r="AY84" i="22" s="1"/>
  <c r="AZ20" i="22"/>
  <c r="AK20" i="22" s="1" a="1"/>
  <c r="AK20" i="22" s="1"/>
  <c r="AL20" i="22" a="1"/>
  <c r="AL20" i="22" s="1"/>
  <c r="AM20" i="22" a="1"/>
  <c r="AM20" i="22" s="1"/>
  <c r="AN20" i="22" a="1"/>
  <c r="AN20" i="22" s="1"/>
  <c r="AO20" i="22" a="1"/>
  <c r="AO20" i="22" s="1"/>
  <c r="AP20" i="22" a="1"/>
  <c r="AP20" i="22" s="1"/>
  <c r="AQ20" i="22" a="1"/>
  <c r="AQ20" i="22" s="1"/>
  <c r="AR20" i="22" a="1"/>
  <c r="AR20" i="22" s="1"/>
  <c r="AS20" i="22" a="1"/>
  <c r="AS20" i="22" s="1"/>
  <c r="AT20" i="22" a="1"/>
  <c r="AT20" i="22" s="1"/>
  <c r="AU20" i="22" a="1"/>
  <c r="AU20" i="22" s="1"/>
  <c r="AV20" i="22" a="1"/>
  <c r="AV20" i="22" s="1"/>
  <c r="AW20" i="22" a="1"/>
  <c r="AW20" i="22" s="1"/>
  <c r="AX20" i="22" a="1"/>
  <c r="AX20" i="22" s="1"/>
  <c r="AY20" i="22" a="1"/>
  <c r="AY20" i="22" s="1"/>
  <c r="AZ65" i="22"/>
  <c r="AK65" i="22" s="1" a="1"/>
  <c r="AK65" i="22" s="1"/>
  <c r="AL65" i="22" a="1"/>
  <c r="AL65" i="22" s="1"/>
  <c r="AM65" i="22" a="1"/>
  <c r="AM65" i="22" s="1"/>
  <c r="AN65" i="22" a="1"/>
  <c r="AN65" i="22" s="1"/>
  <c r="AO65" i="22" a="1"/>
  <c r="AO65" i="22" s="1"/>
  <c r="AP65" i="22" a="1"/>
  <c r="AP65" i="22" s="1"/>
  <c r="AQ65" i="22" a="1"/>
  <c r="AQ65" i="22" s="1"/>
  <c r="AR65" i="22" a="1"/>
  <c r="AR65" i="22" s="1"/>
  <c r="AS65" i="22" a="1"/>
  <c r="AS65" i="22" s="1"/>
  <c r="AT65" i="22" a="1"/>
  <c r="AT65" i="22" s="1"/>
  <c r="AU65" i="22" a="1"/>
  <c r="AU65" i="22" s="1"/>
  <c r="AV65" i="22" a="1"/>
  <c r="AV65" i="22" s="1"/>
  <c r="AW65" i="22" a="1"/>
  <c r="AW65" i="22" s="1"/>
  <c r="AX65" i="22" a="1"/>
  <c r="AX65" i="22" s="1"/>
  <c r="AY65" i="22" a="1"/>
  <c r="AY65" i="22" s="1"/>
  <c r="AZ40" i="22"/>
  <c r="AK40" i="22" s="1" a="1"/>
  <c r="AK40" i="22" s="1"/>
  <c r="AL40" i="22" a="1"/>
  <c r="AL40" i="22" s="1"/>
  <c r="AM40" i="22" a="1"/>
  <c r="AM40" i="22" s="1"/>
  <c r="AN40" i="22" a="1"/>
  <c r="AN40" i="22" s="1"/>
  <c r="AO40" i="22" a="1"/>
  <c r="AO40" i="22" s="1"/>
  <c r="AP40" i="22" a="1"/>
  <c r="AP40" i="22" s="1"/>
  <c r="AQ40" i="22" a="1"/>
  <c r="AQ40" i="22" s="1"/>
  <c r="AR40" i="22" a="1"/>
  <c r="AR40" i="22" s="1"/>
  <c r="AS40" i="22" a="1"/>
  <c r="AS40" i="22" s="1"/>
  <c r="AT40" i="22" a="1"/>
  <c r="AT40" i="22" s="1"/>
  <c r="AU40" i="22" a="1"/>
  <c r="AU40" i="22" s="1"/>
  <c r="AV40" i="22" a="1"/>
  <c r="AV40" i="22" s="1"/>
  <c r="AW40" i="22" a="1"/>
  <c r="AW40" i="22" s="1"/>
  <c r="AX40" i="22" a="1"/>
  <c r="AX40" i="22" s="1"/>
  <c r="AY40" i="22" a="1"/>
  <c r="AY40" i="22" s="1"/>
  <c r="AZ97" i="22"/>
  <c r="AK97" i="22" s="1" a="1"/>
  <c r="AK97" i="22" s="1"/>
  <c r="AL97" i="22" a="1"/>
  <c r="AL97" i="22" s="1"/>
  <c r="AM97" i="22" a="1"/>
  <c r="AM97" i="22" s="1"/>
  <c r="AN97" i="22" a="1"/>
  <c r="AN97" i="22" s="1"/>
  <c r="AO97" i="22" a="1"/>
  <c r="AO97" i="22" s="1"/>
  <c r="AP97" i="22" a="1"/>
  <c r="AP97" i="22" s="1"/>
  <c r="AQ97" i="22" a="1"/>
  <c r="AQ97" i="22" s="1"/>
  <c r="AR97" i="22" a="1"/>
  <c r="AR97" i="22" s="1"/>
  <c r="AS97" i="22" a="1"/>
  <c r="AS97" i="22" s="1"/>
  <c r="AT97" i="22" a="1"/>
  <c r="AT97" i="22" s="1"/>
  <c r="AU97" i="22" a="1"/>
  <c r="AU97" i="22" s="1"/>
  <c r="AV97" i="22" a="1"/>
  <c r="AV97" i="22" s="1"/>
  <c r="AW97" i="22" a="1"/>
  <c r="AW97" i="22" s="1"/>
  <c r="AX97" i="22" a="1"/>
  <c r="AX97" i="22" s="1"/>
  <c r="AY97" i="22" a="1"/>
  <c r="AY97" i="22" s="1"/>
  <c r="AZ85" i="22"/>
  <c r="AK85" i="22" s="1" a="1"/>
  <c r="AK85" i="22" s="1"/>
  <c r="AL85" i="22" a="1"/>
  <c r="AL85" i="22" s="1"/>
  <c r="AM85" i="22" a="1"/>
  <c r="AM85" i="22" s="1"/>
  <c r="AN85" i="22" a="1"/>
  <c r="AN85" i="22" s="1"/>
  <c r="AO85" i="22" a="1"/>
  <c r="AO85" i="22" s="1"/>
  <c r="AP85" i="22" a="1"/>
  <c r="AP85" i="22" s="1"/>
  <c r="AQ85" i="22" a="1"/>
  <c r="AQ85" i="22" s="1"/>
  <c r="AR85" i="22" a="1"/>
  <c r="AR85" i="22" s="1"/>
  <c r="AS85" i="22" a="1"/>
  <c r="AS85" i="22" s="1"/>
  <c r="AT85" i="22" a="1"/>
  <c r="AT85" i="22" s="1"/>
  <c r="AU85" i="22" a="1"/>
  <c r="AU85" i="22" s="1"/>
  <c r="AV85" i="22" a="1"/>
  <c r="AV85" i="22" s="1"/>
  <c r="AW85" i="22" a="1"/>
  <c r="AW85" i="22" s="1"/>
  <c r="AX85" i="22" a="1"/>
  <c r="AX85" i="22" s="1"/>
  <c r="AY85" i="22" a="1"/>
  <c r="AY85" i="22" s="1"/>
  <c r="AZ31" i="22"/>
  <c r="AK31" i="22" s="1" a="1"/>
  <c r="AK31" i="22" s="1"/>
  <c r="AL31" i="22" a="1"/>
  <c r="AL31" i="22" s="1"/>
  <c r="AM31" i="22" a="1"/>
  <c r="AM31" i="22" s="1"/>
  <c r="AN31" i="22" a="1"/>
  <c r="AN31" i="22" s="1"/>
  <c r="AO31" i="22" a="1"/>
  <c r="AO31" i="22" s="1"/>
  <c r="AP31" i="22" a="1"/>
  <c r="AP31" i="22" s="1"/>
  <c r="AQ31" i="22" a="1"/>
  <c r="AQ31" i="22" s="1"/>
  <c r="AR31" i="22" a="1"/>
  <c r="AR31" i="22" s="1"/>
  <c r="AS31" i="22" a="1"/>
  <c r="AS31" i="22" s="1"/>
  <c r="AT31" i="22" a="1"/>
  <c r="AT31" i="22" s="1"/>
  <c r="AU31" i="22" a="1"/>
  <c r="AU31" i="22" s="1"/>
  <c r="AV31" i="22" a="1"/>
  <c r="AV31" i="22" s="1"/>
  <c r="AW31" i="22" a="1"/>
  <c r="AW31" i="22" s="1"/>
  <c r="AX31" i="22" a="1"/>
  <c r="AX31" i="22" s="1"/>
  <c r="AY31" i="22" a="1"/>
  <c r="AY31" i="22" s="1"/>
  <c r="AZ82" i="22"/>
  <c r="AK82" i="22" s="1" a="1"/>
  <c r="AK82" i="22" s="1"/>
  <c r="AL82" i="22" a="1"/>
  <c r="AL82" i="22" s="1"/>
  <c r="AM82" i="22" a="1"/>
  <c r="AM82" i="22" s="1"/>
  <c r="AN82" i="22" a="1"/>
  <c r="AN82" i="22" s="1"/>
  <c r="AO82" i="22" a="1"/>
  <c r="AO82" i="22" s="1"/>
  <c r="AP82" i="22" a="1"/>
  <c r="AP82" i="22" s="1"/>
  <c r="AQ82" i="22" a="1"/>
  <c r="AQ82" i="22" s="1"/>
  <c r="AR82" i="22" a="1"/>
  <c r="AR82" i="22" s="1"/>
  <c r="AS82" i="22" a="1"/>
  <c r="AS82" i="22" s="1"/>
  <c r="AT82" i="22" a="1"/>
  <c r="AT82" i="22" s="1"/>
  <c r="AU82" i="22" a="1"/>
  <c r="AU82" i="22" s="1"/>
  <c r="AV82" i="22" a="1"/>
  <c r="AV82" i="22" s="1"/>
  <c r="AW82" i="22" a="1"/>
  <c r="AW82" i="22" s="1"/>
  <c r="AX82" i="22" a="1"/>
  <c r="AX82" i="22" s="1"/>
  <c r="AY82" i="22" a="1"/>
  <c r="AY82" i="22" s="1"/>
  <c r="AZ14" i="22"/>
  <c r="AK14" i="22" s="1" a="1"/>
  <c r="AK14" i="22" s="1"/>
  <c r="AL14" i="22" a="1"/>
  <c r="AL14" i="22" s="1"/>
  <c r="AM14" i="22" a="1"/>
  <c r="AM14" i="22" s="1"/>
  <c r="AN14" i="22" a="1"/>
  <c r="AN14" i="22" s="1"/>
  <c r="AO14" i="22" a="1"/>
  <c r="AO14" i="22" s="1"/>
  <c r="AP14" i="22" a="1"/>
  <c r="AP14" i="22" s="1"/>
  <c r="AQ14" i="22" a="1"/>
  <c r="AQ14" i="22" s="1"/>
  <c r="AR14" i="22" a="1"/>
  <c r="AR14" i="22" s="1"/>
  <c r="AS14" i="22" a="1"/>
  <c r="AS14" i="22" s="1"/>
  <c r="AT14" i="22" a="1"/>
  <c r="AT14" i="22" s="1"/>
  <c r="AU14" i="22" a="1"/>
  <c r="AU14" i="22" s="1"/>
  <c r="AV14" i="22" a="1"/>
  <c r="AV14" i="22" s="1"/>
  <c r="AW14" i="22" a="1"/>
  <c r="AW14" i="22" s="1"/>
  <c r="AX14" i="22" a="1"/>
  <c r="AX14" i="22" s="1"/>
  <c r="AY14" i="22" a="1"/>
  <c r="AY14" i="22" s="1"/>
  <c r="AZ51" i="22"/>
  <c r="AK51" i="22" s="1" a="1"/>
  <c r="AK51" i="22" s="1"/>
  <c r="AL51" i="22" a="1"/>
  <c r="AL51" i="22" s="1"/>
  <c r="AM51" i="22" a="1"/>
  <c r="AM51" i="22" s="1"/>
  <c r="AN51" i="22" a="1"/>
  <c r="AN51" i="22" s="1"/>
  <c r="AO51" i="22" a="1"/>
  <c r="AO51" i="22" s="1"/>
  <c r="AP51" i="22" a="1"/>
  <c r="AP51" i="22" s="1"/>
  <c r="AQ51" i="22" a="1"/>
  <c r="AQ51" i="22" s="1"/>
  <c r="AR51" i="22" a="1"/>
  <c r="AR51" i="22" s="1"/>
  <c r="AS51" i="22" a="1"/>
  <c r="AS51" i="22" s="1"/>
  <c r="AT51" i="22" a="1"/>
  <c r="AT51" i="22" s="1"/>
  <c r="AU51" i="22" a="1"/>
  <c r="AU51" i="22" s="1"/>
  <c r="AV51" i="22" a="1"/>
  <c r="AV51" i="22" s="1"/>
  <c r="AW51" i="22" a="1"/>
  <c r="AW51" i="22" s="1"/>
  <c r="AX51" i="22" a="1"/>
  <c r="AX51" i="22" s="1"/>
  <c r="AY51" i="22" a="1"/>
  <c r="AY51" i="22" s="1"/>
  <c r="AZ86" i="22"/>
  <c r="AK86" i="22" s="1" a="1"/>
  <c r="AK86" i="22" s="1"/>
  <c r="AL86" i="22" a="1"/>
  <c r="AL86" i="22" s="1"/>
  <c r="AM86" i="22" a="1"/>
  <c r="AM86" i="22" s="1"/>
  <c r="AN86" i="22" a="1"/>
  <c r="AN86" i="22" s="1"/>
  <c r="AO86" i="22" a="1"/>
  <c r="AO86" i="22" s="1"/>
  <c r="AP86" i="22" a="1"/>
  <c r="AP86" i="22" s="1"/>
  <c r="AQ86" i="22" a="1"/>
  <c r="AQ86" i="22" s="1"/>
  <c r="AR86" i="22" a="1"/>
  <c r="AR86" i="22" s="1"/>
  <c r="AS86" i="22" a="1"/>
  <c r="AS86" i="22" s="1"/>
  <c r="AT86" i="22" a="1"/>
  <c r="AT86" i="22" s="1"/>
  <c r="AU86" i="22" a="1"/>
  <c r="AU86" i="22" s="1"/>
  <c r="AV86" i="22" a="1"/>
  <c r="AV86" i="22" s="1"/>
  <c r="AW86" i="22" a="1"/>
  <c r="AW86" i="22" s="1"/>
  <c r="AX86" i="22" a="1"/>
  <c r="AX86" i="22" s="1"/>
  <c r="AY86" i="22" a="1"/>
  <c r="AY86" i="22" s="1"/>
  <c r="AZ91" i="22"/>
  <c r="AK91" i="22" s="1" a="1"/>
  <c r="AK91" i="22" s="1"/>
  <c r="AL91" i="22" a="1"/>
  <c r="AL91" i="22" s="1"/>
  <c r="AM91" i="22" a="1"/>
  <c r="AM91" i="22" s="1"/>
  <c r="AN91" i="22" a="1"/>
  <c r="AN91" i="22" s="1"/>
  <c r="AO91" i="22" a="1"/>
  <c r="AO91" i="22" s="1"/>
  <c r="AP91" i="22" a="1"/>
  <c r="AP91" i="22" s="1"/>
  <c r="AQ91" i="22" a="1"/>
  <c r="AQ91" i="22" s="1"/>
  <c r="AR91" i="22" a="1"/>
  <c r="AR91" i="22" s="1"/>
  <c r="AS91" i="22" a="1"/>
  <c r="AS91" i="22" s="1"/>
  <c r="AT91" i="22" a="1"/>
  <c r="AT91" i="22" s="1"/>
  <c r="AU91" i="22" a="1"/>
  <c r="AU91" i="22" s="1"/>
  <c r="AV91" i="22" a="1"/>
  <c r="AV91" i="22" s="1"/>
  <c r="AW91" i="22" a="1"/>
  <c r="AW91" i="22" s="1"/>
  <c r="AX91" i="22" a="1"/>
  <c r="AX91" i="22" s="1"/>
  <c r="AY91" i="22" a="1"/>
  <c r="AY91" i="22" s="1"/>
  <c r="AZ45" i="22"/>
  <c r="AK45" i="22" s="1" a="1"/>
  <c r="AK45" i="22" s="1"/>
  <c r="AL45" i="22" a="1"/>
  <c r="AL45" i="22" s="1"/>
  <c r="AM45" i="22" a="1"/>
  <c r="AM45" i="22" s="1"/>
  <c r="AN45" i="22" a="1"/>
  <c r="AN45" i="22" s="1"/>
  <c r="AO45" i="22" a="1"/>
  <c r="AO45" i="22" s="1"/>
  <c r="AP45" i="22" a="1"/>
  <c r="AP45" i="22" s="1"/>
  <c r="AQ45" i="22" a="1"/>
  <c r="AQ45" i="22" s="1"/>
  <c r="AR45" i="22" a="1"/>
  <c r="AR45" i="22" s="1"/>
  <c r="AS45" i="22" a="1"/>
  <c r="AS45" i="22" s="1"/>
  <c r="AT45" i="22" a="1"/>
  <c r="AT45" i="22" s="1"/>
  <c r="AU45" i="22" a="1"/>
  <c r="AU45" i="22" s="1"/>
  <c r="AV45" i="22" a="1"/>
  <c r="AV45" i="22" s="1"/>
  <c r="AW45" i="22" a="1"/>
  <c r="AW45" i="22" s="1"/>
  <c r="AX45" i="22" a="1"/>
  <c r="AX45" i="22" s="1"/>
  <c r="AY45" i="22" a="1"/>
  <c r="AY45" i="22" s="1"/>
  <c r="AZ69" i="22"/>
  <c r="AK69" i="22" s="1" a="1"/>
  <c r="AK69" i="22" s="1"/>
  <c r="AL69" i="22" a="1"/>
  <c r="AL69" i="22" s="1"/>
  <c r="AM69" i="22" a="1"/>
  <c r="AM69" i="22" s="1"/>
  <c r="AN69" i="22" a="1"/>
  <c r="AN69" i="22" s="1"/>
  <c r="AO69" i="22" a="1"/>
  <c r="AO69" i="22" s="1"/>
  <c r="AP69" i="22" a="1"/>
  <c r="AP69" i="22" s="1"/>
  <c r="AQ69" i="22" a="1"/>
  <c r="AQ69" i="22" s="1"/>
  <c r="AR69" i="22" a="1"/>
  <c r="AR69" i="22" s="1"/>
  <c r="AS69" i="22" a="1"/>
  <c r="AS69" i="22" s="1"/>
  <c r="AT69" i="22" a="1"/>
  <c r="AT69" i="22" s="1"/>
  <c r="AU69" i="22" a="1"/>
  <c r="AU69" i="22" s="1"/>
  <c r="AV69" i="22" a="1"/>
  <c r="AV69" i="22" s="1"/>
  <c r="AW69" i="22" a="1"/>
  <c r="AW69" i="22" s="1"/>
  <c r="AX69" i="22" a="1"/>
  <c r="AX69" i="22" s="1"/>
  <c r="AY69" i="22" a="1"/>
  <c r="AY69" i="22" s="1"/>
  <c r="AZ36" i="22"/>
  <c r="AK36" i="22" s="1" a="1"/>
  <c r="AK36" i="22" s="1"/>
  <c r="AL36" i="22" a="1"/>
  <c r="AL36" i="22" s="1"/>
  <c r="AM36" i="22" a="1"/>
  <c r="AM36" i="22" s="1"/>
  <c r="AN36" i="22" a="1"/>
  <c r="AN36" i="22" s="1"/>
  <c r="AO36" i="22" a="1"/>
  <c r="AO36" i="22" s="1"/>
  <c r="AP36" i="22" a="1"/>
  <c r="AP36" i="22" s="1"/>
  <c r="AQ36" i="22" a="1"/>
  <c r="AQ36" i="22" s="1"/>
  <c r="AR36" i="22" a="1"/>
  <c r="AR36" i="22" s="1"/>
  <c r="AS36" i="22" a="1"/>
  <c r="AS36" i="22" s="1"/>
  <c r="AT36" i="22" a="1"/>
  <c r="AT36" i="22" s="1"/>
  <c r="AU36" i="22" a="1"/>
  <c r="AU36" i="22" s="1"/>
  <c r="AV36" i="22" a="1"/>
  <c r="AV36" i="22" s="1"/>
  <c r="AW36" i="22" a="1"/>
  <c r="AW36" i="22" s="1"/>
  <c r="AX36" i="22" a="1"/>
  <c r="AX36" i="22" s="1"/>
  <c r="AY36" i="22" a="1"/>
  <c r="AY36" i="22" s="1"/>
  <c r="AZ46" i="22"/>
  <c r="AK46" i="22" s="1" a="1"/>
  <c r="AK46" i="22" s="1"/>
  <c r="AL46" i="22" a="1"/>
  <c r="AL46" i="22" s="1"/>
  <c r="AM46" i="22" a="1"/>
  <c r="AM46" i="22" s="1"/>
  <c r="AN46" i="22" a="1"/>
  <c r="AN46" i="22" s="1"/>
  <c r="AO46" i="22" a="1"/>
  <c r="AO46" i="22" s="1"/>
  <c r="AP46" i="22" a="1"/>
  <c r="AP46" i="22" s="1"/>
  <c r="AQ46" i="22" a="1"/>
  <c r="AQ46" i="22" s="1"/>
  <c r="AR46" i="22" a="1"/>
  <c r="AR46" i="22" s="1"/>
  <c r="AS46" i="22" a="1"/>
  <c r="AS46" i="22" s="1"/>
  <c r="AT46" i="22" a="1"/>
  <c r="AT46" i="22" s="1"/>
  <c r="AU46" i="22" a="1"/>
  <c r="AU46" i="22" s="1"/>
  <c r="AV46" i="22" a="1"/>
  <c r="AV46" i="22" s="1"/>
  <c r="AW46" i="22" a="1"/>
  <c r="AW46" i="22" s="1"/>
  <c r="AX46" i="22" a="1"/>
  <c r="AX46" i="22" s="1"/>
  <c r="AY46" i="22" a="1"/>
  <c r="AY46" i="22" s="1"/>
  <c r="AZ59" i="22"/>
  <c r="AK59" i="22" s="1" a="1"/>
  <c r="AK59" i="22" s="1"/>
  <c r="AL59" i="22" a="1"/>
  <c r="AL59" i="22" s="1"/>
  <c r="AM59" i="22" a="1"/>
  <c r="AM59" i="22" s="1"/>
  <c r="AN59" i="22" a="1"/>
  <c r="AN59" i="22" s="1"/>
  <c r="AO59" i="22" a="1"/>
  <c r="AO59" i="22" s="1"/>
  <c r="AP59" i="22" a="1"/>
  <c r="AP59" i="22" s="1"/>
  <c r="AQ59" i="22" a="1"/>
  <c r="AQ59" i="22" s="1"/>
  <c r="AR59" i="22" a="1"/>
  <c r="AR59" i="22" s="1"/>
  <c r="AS59" i="22" a="1"/>
  <c r="AS59" i="22" s="1"/>
  <c r="AT59" i="22" a="1"/>
  <c r="AT59" i="22" s="1"/>
  <c r="AU59" i="22" a="1"/>
  <c r="AU59" i="22" s="1"/>
  <c r="AV59" i="22" a="1"/>
  <c r="AV59" i="22" s="1"/>
  <c r="AW59" i="22" a="1"/>
  <c r="AW59" i="22" s="1"/>
  <c r="AX59" i="22" a="1"/>
  <c r="AX59" i="22" s="1"/>
  <c r="AY59" i="22" a="1"/>
  <c r="AY59" i="22" s="1"/>
  <c r="AZ35" i="22"/>
  <c r="AK35" i="22" s="1" a="1"/>
  <c r="AK35" i="22" s="1"/>
  <c r="AL35" i="22" a="1"/>
  <c r="AL35" i="22" s="1"/>
  <c r="AM35" i="22" a="1"/>
  <c r="AM35" i="22" s="1"/>
  <c r="AN35" i="22" a="1"/>
  <c r="AN35" i="22" s="1"/>
  <c r="AO35" i="22" a="1"/>
  <c r="AO35" i="22" s="1"/>
  <c r="AP35" i="22" a="1"/>
  <c r="AP35" i="22" s="1"/>
  <c r="AQ35" i="22" a="1"/>
  <c r="AQ35" i="22" s="1"/>
  <c r="AR35" i="22" a="1"/>
  <c r="AR35" i="22" s="1"/>
  <c r="AS35" i="22" a="1"/>
  <c r="AS35" i="22" s="1"/>
  <c r="AT35" i="22" a="1"/>
  <c r="AT35" i="22" s="1"/>
  <c r="AU35" i="22" a="1"/>
  <c r="AU35" i="22" s="1"/>
  <c r="AV35" i="22" a="1"/>
  <c r="AV35" i="22" s="1"/>
  <c r="AW35" i="22" a="1"/>
  <c r="AW35" i="22" s="1"/>
  <c r="AX35" i="22" a="1"/>
  <c r="AX35" i="22" s="1"/>
  <c r="AY35" i="22" a="1"/>
  <c r="AY35" i="22" s="1"/>
  <c r="AZ57" i="22"/>
  <c r="AK57" i="22" s="1" a="1"/>
  <c r="AK57" i="22" s="1"/>
  <c r="AL57" i="22" a="1"/>
  <c r="AL57" i="22" s="1"/>
  <c r="AM57" i="22" a="1"/>
  <c r="AM57" i="22" s="1"/>
  <c r="AN57" i="22" a="1"/>
  <c r="AN57" i="22" s="1"/>
  <c r="AO57" i="22" a="1"/>
  <c r="AO57" i="22" s="1"/>
  <c r="AP57" i="22" a="1"/>
  <c r="AP57" i="22" s="1"/>
  <c r="AQ57" i="22" a="1"/>
  <c r="AQ57" i="22" s="1"/>
  <c r="AR57" i="22" a="1"/>
  <c r="AR57" i="22" s="1"/>
  <c r="AS57" i="22" a="1"/>
  <c r="AS57" i="22" s="1"/>
  <c r="AT57" i="22" a="1"/>
  <c r="AT57" i="22" s="1"/>
  <c r="AU57" i="22" a="1"/>
  <c r="AU57" i="22" s="1"/>
  <c r="AV57" i="22" a="1"/>
  <c r="AV57" i="22" s="1"/>
  <c r="AW57" i="22" a="1"/>
  <c r="AW57" i="22" s="1"/>
  <c r="AX57" i="22" a="1"/>
  <c r="AX57" i="22" s="1"/>
  <c r="AY57" i="22" a="1"/>
  <c r="AY57" i="22" s="1"/>
  <c r="AZ80" i="22"/>
  <c r="AK80" i="22" s="1" a="1"/>
  <c r="AK80" i="22" s="1"/>
  <c r="AL80" i="22" a="1"/>
  <c r="AL80" i="22" s="1"/>
  <c r="AM80" i="22" a="1"/>
  <c r="AM80" i="22" s="1"/>
  <c r="AN80" i="22" a="1"/>
  <c r="AN80" i="22" s="1"/>
  <c r="AO80" i="22" a="1"/>
  <c r="AO80" i="22" s="1"/>
  <c r="AP80" i="22" a="1"/>
  <c r="AP80" i="22" s="1"/>
  <c r="AQ80" i="22" a="1"/>
  <c r="AQ80" i="22" s="1"/>
  <c r="AR80" i="22" a="1"/>
  <c r="AR80" i="22" s="1"/>
  <c r="AS80" i="22" a="1"/>
  <c r="AS80" i="22" s="1"/>
  <c r="AT80" i="22" a="1"/>
  <c r="AT80" i="22" s="1"/>
  <c r="AU80" i="22" a="1"/>
  <c r="AU80" i="22" s="1"/>
  <c r="AV80" i="22" a="1"/>
  <c r="AV80" i="22" s="1"/>
  <c r="AW80" i="22" a="1"/>
  <c r="AW80" i="22" s="1"/>
  <c r="AX80" i="22" a="1"/>
  <c r="AX80" i="22" s="1"/>
  <c r="AY80" i="22" a="1"/>
  <c r="AY80" i="22" s="1"/>
  <c r="AZ101" i="22"/>
  <c r="AK101" i="22" s="1" a="1"/>
  <c r="AK101" i="22" s="1"/>
  <c r="AL101" i="22" a="1"/>
  <c r="AL101" i="22" s="1"/>
  <c r="AM101" i="22" a="1"/>
  <c r="AM101" i="22" s="1"/>
  <c r="AN101" i="22" a="1"/>
  <c r="AN101" i="22" s="1"/>
  <c r="AO101" i="22" a="1"/>
  <c r="AO101" i="22" s="1"/>
  <c r="AP101" i="22" a="1"/>
  <c r="AP101" i="22" s="1"/>
  <c r="AQ101" i="22" a="1"/>
  <c r="AQ101" i="22" s="1"/>
  <c r="AR101" i="22" a="1"/>
  <c r="AR101" i="22" s="1"/>
  <c r="AS101" i="22" a="1"/>
  <c r="AS101" i="22" s="1"/>
  <c r="AT101" i="22" a="1"/>
  <c r="AT101" i="22" s="1"/>
  <c r="AU101" i="22" a="1"/>
  <c r="AU101" i="22" s="1"/>
  <c r="AV101" i="22" a="1"/>
  <c r="AV101" i="22" s="1"/>
  <c r="AW101" i="22" a="1"/>
  <c r="AW101" i="22" s="1"/>
  <c r="AX101" i="22" a="1"/>
  <c r="AX101" i="22" s="1"/>
  <c r="AY101" i="22" a="1"/>
  <c r="AY101" i="22" s="1"/>
  <c r="AZ81" i="22"/>
  <c r="AK81" i="22" s="1" a="1"/>
  <c r="AK81" i="22" s="1"/>
  <c r="AL81" i="22" a="1"/>
  <c r="AL81" i="22" s="1"/>
  <c r="AM81" i="22" a="1"/>
  <c r="AM81" i="22" s="1"/>
  <c r="AN81" i="22" a="1"/>
  <c r="AN81" i="22" s="1"/>
  <c r="AO81" i="22" a="1"/>
  <c r="AO81" i="22" s="1"/>
  <c r="AP81" i="22" a="1"/>
  <c r="AP81" i="22" s="1"/>
  <c r="AQ81" i="22" a="1"/>
  <c r="AQ81" i="22" s="1"/>
  <c r="AR81" i="22" a="1"/>
  <c r="AR81" i="22" s="1"/>
  <c r="AS81" i="22" a="1"/>
  <c r="AS81" i="22" s="1"/>
  <c r="AT81" i="22" a="1"/>
  <c r="AT81" i="22" s="1"/>
  <c r="AU81" i="22" a="1"/>
  <c r="AU81" i="22" s="1"/>
  <c r="AV81" i="22" a="1"/>
  <c r="AV81" i="22" s="1"/>
  <c r="AW81" i="22" a="1"/>
  <c r="AW81" i="22" s="1"/>
  <c r="AX81" i="22" a="1"/>
  <c r="AX81" i="22" s="1"/>
  <c r="AY81" i="22" a="1"/>
  <c r="AY81" i="22" s="1"/>
  <c r="AZ72" i="22"/>
  <c r="AK72" i="22" s="1" a="1"/>
  <c r="AK72" i="22" s="1"/>
  <c r="AL72" i="22" a="1"/>
  <c r="AL72" i="22" s="1"/>
  <c r="AM72" i="22" a="1"/>
  <c r="AM72" i="22" s="1"/>
  <c r="AN72" i="22" a="1"/>
  <c r="AN72" i="22" s="1"/>
  <c r="AO72" i="22" a="1"/>
  <c r="AO72" i="22" s="1"/>
  <c r="AP72" i="22" a="1"/>
  <c r="AP72" i="22" s="1"/>
  <c r="AQ72" i="22" a="1"/>
  <c r="AQ72" i="22" s="1"/>
  <c r="AR72" i="22" a="1"/>
  <c r="AR72" i="22" s="1"/>
  <c r="AS72" i="22" a="1"/>
  <c r="AS72" i="22" s="1"/>
  <c r="AT72" i="22" a="1"/>
  <c r="AT72" i="22" s="1"/>
  <c r="AU72" i="22" a="1"/>
  <c r="AU72" i="22" s="1"/>
  <c r="AV72" i="22" a="1"/>
  <c r="AV72" i="22" s="1"/>
  <c r="AW72" i="22" a="1"/>
  <c r="AW72" i="22" s="1"/>
  <c r="AX72" i="22" a="1"/>
  <c r="AX72" i="22" s="1"/>
  <c r="AY72" i="22" a="1"/>
  <c r="AY72" i="22" s="1"/>
  <c r="AZ96" i="22"/>
  <c r="AK96" i="22" s="1" a="1"/>
  <c r="AK96" i="22" s="1"/>
  <c r="AL96" i="22" a="1"/>
  <c r="AL96" i="22" s="1"/>
  <c r="AM96" i="22" a="1"/>
  <c r="AM96" i="22" s="1"/>
  <c r="AN96" i="22" a="1"/>
  <c r="AN96" i="22" s="1"/>
  <c r="AO96" i="22" a="1"/>
  <c r="AO96" i="22" s="1"/>
  <c r="AP96" i="22" a="1"/>
  <c r="AP96" i="22" s="1"/>
  <c r="AQ96" i="22" a="1"/>
  <c r="AQ96" i="22" s="1"/>
  <c r="AR96" i="22" a="1"/>
  <c r="AR96" i="22" s="1"/>
  <c r="AS96" i="22" a="1"/>
  <c r="AS96" i="22" s="1"/>
  <c r="AT96" i="22" a="1"/>
  <c r="AT96" i="22" s="1"/>
  <c r="AU96" i="22" a="1"/>
  <c r="AU96" i="22" s="1"/>
  <c r="AV96" i="22" a="1"/>
  <c r="AV96" i="22" s="1"/>
  <c r="AW96" i="22" a="1"/>
  <c r="AW96" i="22" s="1"/>
  <c r="AX96" i="22" a="1"/>
  <c r="AX96" i="22" s="1"/>
  <c r="AY96" i="22" a="1"/>
  <c r="AY96" i="22" s="1"/>
  <c r="AZ29" i="22"/>
  <c r="AK29" i="22" s="1" a="1"/>
  <c r="AK29" i="22" s="1"/>
  <c r="AL29" i="22" a="1"/>
  <c r="AL29" i="22" s="1"/>
  <c r="AM29" i="22" a="1"/>
  <c r="AM29" i="22" s="1"/>
  <c r="AN29" i="22" a="1"/>
  <c r="AN29" i="22" s="1"/>
  <c r="AO29" i="22" a="1"/>
  <c r="AO29" i="22" s="1"/>
  <c r="AP29" i="22" a="1"/>
  <c r="AP29" i="22" s="1"/>
  <c r="AQ29" i="22" a="1"/>
  <c r="AQ29" i="22" s="1"/>
  <c r="AR29" i="22" a="1"/>
  <c r="AR29" i="22" s="1"/>
  <c r="AS29" i="22" a="1"/>
  <c r="AS29" i="22" s="1"/>
  <c r="AT29" i="22" a="1"/>
  <c r="AT29" i="22" s="1"/>
  <c r="AU29" i="22" a="1"/>
  <c r="AU29" i="22" s="1"/>
  <c r="AV29" i="22" a="1"/>
  <c r="AV29" i="22" s="1"/>
  <c r="AW29" i="22" a="1"/>
  <c r="AW29" i="22" s="1"/>
  <c r="AX29" i="22" a="1"/>
  <c r="AX29" i="22" s="1"/>
  <c r="AY29" i="22" a="1"/>
  <c r="AY29" i="22" s="1"/>
  <c r="AZ100" i="22"/>
  <c r="AK100" i="22" s="1" a="1"/>
  <c r="AK100" i="22" s="1"/>
  <c r="AL100" i="22" a="1"/>
  <c r="AL100" i="22" s="1"/>
  <c r="AM100" i="22" a="1"/>
  <c r="AM100" i="22" s="1"/>
  <c r="AN100" i="22" a="1"/>
  <c r="AN100" i="22" s="1"/>
  <c r="AO100" i="22" a="1"/>
  <c r="AO100" i="22" s="1"/>
  <c r="AP100" i="22" a="1"/>
  <c r="AP100" i="22" s="1"/>
  <c r="AQ100" i="22" a="1"/>
  <c r="AQ100" i="22" s="1"/>
  <c r="AR100" i="22" a="1"/>
  <c r="AR100" i="22" s="1"/>
  <c r="AS100" i="22" a="1"/>
  <c r="AS100" i="22" s="1"/>
  <c r="AT100" i="22" a="1"/>
  <c r="AT100" i="22" s="1"/>
  <c r="AU100" i="22" a="1"/>
  <c r="AU100" i="22" s="1"/>
  <c r="AV100" i="22" a="1"/>
  <c r="AV100" i="22" s="1"/>
  <c r="AW100" i="22" a="1"/>
  <c r="AW100" i="22" s="1"/>
  <c r="AX100" i="22" a="1"/>
  <c r="AX100" i="22" s="1"/>
  <c r="AY100" i="22" a="1"/>
  <c r="AY100" i="22" s="1"/>
  <c r="AZ43" i="22"/>
  <c r="AK43" i="22" s="1" a="1"/>
  <c r="AK43" i="22" s="1"/>
  <c r="AL43" i="22" a="1"/>
  <c r="AL43" i="22" s="1"/>
  <c r="AM43" i="22" a="1"/>
  <c r="AM43" i="22" s="1"/>
  <c r="AN43" i="22" a="1"/>
  <c r="AN43" i="22" s="1"/>
  <c r="AO43" i="22" a="1"/>
  <c r="AO43" i="22" s="1"/>
  <c r="AP43" i="22" a="1"/>
  <c r="AP43" i="22" s="1"/>
  <c r="AQ43" i="22" a="1"/>
  <c r="AQ43" i="22" s="1"/>
  <c r="AR43" i="22" a="1"/>
  <c r="AR43" i="22" s="1"/>
  <c r="AS43" i="22" a="1"/>
  <c r="AS43" i="22" s="1"/>
  <c r="AT43" i="22" a="1"/>
  <c r="AT43" i="22" s="1"/>
  <c r="AU43" i="22" a="1"/>
  <c r="AU43" i="22" s="1"/>
  <c r="AV43" i="22" a="1"/>
  <c r="AV43" i="22" s="1"/>
  <c r="AW43" i="22" a="1"/>
  <c r="AW43" i="22" s="1"/>
  <c r="AX43" i="22" a="1"/>
  <c r="AX43" i="22" s="1"/>
  <c r="AY43" i="22" a="1"/>
  <c r="AY43" i="22" s="1"/>
  <c r="AZ94" i="22"/>
  <c r="AK94" i="22" s="1" a="1"/>
  <c r="AK94" i="22" s="1"/>
  <c r="AL94" i="22" a="1"/>
  <c r="AL94" i="22" s="1"/>
  <c r="AM94" i="22" a="1"/>
  <c r="AM94" i="22" s="1"/>
  <c r="AN94" i="22" a="1"/>
  <c r="AN94" i="22" s="1"/>
  <c r="AO94" i="22" a="1"/>
  <c r="AO94" i="22" s="1"/>
  <c r="AP94" i="22" a="1"/>
  <c r="AP94" i="22" s="1"/>
  <c r="AQ94" i="22" a="1"/>
  <c r="AQ94" i="22" s="1"/>
  <c r="AR94" i="22" a="1"/>
  <c r="AR94" i="22" s="1"/>
  <c r="AS94" i="22" a="1"/>
  <c r="AS94" i="22" s="1"/>
  <c r="AT94" i="22" a="1"/>
  <c r="AT94" i="22" s="1"/>
  <c r="AU94" i="22" a="1"/>
  <c r="AU94" i="22" s="1"/>
  <c r="AV94" i="22" a="1"/>
  <c r="AV94" i="22" s="1"/>
  <c r="AW94" i="22" a="1"/>
  <c r="AW94" i="22" s="1"/>
  <c r="AX94" i="22" a="1"/>
  <c r="AX94" i="22" s="1"/>
  <c r="AY94" i="22" a="1"/>
  <c r="AY94" i="22" s="1"/>
  <c r="AZ92" i="22"/>
  <c r="AK92" i="22" s="1" a="1"/>
  <c r="AK92" i="22" s="1"/>
  <c r="AL92" i="22" a="1"/>
  <c r="AL92" i="22" s="1"/>
  <c r="AM92" i="22" a="1"/>
  <c r="AM92" i="22" s="1"/>
  <c r="AN92" i="22" a="1"/>
  <c r="AN92" i="22" s="1"/>
  <c r="AO92" i="22" a="1"/>
  <c r="AO92" i="22" s="1"/>
  <c r="AP92" i="22" a="1"/>
  <c r="AP92" i="22" s="1"/>
  <c r="AQ92" i="22" a="1"/>
  <c r="AQ92" i="22" s="1"/>
  <c r="AR92" i="22" a="1"/>
  <c r="AR92" i="22" s="1"/>
  <c r="AS92" i="22" a="1"/>
  <c r="AS92" i="22" s="1"/>
  <c r="AT92" i="22" a="1"/>
  <c r="AT92" i="22" s="1"/>
  <c r="AU92" i="22" a="1"/>
  <c r="AU92" i="22" s="1"/>
  <c r="AV92" i="22" a="1"/>
  <c r="AV92" i="22" s="1"/>
  <c r="AW92" i="22" a="1"/>
  <c r="AW92" i="22" s="1"/>
  <c r="AX92" i="22" a="1"/>
  <c r="AX92" i="22" s="1"/>
  <c r="AY92" i="22" a="1"/>
  <c r="AY92" i="22" s="1"/>
  <c r="AZ87" i="22"/>
  <c r="AK87" i="22" s="1" a="1"/>
  <c r="AK87" i="22" s="1"/>
  <c r="AL87" i="22" a="1"/>
  <c r="AL87" i="22" s="1"/>
  <c r="AM87" i="22" a="1"/>
  <c r="AM87" i="22" s="1"/>
  <c r="AN87" i="22" a="1"/>
  <c r="AN87" i="22" s="1"/>
  <c r="AO87" i="22" a="1"/>
  <c r="AO87" i="22" s="1"/>
  <c r="AP87" i="22" a="1"/>
  <c r="AP87" i="22" s="1"/>
  <c r="AQ87" i="22" a="1"/>
  <c r="AQ87" i="22" s="1"/>
  <c r="AR87" i="22" a="1"/>
  <c r="AR87" i="22" s="1"/>
  <c r="AS87" i="22" a="1"/>
  <c r="AS87" i="22" s="1"/>
  <c r="AT87" i="22" a="1"/>
  <c r="AT87" i="22" s="1"/>
  <c r="AU87" i="22" a="1"/>
  <c r="AU87" i="22" s="1"/>
  <c r="AV87" i="22" a="1"/>
  <c r="AV87" i="22" s="1"/>
  <c r="AW87" i="22" a="1"/>
  <c r="AW87" i="22" s="1"/>
  <c r="AX87" i="22" a="1"/>
  <c r="AX87" i="22" s="1"/>
  <c r="AY87" i="22" a="1"/>
  <c r="AY87" i="22" s="1"/>
  <c r="AZ93" i="22"/>
  <c r="AK93" i="22" s="1" a="1"/>
  <c r="AK93" i="22" s="1"/>
  <c r="AL93" i="22" a="1"/>
  <c r="AL93" i="22" s="1"/>
  <c r="AM93" i="22" a="1"/>
  <c r="AM93" i="22" s="1"/>
  <c r="AN93" i="22" a="1"/>
  <c r="AN93" i="22" s="1"/>
  <c r="AO93" i="22" a="1"/>
  <c r="AO93" i="22" s="1"/>
  <c r="AP93" i="22" a="1"/>
  <c r="AP93" i="22" s="1"/>
  <c r="AQ93" i="22" a="1"/>
  <c r="AQ93" i="22" s="1"/>
  <c r="AR93" i="22" a="1"/>
  <c r="AR93" i="22" s="1"/>
  <c r="AS93" i="22" a="1"/>
  <c r="AS93" i="22" s="1"/>
  <c r="AT93" i="22" a="1"/>
  <c r="AT93" i="22" s="1"/>
  <c r="AU93" i="22" a="1"/>
  <c r="AU93" i="22" s="1"/>
  <c r="AV93" i="22" a="1"/>
  <c r="AV93" i="22" s="1"/>
  <c r="AW93" i="22" a="1"/>
  <c r="AW93" i="22" s="1"/>
  <c r="AX93" i="22" a="1"/>
  <c r="AX93" i="22" s="1"/>
  <c r="AY93" i="22" a="1"/>
  <c r="AY93" i="22" s="1"/>
  <c r="AZ53" i="22"/>
  <c r="AK53" i="22" s="1" a="1"/>
  <c r="AK53" i="22" s="1"/>
  <c r="AL53" i="22" a="1"/>
  <c r="AL53" i="22" s="1"/>
  <c r="AM53" i="22" a="1"/>
  <c r="AM53" i="22" s="1"/>
  <c r="AN53" i="22" a="1"/>
  <c r="AN53" i="22" s="1"/>
  <c r="AO53" i="22" a="1"/>
  <c r="AO53" i="22" s="1"/>
  <c r="AP53" i="22" a="1"/>
  <c r="AP53" i="22" s="1"/>
  <c r="AQ53" i="22" a="1"/>
  <c r="AQ53" i="22" s="1"/>
  <c r="AR53" i="22" a="1"/>
  <c r="AR53" i="22" s="1"/>
  <c r="AS53" i="22" a="1"/>
  <c r="AS53" i="22" s="1"/>
  <c r="AT53" i="22" a="1"/>
  <c r="AT53" i="22" s="1"/>
  <c r="AU53" i="22" a="1"/>
  <c r="AU53" i="22" s="1"/>
  <c r="AV53" i="22" a="1"/>
  <c r="AV53" i="22" s="1"/>
  <c r="AW53" i="22" a="1"/>
  <c r="AW53" i="22" s="1"/>
  <c r="AX53" i="22" a="1"/>
  <c r="AX53" i="22" s="1"/>
  <c r="AY53" i="22" a="1"/>
  <c r="AY53" i="22" s="1"/>
  <c r="AZ24" i="22"/>
  <c r="AK24" i="22" s="1" a="1"/>
  <c r="AK24" i="22" s="1"/>
  <c r="AL24" i="22" a="1"/>
  <c r="AL24" i="22" s="1"/>
  <c r="AM24" i="22" a="1"/>
  <c r="AM24" i="22" s="1"/>
  <c r="AN24" i="22" a="1"/>
  <c r="AN24" i="22" s="1"/>
  <c r="AO24" i="22" a="1"/>
  <c r="AO24" i="22" s="1"/>
  <c r="AP24" i="22" a="1"/>
  <c r="AP24" i="22" s="1"/>
  <c r="AQ24" i="22" a="1"/>
  <c r="AQ24" i="22" s="1"/>
  <c r="AR24" i="22" a="1"/>
  <c r="AR24" i="22" s="1"/>
  <c r="AS24" i="22" a="1"/>
  <c r="AS24" i="22" s="1"/>
  <c r="AT24" i="22" a="1"/>
  <c r="AT24" i="22" s="1"/>
  <c r="AU24" i="22" a="1"/>
  <c r="AU24" i="22" s="1"/>
  <c r="AV24" i="22" a="1"/>
  <c r="AV24" i="22" s="1"/>
  <c r="AW24" i="22" a="1"/>
  <c r="AW24" i="22" s="1"/>
  <c r="AX24" i="22" a="1"/>
  <c r="AX24" i="22" s="1"/>
  <c r="AY24" i="22" a="1"/>
  <c r="AY24" i="22" s="1"/>
  <c r="AZ55" i="22"/>
  <c r="AK55" i="22" s="1" a="1"/>
  <c r="AK55" i="22" s="1"/>
  <c r="AL55" i="22" a="1"/>
  <c r="AL55" i="22" s="1"/>
  <c r="AM55" i="22" a="1"/>
  <c r="AM55" i="22" s="1"/>
  <c r="AN55" i="22" a="1"/>
  <c r="AN55" i="22" s="1"/>
  <c r="AO55" i="22" a="1"/>
  <c r="AO55" i="22" s="1"/>
  <c r="AP55" i="22" a="1"/>
  <c r="AP55" i="22" s="1"/>
  <c r="AQ55" i="22" a="1"/>
  <c r="AQ55" i="22" s="1"/>
  <c r="AR55" i="22" a="1"/>
  <c r="AR55" i="22" s="1"/>
  <c r="AS55" i="22" a="1"/>
  <c r="AS55" i="22" s="1"/>
  <c r="AT55" i="22" a="1"/>
  <c r="AT55" i="22" s="1"/>
  <c r="AU55" i="22" a="1"/>
  <c r="AU55" i="22" s="1"/>
  <c r="AV55" i="22" a="1"/>
  <c r="AV55" i="22" s="1"/>
  <c r="AW55" i="22" a="1"/>
  <c r="AW55" i="22" s="1"/>
  <c r="AX55" i="22" a="1"/>
  <c r="AX55" i="22" s="1"/>
  <c r="AY55" i="22" a="1"/>
  <c r="AY55" i="22" s="1"/>
  <c r="AZ44" i="22"/>
  <c r="AK44" i="22" s="1" a="1"/>
  <c r="AK44" i="22" s="1"/>
  <c r="AL44" i="22" a="1"/>
  <c r="AL44" i="22" s="1"/>
  <c r="AM44" i="22" a="1"/>
  <c r="AM44" i="22" s="1"/>
  <c r="AN44" i="22" a="1"/>
  <c r="AN44" i="22" s="1"/>
  <c r="AO44" i="22" a="1"/>
  <c r="AO44" i="22" s="1"/>
  <c r="AP44" i="22" a="1"/>
  <c r="AP44" i="22" s="1"/>
  <c r="AQ44" i="22" a="1"/>
  <c r="AQ44" i="22" s="1"/>
  <c r="AR44" i="22" a="1"/>
  <c r="AR44" i="22" s="1"/>
  <c r="AS44" i="22" a="1"/>
  <c r="AS44" i="22" s="1"/>
  <c r="AT44" i="22" a="1"/>
  <c r="AT44" i="22" s="1"/>
  <c r="AU44" i="22" a="1"/>
  <c r="AU44" i="22" s="1"/>
  <c r="AV44" i="22" a="1"/>
  <c r="AV44" i="22" s="1"/>
  <c r="AW44" i="22" a="1"/>
  <c r="AW44" i="22" s="1"/>
  <c r="AX44" i="22" a="1"/>
  <c r="AX44" i="22" s="1"/>
  <c r="AY44" i="22" a="1"/>
  <c r="AY44" i="22" s="1"/>
  <c r="AZ19" i="22"/>
  <c r="AK19" i="22" s="1" a="1"/>
  <c r="AK19" i="22" s="1"/>
  <c r="AL19" i="22" a="1"/>
  <c r="AL19" i="22" s="1"/>
  <c r="AM19" i="22" a="1"/>
  <c r="AM19" i="22" s="1"/>
  <c r="AN19" i="22" a="1"/>
  <c r="AN19" i="22" s="1"/>
  <c r="AO19" i="22" a="1"/>
  <c r="AO19" i="22" s="1"/>
  <c r="AP19" i="22" a="1"/>
  <c r="AP19" i="22" s="1"/>
  <c r="AQ19" i="22" a="1"/>
  <c r="AQ19" i="22" s="1"/>
  <c r="AR19" i="22" a="1"/>
  <c r="AR19" i="22" s="1"/>
  <c r="AS19" i="22" a="1"/>
  <c r="AS19" i="22" s="1"/>
  <c r="AT19" i="22" a="1"/>
  <c r="AT19" i="22" s="1"/>
  <c r="AU19" i="22" a="1"/>
  <c r="AU19" i="22" s="1"/>
  <c r="AV19" i="22" a="1"/>
  <c r="AV19" i="22" s="1"/>
  <c r="AW19" i="22" a="1"/>
  <c r="AW19" i="22" s="1"/>
  <c r="AX19" i="22" a="1"/>
  <c r="AX19" i="22" s="1"/>
  <c r="AY19" i="22" a="1"/>
  <c r="AY19" i="22" s="1"/>
  <c r="AZ89" i="22"/>
  <c r="AK89" i="22" s="1" a="1"/>
  <c r="AK89" i="22" s="1"/>
  <c r="AL89" i="22" a="1"/>
  <c r="AL89" i="22" s="1"/>
  <c r="AM89" i="22" a="1"/>
  <c r="AM89" i="22" s="1"/>
  <c r="AN89" i="22" a="1"/>
  <c r="AN89" i="22" s="1"/>
  <c r="AO89" i="22" a="1"/>
  <c r="AO89" i="22" s="1"/>
  <c r="AP89" i="22" a="1"/>
  <c r="AP89" i="22" s="1"/>
  <c r="AQ89" i="22" a="1"/>
  <c r="AQ89" i="22" s="1"/>
  <c r="AR89" i="22" a="1"/>
  <c r="AR89" i="22" s="1"/>
  <c r="AS89" i="22" a="1"/>
  <c r="AS89" i="22" s="1"/>
  <c r="AT89" i="22" a="1"/>
  <c r="AT89" i="22" s="1"/>
  <c r="AU89" i="22" a="1"/>
  <c r="AU89" i="22" s="1"/>
  <c r="AV89" i="22" a="1"/>
  <c r="AV89" i="22" s="1"/>
  <c r="AW89" i="22" a="1"/>
  <c r="AW89" i="22" s="1"/>
  <c r="AX89" i="22" a="1"/>
  <c r="AX89" i="22" s="1"/>
  <c r="AY89" i="22" a="1"/>
  <c r="AY89" i="22" s="1"/>
  <c r="AZ37" i="22"/>
  <c r="AK37" i="22" s="1" a="1"/>
  <c r="AK37" i="22" s="1"/>
  <c r="AL37" i="22" a="1"/>
  <c r="AL37" i="22" s="1"/>
  <c r="AM37" i="22" a="1"/>
  <c r="AM37" i="22" s="1"/>
  <c r="AN37" i="22" a="1"/>
  <c r="AN37" i="22" s="1"/>
  <c r="AO37" i="22" a="1"/>
  <c r="AO37" i="22" s="1"/>
  <c r="AP37" i="22" a="1"/>
  <c r="AP37" i="22" s="1"/>
  <c r="AQ37" i="22" a="1"/>
  <c r="AQ37" i="22" s="1"/>
  <c r="AR37" i="22" a="1"/>
  <c r="AR37" i="22" s="1"/>
  <c r="AS37" i="22" a="1"/>
  <c r="AS37" i="22" s="1"/>
  <c r="AT37" i="22" a="1"/>
  <c r="AT37" i="22" s="1"/>
  <c r="AU37" i="22" a="1"/>
  <c r="AU37" i="22" s="1"/>
  <c r="AV37" i="22" a="1"/>
  <c r="AV37" i="22" s="1"/>
  <c r="AW37" i="22" a="1"/>
  <c r="AW37" i="22" s="1"/>
  <c r="AX37" i="22" a="1"/>
  <c r="AX37" i="22" s="1"/>
  <c r="AY37" i="22" a="1"/>
  <c r="AY37" i="22" s="1"/>
  <c r="AZ27" i="22"/>
  <c r="AK27" i="22" s="1" a="1"/>
  <c r="AK27" i="22" s="1"/>
  <c r="AL27" i="22" a="1"/>
  <c r="AL27" i="22" s="1"/>
  <c r="AM27" i="22" a="1"/>
  <c r="AM27" i="22" s="1"/>
  <c r="AN27" i="22" a="1"/>
  <c r="AN27" i="22" s="1"/>
  <c r="AO27" i="22" a="1"/>
  <c r="AO27" i="22" s="1"/>
  <c r="AP27" i="22" a="1"/>
  <c r="AP27" i="22" s="1"/>
  <c r="AQ27" i="22" a="1"/>
  <c r="AQ27" i="22" s="1"/>
  <c r="AR27" i="22" a="1"/>
  <c r="AR27" i="22" s="1"/>
  <c r="AS27" i="22" a="1"/>
  <c r="AS27" i="22" s="1"/>
  <c r="AT27" i="22" a="1"/>
  <c r="AT27" i="22" s="1"/>
  <c r="AU27" i="22" a="1"/>
  <c r="AU27" i="22" s="1"/>
  <c r="AV27" i="22" a="1"/>
  <c r="AV27" i="22" s="1"/>
  <c r="AW27" i="22" a="1"/>
  <c r="AW27" i="22" s="1"/>
  <c r="AX27" i="22" a="1"/>
  <c r="AX27" i="22" s="1"/>
  <c r="AY27" i="22" a="1"/>
  <c r="AY27" i="22" s="1"/>
  <c r="AZ21" i="22"/>
  <c r="AK21" i="22" s="1" a="1"/>
  <c r="AK21" i="22" s="1"/>
  <c r="AL21" i="22" a="1"/>
  <c r="AL21" i="22" s="1"/>
  <c r="AM21" i="22" a="1"/>
  <c r="AM21" i="22" s="1"/>
  <c r="AN21" i="22" a="1"/>
  <c r="AN21" i="22" s="1"/>
  <c r="AO21" i="22" a="1"/>
  <c r="AO21" i="22" s="1"/>
  <c r="AP21" i="22" a="1"/>
  <c r="AP21" i="22" s="1"/>
  <c r="AQ21" i="22" a="1"/>
  <c r="AQ21" i="22" s="1"/>
  <c r="AR21" i="22" a="1"/>
  <c r="AR21" i="22" s="1"/>
  <c r="AS21" i="22" a="1"/>
  <c r="AS21" i="22" s="1"/>
  <c r="AT21" i="22" a="1"/>
  <c r="AT21" i="22" s="1"/>
  <c r="AU21" i="22" a="1"/>
  <c r="AU21" i="22" s="1"/>
  <c r="AV21" i="22" a="1"/>
  <c r="AV21" i="22" s="1"/>
  <c r="AW21" i="22" a="1"/>
  <c r="AW21" i="22" s="1"/>
  <c r="AX21" i="22" a="1"/>
  <c r="AX21" i="22" s="1"/>
  <c r="AY21" i="22" a="1"/>
  <c r="AY21" i="22" s="1"/>
  <c r="AZ83" i="22"/>
  <c r="AK83" i="22" s="1" a="1"/>
  <c r="AK83" i="22" s="1"/>
  <c r="AL83" i="22" a="1"/>
  <c r="AL83" i="22" s="1"/>
  <c r="AM83" i="22" a="1"/>
  <c r="AM83" i="22" s="1"/>
  <c r="AN83" i="22" a="1"/>
  <c r="AN83" i="22" s="1"/>
  <c r="AO83" i="22" a="1"/>
  <c r="AO83" i="22" s="1"/>
  <c r="AP83" i="22" a="1"/>
  <c r="AP83" i="22" s="1"/>
  <c r="AQ83" i="22" a="1"/>
  <c r="AQ83" i="22" s="1"/>
  <c r="AR83" i="22" a="1"/>
  <c r="AR83" i="22" s="1"/>
  <c r="AS83" i="22" a="1"/>
  <c r="AS83" i="22" s="1"/>
  <c r="AT83" i="22" a="1"/>
  <c r="AT83" i="22" s="1"/>
  <c r="AU83" i="22" a="1"/>
  <c r="AU83" i="22" s="1"/>
  <c r="AV83" i="22" a="1"/>
  <c r="AV83" i="22" s="1"/>
  <c r="AW83" i="22" a="1"/>
  <c r="AW83" i="22" s="1"/>
  <c r="AX83" i="22" a="1"/>
  <c r="AX83" i="22" s="1"/>
  <c r="AY83" i="22" a="1"/>
  <c r="AY83" i="22" s="1"/>
  <c r="AZ39" i="22"/>
  <c r="AK39" i="22" s="1" a="1"/>
  <c r="AK39" i="22" s="1"/>
  <c r="AL39" i="22" a="1"/>
  <c r="AL39" i="22" s="1"/>
  <c r="AM39" i="22" a="1"/>
  <c r="AM39" i="22" s="1"/>
  <c r="AN39" i="22" a="1"/>
  <c r="AN39" i="22" s="1"/>
  <c r="AO39" i="22" a="1"/>
  <c r="AO39" i="22" s="1"/>
  <c r="AP39" i="22" a="1"/>
  <c r="AP39" i="22" s="1"/>
  <c r="AQ39" i="22" a="1"/>
  <c r="AQ39" i="22" s="1"/>
  <c r="AR39" i="22" a="1"/>
  <c r="AR39" i="22" s="1"/>
  <c r="AS39" i="22" a="1"/>
  <c r="AS39" i="22" s="1"/>
  <c r="AT39" i="22" a="1"/>
  <c r="AT39" i="22" s="1"/>
  <c r="AU39" i="22" a="1"/>
  <c r="AU39" i="22" s="1"/>
  <c r="AV39" i="22" a="1"/>
  <c r="AV39" i="22" s="1"/>
  <c r="AW39" i="22" a="1"/>
  <c r="AW39" i="22" s="1"/>
  <c r="AX39" i="22" a="1"/>
  <c r="AX39" i="22" s="1"/>
  <c r="AY39" i="22" a="1"/>
  <c r="AY39" i="22" s="1"/>
  <c r="AZ90" i="22"/>
  <c r="AK90" i="22" s="1" a="1"/>
  <c r="AK90" i="22" s="1"/>
  <c r="AL90" i="22" a="1"/>
  <c r="AL90" i="22" s="1"/>
  <c r="AM90" i="22" a="1"/>
  <c r="AM90" i="22" s="1"/>
  <c r="AN90" i="22" a="1"/>
  <c r="AN90" i="22" s="1"/>
  <c r="AO90" i="22" a="1"/>
  <c r="AO90" i="22" s="1"/>
  <c r="AP90" i="22" a="1"/>
  <c r="AP90" i="22" s="1"/>
  <c r="AQ90" i="22" a="1"/>
  <c r="AQ90" i="22" s="1"/>
  <c r="AR90" i="22" a="1"/>
  <c r="AR90" i="22" s="1"/>
  <c r="AS90" i="22" a="1"/>
  <c r="AS90" i="22" s="1"/>
  <c r="AT90" i="22" a="1"/>
  <c r="AT90" i="22" s="1"/>
  <c r="AU90" i="22" a="1"/>
  <c r="AU90" i="22" s="1"/>
  <c r="AV90" i="22" a="1"/>
  <c r="AV90" i="22" s="1"/>
  <c r="AW90" i="22" a="1"/>
  <c r="AW90" i="22" s="1"/>
  <c r="AX90" i="22" a="1"/>
  <c r="AX90" i="22" s="1"/>
  <c r="AY90" i="22" a="1"/>
  <c r="AY90" i="22" s="1"/>
  <c r="AZ34" i="22"/>
  <c r="AK34" i="22" s="1" a="1"/>
  <c r="AK34" i="22" s="1"/>
  <c r="AL34" i="22" a="1"/>
  <c r="AL34" i="22" s="1"/>
  <c r="AM34" i="22" a="1"/>
  <c r="AM34" i="22" s="1"/>
  <c r="AN34" i="22" a="1"/>
  <c r="AN34" i="22" s="1"/>
  <c r="AO34" i="22" a="1"/>
  <c r="AO34" i="22" s="1"/>
  <c r="AP34" i="22" a="1"/>
  <c r="AP34" i="22" s="1"/>
  <c r="AQ34" i="22" a="1"/>
  <c r="AQ34" i="22" s="1"/>
  <c r="AR34" i="22" a="1"/>
  <c r="AR34" i="22" s="1"/>
  <c r="AS34" i="22" a="1"/>
  <c r="AS34" i="22" s="1"/>
  <c r="AT34" i="22" a="1"/>
  <c r="AT34" i="22" s="1"/>
  <c r="AU34" i="22" a="1"/>
  <c r="AU34" i="22" s="1"/>
  <c r="AV34" i="22" a="1"/>
  <c r="AV34" i="22" s="1"/>
  <c r="AW34" i="22" a="1"/>
  <c r="AW34" i="22" s="1"/>
  <c r="AX34" i="22" a="1"/>
  <c r="AX34" i="22" s="1"/>
  <c r="AY34" i="22" a="1"/>
  <c r="AY34" i="22" s="1"/>
  <c r="AZ88" i="22"/>
  <c r="AK88" i="22" s="1" a="1"/>
  <c r="AK88" i="22" s="1"/>
  <c r="AL88" i="22" a="1"/>
  <c r="AL88" i="22" s="1"/>
  <c r="AM88" i="22" a="1"/>
  <c r="AM88" i="22" s="1"/>
  <c r="AN88" i="22" a="1"/>
  <c r="AN88" i="22" s="1"/>
  <c r="AO88" i="22" a="1"/>
  <c r="AO88" i="22" s="1"/>
  <c r="AP88" i="22" a="1"/>
  <c r="AP88" i="22" s="1"/>
  <c r="AQ88" i="22" a="1"/>
  <c r="AQ88" i="22" s="1"/>
  <c r="AR88" i="22" a="1"/>
  <c r="AR88" i="22" s="1"/>
  <c r="AS88" i="22" a="1"/>
  <c r="AS88" i="22" s="1"/>
  <c r="AT88" i="22" a="1"/>
  <c r="AT88" i="22" s="1"/>
  <c r="AU88" i="22" a="1"/>
  <c r="AU88" i="22" s="1"/>
  <c r="AV88" i="22" a="1"/>
  <c r="AV88" i="22" s="1"/>
  <c r="AW88" i="22" a="1"/>
  <c r="AW88" i="22" s="1"/>
  <c r="AX88" i="22" a="1"/>
  <c r="AX88" i="22" s="1"/>
  <c r="AY88" i="22" a="1"/>
  <c r="AY88" i="22" s="1"/>
  <c r="AZ47" i="22"/>
  <c r="AK47" i="22" s="1" a="1"/>
  <c r="AK47" i="22" s="1"/>
  <c r="AL47" i="22" a="1"/>
  <c r="AL47" i="22" s="1"/>
  <c r="AM47" i="22" a="1"/>
  <c r="AM47" i="22" s="1"/>
  <c r="AN47" i="22" a="1"/>
  <c r="AN47" i="22" s="1"/>
  <c r="AO47" i="22" a="1"/>
  <c r="AO47" i="22" s="1"/>
  <c r="AP47" i="22" a="1"/>
  <c r="AP47" i="22" s="1"/>
  <c r="AQ47" i="22" a="1"/>
  <c r="AQ47" i="22" s="1"/>
  <c r="AR47" i="22" a="1"/>
  <c r="AR47" i="22" s="1"/>
  <c r="AS47" i="22" a="1"/>
  <c r="AS47" i="22" s="1"/>
  <c r="AT47" i="22" a="1"/>
  <c r="AT47" i="22" s="1"/>
  <c r="AU47" i="22" a="1"/>
  <c r="AU47" i="22" s="1"/>
  <c r="AV47" i="22" a="1"/>
  <c r="AV47" i="22" s="1"/>
  <c r="AW47" i="22" a="1"/>
  <c r="AW47" i="22" s="1"/>
  <c r="AX47" i="22" a="1"/>
  <c r="AX47" i="22" s="1"/>
  <c r="AY47" i="22" a="1"/>
  <c r="AY47" i="22" s="1"/>
  <c r="AZ56" i="22"/>
  <c r="AK56" i="22" s="1" a="1"/>
  <c r="AK56" i="22" s="1"/>
  <c r="AL56" i="22" a="1"/>
  <c r="AL56" i="22" s="1"/>
  <c r="AM56" i="22" a="1"/>
  <c r="AM56" i="22" s="1"/>
  <c r="AN56" i="22" a="1"/>
  <c r="AN56" i="22" s="1"/>
  <c r="AO56" i="22" a="1"/>
  <c r="AO56" i="22" s="1"/>
  <c r="AP56" i="22" a="1"/>
  <c r="AP56" i="22" s="1"/>
  <c r="AQ56" i="22" a="1"/>
  <c r="AQ56" i="22" s="1"/>
  <c r="AR56" i="22" a="1"/>
  <c r="AR56" i="22" s="1"/>
  <c r="AS56" i="22" a="1"/>
  <c r="AS56" i="22" s="1"/>
  <c r="AT56" i="22" a="1"/>
  <c r="AT56" i="22" s="1"/>
  <c r="AU56" i="22" a="1"/>
  <c r="AU56" i="22" s="1"/>
  <c r="AV56" i="22" a="1"/>
  <c r="AV56" i="22" s="1"/>
  <c r="AW56" i="22" a="1"/>
  <c r="AW56" i="22" s="1"/>
  <c r="AX56" i="22" a="1"/>
  <c r="AX56" i="22" s="1"/>
  <c r="AY56" i="22" a="1"/>
  <c r="AY56" i="22" s="1"/>
  <c r="AZ64" i="22"/>
  <c r="AK64" i="22" s="1" a="1"/>
  <c r="AK64" i="22" s="1"/>
  <c r="AL64" i="22" a="1"/>
  <c r="AL64" i="22" s="1"/>
  <c r="AM64" i="22" a="1"/>
  <c r="AM64" i="22" s="1"/>
  <c r="AN64" i="22" a="1"/>
  <c r="AN64" i="22" s="1"/>
  <c r="AO64" i="22" a="1"/>
  <c r="AO64" i="22" s="1"/>
  <c r="AP64" i="22" a="1"/>
  <c r="AP64" i="22" s="1"/>
  <c r="AQ64" i="22" a="1"/>
  <c r="AQ64" i="22" s="1"/>
  <c r="AR64" i="22" a="1"/>
  <c r="AR64" i="22" s="1"/>
  <c r="AS64" i="22" a="1"/>
  <c r="AS64" i="22" s="1"/>
  <c r="AT64" i="22" a="1"/>
  <c r="AT64" i="22" s="1"/>
  <c r="AU64" i="22" a="1"/>
  <c r="AU64" i="22" s="1"/>
  <c r="AV64" i="22" a="1"/>
  <c r="AV64" i="22" s="1"/>
  <c r="AW64" i="22" a="1"/>
  <c r="AW64" i="22" s="1"/>
  <c r="AX64" i="22" a="1"/>
  <c r="AX64" i="22" s="1"/>
  <c r="AY64" i="22" a="1"/>
  <c r="AY64" i="22" s="1"/>
  <c r="AZ60" i="22"/>
  <c r="AK60" i="22" s="1" a="1"/>
  <c r="AK60" i="22" s="1"/>
  <c r="AL60" i="22" a="1"/>
  <c r="AL60" i="22" s="1"/>
  <c r="AM60" i="22" a="1"/>
  <c r="AM60" i="22" s="1"/>
  <c r="AN60" i="22" a="1"/>
  <c r="AN60" i="22" s="1"/>
  <c r="AO60" i="22" a="1"/>
  <c r="AO60" i="22" s="1"/>
  <c r="AP60" i="22" a="1"/>
  <c r="AP60" i="22" s="1"/>
  <c r="AQ60" i="22" a="1"/>
  <c r="AQ60" i="22" s="1"/>
  <c r="AR60" i="22" a="1"/>
  <c r="AR60" i="22" s="1"/>
  <c r="AS60" i="22" a="1"/>
  <c r="AS60" i="22" s="1"/>
  <c r="AT60" i="22" a="1"/>
  <c r="AT60" i="22" s="1"/>
  <c r="AU60" i="22" a="1"/>
  <c r="AU60" i="22" s="1"/>
  <c r="AV60" i="22" a="1"/>
  <c r="AV60" i="22" s="1"/>
  <c r="AW60" i="22" a="1"/>
  <c r="AW60" i="22" s="1"/>
  <c r="AX60" i="22" a="1"/>
  <c r="AX60" i="22" s="1"/>
  <c r="AY60" i="22" a="1"/>
  <c r="AY60" i="22" s="1"/>
  <c r="AZ18" i="22"/>
  <c r="AK18" i="22" s="1" a="1"/>
  <c r="AK18" i="22" s="1"/>
  <c r="AL18" i="22" a="1"/>
  <c r="AL18" i="22" s="1"/>
  <c r="AM18" i="22" a="1"/>
  <c r="AM18" i="22" s="1"/>
  <c r="AN18" i="22" a="1"/>
  <c r="AN18" i="22" s="1"/>
  <c r="AO18" i="22" a="1"/>
  <c r="AO18" i="22" s="1"/>
  <c r="AP18" i="22" a="1"/>
  <c r="AP18" i="22" s="1"/>
  <c r="AQ18" i="22" a="1"/>
  <c r="AQ18" i="22" s="1"/>
  <c r="AR18" i="22" a="1"/>
  <c r="AR18" i="22" s="1"/>
  <c r="AS18" i="22" a="1"/>
  <c r="AS18" i="22" s="1"/>
  <c r="AT18" i="22" a="1"/>
  <c r="AT18" i="22" s="1"/>
  <c r="AU18" i="22" a="1"/>
  <c r="AU18" i="22" s="1"/>
  <c r="AV18" i="22" a="1"/>
  <c r="AV18" i="22" s="1"/>
  <c r="AW18" i="22" a="1"/>
  <c r="AW18" i="22" s="1"/>
  <c r="AX18" i="22" a="1"/>
  <c r="AX18" i="22" s="1"/>
  <c r="AY18" i="22" a="1"/>
  <c r="AY18" i="22" s="1"/>
  <c r="AZ50" i="22"/>
  <c r="AK50" i="22" s="1" a="1"/>
  <c r="AK50" i="22" s="1"/>
  <c r="AL50" i="22" a="1"/>
  <c r="AL50" i="22" s="1"/>
  <c r="AM50" i="22" a="1"/>
  <c r="AM50" i="22" s="1"/>
  <c r="AN50" i="22" a="1"/>
  <c r="AN50" i="22" s="1"/>
  <c r="AO50" i="22" a="1"/>
  <c r="AO50" i="22" s="1"/>
  <c r="AP50" i="22" a="1"/>
  <c r="AP50" i="22" s="1"/>
  <c r="AQ50" i="22" a="1"/>
  <c r="AQ50" i="22" s="1"/>
  <c r="AR50" i="22" a="1"/>
  <c r="AR50" i="22" s="1"/>
  <c r="AS50" i="22" a="1"/>
  <c r="AS50" i="22" s="1"/>
  <c r="AT50" i="22" a="1"/>
  <c r="AT50" i="22" s="1"/>
  <c r="AU50" i="22" a="1"/>
  <c r="AU50" i="22" s="1"/>
  <c r="AV50" i="22" a="1"/>
  <c r="AV50" i="22" s="1"/>
  <c r="AW50" i="22" a="1"/>
  <c r="AW50" i="22" s="1"/>
  <c r="AX50" i="22" a="1"/>
  <c r="AX50" i="22" s="1"/>
  <c r="AY50" i="22" a="1"/>
  <c r="AY50" i="22" s="1"/>
  <c r="AZ63" i="22"/>
  <c r="AK63" i="22" s="1" a="1"/>
  <c r="AK63" i="22" s="1"/>
  <c r="AL63" i="22" a="1"/>
  <c r="AL63" i="22" s="1"/>
  <c r="AM63" i="22" a="1"/>
  <c r="AM63" i="22" s="1"/>
  <c r="AN63" i="22" a="1"/>
  <c r="AN63" i="22" s="1"/>
  <c r="AO63" i="22" a="1"/>
  <c r="AO63" i="22" s="1"/>
  <c r="AP63" i="22" a="1"/>
  <c r="AP63" i="22" s="1"/>
  <c r="AQ63" i="22" a="1"/>
  <c r="AQ63" i="22" s="1"/>
  <c r="AR63" i="22" a="1"/>
  <c r="AR63" i="22" s="1"/>
  <c r="AS63" i="22" a="1"/>
  <c r="AS63" i="22" s="1"/>
  <c r="AT63" i="22" a="1"/>
  <c r="AT63" i="22" s="1"/>
  <c r="AU63" i="22" a="1"/>
  <c r="AU63" i="22" s="1"/>
  <c r="AV63" i="22" a="1"/>
  <c r="AV63" i="22" s="1"/>
  <c r="AW63" i="22" a="1"/>
  <c r="AW63" i="22" s="1"/>
  <c r="AX63" i="22" a="1"/>
  <c r="AX63" i="22" s="1"/>
  <c r="AY63" i="22" a="1"/>
  <c r="AY63" i="22" s="1"/>
  <c r="AZ62" i="22"/>
  <c r="AK62" i="22" s="1" a="1"/>
  <c r="AK62" i="22" s="1"/>
  <c r="AL62" i="22" a="1"/>
  <c r="AL62" i="22" s="1"/>
  <c r="AM62" i="22" a="1"/>
  <c r="AM62" i="22" s="1"/>
  <c r="AN62" i="22" a="1"/>
  <c r="AN62" i="22" s="1"/>
  <c r="AO62" i="22" a="1"/>
  <c r="AO62" i="22" s="1"/>
  <c r="AP62" i="22" a="1"/>
  <c r="AP62" i="22" s="1"/>
  <c r="AQ62" i="22" a="1"/>
  <c r="AQ62" i="22" s="1"/>
  <c r="AR62" i="22" a="1"/>
  <c r="AR62" i="22" s="1"/>
  <c r="AS62" i="22" a="1"/>
  <c r="AS62" i="22" s="1"/>
  <c r="AT62" i="22" a="1"/>
  <c r="AT62" i="22" s="1"/>
  <c r="AU62" i="22" a="1"/>
  <c r="AU62" i="22" s="1"/>
  <c r="AV62" i="22" a="1"/>
  <c r="AV62" i="22" s="1"/>
  <c r="AW62" i="22" a="1"/>
  <c r="AW62" i="22" s="1"/>
  <c r="AX62" i="22" a="1"/>
  <c r="AX62" i="22" s="1"/>
  <c r="AY62" i="22" a="1"/>
  <c r="AY62" i="22" s="1"/>
  <c r="AZ54" i="22"/>
  <c r="AK54" i="22" s="1" a="1"/>
  <c r="AK54" i="22" s="1"/>
  <c r="AL54" i="22" a="1"/>
  <c r="AL54" i="22" s="1"/>
  <c r="AM54" i="22" a="1"/>
  <c r="AM54" i="22" s="1"/>
  <c r="AN54" i="22" a="1"/>
  <c r="AN54" i="22" s="1"/>
  <c r="AO54" i="22" a="1"/>
  <c r="AO54" i="22" s="1"/>
  <c r="AP54" i="22" a="1"/>
  <c r="AP54" i="22" s="1"/>
  <c r="AQ54" i="22" a="1"/>
  <c r="AQ54" i="22" s="1"/>
  <c r="AR54" i="22" a="1"/>
  <c r="AR54" i="22" s="1"/>
  <c r="AS54" i="22" a="1"/>
  <c r="AS54" i="22" s="1"/>
  <c r="AT54" i="22" a="1"/>
  <c r="AT54" i="22" s="1"/>
  <c r="AU54" i="22" a="1"/>
  <c r="AU54" i="22" s="1"/>
  <c r="AV54" i="22" a="1"/>
  <c r="AV54" i="22" s="1"/>
  <c r="AW54" i="22" a="1"/>
  <c r="AW54" i="22" s="1"/>
  <c r="AX54" i="22" a="1"/>
  <c r="AX54" i="22" s="1"/>
  <c r="AY54" i="22" a="1"/>
  <c r="AY54" i="22" s="1"/>
  <c r="AZ42" i="22"/>
  <c r="AK42" i="22" s="1" a="1"/>
  <c r="AK42" i="22" s="1"/>
  <c r="AL42" i="22" a="1"/>
  <c r="AL42" i="22" s="1"/>
  <c r="AM42" i="22" a="1"/>
  <c r="AM42" i="22" s="1"/>
  <c r="AN42" i="22" a="1"/>
  <c r="AN42" i="22" s="1"/>
  <c r="AO42" i="22" a="1"/>
  <c r="AO42" i="22" s="1"/>
  <c r="AP42" i="22" a="1"/>
  <c r="AP42" i="22" s="1"/>
  <c r="AQ42" i="22" a="1"/>
  <c r="AQ42" i="22" s="1"/>
  <c r="AR42" i="22" a="1"/>
  <c r="AR42" i="22" s="1"/>
  <c r="AS42" i="22" a="1"/>
  <c r="AS42" i="22" s="1"/>
  <c r="AT42" i="22" a="1"/>
  <c r="AT42" i="22" s="1"/>
  <c r="AU42" i="22" a="1"/>
  <c r="AU42" i="22" s="1"/>
  <c r="AV42" i="22" a="1"/>
  <c r="AV42" i="22" s="1"/>
  <c r="AW42" i="22" a="1"/>
  <c r="AW42" i="22" s="1"/>
  <c r="AX42" i="22" a="1"/>
  <c r="AX42" i="22" s="1"/>
  <c r="AY42" i="22" a="1"/>
  <c r="AY42" i="22" s="1"/>
  <c r="AZ12" i="22"/>
  <c r="AK12" i="22" s="1" a="1"/>
  <c r="AK12" i="22" s="1"/>
  <c r="AL12" i="22" a="1"/>
  <c r="AL12" i="22" s="1"/>
  <c r="AM12" i="22" a="1"/>
  <c r="AM12" i="22" s="1"/>
  <c r="AN12" i="22" a="1"/>
  <c r="AN12" i="22" s="1"/>
  <c r="AO12" i="22" a="1"/>
  <c r="AO12" i="22" s="1"/>
  <c r="AP12" i="22" a="1"/>
  <c r="AP12" i="22" s="1"/>
  <c r="AQ12" i="22" a="1"/>
  <c r="AQ12" i="22" s="1"/>
  <c r="AR12" i="22" a="1"/>
  <c r="AR12" i="22" s="1"/>
  <c r="AS12" i="22" a="1"/>
  <c r="AS12" i="22" s="1"/>
  <c r="AT12" i="22" a="1"/>
  <c r="AT12" i="22" s="1"/>
  <c r="AU12" i="22" a="1"/>
  <c r="AU12" i="22" s="1"/>
  <c r="AV12" i="22" a="1"/>
  <c r="AV12" i="22" s="1"/>
  <c r="AW12" i="22" a="1"/>
  <c r="AW12" i="22" s="1"/>
  <c r="AX12" i="22" a="1"/>
  <c r="AX12" i="22" s="1"/>
  <c r="AY12" i="22" a="1"/>
  <c r="AY12" i="22" s="1"/>
  <c r="AZ74" i="22"/>
  <c r="AK74" i="22" s="1" a="1"/>
  <c r="AK74" i="22" s="1"/>
  <c r="AL74" i="22" a="1"/>
  <c r="AL74" i="22" s="1"/>
  <c r="AM74" i="22" a="1"/>
  <c r="AM74" i="22" s="1"/>
  <c r="AN74" i="22" a="1"/>
  <c r="AN74" i="22" s="1"/>
  <c r="AO74" i="22" a="1"/>
  <c r="AO74" i="22" s="1"/>
  <c r="AP74" i="22" a="1"/>
  <c r="AP74" i="22" s="1"/>
  <c r="AQ74" i="22" a="1"/>
  <c r="AQ74" i="22" s="1"/>
  <c r="AR74" i="22" a="1"/>
  <c r="AR74" i="22" s="1"/>
  <c r="AS74" i="22" a="1"/>
  <c r="AS74" i="22" s="1"/>
  <c r="AT74" i="22" a="1"/>
  <c r="AT74" i="22" s="1"/>
  <c r="AU74" i="22" a="1"/>
  <c r="AU74" i="22" s="1"/>
  <c r="AV74" i="22" a="1"/>
  <c r="AV74" i="22" s="1"/>
  <c r="AW74" i="22" a="1"/>
  <c r="AW74" i="22" s="1"/>
  <c r="AX74" i="22" a="1"/>
  <c r="AX74" i="22" s="1"/>
  <c r="AY74" i="22" a="1"/>
  <c r="AY74" i="22" s="1"/>
  <c r="AZ38" i="22"/>
  <c r="AK38" i="22" s="1" a="1"/>
  <c r="AK38" i="22" s="1"/>
  <c r="AL38" i="22" a="1"/>
  <c r="AL38" i="22" s="1"/>
  <c r="AM38" i="22" a="1"/>
  <c r="AM38" i="22" s="1"/>
  <c r="AN38" i="22" a="1"/>
  <c r="AN38" i="22" s="1"/>
  <c r="AO38" i="22" a="1"/>
  <c r="AO38" i="22" s="1"/>
  <c r="AP38" i="22" a="1"/>
  <c r="AP38" i="22" s="1"/>
  <c r="AQ38" i="22" a="1"/>
  <c r="AQ38" i="22" s="1"/>
  <c r="AR38" i="22" a="1"/>
  <c r="AR38" i="22" s="1"/>
  <c r="AS38" i="22" a="1"/>
  <c r="AS38" i="22" s="1"/>
  <c r="AT38" i="22" a="1"/>
  <c r="AT38" i="22" s="1"/>
  <c r="AU38" i="22" a="1"/>
  <c r="AU38" i="22" s="1"/>
  <c r="AV38" i="22" a="1"/>
  <c r="AV38" i="22" s="1"/>
  <c r="AW38" i="22" a="1"/>
  <c r="AW38" i="22" s="1"/>
  <c r="AX38" i="22" a="1"/>
  <c r="AX38" i="22" s="1"/>
  <c r="AY38" i="22" a="1"/>
  <c r="AY38" i="22" s="1"/>
  <c r="AZ26" i="22"/>
  <c r="AK26" i="22" s="1" a="1"/>
  <c r="AK26" i="22" s="1"/>
  <c r="AL26" i="22" a="1"/>
  <c r="AL26" i="22" s="1"/>
  <c r="AM26" i="22" a="1"/>
  <c r="AM26" i="22" s="1"/>
  <c r="AN26" i="22" a="1"/>
  <c r="AN26" i="22" s="1"/>
  <c r="AO26" i="22" a="1"/>
  <c r="AO26" i="22" s="1"/>
  <c r="AP26" i="22" a="1"/>
  <c r="AP26" i="22" s="1"/>
  <c r="AQ26" i="22" a="1"/>
  <c r="AQ26" i="22" s="1"/>
  <c r="AR26" i="22" a="1"/>
  <c r="AR26" i="22" s="1"/>
  <c r="AS26" i="22" a="1"/>
  <c r="AS26" i="22" s="1"/>
  <c r="AT26" i="22" a="1"/>
  <c r="AT26" i="22" s="1"/>
  <c r="AU26" i="22" a="1"/>
  <c r="AU26" i="22" s="1"/>
  <c r="AV26" i="22" a="1"/>
  <c r="AV26" i="22" s="1"/>
  <c r="AW26" i="22" a="1"/>
  <c r="AW26" i="22" s="1"/>
  <c r="AX26" i="22" a="1"/>
  <c r="AX26" i="22" s="1"/>
  <c r="AY26" i="22" a="1"/>
  <c r="AY26" i="22" s="1"/>
  <c r="AZ48" i="22"/>
  <c r="AK48" i="22" s="1" a="1"/>
  <c r="AK48" i="22" s="1"/>
  <c r="AL48" i="22" a="1"/>
  <c r="AL48" i="22" s="1"/>
  <c r="AM48" i="22" a="1"/>
  <c r="AM48" i="22" s="1"/>
  <c r="AN48" i="22" a="1"/>
  <c r="AN48" i="22" s="1"/>
  <c r="AO48" i="22" a="1"/>
  <c r="AO48" i="22" s="1"/>
  <c r="AP48" i="22" a="1"/>
  <c r="AP48" i="22" s="1"/>
  <c r="AQ48" i="22" a="1"/>
  <c r="AQ48" i="22" s="1"/>
  <c r="AR48" i="22" a="1"/>
  <c r="AR48" i="22" s="1"/>
  <c r="AS48" i="22" a="1"/>
  <c r="AS48" i="22" s="1"/>
  <c r="AT48" i="22" a="1"/>
  <c r="AT48" i="22" s="1"/>
  <c r="AU48" i="22" a="1"/>
  <c r="AU48" i="22" s="1"/>
  <c r="AV48" i="22" a="1"/>
  <c r="AV48" i="22" s="1"/>
  <c r="AW48" i="22" a="1"/>
  <c r="AW48" i="22" s="1"/>
  <c r="AX48" i="22" a="1"/>
  <c r="AX48" i="22" s="1"/>
  <c r="AY48" i="22" a="1"/>
  <c r="AY48" i="22" s="1"/>
  <c r="AZ99" i="22"/>
  <c r="AK99" i="22" s="1" a="1"/>
  <c r="AK99" i="22" s="1"/>
  <c r="AL99" i="22" a="1"/>
  <c r="AL99" i="22" s="1"/>
  <c r="AM99" i="22" a="1"/>
  <c r="AM99" i="22" s="1"/>
  <c r="AN99" i="22" a="1"/>
  <c r="AN99" i="22" s="1"/>
  <c r="AO99" i="22" a="1"/>
  <c r="AO99" i="22" s="1"/>
  <c r="AP99" i="22" a="1"/>
  <c r="AP99" i="22" s="1"/>
  <c r="AQ99" i="22" a="1"/>
  <c r="AQ99" i="22" s="1"/>
  <c r="AR99" i="22" a="1"/>
  <c r="AR99" i="22" s="1"/>
  <c r="AS99" i="22" a="1"/>
  <c r="AS99" i="22" s="1"/>
  <c r="AT99" i="22" a="1"/>
  <c r="AT99" i="22" s="1"/>
  <c r="AU99" i="22" a="1"/>
  <c r="AU99" i="22" s="1"/>
  <c r="AV99" i="22" a="1"/>
  <c r="AV99" i="22" s="1"/>
  <c r="AW99" i="22" a="1"/>
  <c r="AW99" i="22" s="1"/>
  <c r="AX99" i="22" a="1"/>
  <c r="AX99" i="22" s="1"/>
  <c r="AY99" i="22" a="1"/>
  <c r="AY99" i="22" s="1"/>
  <c r="AZ33" i="22"/>
  <c r="AK33" i="22" s="1" a="1"/>
  <c r="AK33" i="22" s="1"/>
  <c r="AL33" i="22" a="1"/>
  <c r="AL33" i="22" s="1"/>
  <c r="AM33" i="22" a="1"/>
  <c r="AM33" i="22" s="1"/>
  <c r="AN33" i="22" a="1"/>
  <c r="AN33" i="22" s="1"/>
  <c r="AO33" i="22" a="1"/>
  <c r="AO33" i="22" s="1"/>
  <c r="AP33" i="22" a="1"/>
  <c r="AP33" i="22" s="1"/>
  <c r="AQ33" i="22" a="1"/>
  <c r="AQ33" i="22" s="1"/>
  <c r="AR33" i="22" a="1"/>
  <c r="AR33" i="22" s="1"/>
  <c r="AS33" i="22" a="1"/>
  <c r="AS33" i="22" s="1"/>
  <c r="AT33" i="22" a="1"/>
  <c r="AT33" i="22" s="1"/>
  <c r="AU33" i="22" a="1"/>
  <c r="AU33" i="22" s="1"/>
  <c r="AV33" i="22" a="1"/>
  <c r="AV33" i="22" s="1"/>
  <c r="AW33" i="22" a="1"/>
  <c r="AW33" i="22" s="1"/>
  <c r="AX33" i="22" a="1"/>
  <c r="AX33" i="22" s="1"/>
  <c r="AY33" i="22" a="1"/>
  <c r="AY33" i="22" s="1"/>
  <c r="AZ52" i="22"/>
  <c r="AK52" i="22" s="1" a="1"/>
  <c r="AK52" i="22" s="1"/>
  <c r="AL52" i="22" a="1"/>
  <c r="AL52" i="22" s="1"/>
  <c r="AM52" i="22" a="1"/>
  <c r="AM52" i="22" s="1"/>
  <c r="AN52" i="22" a="1"/>
  <c r="AN52" i="22" s="1"/>
  <c r="AO52" i="22" a="1"/>
  <c r="AO52" i="22" s="1"/>
  <c r="AP52" i="22" a="1"/>
  <c r="AP52" i="22" s="1"/>
  <c r="AQ52" i="22" a="1"/>
  <c r="AQ52" i="22" s="1"/>
  <c r="AR52" i="22" a="1"/>
  <c r="AR52" i="22" s="1"/>
  <c r="AS52" i="22" a="1"/>
  <c r="AS52" i="22" s="1"/>
  <c r="AT52" i="22" a="1"/>
  <c r="AT52" i="22" s="1"/>
  <c r="AU52" i="22" a="1"/>
  <c r="AU52" i="22" s="1"/>
  <c r="AV52" i="22" a="1"/>
  <c r="AV52" i="22" s="1"/>
  <c r="AW52" i="22" a="1"/>
  <c r="AW52" i="22" s="1"/>
  <c r="AX52" i="22" a="1"/>
  <c r="AX52" i="22" s="1"/>
  <c r="AY52" i="22" a="1"/>
  <c r="AY52" i="22" s="1"/>
  <c r="AZ32" i="22"/>
  <c r="AK32" i="22" s="1" a="1"/>
  <c r="AK32" i="22" s="1"/>
  <c r="AL32" i="22" a="1"/>
  <c r="AL32" i="22" s="1"/>
  <c r="AM32" i="22" a="1"/>
  <c r="AM32" i="22" s="1"/>
  <c r="AN32" i="22" a="1"/>
  <c r="AN32" i="22" s="1"/>
  <c r="AO32" i="22" a="1"/>
  <c r="AO32" i="22" s="1"/>
  <c r="AP32" i="22" a="1"/>
  <c r="AP32" i="22" s="1"/>
  <c r="AQ32" i="22" a="1"/>
  <c r="AQ32" i="22" s="1"/>
  <c r="AR32" i="22" a="1"/>
  <c r="AR32" i="22" s="1"/>
  <c r="AS32" i="22" a="1"/>
  <c r="AS32" i="22" s="1"/>
  <c r="AT32" i="22" a="1"/>
  <c r="AT32" i="22" s="1"/>
  <c r="AU32" i="22" a="1"/>
  <c r="AU32" i="22" s="1"/>
  <c r="AV32" i="22" a="1"/>
  <c r="AV32" i="22" s="1"/>
  <c r="AW32" i="22" a="1"/>
  <c r="AW32" i="22" s="1"/>
  <c r="AX32" i="22" a="1"/>
  <c r="AX32" i="22" s="1"/>
  <c r="AY32" i="22" a="1"/>
  <c r="AY32" i="22" s="1"/>
  <c r="AZ9" i="22"/>
  <c r="AK9" i="22" s="1" a="1"/>
  <c r="AK9" i="22" s="1"/>
  <c r="AL9" i="22" a="1"/>
  <c r="AL9" i="22" s="1"/>
  <c r="AM9" i="22" a="1"/>
  <c r="AM9" i="22" s="1"/>
  <c r="AN9" i="22" a="1"/>
  <c r="AN9" i="22" s="1"/>
  <c r="AO9" i="22" a="1"/>
  <c r="AO9" i="22" s="1"/>
  <c r="AP9" i="22" a="1"/>
  <c r="AP9" i="22" s="1"/>
  <c r="AQ9" i="22" a="1"/>
  <c r="AQ9" i="22" s="1"/>
  <c r="AR9" i="22" a="1"/>
  <c r="AR9" i="22" s="1"/>
  <c r="AS9" i="22" a="1"/>
  <c r="AS9" i="22" s="1"/>
  <c r="AT9" i="22" a="1"/>
  <c r="AT9" i="22" s="1"/>
  <c r="AU9" i="22" a="1"/>
  <c r="AU9" i="22" s="1"/>
  <c r="AV9" i="22" a="1"/>
  <c r="AV9" i="22" s="1"/>
  <c r="AW9" i="22" a="1"/>
  <c r="AW9" i="22" s="1"/>
  <c r="AX9" i="22" a="1"/>
  <c r="AX9" i="22" s="1"/>
  <c r="AY9" i="22" a="1"/>
  <c r="AY9" i="22" s="1"/>
  <c r="AZ16" i="22"/>
  <c r="AK16" i="22" s="1" a="1"/>
  <c r="AK16" i="22" s="1"/>
  <c r="AL16" i="22" a="1"/>
  <c r="AL16" i="22" s="1"/>
  <c r="AM16" i="22" a="1"/>
  <c r="AM16" i="22" s="1"/>
  <c r="AN16" i="22" a="1"/>
  <c r="AN16" i="22" s="1"/>
  <c r="AO16" i="22" a="1"/>
  <c r="AO16" i="22" s="1"/>
  <c r="AP16" i="22" a="1"/>
  <c r="AP16" i="22" s="1"/>
  <c r="AQ16" i="22" a="1"/>
  <c r="AQ16" i="22" s="1"/>
  <c r="AR16" i="22" a="1"/>
  <c r="AR16" i="22" s="1"/>
  <c r="AS16" i="22" a="1"/>
  <c r="AS16" i="22" s="1"/>
  <c r="AT16" i="22" a="1"/>
  <c r="AT16" i="22" s="1"/>
  <c r="AU16" i="22" a="1"/>
  <c r="AU16" i="22" s="1"/>
  <c r="AV16" i="22" a="1"/>
  <c r="AV16" i="22" s="1"/>
  <c r="AW16" i="22" a="1"/>
  <c r="AW16" i="22" s="1"/>
  <c r="AX16" i="22" a="1"/>
  <c r="AX16" i="22" s="1"/>
  <c r="AY16" i="22" a="1"/>
  <c r="AY16" i="22" s="1"/>
  <c r="AZ95" i="22"/>
  <c r="AK95" i="22" s="1" a="1"/>
  <c r="AK95" i="22" s="1"/>
  <c r="AL95" i="22" a="1"/>
  <c r="AL95" i="22" s="1"/>
  <c r="AM95" i="22" a="1"/>
  <c r="AM95" i="22" s="1"/>
  <c r="AN95" i="22" a="1"/>
  <c r="AN95" i="22" s="1"/>
  <c r="AO95" i="22" a="1"/>
  <c r="AO95" i="22" s="1"/>
  <c r="AP95" i="22" a="1"/>
  <c r="AP95" i="22" s="1"/>
  <c r="AQ95" i="22" a="1"/>
  <c r="AQ95" i="22" s="1"/>
  <c r="AR95" i="22" a="1"/>
  <c r="AR95" i="22" s="1"/>
  <c r="AS95" i="22" a="1"/>
  <c r="AS95" i="22" s="1"/>
  <c r="AT95" i="22" a="1"/>
  <c r="AT95" i="22" s="1"/>
  <c r="AU95" i="22" a="1"/>
  <c r="AU95" i="22" s="1"/>
  <c r="AV95" i="22" a="1"/>
  <c r="AV95" i="22" s="1"/>
  <c r="AW95" i="22" a="1"/>
  <c r="AW95" i="22" s="1"/>
  <c r="AX95" i="22" a="1"/>
  <c r="AX95" i="22" s="1"/>
  <c r="AY95" i="22" a="1"/>
  <c r="AY95" i="22" s="1"/>
  <c r="AM11" i="22" a="1"/>
  <c r="AM11" i="22" s="1"/>
  <c r="AN11" i="22" a="1"/>
  <c r="AN11" i="22" s="1"/>
  <c r="AO11" i="22" a="1"/>
  <c r="AO11" i="22" s="1"/>
  <c r="AP11" i="22" a="1"/>
  <c r="AP11" i="22" s="1"/>
  <c r="AQ11" i="22" a="1"/>
  <c r="AQ11" i="22" s="1"/>
  <c r="AR11" i="22" a="1"/>
  <c r="AR11" i="22" s="1"/>
  <c r="AS11" i="22" a="1"/>
  <c r="AS11" i="22" s="1"/>
  <c r="AT11" i="22" a="1"/>
  <c r="AT11" i="22" s="1"/>
  <c r="AU11" i="22" a="1"/>
  <c r="AU11" i="22" s="1"/>
  <c r="AV11" i="22" a="1"/>
  <c r="AV11" i="22" s="1"/>
  <c r="AW11" i="22" a="1"/>
  <c r="AW11" i="22" s="1"/>
  <c r="AX11" i="22" a="1"/>
  <c r="AX11" i="22" s="1"/>
  <c r="AY11" i="22" a="1"/>
  <c r="AY11" i="22" s="1"/>
  <c r="J2" i="23"/>
  <c r="J3" i="23"/>
  <c r="J4" i="23"/>
  <c r="J5" i="23"/>
  <c r="J9" i="23"/>
  <c r="J12" i="23"/>
  <c r="J13" i="23"/>
  <c r="J17" i="23"/>
  <c r="J18" i="23"/>
  <c r="J19" i="23"/>
  <c r="J20" i="23"/>
  <c r="J21" i="23"/>
  <c r="J22" i="23"/>
  <c r="J23" i="23"/>
  <c r="J24" i="23"/>
  <c r="J27" i="23"/>
  <c r="J36" i="23"/>
  <c r="J37" i="23"/>
  <c r="J38" i="23"/>
  <c r="J39" i="23"/>
  <c r="J40" i="23"/>
  <c r="J41" i="23"/>
  <c r="J42" i="23"/>
  <c r="J43" i="23"/>
  <c r="J44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2" i="23"/>
  <c r="J63" i="23"/>
  <c r="J64" i="23"/>
  <c r="J65" i="23"/>
  <c r="J66" i="23"/>
  <c r="J67" i="23"/>
  <c r="J68" i="23"/>
  <c r="J69" i="23"/>
  <c r="J71" i="23"/>
  <c r="J72" i="23"/>
  <c r="J73" i="23"/>
  <c r="J74" i="23"/>
  <c r="J75" i="23"/>
  <c r="J76" i="23"/>
  <c r="J77" i="23"/>
  <c r="J78" i="23"/>
  <c r="J79" i="23"/>
  <c r="J80" i="23"/>
  <c r="J82" i="23"/>
  <c r="J83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T11" i="22" l="1"/>
  <c r="C95" i="47" l="1"/>
  <c r="E95" i="47" s="1"/>
  <c r="C103" i="47"/>
  <c r="E103" i="47" s="1"/>
  <c r="E46" i="41"/>
  <c r="H46" i="41" s="1"/>
  <c r="C29" i="47"/>
  <c r="E29" i="47" s="1"/>
  <c r="G29" i="47" s="1" a="1"/>
  <c r="G29" i="47" s="1"/>
  <c r="E40" i="41"/>
  <c r="H40" i="41" s="1"/>
  <c r="C19" i="47"/>
  <c r="E19" i="47" s="1"/>
  <c r="G19" i="47" s="1" a="1"/>
  <c r="G19" i="47" s="1"/>
  <c r="E36" i="41"/>
  <c r="H36" i="41" s="1"/>
  <c r="C17" i="47"/>
  <c r="E17" i="47" s="1"/>
  <c r="G17" i="47" s="1" a="1"/>
  <c r="G17" i="47" s="1"/>
  <c r="E23" i="41"/>
  <c r="H23" i="41" s="1"/>
  <c r="C5" i="47"/>
  <c r="E5" i="47" s="1"/>
  <c r="G5" i="47" s="1" a="1"/>
  <c r="G5" i="47" s="1"/>
  <c r="E18" i="41"/>
  <c r="C11" i="47"/>
  <c r="E11" i="47" s="1"/>
  <c r="G11" i="47" s="1" a="1"/>
  <c r="G11" i="47" s="1"/>
  <c r="E20" i="41"/>
  <c r="H20" i="41" s="1"/>
  <c r="C2" i="47"/>
  <c r="E2" i="47" s="1"/>
  <c r="G2" i="47" s="1" a="1"/>
  <c r="G2" i="47" s="1"/>
  <c r="E24" i="41"/>
  <c r="H24" i="41" s="1"/>
  <c r="C6" i="47"/>
  <c r="E6" i="47" s="1"/>
  <c r="G6" i="47" s="1" a="1"/>
  <c r="G6" i="47" s="1"/>
  <c r="E35" i="41"/>
  <c r="H35" i="41" s="1"/>
  <c r="C16" i="47"/>
  <c r="E16" i="47" s="1"/>
  <c r="G16" i="47" s="1" a="1"/>
  <c r="G16" i="47" s="1"/>
  <c r="C93" i="47"/>
  <c r="E93" i="47" s="1"/>
  <c r="E22" i="41"/>
  <c r="H22" i="41" s="1"/>
  <c r="C4" i="47"/>
  <c r="E4" i="47" s="1"/>
  <c r="G4" i="47" s="1" a="1"/>
  <c r="G4" i="47" s="1"/>
  <c r="E44" i="41"/>
  <c r="H44" i="41" s="1"/>
  <c r="C27" i="47"/>
  <c r="E27" i="47" s="1"/>
  <c r="G27" i="47" s="1" a="1"/>
  <c r="G27" i="47" s="1"/>
  <c r="E38" i="41"/>
  <c r="H38" i="41" s="1"/>
  <c r="C22" i="47"/>
  <c r="E22" i="47" s="1"/>
  <c r="G22" i="47" s="1" a="1"/>
  <c r="G22" i="47" s="1"/>
  <c r="E6" i="41"/>
  <c r="H6" i="41" s="1"/>
  <c r="C42" i="47"/>
  <c r="E42" i="47" s="1"/>
  <c r="G42" i="47" s="1" a="1"/>
  <c r="G42" i="47" s="1"/>
  <c r="C102" i="47"/>
  <c r="E102" i="47" s="1"/>
  <c r="E28" i="41"/>
  <c r="H28" i="41" s="1"/>
  <c r="C10" i="47"/>
  <c r="E10" i="47" s="1"/>
  <c r="G10" i="47" s="1" a="1"/>
  <c r="G10" i="47" s="1"/>
  <c r="C91" i="47"/>
  <c r="E91" i="47" s="1"/>
  <c r="C90" i="47"/>
  <c r="E90" i="47" s="1"/>
  <c r="E32" i="41"/>
  <c r="H32" i="41" s="1"/>
  <c r="C15" i="47"/>
  <c r="E15" i="47" s="1"/>
  <c r="G15" i="47" s="1" a="1"/>
  <c r="G15" i="47" s="1"/>
  <c r="E51" i="41"/>
  <c r="H51" i="41" s="1"/>
  <c r="C39" i="47"/>
  <c r="E39" i="47" s="1"/>
  <c r="G39" i="47" s="1" a="1"/>
  <c r="G39" i="47" s="1"/>
  <c r="E11" i="41"/>
  <c r="I11" i="41" s="1"/>
  <c r="C47" i="47"/>
  <c r="E47" i="47" s="1"/>
  <c r="G47" i="47" s="1" a="1"/>
  <c r="G47" i="47" s="1"/>
  <c r="C98" i="47"/>
  <c r="E98" i="47" s="1"/>
  <c r="E2" i="41"/>
  <c r="H2" i="41" s="1"/>
  <c r="C34" i="47"/>
  <c r="E34" i="47" s="1"/>
  <c r="G34" i="47" s="1" a="1"/>
  <c r="G34" i="47" s="1"/>
  <c r="E34" i="41"/>
  <c r="H34" i="41" s="1"/>
  <c r="C21" i="47"/>
  <c r="E21" i="47" s="1"/>
  <c r="G21" i="47" s="1" a="1"/>
  <c r="G21" i="47" s="1"/>
  <c r="C96" i="47"/>
  <c r="E96" i="47" s="1"/>
  <c r="E43" i="41"/>
  <c r="H43" i="41" s="1"/>
  <c r="C25" i="47"/>
  <c r="E25" i="47" s="1"/>
  <c r="G25" i="47" s="1" a="1"/>
  <c r="G25" i="47" s="1"/>
  <c r="E33" i="41"/>
  <c r="H33" i="41" s="1"/>
  <c r="C18" i="47"/>
  <c r="E18" i="47" s="1"/>
  <c r="G18" i="47" s="1" a="1"/>
  <c r="G18" i="47" s="1"/>
  <c r="E49" i="41"/>
  <c r="H49" i="41" s="1"/>
  <c r="C32" i="47"/>
  <c r="E32" i="47" s="1"/>
  <c r="G32" i="47" s="1" a="1"/>
  <c r="G32" i="47" s="1"/>
  <c r="X90" i="22"/>
  <c r="E21" i="41"/>
  <c r="H21" i="41" s="1"/>
  <c r="C3" i="47"/>
  <c r="E3" i="47" s="1"/>
  <c r="G3" i="47" s="1" a="1"/>
  <c r="G3" i="47" s="1"/>
  <c r="E25" i="41"/>
  <c r="H25" i="41" s="1"/>
  <c r="C7" i="47"/>
  <c r="E7" i="47" s="1"/>
  <c r="G7" i="47" s="1" a="1"/>
  <c r="G7" i="47" s="1"/>
  <c r="E45" i="41"/>
  <c r="H45" i="41" s="1"/>
  <c r="C31" i="47"/>
  <c r="E31" i="47" s="1"/>
  <c r="G31" i="47" s="1" a="1"/>
  <c r="G31" i="47" s="1"/>
  <c r="C100" i="47"/>
  <c r="E100" i="47" s="1"/>
  <c r="E27" i="41"/>
  <c r="H27" i="41" s="1"/>
  <c r="C9" i="47"/>
  <c r="E9" i="47" s="1"/>
  <c r="G9" i="47" s="1" a="1"/>
  <c r="G9" i="47" s="1"/>
  <c r="E8" i="41"/>
  <c r="I8" i="41" s="1"/>
  <c r="C44" i="47"/>
  <c r="E44" i="47" s="1"/>
  <c r="G44" i="47" s="1" a="1"/>
  <c r="G44" i="47" s="1"/>
  <c r="E31" i="41"/>
  <c r="H31" i="41" s="1"/>
  <c r="C12" i="47"/>
  <c r="E12" i="47" s="1"/>
  <c r="G12" i="47" s="1" a="1"/>
  <c r="G12" i="47" s="1"/>
  <c r="E13" i="41"/>
  <c r="I13" i="41" s="1"/>
  <c r="C48" i="47"/>
  <c r="E48" i="47" s="1"/>
  <c r="G48" i="47" s="1" a="1"/>
  <c r="G48" i="47" s="1"/>
  <c r="E39" i="41"/>
  <c r="H39" i="41" s="1"/>
  <c r="C28" i="47"/>
  <c r="E28" i="47" s="1"/>
  <c r="G28" i="47" s="1" a="1"/>
  <c r="G28" i="47" s="1"/>
  <c r="E47" i="41"/>
  <c r="H47" i="41" s="1"/>
  <c r="C33" i="47"/>
  <c r="E33" i="47" s="1"/>
  <c r="G33" i="47" s="1" a="1"/>
  <c r="G33" i="47" s="1"/>
  <c r="C97" i="47"/>
  <c r="E97" i="47" s="1"/>
  <c r="E41" i="41"/>
  <c r="H41" i="41" s="1"/>
  <c r="C23" i="47"/>
  <c r="E23" i="47" s="1"/>
  <c r="G23" i="47" s="1" a="1"/>
  <c r="G23" i="47" s="1"/>
  <c r="C101" i="47"/>
  <c r="E101" i="47" s="1"/>
  <c r="E50" i="41"/>
  <c r="H50" i="41" s="1"/>
  <c r="C38" i="47"/>
  <c r="E38" i="47" s="1"/>
  <c r="G38" i="47" s="1" a="1"/>
  <c r="G38" i="47" s="1"/>
  <c r="E29" i="41"/>
  <c r="H29" i="41" s="1"/>
  <c r="C14" i="47"/>
  <c r="E14" i="47" s="1"/>
  <c r="G14" i="47" s="1" a="1"/>
  <c r="G14" i="47" s="1"/>
  <c r="E9" i="41"/>
  <c r="H9" i="41" s="1"/>
  <c r="C41" i="47"/>
  <c r="E41" i="47" s="1"/>
  <c r="G41" i="47" s="1" a="1"/>
  <c r="G41" i="47" s="1"/>
  <c r="E42" i="41"/>
  <c r="H42" i="41" s="1"/>
  <c r="C26" i="47"/>
  <c r="E26" i="47" s="1"/>
  <c r="G26" i="47" s="1" a="1"/>
  <c r="G26" i="47" s="1"/>
  <c r="E37" i="41"/>
  <c r="H37" i="41" s="1"/>
  <c r="C24" i="47"/>
  <c r="E24" i="47" s="1"/>
  <c r="G24" i="47" s="1" a="1"/>
  <c r="G24" i="47" s="1"/>
  <c r="C104" i="47"/>
  <c r="E104" i="47" s="1"/>
  <c r="C89" i="47"/>
  <c r="E89" i="47" s="1"/>
  <c r="C94" i="47"/>
  <c r="E94" i="47" s="1"/>
  <c r="E15" i="41"/>
  <c r="I15" i="41" s="1"/>
  <c r="C50" i="47"/>
  <c r="E50" i="47" s="1"/>
  <c r="G50" i="47" s="1" a="1"/>
  <c r="G50" i="47" s="1"/>
  <c r="E26" i="41"/>
  <c r="H26" i="41" s="1"/>
  <c r="C8" i="47"/>
  <c r="E8" i="47" s="1"/>
  <c r="G8" i="47" s="1" a="1"/>
  <c r="G8" i="47" s="1"/>
  <c r="E16" i="41"/>
  <c r="I16" i="41" s="1"/>
  <c r="C51" i="47"/>
  <c r="E51" i="47" s="1"/>
  <c r="G51" i="47" s="1" a="1"/>
  <c r="G51" i="47" s="1"/>
  <c r="E5" i="41"/>
  <c r="I5" i="41" s="1"/>
  <c r="C35" i="47"/>
  <c r="E35" i="47" s="1"/>
  <c r="G35" i="47" s="1" a="1"/>
  <c r="G35" i="47" s="1"/>
  <c r="E14" i="41"/>
  <c r="I14" i="41" s="1"/>
  <c r="C49" i="47"/>
  <c r="E49" i="47" s="1"/>
  <c r="G49" i="47" s="1" a="1"/>
  <c r="G49" i="47" s="1"/>
  <c r="E4" i="41"/>
  <c r="I4" i="41" s="1"/>
  <c r="C36" i="47"/>
  <c r="E36" i="47" s="1"/>
  <c r="G36" i="47" s="1" a="1"/>
  <c r="G36" i="47" s="1"/>
  <c r="C99" i="47"/>
  <c r="E99" i="47" s="1"/>
  <c r="E12" i="41"/>
  <c r="I12" i="41" s="1"/>
  <c r="C46" i="47"/>
  <c r="E46" i="47" s="1"/>
  <c r="G46" i="47" s="1" a="1"/>
  <c r="G46" i="47" s="1"/>
  <c r="E30" i="41"/>
  <c r="H30" i="41" s="1"/>
  <c r="C13" i="47"/>
  <c r="E13" i="47" s="1"/>
  <c r="G13" i="47" s="1" a="1"/>
  <c r="G13" i="47" s="1"/>
  <c r="E17" i="41"/>
  <c r="I17" i="41" s="1"/>
  <c r="C37" i="47"/>
  <c r="E37" i="47" s="1"/>
  <c r="G37" i="47" s="1" a="1"/>
  <c r="G37" i="47" s="1"/>
  <c r="C92" i="47"/>
  <c r="E92" i="47" s="1"/>
  <c r="E48" i="41"/>
  <c r="H48" i="41" s="1"/>
  <c r="C30" i="47"/>
  <c r="E30" i="47" s="1"/>
  <c r="G30" i="47" s="1" a="1"/>
  <c r="G30" i="47" s="1"/>
  <c r="E10" i="41"/>
  <c r="I10" i="41" s="1"/>
  <c r="C45" i="47"/>
  <c r="E45" i="47" s="1"/>
  <c r="G45" i="47" s="1" a="1"/>
  <c r="G45" i="47" s="1"/>
  <c r="E3" i="41"/>
  <c r="H3" i="41" s="1"/>
  <c r="C40" i="47"/>
  <c r="E40" i="47" s="1"/>
  <c r="G40" i="47" s="1" a="1"/>
  <c r="G40" i="47" s="1"/>
  <c r="E7" i="41"/>
  <c r="H7" i="41" s="1"/>
  <c r="C43" i="47"/>
  <c r="E43" i="47" s="1"/>
  <c r="G43" i="47" s="1" a="1"/>
  <c r="G43" i="47" s="1"/>
  <c r="E19" i="41"/>
  <c r="C20" i="47"/>
  <c r="E20" i="47" s="1"/>
  <c r="G20" i="47" s="1" a="1"/>
  <c r="G20" i="47" s="1"/>
  <c r="X76" i="22"/>
  <c r="X11" i="22"/>
  <c r="X42" i="22"/>
  <c r="X57" i="22"/>
  <c r="X5" i="22"/>
  <c r="X50" i="22"/>
  <c r="X52" i="22"/>
  <c r="X65" i="22"/>
  <c r="X79" i="22"/>
  <c r="X101" i="22"/>
  <c r="X26" i="22"/>
  <c r="X8" i="22"/>
  <c r="X84" i="22"/>
  <c r="X88" i="22"/>
  <c r="X22" i="22"/>
  <c r="X55" i="22"/>
  <c r="X15" i="22"/>
  <c r="X80" i="22"/>
  <c r="X2" i="22"/>
  <c r="X4" i="22"/>
  <c r="X64" i="22"/>
  <c r="X14" i="22"/>
  <c r="X72" i="22"/>
  <c r="X86" i="22"/>
  <c r="X44" i="22"/>
  <c r="X9" i="22"/>
  <c r="X20" i="22"/>
  <c r="X81" i="22"/>
  <c r="X34" i="22"/>
  <c r="X96" i="22"/>
  <c r="X25" i="22"/>
  <c r="X13" i="22"/>
  <c r="X67" i="22"/>
  <c r="X43" i="22"/>
  <c r="X89" i="22"/>
  <c r="X51" i="22"/>
  <c r="X18" i="22"/>
  <c r="X58" i="22"/>
  <c r="X85" i="22"/>
  <c r="X63" i="22"/>
  <c r="X19" i="22"/>
  <c r="X40" i="22"/>
  <c r="X30" i="22"/>
  <c r="X45" i="22"/>
  <c r="X56" i="22"/>
  <c r="X10" i="22"/>
  <c r="X97" i="22"/>
  <c r="X36" i="22"/>
  <c r="X27" i="22"/>
  <c r="X95" i="22"/>
  <c r="X91" i="22"/>
  <c r="X37" i="22"/>
  <c r="X70" i="22"/>
  <c r="X54" i="22"/>
  <c r="X82" i="22"/>
  <c r="X93" i="22"/>
  <c r="X62" i="22"/>
  <c r="X28" i="22"/>
  <c r="X78" i="22"/>
  <c r="X92" i="22"/>
  <c r="X60" i="22"/>
  <c r="X99" i="22"/>
  <c r="X46" i="22"/>
  <c r="X98" i="22"/>
  <c r="X6" i="22"/>
  <c r="X12" i="22"/>
  <c r="X29" i="22"/>
  <c r="X23" i="22"/>
  <c r="X100" i="22"/>
  <c r="X21" i="22"/>
  <c r="X33" i="22"/>
  <c r="X66" i="22"/>
  <c r="X59" i="22"/>
  <c r="X17" i="22"/>
  <c r="X31" i="22"/>
  <c r="X32" i="22"/>
  <c r="X94" i="22"/>
  <c r="X38" i="22"/>
  <c r="X7" i="22"/>
  <c r="X3" i="22"/>
  <c r="X61" i="22"/>
  <c r="X39" i="22"/>
  <c r="X73" i="22"/>
  <c r="X41" i="22"/>
  <c r="X83" i="22"/>
  <c r="X71" i="22"/>
  <c r="X49" i="22"/>
  <c r="X87" i="22"/>
  <c r="X74" i="22"/>
  <c r="X16" i="22"/>
  <c r="X77" i="22"/>
  <c r="X69" i="22"/>
  <c r="X47" i="22"/>
  <c r="X68" i="22"/>
  <c r="X24" i="22"/>
  <c r="X53" i="22"/>
  <c r="X35" i="22"/>
  <c r="X48" i="22"/>
  <c r="X75" i="22"/>
  <c r="L11" i="22"/>
  <c r="F11" i="22"/>
  <c r="Y100" i="22"/>
  <c r="Z38" i="22"/>
  <c r="AG36" i="22"/>
  <c r="AH28" i="22"/>
  <c r="AH62" i="22"/>
  <c r="AD75" i="22"/>
  <c r="AG82" i="22"/>
  <c r="AF16" i="22"/>
  <c r="Y17" i="22"/>
  <c r="AD21" i="22"/>
  <c r="AI99" i="22"/>
  <c r="AJ72" i="22"/>
  <c r="Z8" i="22"/>
  <c r="Z74" i="22"/>
  <c r="AD29" i="22"/>
  <c r="Z18" i="22"/>
  <c r="AC5" i="22"/>
  <c r="AC42" i="22"/>
  <c r="AD88" i="22"/>
  <c r="Y32" i="22"/>
  <c r="AI6" i="22"/>
  <c r="Y94" i="22"/>
  <c r="AE89" i="22"/>
  <c r="AI54" i="22"/>
  <c r="AC36" i="22"/>
  <c r="W4" i="22"/>
  <c r="AI4" i="22"/>
  <c r="Y82" i="22"/>
  <c r="W96" i="22"/>
  <c r="AI96" i="22"/>
  <c r="AD27" i="22"/>
  <c r="AD74" i="22"/>
  <c r="AJ23" i="22"/>
  <c r="AJ85" i="22"/>
  <c r="AJ19" i="22"/>
  <c r="Z12" i="22"/>
  <c r="AF13" i="22"/>
  <c r="AF84" i="22"/>
  <c r="AA91" i="22"/>
  <c r="AF62" i="22"/>
  <c r="AG10" i="22"/>
  <c r="AH97" i="22"/>
  <c r="AH57" i="22"/>
  <c r="AC37" i="22"/>
  <c r="AC63" i="22"/>
  <c r="AD77" i="22"/>
  <c r="AI36" i="22"/>
  <c r="Y93" i="22"/>
  <c r="Y62" i="22"/>
  <c r="Y28" i="22"/>
  <c r="AE98" i="22"/>
  <c r="AE76" i="22"/>
  <c r="AE46" i="22"/>
  <c r="AJ56" i="22"/>
  <c r="AG85" i="22"/>
  <c r="AF71" i="22"/>
  <c r="AA5" i="22"/>
  <c r="AF22" i="22"/>
  <c r="AA41" i="22"/>
  <c r="AF91" i="22"/>
  <c r="AA57" i="22"/>
  <c r="AF53" i="22"/>
  <c r="AA27" i="22"/>
  <c r="AF63" i="22"/>
  <c r="AA26" i="22"/>
  <c r="AG22" i="22"/>
  <c r="AG51" i="22"/>
  <c r="AG94" i="22"/>
  <c r="AB52" i="22"/>
  <c r="AG58" i="22"/>
  <c r="AG69" i="22"/>
  <c r="AB92" i="22"/>
  <c r="AB90" i="22"/>
  <c r="AG38" i="22"/>
  <c r="AB98" i="22"/>
  <c r="AB6" i="22"/>
  <c r="AB70" i="22"/>
  <c r="AG31" i="22"/>
  <c r="AB46" i="22"/>
  <c r="AB96" i="22"/>
  <c r="AB53" i="22"/>
  <c r="Y78" i="22"/>
  <c r="AD23" i="22"/>
  <c r="AI10" i="22"/>
  <c r="AD85" i="22"/>
  <c r="AD46" i="22"/>
  <c r="Y92" i="22"/>
  <c r="W27" i="22"/>
  <c r="I27" i="22" s="1"/>
  <c r="AI27" i="22"/>
  <c r="Y60" i="22"/>
  <c r="Y99" i="22"/>
  <c r="AI95" i="22"/>
  <c r="AJ8" i="22"/>
  <c r="AE40" i="22"/>
  <c r="AE81" i="22"/>
  <c r="AE19" i="22"/>
  <c r="AE32" i="22"/>
  <c r="AE71" i="22"/>
  <c r="Z10" i="22"/>
  <c r="AE82" i="22"/>
  <c r="AJ92" i="22"/>
  <c r="AJ90" i="22"/>
  <c r="Z42" i="22"/>
  <c r="AA4" i="22"/>
  <c r="AA54" i="22"/>
  <c r="AH49" i="22"/>
  <c r="AH32" i="22"/>
  <c r="Y46" i="22"/>
  <c r="AD42" i="22"/>
  <c r="Z58" i="22"/>
  <c r="Z20" i="22"/>
  <c r="AJ47" i="22"/>
  <c r="AF50" i="22"/>
  <c r="AH25" i="22"/>
  <c r="AH70" i="22"/>
  <c r="AH82" i="22"/>
  <c r="AC43" i="22"/>
  <c r="AC62" i="22"/>
  <c r="AD67" i="22"/>
  <c r="W51" i="22"/>
  <c r="I51" i="22" s="1"/>
  <c r="AI51" i="22"/>
  <c r="AI21" i="22"/>
  <c r="Z75" i="22"/>
  <c r="AE67" i="22"/>
  <c r="AJ69" i="22"/>
  <c r="AB11" i="22"/>
  <c r="AC101" i="22"/>
  <c r="AI48" i="22"/>
  <c r="Z21" i="22"/>
  <c r="AF66" i="22"/>
  <c r="Y98" i="22"/>
  <c r="Y6" i="22"/>
  <c r="AI70" i="22"/>
  <c r="AD72" i="22"/>
  <c r="Y12" i="22"/>
  <c r="Z81" i="22"/>
  <c r="AJ55" i="22"/>
  <c r="AC11" i="22"/>
  <c r="AH90" i="22"/>
  <c r="AB16" i="22"/>
  <c r="AC76" i="22"/>
  <c r="AC2" i="22"/>
  <c r="AB48" i="22"/>
  <c r="AC100" i="22"/>
  <c r="AH50" i="22"/>
  <c r="AC93" i="22"/>
  <c r="AA20" i="22"/>
  <c r="AH93" i="22"/>
  <c r="AA28" i="22"/>
  <c r="AB67" i="22"/>
  <c r="AB33" i="22"/>
  <c r="Y33" i="22"/>
  <c r="AF45" i="22"/>
  <c r="AC85" i="22"/>
  <c r="AI62" i="22"/>
  <c r="AG32" i="22"/>
  <c r="AF85" i="22"/>
  <c r="AG6" i="22"/>
  <c r="Y31" i="22"/>
  <c r="AC75" i="22"/>
  <c r="AE17" i="22"/>
  <c r="Y71" i="22"/>
  <c r="AJ39" i="22"/>
  <c r="AC38" i="22"/>
  <c r="AH60" i="22"/>
  <c r="AH84" i="22"/>
  <c r="AH79" i="22"/>
  <c r="AB37" i="22"/>
  <c r="AG9" i="22"/>
  <c r="AC35" i="22"/>
  <c r="AG52" i="22"/>
  <c r="AC98" i="22"/>
  <c r="Y23" i="22"/>
  <c r="AF93" i="22"/>
  <c r="AC80" i="22"/>
  <c r="AE22" i="22"/>
  <c r="AF23" i="22"/>
  <c r="AF100" i="22"/>
  <c r="AB68" i="22"/>
  <c r="AI78" i="22"/>
  <c r="Z66" i="22"/>
  <c r="AF99" i="22"/>
  <c r="AD14" i="22"/>
  <c r="AE30" i="22"/>
  <c r="AB80" i="22"/>
  <c r="AC82" i="22"/>
  <c r="AC12" i="22"/>
  <c r="AD12" i="22"/>
  <c r="Z57" i="22"/>
  <c r="AB26" i="22"/>
  <c r="AF80" i="22"/>
  <c r="AA56" i="22"/>
  <c r="AB50" i="22"/>
  <c r="AG48" i="22"/>
  <c r="AG59" i="22"/>
  <c r="AD6" i="22"/>
  <c r="AI57" i="22"/>
  <c r="AD33" i="22"/>
  <c r="AE96" i="22"/>
  <c r="AE4" i="22"/>
  <c r="AJ88" i="22"/>
  <c r="AH61" i="22"/>
  <c r="AD52" i="22"/>
  <c r="AA35" i="22"/>
  <c r="AH77" i="22"/>
  <c r="AH55" i="22"/>
  <c r="W91" i="22"/>
  <c r="I91" i="22" s="1"/>
  <c r="AI91" i="22"/>
  <c r="Z76" i="22"/>
  <c r="AH96" i="22"/>
  <c r="AH19" i="22"/>
  <c r="AC99" i="22"/>
  <c r="AI32" i="22"/>
  <c r="AJ64" i="22"/>
  <c r="AF86" i="22"/>
  <c r="AD5" i="22"/>
  <c r="Y49" i="22"/>
  <c r="Y87" i="22"/>
  <c r="AD26" i="22"/>
  <c r="AH52" i="22"/>
  <c r="AC3" i="22"/>
  <c r="Y76" i="22"/>
  <c r="AD45" i="22"/>
  <c r="AD92" i="22"/>
  <c r="AI34" i="22"/>
  <c r="AA34" i="22"/>
  <c r="AE10" i="22"/>
  <c r="AJ46" i="22"/>
  <c r="AE27" i="22"/>
  <c r="AE26" i="22"/>
  <c r="AA40" i="22"/>
  <c r="AF36" i="22"/>
  <c r="AF44" i="22"/>
  <c r="AG13" i="22"/>
  <c r="AB49" i="22"/>
  <c r="AB47" i="22"/>
  <c r="AH78" i="22"/>
  <c r="AH10" i="22"/>
  <c r="AH14" i="22"/>
  <c r="AC81" i="22"/>
  <c r="AH83" i="22"/>
  <c r="Y65" i="22"/>
  <c r="Y57" i="22"/>
  <c r="AI44" i="22"/>
  <c r="Y74" i="22"/>
  <c r="AD25" i="22"/>
  <c r="AJ73" i="22"/>
  <c r="AJ10" i="22"/>
  <c r="Z101" i="22"/>
  <c r="AJ62" i="22"/>
  <c r="AB13" i="22"/>
  <c r="AB45" i="22"/>
  <c r="AB95" i="22"/>
  <c r="AF75" i="22"/>
  <c r="AA8" i="22"/>
  <c r="AF70" i="22"/>
  <c r="AA84" i="22"/>
  <c r="AF69" i="22"/>
  <c r="AA101" i="22"/>
  <c r="AF55" i="22"/>
  <c r="AA83" i="22"/>
  <c r="AF54" i="22"/>
  <c r="AA99" i="22"/>
  <c r="AB8" i="22"/>
  <c r="AG46" i="22"/>
  <c r="AG19" i="22"/>
  <c r="AG63" i="22"/>
  <c r="AG61" i="22"/>
  <c r="AG20" i="22"/>
  <c r="AB57" i="22"/>
  <c r="AG64" i="22"/>
  <c r="AB2" i="22"/>
  <c r="AG79" i="22"/>
  <c r="AG14" i="22"/>
  <c r="AB35" i="22"/>
  <c r="Y5" i="22"/>
  <c r="Y79" i="22"/>
  <c r="AI41" i="22"/>
  <c r="AD82" i="22"/>
  <c r="Y101" i="22"/>
  <c r="AD53" i="22"/>
  <c r="W83" i="22"/>
  <c r="AI83" i="22"/>
  <c r="Y50" i="22"/>
  <c r="Y52" i="22"/>
  <c r="AJ13" i="22"/>
  <c r="AE23" i="22"/>
  <c r="AE51" i="22"/>
  <c r="Z29" i="22"/>
  <c r="AJ83" i="22"/>
  <c r="AA71" i="22"/>
  <c r="AF43" i="22"/>
  <c r="AJ7" i="22"/>
  <c r="AE49" i="22"/>
  <c r="Z36" i="22"/>
  <c r="AE53" i="22"/>
  <c r="AE64" i="22"/>
  <c r="Z99" i="22"/>
  <c r="AF26" i="22"/>
  <c r="AC79" i="22"/>
  <c r="AH40" i="22"/>
  <c r="AH81" i="22"/>
  <c r="AC60" i="22"/>
  <c r="AI23" i="22"/>
  <c r="AD43" i="22"/>
  <c r="Y16" i="22"/>
  <c r="Z61" i="22"/>
  <c r="AE45" i="22"/>
  <c r="AE52" i="22"/>
  <c r="AF17" i="22"/>
  <c r="AI11" i="22"/>
  <c r="AC8" i="22"/>
  <c r="AH91" i="22"/>
  <c r="AC89" i="22"/>
  <c r="AC26" i="22"/>
  <c r="Y77" i="22"/>
  <c r="AI46" i="22"/>
  <c r="W12" i="22"/>
  <c r="I12" i="22" s="1"/>
  <c r="AI12" i="22"/>
  <c r="AJ6" i="22"/>
  <c r="AE3" i="22"/>
  <c r="Z94" i="22"/>
  <c r="AA55" i="22"/>
  <c r="AC29" i="22"/>
  <c r="AC83" i="22"/>
  <c r="AC52" i="22"/>
  <c r="AD9" i="22"/>
  <c r="AJ18" i="22"/>
  <c r="AD28" i="22"/>
  <c r="AI2" i="22"/>
  <c r="AD84" i="22"/>
  <c r="AI53" i="22"/>
  <c r="AI16" i="22"/>
  <c r="Z39" i="22"/>
  <c r="AJ91" i="22"/>
  <c r="Z47" i="22"/>
  <c r="AA47" i="22"/>
  <c r="AB21" i="22"/>
  <c r="AH99" i="22"/>
  <c r="AC54" i="22"/>
  <c r="AH95" i="22"/>
  <c r="AH30" i="22"/>
  <c r="AG83" i="22"/>
  <c r="AH5" i="22"/>
  <c r="AC21" i="22"/>
  <c r="AI82" i="22"/>
  <c r="Z59" i="22"/>
  <c r="AA62" i="22"/>
  <c r="AB93" i="22"/>
  <c r="AI59" i="22"/>
  <c r="AE58" i="22"/>
  <c r="Z95" i="22"/>
  <c r="Z14" i="22"/>
  <c r="AD99" i="22"/>
  <c r="AD86" i="22"/>
  <c r="AE79" i="22"/>
  <c r="AF41" i="22"/>
  <c r="Y38" i="22"/>
  <c r="Y61" i="22"/>
  <c r="AA100" i="22"/>
  <c r="AJ37" i="22"/>
  <c r="AG90" i="22"/>
  <c r="AH101" i="22"/>
  <c r="AD15" i="22"/>
  <c r="Y73" i="22"/>
  <c r="AJ50" i="22"/>
  <c r="AF49" i="22"/>
  <c r="AA43" i="22"/>
  <c r="AG70" i="22"/>
  <c r="AG71" i="22"/>
  <c r="AG53" i="22"/>
  <c r="AG5" i="22"/>
  <c r="AI17" i="22"/>
  <c r="AD87" i="22"/>
  <c r="Z67" i="22"/>
  <c r="AG11" i="22"/>
  <c r="Z41" i="22"/>
  <c r="AJ26" i="22"/>
  <c r="AH80" i="22"/>
  <c r="Z54" i="22"/>
  <c r="AC74" i="22"/>
  <c r="Z82" i="22"/>
  <c r="AH39" i="22"/>
  <c r="AI22" i="22"/>
  <c r="Y69" i="22"/>
  <c r="AI87" i="22"/>
  <c r="Y47" i="22"/>
  <c r="AF88" i="22"/>
  <c r="Z77" i="22"/>
  <c r="AJ81" i="22"/>
  <c r="AE90" i="22"/>
  <c r="Z48" i="22"/>
  <c r="AA58" i="22"/>
  <c r="AA46" i="22"/>
  <c r="AG78" i="22"/>
  <c r="AB20" i="22"/>
  <c r="AB100" i="22"/>
  <c r="AB54" i="22"/>
  <c r="AC77" i="22"/>
  <c r="AH24" i="22"/>
  <c r="AC39" i="22"/>
  <c r="AH74" i="22"/>
  <c r="AI65" i="22"/>
  <c r="AD80" i="22"/>
  <c r="AI89" i="22"/>
  <c r="AI74" i="22"/>
  <c r="AD2" i="22"/>
  <c r="AJ78" i="22"/>
  <c r="AE77" i="22"/>
  <c r="AE55" i="22"/>
  <c r="AE12" i="22"/>
  <c r="AB5" i="22"/>
  <c r="AB59" i="22"/>
  <c r="AA73" i="22"/>
  <c r="AF61" i="22"/>
  <c r="AA10" i="22"/>
  <c r="AF82" i="22"/>
  <c r="AA36" i="22"/>
  <c r="AF94" i="22"/>
  <c r="AA44" i="22"/>
  <c r="AF64" i="22"/>
  <c r="AA42" i="22"/>
  <c r="AH11" i="22"/>
  <c r="AG4" i="22"/>
  <c r="AG49" i="22"/>
  <c r="AG35" i="22"/>
  <c r="AB73" i="22"/>
  <c r="AG40" i="22"/>
  <c r="AB44" i="22"/>
  <c r="AG18" i="22"/>
  <c r="AB9" i="22"/>
  <c r="AG28" i="22"/>
  <c r="AB76" i="22"/>
  <c r="AG41" i="22"/>
  <c r="AG86" i="22"/>
  <c r="AG43" i="22"/>
  <c r="Y68" i="22"/>
  <c r="AI5" i="22"/>
  <c r="AD76" i="22"/>
  <c r="AD49" i="22"/>
  <c r="AI14" i="22"/>
  <c r="AI101" i="22"/>
  <c r="Y24" i="22"/>
  <c r="AD34" i="22"/>
  <c r="AI50" i="22"/>
  <c r="AI52" i="22"/>
  <c r="Z28" i="22"/>
  <c r="Z79" i="22"/>
  <c r="Z45" i="22"/>
  <c r="AE100" i="22"/>
  <c r="Z90" i="22"/>
  <c r="AA75" i="22"/>
  <c r="AA87" i="22"/>
  <c r="Z17" i="22"/>
  <c r="AJ84" i="22"/>
  <c r="AJ57" i="22"/>
  <c r="AJ24" i="22"/>
  <c r="Z60" i="22"/>
  <c r="AE33" i="22"/>
  <c r="AF10" i="22"/>
  <c r="AG16" i="22"/>
  <c r="AH76" i="22"/>
  <c r="AD79" i="22"/>
  <c r="Y53" i="22"/>
  <c r="AJ61" i="22"/>
  <c r="AE72" i="22"/>
  <c r="Z16" i="22"/>
  <c r="AF92" i="22"/>
  <c r="AH98" i="22"/>
  <c r="AH15" i="22"/>
  <c r="AH37" i="22"/>
  <c r="AI77" i="22"/>
  <c r="Y35" i="22"/>
  <c r="Y48" i="22"/>
  <c r="AE5" i="22"/>
  <c r="AJ70" i="22"/>
  <c r="Z55" i="22"/>
  <c r="AA37" i="22"/>
  <c r="AH100" i="22"/>
  <c r="AC90" i="22"/>
  <c r="AA11" i="22"/>
  <c r="AE95" i="22"/>
  <c r="AF29" i="22"/>
  <c r="Y75" i="22"/>
  <c r="AD8" i="22"/>
  <c r="AI20" i="22"/>
  <c r="AD44" i="22"/>
  <c r="Z85" i="22"/>
  <c r="Z64" i="22"/>
  <c r="AE36" i="22"/>
  <c r="AJ12" i="22"/>
  <c r="AF60" i="22"/>
  <c r="AG62" i="22"/>
  <c r="AC6" i="22"/>
  <c r="AH9" i="22"/>
  <c r="AC46" i="22"/>
  <c r="AH65" i="22"/>
  <c r="AB39" i="22"/>
  <c r="AC4" i="22"/>
  <c r="AH42" i="22"/>
  <c r="AD11" i="22"/>
  <c r="Y21" i="22"/>
  <c r="Y59" i="22"/>
  <c r="AJ60" i="22"/>
  <c r="AA45" i="22"/>
  <c r="AB88" i="22"/>
  <c r="AI94" i="22"/>
  <c r="Z46" i="22"/>
  <c r="AA32" i="22"/>
  <c r="AC53" i="22"/>
  <c r="AD35" i="22"/>
  <c r="AE75" i="22"/>
  <c r="AF2" i="22"/>
  <c r="AA31" i="22"/>
  <c r="AF21" i="22"/>
  <c r="AA95" i="22"/>
  <c r="AB24" i="22"/>
  <c r="AB71" i="22"/>
  <c r="AB55" i="22"/>
  <c r="AI31" i="22"/>
  <c r="AD18" i="22"/>
  <c r="AJ14" i="22"/>
  <c r="AF72" i="22"/>
  <c r="Z93" i="22"/>
  <c r="AC56" i="22"/>
  <c r="AJ51" i="22"/>
  <c r="AE43" i="22"/>
  <c r="AC30" i="22"/>
  <c r="AH34" i="22"/>
  <c r="AD30" i="22"/>
  <c r="AI69" i="22"/>
  <c r="AD93" i="22"/>
  <c r="AI47" i="22"/>
  <c r="AE68" i="22"/>
  <c r="AJ49" i="22"/>
  <c r="Z96" i="22"/>
  <c r="AE88" i="22"/>
  <c r="AJ48" i="22"/>
  <c r="AF67" i="22"/>
  <c r="AF97" i="22"/>
  <c r="AF57" i="22"/>
  <c r="AA21" i="22"/>
  <c r="AG67" i="22"/>
  <c r="AB87" i="22"/>
  <c r="AB12" i="22"/>
  <c r="AC23" i="22"/>
  <c r="AH66" i="22"/>
  <c r="AH86" i="22"/>
  <c r="AC96" i="22"/>
  <c r="AC55" i="22"/>
  <c r="AC48" i="22"/>
  <c r="AI97" i="22"/>
  <c r="AD81" i="22"/>
  <c r="AD37" i="22"/>
  <c r="Y26" i="22"/>
  <c r="AI8" i="22"/>
  <c r="Z5" i="22"/>
  <c r="AE15" i="22"/>
  <c r="AJ44" i="22"/>
  <c r="AJ74" i="22"/>
  <c r="AG76" i="22"/>
  <c r="AB101" i="22"/>
  <c r="AA68" i="22"/>
  <c r="AF4" i="22"/>
  <c r="AA79" i="22"/>
  <c r="AF20" i="22"/>
  <c r="AA14" i="22"/>
  <c r="AF81" i="22"/>
  <c r="AA92" i="22"/>
  <c r="AF39" i="22"/>
  <c r="AA60" i="22"/>
  <c r="AF33" i="22"/>
  <c r="AG98" i="22"/>
  <c r="AG81" i="22"/>
  <c r="AB27" i="22"/>
  <c r="AB42" i="22"/>
  <c r="AB3" i="22"/>
  <c r="AG80" i="22"/>
  <c r="AA69" i="22"/>
  <c r="AB75" i="22"/>
  <c r="AG8" i="22"/>
  <c r="AB91" i="22"/>
  <c r="AG57" i="22"/>
  <c r="AB94" i="22"/>
  <c r="AI68" i="22"/>
  <c r="Y8" i="22"/>
  <c r="W3" i="22"/>
  <c r="I3" i="22" s="1"/>
  <c r="AI3" i="22"/>
  <c r="Y84" i="22"/>
  <c r="AD51" i="22"/>
  <c r="AI72" i="22"/>
  <c r="W24" i="22"/>
  <c r="I24" i="22" s="1"/>
  <c r="AI24" i="22"/>
  <c r="Y88" i="22"/>
  <c r="AD63" i="22"/>
  <c r="AD32" i="22"/>
  <c r="Z73" i="22"/>
  <c r="AJ3" i="22"/>
  <c r="AE69" i="22"/>
  <c r="Z43" i="22"/>
  <c r="AJ42" i="22"/>
  <c r="AA6" i="22"/>
  <c r="AF27" i="22"/>
  <c r="AE61" i="22"/>
  <c r="AE20" i="22"/>
  <c r="AE80" i="22"/>
  <c r="Z89" i="22"/>
  <c r="AE18" i="22"/>
  <c r="AJ52" i="22"/>
  <c r="AA82" i="22"/>
  <c r="AC68" i="22"/>
  <c r="AH22" i="22"/>
  <c r="AC14" i="22"/>
  <c r="AC92" i="22"/>
  <c r="Y22" i="22"/>
  <c r="Y55" i="22"/>
  <c r="Z71" i="22"/>
  <c r="AJ76" i="22"/>
  <c r="AJ100" i="22"/>
  <c r="AA53" i="22"/>
  <c r="AC13" i="22"/>
  <c r="AC7" i="22"/>
  <c r="AH20" i="22"/>
  <c r="AH21" i="22"/>
  <c r="Y15" i="22"/>
  <c r="Y80" i="22"/>
  <c r="AI33" i="22"/>
  <c r="Z2" i="22"/>
  <c r="Y2" i="22"/>
  <c r="AE66" i="22"/>
  <c r="AE83" i="22"/>
  <c r="AH47" i="22"/>
  <c r="AJ11" i="22"/>
  <c r="AJ20" i="22"/>
  <c r="AI75" i="22"/>
  <c r="Y4" i="22"/>
  <c r="AD65" i="22"/>
  <c r="AD89" i="22"/>
  <c r="AJ82" i="22"/>
  <c r="Z63" i="22"/>
  <c r="Z35" i="22"/>
  <c r="AJ32" i="22"/>
  <c r="AB38" i="22"/>
  <c r="AG27" i="22"/>
  <c r="AB63" i="22"/>
  <c r="AE11" i="22"/>
  <c r="AC71" i="22"/>
  <c r="Z11" i="22"/>
  <c r="Y39" i="22"/>
  <c r="AJ38" i="22"/>
  <c r="AB15" i="22"/>
  <c r="AD55" i="22"/>
  <c r="AJ30" i="22"/>
  <c r="AG91" i="22"/>
  <c r="AA17" i="22"/>
  <c r="AF48" i="22"/>
  <c r="AB36" i="22"/>
  <c r="AG23" i="22"/>
  <c r="AB56" i="22"/>
  <c r="AG29" i="22"/>
  <c r="Y41" i="22"/>
  <c r="Y83" i="22"/>
  <c r="Z68" i="22"/>
  <c r="AJ27" i="22"/>
  <c r="AJ45" i="22"/>
  <c r="AF79" i="22"/>
  <c r="AC65" i="22"/>
  <c r="AI100" i="22"/>
  <c r="AA23" i="22"/>
  <c r="AC86" i="22"/>
  <c r="AI61" i="22"/>
  <c r="AE78" i="22"/>
  <c r="AC25" i="22"/>
  <c r="AH63" i="22"/>
  <c r="AD10" i="22"/>
  <c r="AD59" i="22"/>
  <c r="AI55" i="22"/>
  <c r="Y64" i="22"/>
  <c r="AJ98" i="22"/>
  <c r="AE84" i="22"/>
  <c r="AJ94" i="22"/>
  <c r="AE56" i="22"/>
  <c r="AE99" i="22"/>
  <c r="AA76" i="22"/>
  <c r="AA85" i="22"/>
  <c r="AA81" i="22"/>
  <c r="AA39" i="22"/>
  <c r="AB23" i="22"/>
  <c r="AG65" i="22"/>
  <c r="AG24" i="22"/>
  <c r="AG74" i="22"/>
  <c r="AH17" i="22"/>
  <c r="AC15" i="22"/>
  <c r="AC91" i="22"/>
  <c r="AC34" i="22"/>
  <c r="Y14" i="22"/>
  <c r="Y72" i="22"/>
  <c r="AD39" i="22"/>
  <c r="AI26" i="22"/>
  <c r="W7" i="22"/>
  <c r="I7" i="22" s="1"/>
  <c r="AI7" i="22"/>
  <c r="AE2" i="22"/>
  <c r="U97" i="22"/>
  <c r="G97" i="22" s="1"/>
  <c r="Z97" i="22"/>
  <c r="AE37" i="22"/>
  <c r="AE38" i="22"/>
  <c r="AB66" i="22"/>
  <c r="AB29" i="22"/>
  <c r="AF25" i="22"/>
  <c r="AA7" i="22"/>
  <c r="AF77" i="22"/>
  <c r="AA65" i="22"/>
  <c r="AF46" i="22"/>
  <c r="AA72" i="22"/>
  <c r="AF19" i="22"/>
  <c r="AA90" i="22"/>
  <c r="AF12" i="22"/>
  <c r="AA52" i="22"/>
  <c r="AB65" i="22"/>
  <c r="AG12" i="22"/>
  <c r="AB78" i="22"/>
  <c r="AB14" i="22"/>
  <c r="AB89" i="22"/>
  <c r="AB62" i="22"/>
  <c r="AA80" i="22"/>
  <c r="AB4" i="22"/>
  <c r="AG3" i="22"/>
  <c r="AG84" i="22"/>
  <c r="AD98" i="22"/>
  <c r="AD4" i="22"/>
  <c r="AD22" i="22"/>
  <c r="W84" i="22"/>
  <c r="AI84" i="22"/>
  <c r="Y86" i="22"/>
  <c r="W29" i="22"/>
  <c r="AI29" i="22"/>
  <c r="Y44" i="22"/>
  <c r="AI88" i="22"/>
  <c r="AD54" i="22"/>
  <c r="Y9" i="22"/>
  <c r="AE25" i="22"/>
  <c r="AJ66" i="22"/>
  <c r="AJ36" i="22"/>
  <c r="Z92" i="22"/>
  <c r="Z26" i="22"/>
  <c r="AF5" i="22"/>
  <c r="AJ79" i="22"/>
  <c r="AJ65" i="22"/>
  <c r="Z72" i="22"/>
  <c r="Z27" i="22"/>
  <c r="Z50" i="22"/>
  <c r="Z9" i="22"/>
  <c r="AF59" i="22"/>
  <c r="AH75" i="22"/>
  <c r="AH51" i="22"/>
  <c r="AC24" i="22"/>
  <c r="AI15" i="22"/>
  <c r="AD83" i="22"/>
  <c r="AJ75" i="22"/>
  <c r="Z22" i="22"/>
  <c r="Z87" i="22"/>
  <c r="AF73" i="22"/>
  <c r="AA22" i="22"/>
  <c r="AF89" i="22"/>
  <c r="AH58" i="22"/>
  <c r="AC59" i="22"/>
  <c r="AC88" i="22"/>
  <c r="AC9" i="22"/>
  <c r="Y20" i="22"/>
  <c r="Y81" i="22"/>
  <c r="AD95" i="22"/>
  <c r="AE8" i="22"/>
  <c r="Z15" i="22"/>
  <c r="Z34" i="22"/>
  <c r="AA18" i="22"/>
  <c r="AH94" i="22"/>
  <c r="AH64" i="22"/>
  <c r="AD90" i="22"/>
  <c r="AE86" i="22"/>
  <c r="AA2" i="22"/>
  <c r="AF83" i="22"/>
  <c r="AD73" i="22"/>
  <c r="AD7" i="22"/>
  <c r="AI85" i="22"/>
  <c r="Y34" i="22"/>
  <c r="Z91" i="22"/>
  <c r="AJ54" i="22"/>
  <c r="Z80" i="22"/>
  <c r="AJ16" i="22"/>
  <c r="AF9" i="22"/>
  <c r="AG99" i="22"/>
  <c r="AH7" i="22"/>
  <c r="AG50" i="22"/>
  <c r="AC94" i="22"/>
  <c r="AB64" i="22"/>
  <c r="AH67" i="22"/>
  <c r="AA33" i="22"/>
  <c r="AC58" i="22"/>
  <c r="AF52" i="22"/>
  <c r="Z37" i="22"/>
  <c r="AB19" i="22"/>
  <c r="AC84" i="22"/>
  <c r="AA48" i="22"/>
  <c r="AD41" i="22"/>
  <c r="AI35" i="22"/>
  <c r="Y19" i="22"/>
  <c r="W18" i="22"/>
  <c r="AI18" i="22"/>
  <c r="AE13" i="22"/>
  <c r="AE65" i="22"/>
  <c r="AJ87" i="22"/>
  <c r="AE60" i="22"/>
  <c r="AJ33" i="22"/>
  <c r="AA70" i="22"/>
  <c r="AF31" i="22"/>
  <c r="AA96" i="22"/>
  <c r="AG17" i="22"/>
  <c r="AB85" i="22"/>
  <c r="AG44" i="22"/>
  <c r="AG26" i="22"/>
  <c r="AC61" i="22"/>
  <c r="AC49" i="22"/>
  <c r="AC69" i="22"/>
  <c r="AH29" i="22"/>
  <c r="AC19" i="22"/>
  <c r="AC33" i="22"/>
  <c r="AI86" i="22"/>
  <c r="AD96" i="22"/>
  <c r="Y90" i="22"/>
  <c r="AD48" i="22"/>
  <c r="AD58" i="22"/>
  <c r="Z7" i="22"/>
  <c r="Z86" i="22"/>
  <c r="Z88" i="22"/>
  <c r="AJ9" i="22"/>
  <c r="AB41" i="22"/>
  <c r="AF98" i="22"/>
  <c r="AA78" i="22"/>
  <c r="AF76" i="22"/>
  <c r="AA66" i="22"/>
  <c r="AF51" i="22"/>
  <c r="AA59" i="22"/>
  <c r="AF87" i="22"/>
  <c r="AA89" i="22"/>
  <c r="AF18" i="22"/>
  <c r="AA74" i="22"/>
  <c r="AB28" i="22"/>
  <c r="AB17" i="22"/>
  <c r="AG39" i="22"/>
  <c r="AG2" i="22"/>
  <c r="AB72" i="22"/>
  <c r="AG37" i="22"/>
  <c r="AG54" i="22"/>
  <c r="AG73" i="22"/>
  <c r="AB22" i="22"/>
  <c r="AB40" i="22"/>
  <c r="AG45" i="22"/>
  <c r="AG101" i="22"/>
  <c r="AG92" i="22"/>
  <c r="Y13" i="22"/>
  <c r="Y7" i="22"/>
  <c r="AI30" i="22"/>
  <c r="AD20" i="22"/>
  <c r="AI45" i="22"/>
  <c r="AD100" i="22"/>
  <c r="AD19" i="22"/>
  <c r="AD47" i="22"/>
  <c r="Y42" i="22"/>
  <c r="AI9" i="22"/>
  <c r="Z78" i="22"/>
  <c r="AJ41" i="22"/>
  <c r="AJ59" i="22"/>
  <c r="AJ93" i="22"/>
  <c r="AE48" i="22"/>
  <c r="AA38" i="22"/>
  <c r="Z3" i="22"/>
  <c r="Y3" i="22"/>
  <c r="AJ97" i="22"/>
  <c r="AJ29" i="22"/>
  <c r="AE21" i="22"/>
  <c r="AE63" i="22"/>
  <c r="AE16" i="22"/>
  <c r="AF24" i="22"/>
  <c r="AC78" i="22"/>
  <c r="AC45" i="22"/>
  <c r="AH38" i="22"/>
  <c r="AD97" i="22"/>
  <c r="AI39" i="22"/>
  <c r="AE73" i="22"/>
  <c r="Z70" i="22"/>
  <c r="AE24" i="22"/>
  <c r="AA25" i="22"/>
  <c r="AC67" i="22"/>
  <c r="AC97" i="22"/>
  <c r="AH35" i="22"/>
  <c r="AC95" i="22"/>
  <c r="AI40" i="22"/>
  <c r="Y96" i="22"/>
  <c r="Z98" i="22"/>
  <c r="AJ4" i="22"/>
  <c r="Z49" i="22"/>
  <c r="AE50" i="22"/>
  <c r="AH18" i="22"/>
  <c r="AD56" i="22"/>
  <c r="AJ80" i="22"/>
  <c r="AF7" i="22"/>
  <c r="AA63" i="22"/>
  <c r="Y25" i="22"/>
  <c r="AI76" i="22"/>
  <c r="AD36" i="22"/>
  <c r="AD60" i="22"/>
  <c r="Z69" i="22"/>
  <c r="AE74" i="22"/>
  <c r="AJ96" i="22"/>
  <c r="AF65" i="22"/>
  <c r="AA16" i="22"/>
  <c r="AH45" i="22"/>
  <c r="AG88" i="22"/>
  <c r="AG42" i="22"/>
  <c r="AH72" i="22"/>
  <c r="AH68" i="22"/>
  <c r="AH44" i="22"/>
  <c r="AB34" i="22"/>
  <c r="AG60" i="22"/>
  <c r="Y11" i="22"/>
  <c r="AH6" i="22"/>
  <c r="Z51" i="22"/>
  <c r="AG66" i="22"/>
  <c r="AC70" i="22"/>
  <c r="AI93" i="22"/>
  <c r="AJ28" i="22"/>
  <c r="AG47" i="22"/>
  <c r="AA30" i="22"/>
  <c r="AA24" i="22"/>
  <c r="AF47" i="22"/>
  <c r="AB30" i="22"/>
  <c r="AG15" i="22"/>
  <c r="AB82" i="22"/>
  <c r="AI66" i="22"/>
  <c r="AI60" i="22"/>
  <c r="AJ31" i="22"/>
  <c r="AF101" i="22"/>
  <c r="AE34" i="22"/>
  <c r="AC17" i="22"/>
  <c r="AH16" i="22"/>
  <c r="AE31" i="22"/>
  <c r="AF42" i="22"/>
  <c r="AH53" i="22"/>
  <c r="Z25" i="22"/>
  <c r="AC72" i="22"/>
  <c r="AJ34" i="22"/>
  <c r="AD66" i="22"/>
  <c r="AJ15" i="22"/>
  <c r="AH59" i="22"/>
  <c r="AH26" i="22"/>
  <c r="AC16" i="22"/>
  <c r="AA19" i="22"/>
  <c r="AH71" i="22"/>
  <c r="AI98" i="22"/>
  <c r="AI49" i="22"/>
  <c r="AD57" i="22"/>
  <c r="AI19" i="22"/>
  <c r="AD50" i="22"/>
  <c r="Z6" i="22"/>
  <c r="Z40" i="22"/>
  <c r="AE93" i="22"/>
  <c r="AJ63" i="22"/>
  <c r="AF68" i="22"/>
  <c r="AF14" i="22"/>
  <c r="AF90" i="22"/>
  <c r="AB61" i="22"/>
  <c r="AC20" i="22"/>
  <c r="AH36" i="22"/>
  <c r="AH56" i="22"/>
  <c r="AC32" i="22"/>
  <c r="AD91" i="22"/>
  <c r="Y29" i="22"/>
  <c r="AI90" i="22"/>
  <c r="W13" i="22"/>
  <c r="AI13" i="22"/>
  <c r="AD61" i="22"/>
  <c r="AJ67" i="22"/>
  <c r="AJ86" i="22"/>
  <c r="AE47" i="22"/>
  <c r="AB84" i="22"/>
  <c r="AG87" i="22"/>
  <c r="AA13" i="22"/>
  <c r="AF58" i="22"/>
  <c r="AA3" i="22"/>
  <c r="AF40" i="22"/>
  <c r="AA86" i="22"/>
  <c r="AF96" i="22"/>
  <c r="AA93" i="22"/>
  <c r="AF34" i="22"/>
  <c r="AA50" i="22"/>
  <c r="AF32" i="22"/>
  <c r="AG75" i="22"/>
  <c r="AG100" i="22"/>
  <c r="AB99" i="22"/>
  <c r="AB10" i="22"/>
  <c r="AB86" i="22"/>
  <c r="AG96" i="22"/>
  <c r="AG21" i="22"/>
  <c r="AB25" i="22"/>
  <c r="AG7" i="22"/>
  <c r="AB69" i="22"/>
  <c r="AB81" i="22"/>
  <c r="AI28" i="22"/>
  <c r="Y67" i="22"/>
  <c r="AD70" i="22"/>
  <c r="AD40" i="22"/>
  <c r="AD69" i="22"/>
  <c r="Y43" i="22"/>
  <c r="Y89" i="22"/>
  <c r="AI56" i="22"/>
  <c r="AI42" i="22"/>
  <c r="AD16" i="22"/>
  <c r="AE6" i="22"/>
  <c r="Z84" i="22"/>
  <c r="AE35" i="22"/>
  <c r="Z24" i="22"/>
  <c r="AJ99" i="22"/>
  <c r="AF3" i="22"/>
  <c r="AJ68" i="22"/>
  <c r="Z30" i="22"/>
  <c r="AE85" i="22"/>
  <c r="AJ43" i="22"/>
  <c r="Z83" i="22"/>
  <c r="Z62" i="22"/>
  <c r="AJ95" i="22"/>
  <c r="AH2" i="22"/>
  <c r="AC66" i="22"/>
  <c r="AH69" i="22"/>
  <c r="AC27" i="22"/>
  <c r="AH48" i="22"/>
  <c r="Y51" i="22"/>
  <c r="Y18" i="22"/>
  <c r="AJ25" i="22"/>
  <c r="AJ77" i="22"/>
  <c r="Z19" i="22"/>
  <c r="AF78" i="22"/>
  <c r="AA77" i="22"/>
  <c r="AC73" i="22"/>
  <c r="AH23" i="22"/>
  <c r="AH85" i="22"/>
  <c r="Y58" i="22"/>
  <c r="Y85" i="22"/>
  <c r="AD24" i="22"/>
  <c r="AJ71" i="22"/>
  <c r="AE7" i="22"/>
  <c r="AE97" i="22"/>
  <c r="AE42" i="22"/>
  <c r="AH4" i="22"/>
  <c r="AH87" i="22"/>
  <c r="AH54" i="22"/>
  <c r="AI64" i="22"/>
  <c r="AE92" i="22"/>
  <c r="AA61" i="22"/>
  <c r="AA12" i="22"/>
  <c r="AI25" i="22"/>
  <c r="AD3" i="22"/>
  <c r="AD101" i="22"/>
  <c r="Y63" i="22"/>
  <c r="AE59" i="22"/>
  <c r="Z33" i="22"/>
  <c r="Z100" i="22"/>
  <c r="AH92" i="22"/>
  <c r="AG56" i="22"/>
  <c r="AH3" i="22"/>
  <c r="AB32" i="22"/>
  <c r="AH13" i="22"/>
  <c r="AH88" i="22"/>
  <c r="AC40" i="22"/>
  <c r="AG95" i="22"/>
  <c r="AJ22" i="22"/>
  <c r="Y66" i="22"/>
  <c r="AB77" i="22"/>
  <c r="AI92" i="22"/>
  <c r="AF11" i="22"/>
  <c r="AJ89" i="22"/>
  <c r="AE87" i="22"/>
  <c r="AF74" i="22"/>
  <c r="Z23" i="22"/>
  <c r="AC10" i="22"/>
  <c r="AD17" i="22"/>
  <c r="AJ35" i="22"/>
  <c r="AC44" i="22"/>
  <c r="AD13" i="22"/>
  <c r="AE29" i="22"/>
  <c r="AH8" i="22"/>
  <c r="AF28" i="22"/>
  <c r="AE101" i="22"/>
  <c r="AC28" i="22"/>
  <c r="AI71" i="22"/>
  <c r="Y40" i="22"/>
  <c r="AI80" i="22"/>
  <c r="AI37" i="22"/>
  <c r="AI63" i="22"/>
  <c r="AJ2" i="22"/>
  <c r="AJ40" i="22"/>
  <c r="AE44" i="22"/>
  <c r="AE62" i="22"/>
  <c r="AA98" i="22"/>
  <c r="AA15" i="22"/>
  <c r="AA51" i="22"/>
  <c r="AA94" i="22"/>
  <c r="AF56" i="22"/>
  <c r="AB51" i="22"/>
  <c r="AG89" i="22"/>
  <c r="AC22" i="22"/>
  <c r="AC87" i="22"/>
  <c r="AH89" i="22"/>
  <c r="AC18" i="22"/>
  <c r="Y30" i="22"/>
  <c r="Y45" i="22"/>
  <c r="AI43" i="22"/>
  <c r="Y56" i="22"/>
  <c r="AD71" i="22"/>
  <c r="AI79" i="22"/>
  <c r="AJ17" i="22"/>
  <c r="AE91" i="22"/>
  <c r="Z56" i="22"/>
  <c r="AB60" i="22"/>
  <c r="AB97" i="22"/>
  <c r="AG55" i="22"/>
  <c r="AF6" i="22"/>
  <c r="AA67" i="22"/>
  <c r="AF15" i="22"/>
  <c r="AA97" i="22"/>
  <c r="AF35" i="22"/>
  <c r="AA29" i="22"/>
  <c r="AF37" i="22"/>
  <c r="AA88" i="22"/>
  <c r="AF38" i="22"/>
  <c r="AA9" i="22"/>
  <c r="AG25" i="22"/>
  <c r="AB79" i="22"/>
  <c r="AB31" i="22"/>
  <c r="AB43" i="22"/>
  <c r="AG34" i="22"/>
  <c r="AG33" i="22"/>
  <c r="AB7" i="22"/>
  <c r="AG77" i="22"/>
  <c r="AB83" i="22"/>
  <c r="AB74" i="22"/>
  <c r="AG68" i="22"/>
  <c r="AB58" i="22"/>
  <c r="AG30" i="22"/>
  <c r="AG97" i="22"/>
  <c r="AG72" i="22"/>
  <c r="AG93" i="22"/>
  <c r="AI73" i="22"/>
  <c r="AI67" i="22"/>
  <c r="Y10" i="22"/>
  <c r="Y97" i="22"/>
  <c r="Y36" i="22"/>
  <c r="AD94" i="22"/>
  <c r="Y27" i="22"/>
  <c r="AD64" i="22"/>
  <c r="AD38" i="22"/>
  <c r="Y95" i="22"/>
  <c r="AJ5" i="22"/>
  <c r="Z65" i="22"/>
  <c r="AJ101" i="22"/>
  <c r="Z44" i="22"/>
  <c r="Z52" i="22"/>
  <c r="AA49" i="22"/>
  <c r="Z13" i="22"/>
  <c r="AE70" i="22"/>
  <c r="Z31" i="22"/>
  <c r="AE94" i="22"/>
  <c r="AE39" i="22"/>
  <c r="AE54" i="22"/>
  <c r="AC41" i="22"/>
  <c r="AH46" i="22"/>
  <c r="AH33" i="22"/>
  <c r="Y91" i="22"/>
  <c r="AD62" i="22"/>
  <c r="Z4" i="22"/>
  <c r="AE41" i="22"/>
  <c r="AJ21" i="22"/>
  <c r="AF8" i="22"/>
  <c r="AA64" i="22"/>
  <c r="AC31" i="22"/>
  <c r="AC50" i="22"/>
  <c r="W58" i="22"/>
  <c r="AI58" i="22"/>
  <c r="AD31" i="22"/>
  <c r="Y37" i="22"/>
  <c r="AE28" i="22"/>
  <c r="AJ58" i="22"/>
  <c r="AE14" i="22"/>
  <c r="Z32" i="22"/>
  <c r="AC57" i="22"/>
  <c r="AH12" i="22"/>
  <c r="AI38" i="22"/>
  <c r="Z53" i="22"/>
  <c r="AF30" i="22"/>
  <c r="AD68" i="22"/>
  <c r="AD78" i="22"/>
  <c r="Y70" i="22"/>
  <c r="AI81" i="22"/>
  <c r="Y54" i="22"/>
  <c r="AE57" i="22"/>
  <c r="AE9" i="22"/>
  <c r="AJ53" i="22"/>
  <c r="AF95" i="22"/>
  <c r="AH27" i="22"/>
  <c r="AB18" i="22"/>
  <c r="AH41" i="22"/>
  <c r="AC47" i="22"/>
  <c r="AH73" i="22"/>
  <c r="AC64" i="22"/>
  <c r="AC51" i="22"/>
  <c r="AH31" i="22"/>
  <c r="AH43" i="22"/>
  <c r="T61" i="22"/>
  <c r="T39" i="22"/>
  <c r="T73" i="22"/>
  <c r="T76" i="22"/>
  <c r="W34" i="22"/>
  <c r="I34" i="22" s="1"/>
  <c r="T65" i="22"/>
  <c r="T57" i="22"/>
  <c r="T74" i="22"/>
  <c r="T69" i="22"/>
  <c r="T47" i="22"/>
  <c r="T8" i="22"/>
  <c r="T84" i="22"/>
  <c r="T64" i="22"/>
  <c r="T14" i="22"/>
  <c r="T72" i="22"/>
  <c r="T86" i="22"/>
  <c r="T26" i="22"/>
  <c r="W35" i="22"/>
  <c r="I35" i="22" s="1"/>
  <c r="T19" i="22"/>
  <c r="T90" i="22"/>
  <c r="T13" i="22"/>
  <c r="T7" i="22"/>
  <c r="T29" i="22"/>
  <c r="T67" i="22"/>
  <c r="T43" i="22"/>
  <c r="T51" i="22"/>
  <c r="T18" i="22"/>
  <c r="T58" i="22"/>
  <c r="T85" i="22"/>
  <c r="T63" i="22"/>
  <c r="T89" i="22"/>
  <c r="T56" i="22"/>
  <c r="T93" i="22"/>
  <c r="T62" i="22"/>
  <c r="T28" i="22"/>
  <c r="T78" i="22"/>
  <c r="T92" i="22"/>
  <c r="T60" i="22"/>
  <c r="T46" i="22"/>
  <c r="T98" i="22"/>
  <c r="T6" i="22"/>
  <c r="T12" i="22"/>
  <c r="T23" i="22"/>
  <c r="T100" i="22"/>
  <c r="T21" i="22"/>
  <c r="T33" i="22"/>
  <c r="T66" i="22"/>
  <c r="T59" i="22"/>
  <c r="T17" i="22"/>
  <c r="T31" i="22"/>
  <c r="T32" i="22"/>
  <c r="T94" i="22"/>
  <c r="T38" i="22"/>
  <c r="T97" i="22"/>
  <c r="T91" i="22"/>
  <c r="T37" i="22"/>
  <c r="T70" i="22"/>
  <c r="T54" i="22"/>
  <c r="T41" i="22"/>
  <c r="W31" i="22"/>
  <c r="T83" i="22"/>
  <c r="T71" i="22"/>
  <c r="T49" i="22"/>
  <c r="T87" i="22"/>
  <c r="T5" i="22"/>
  <c r="T79" i="22"/>
  <c r="T101" i="22"/>
  <c r="T50" i="22"/>
  <c r="T52" i="22"/>
  <c r="T16" i="22"/>
  <c r="T77" i="22"/>
  <c r="W89" i="22"/>
  <c r="T68" i="22"/>
  <c r="T24" i="22"/>
  <c r="T53" i="22"/>
  <c r="T35" i="22"/>
  <c r="T48" i="22"/>
  <c r="T75" i="22"/>
  <c r="T88" i="22"/>
  <c r="T22" i="22"/>
  <c r="T55" i="22"/>
  <c r="T15" i="22"/>
  <c r="T80" i="22"/>
  <c r="T4" i="22"/>
  <c r="T44" i="22"/>
  <c r="T9" i="22"/>
  <c r="U9" i="22"/>
  <c r="G9" i="22" s="1"/>
  <c r="W15" i="22"/>
  <c r="T20" i="22"/>
  <c r="T81" i="22"/>
  <c r="T34" i="22"/>
  <c r="T42" i="22"/>
  <c r="T96" i="22"/>
  <c r="T25" i="22"/>
  <c r="U12" i="22"/>
  <c r="G12" i="22" s="1"/>
  <c r="W10" i="22"/>
  <c r="I10" i="22" s="1"/>
  <c r="W95" i="22"/>
  <c r="U20" i="22"/>
  <c r="G20" i="22" s="1"/>
  <c r="W21" i="22"/>
  <c r="U75" i="22"/>
  <c r="G75" i="22" s="1"/>
  <c r="U21" i="22"/>
  <c r="G21" i="22" s="1"/>
  <c r="W70" i="22"/>
  <c r="I70" i="22" s="1"/>
  <c r="W57" i="22"/>
  <c r="W100" i="22"/>
  <c r="W32" i="22"/>
  <c r="I32" i="22" s="1"/>
  <c r="W5" i="22"/>
  <c r="W68" i="22"/>
  <c r="U58" i="22"/>
  <c r="G58" i="22" s="1"/>
  <c r="U81" i="22"/>
  <c r="G81" i="22" s="1"/>
  <c r="U10" i="22"/>
  <c r="G10" i="22" s="1"/>
  <c r="W93" i="22"/>
  <c r="I93" i="22" s="1"/>
  <c r="W59" i="22"/>
  <c r="W94" i="22"/>
  <c r="W17" i="22"/>
  <c r="U68" i="22"/>
  <c r="G68" i="22" s="1"/>
  <c r="U93" i="22"/>
  <c r="G93" i="22" s="1"/>
  <c r="W61" i="22"/>
  <c r="I61" i="22" s="1"/>
  <c r="W54" i="22"/>
  <c r="I54" i="22" s="1"/>
  <c r="W41" i="22"/>
  <c r="I41" i="22" s="1"/>
  <c r="W53" i="22"/>
  <c r="I53" i="22" s="1"/>
  <c r="W36" i="22"/>
  <c r="W22" i="22"/>
  <c r="W87" i="22"/>
  <c r="I87" i="22" s="1"/>
  <c r="W101" i="22"/>
  <c r="W77" i="22"/>
  <c r="W97" i="22"/>
  <c r="W72" i="22"/>
  <c r="W33" i="22"/>
  <c r="I33" i="22" s="1"/>
  <c r="T82" i="22"/>
  <c r="U57" i="22"/>
  <c r="W69" i="22"/>
  <c r="I69" i="22" s="1"/>
  <c r="W47" i="22"/>
  <c r="I47" i="22" s="1"/>
  <c r="V68" i="22"/>
  <c r="H68" i="22" s="1"/>
  <c r="U96" i="22"/>
  <c r="G96" i="22" s="1"/>
  <c r="V88" i="22"/>
  <c r="W8" i="22"/>
  <c r="U5" i="22"/>
  <c r="G5" i="22" s="1"/>
  <c r="V15" i="22"/>
  <c r="H15" i="22" s="1"/>
  <c r="U73" i="22"/>
  <c r="V69" i="22"/>
  <c r="H69" i="22" s="1"/>
  <c r="U43" i="22"/>
  <c r="G43" i="22" s="1"/>
  <c r="V61" i="22"/>
  <c r="H61" i="22" s="1"/>
  <c r="V20" i="22"/>
  <c r="H20" i="22" s="1"/>
  <c r="V80" i="22"/>
  <c r="H80" i="22" s="1"/>
  <c r="U89" i="22"/>
  <c r="G89" i="22" s="1"/>
  <c r="V18" i="22"/>
  <c r="H18" i="22" s="1"/>
  <c r="U71" i="22"/>
  <c r="G71" i="22" s="1"/>
  <c r="U2" i="22"/>
  <c r="V66" i="22"/>
  <c r="H66" i="22" s="1"/>
  <c r="V83" i="22"/>
  <c r="H83" i="22" s="1"/>
  <c r="W75" i="22"/>
  <c r="I75" i="22" s="1"/>
  <c r="U63" i="22"/>
  <c r="U35" i="22"/>
  <c r="G35" i="22" s="1"/>
  <c r="V11" i="22"/>
  <c r="H11" i="22" s="1"/>
  <c r="W26" i="22"/>
  <c r="I26" i="22" s="1"/>
  <c r="U26" i="22"/>
  <c r="G26" i="22" s="1"/>
  <c r="U27" i="22"/>
  <c r="G27" i="22" s="1"/>
  <c r="U87" i="22"/>
  <c r="G87" i="22" s="1"/>
  <c r="U34" i="22"/>
  <c r="G34" i="22" s="1"/>
  <c r="V86" i="22"/>
  <c r="H86" i="22" s="1"/>
  <c r="V13" i="22"/>
  <c r="H13" i="22" s="1"/>
  <c r="V65" i="22"/>
  <c r="H65" i="22" s="1"/>
  <c r="V60" i="22"/>
  <c r="H60" i="22" s="1"/>
  <c r="W86" i="22"/>
  <c r="U7" i="22"/>
  <c r="G7" i="22" s="1"/>
  <c r="U86" i="22"/>
  <c r="G86" i="22" s="1"/>
  <c r="U88" i="22"/>
  <c r="G88" i="22" s="1"/>
  <c r="W30" i="22"/>
  <c r="I30" i="22" s="1"/>
  <c r="W45" i="22"/>
  <c r="I45" i="22" s="1"/>
  <c r="W9" i="22"/>
  <c r="U78" i="22"/>
  <c r="G78" i="22" s="1"/>
  <c r="V48" i="22"/>
  <c r="H48" i="22" s="1"/>
  <c r="U3" i="22"/>
  <c r="V21" i="22"/>
  <c r="H21" i="22" s="1"/>
  <c r="V63" i="22"/>
  <c r="H63" i="22" s="1"/>
  <c r="V16" i="22"/>
  <c r="H16" i="22" s="1"/>
  <c r="W39" i="22"/>
  <c r="I39" i="22" s="1"/>
  <c r="V73" i="22"/>
  <c r="H73" i="22" s="1"/>
  <c r="U70" i="22"/>
  <c r="V24" i="22"/>
  <c r="H24" i="22" s="1"/>
  <c r="W40" i="22"/>
  <c r="U98" i="22"/>
  <c r="G98" i="22" s="1"/>
  <c r="U49" i="22"/>
  <c r="G49" i="22" s="1"/>
  <c r="V50" i="22"/>
  <c r="H50" i="22" s="1"/>
  <c r="W76" i="22"/>
  <c r="U69" i="22"/>
  <c r="G69" i="22" s="1"/>
  <c r="V74" i="22"/>
  <c r="H74" i="22" s="1"/>
  <c r="V99" i="22"/>
  <c r="V37" i="22"/>
  <c r="H37" i="22" s="1"/>
  <c r="U72" i="22"/>
  <c r="G72" i="22" s="1"/>
  <c r="V8" i="22"/>
  <c r="H8" i="22" s="1"/>
  <c r="W85" i="22"/>
  <c r="U80" i="22"/>
  <c r="G80" i="22" s="1"/>
  <c r="W98" i="22"/>
  <c r="W49" i="22"/>
  <c r="I49" i="22" s="1"/>
  <c r="W19" i="22"/>
  <c r="I19" i="22" s="1"/>
  <c r="U6" i="22"/>
  <c r="G6" i="22" s="1"/>
  <c r="U40" i="22"/>
  <c r="G40" i="22" s="1"/>
  <c r="V93" i="22"/>
  <c r="W90" i="22"/>
  <c r="V47" i="22"/>
  <c r="H47" i="22" s="1"/>
  <c r="W28" i="22"/>
  <c r="I28" i="22" s="1"/>
  <c r="W56" i="22"/>
  <c r="I56" i="22" s="1"/>
  <c r="W42" i="22"/>
  <c r="I42" i="22" s="1"/>
  <c r="V6" i="22"/>
  <c r="H6" i="22" s="1"/>
  <c r="U84" i="22"/>
  <c r="G84" i="22" s="1"/>
  <c r="V35" i="22"/>
  <c r="H35" i="22" s="1"/>
  <c r="U24" i="22"/>
  <c r="G24" i="22" s="1"/>
  <c r="U30" i="22"/>
  <c r="G30" i="22" s="1"/>
  <c r="V85" i="22"/>
  <c r="U83" i="22"/>
  <c r="G83" i="22" s="1"/>
  <c r="U62" i="22"/>
  <c r="G62" i="22" s="1"/>
  <c r="U19" i="22"/>
  <c r="G19" i="22" s="1"/>
  <c r="V7" i="22"/>
  <c r="H7" i="22" s="1"/>
  <c r="V97" i="22"/>
  <c r="V42" i="22"/>
  <c r="H42" i="22" s="1"/>
  <c r="W64" i="22"/>
  <c r="I64" i="22" s="1"/>
  <c r="V92" i="22"/>
  <c r="W25" i="22"/>
  <c r="V59" i="22"/>
  <c r="H59" i="22" s="1"/>
  <c r="U33" i="22"/>
  <c r="G33" i="22" s="1"/>
  <c r="U100" i="22"/>
  <c r="G100" i="22" s="1"/>
  <c r="V30" i="22"/>
  <c r="H30" i="22" s="1"/>
  <c r="V75" i="22"/>
  <c r="H75" i="22" s="1"/>
  <c r="W55" i="22"/>
  <c r="I55" i="22" s="1"/>
  <c r="V84" i="22"/>
  <c r="H84" i="22" s="1"/>
  <c r="V56" i="22"/>
  <c r="H56" i="22" s="1"/>
  <c r="V2" i="22"/>
  <c r="H2" i="22" s="1"/>
  <c r="V38" i="22"/>
  <c r="H38" i="22" s="1"/>
  <c r="W88" i="22"/>
  <c r="V25" i="22"/>
  <c r="H25" i="22" s="1"/>
  <c r="U92" i="22"/>
  <c r="G92" i="22" s="1"/>
  <c r="U50" i="22"/>
  <c r="G50" i="22" s="1"/>
  <c r="U22" i="22"/>
  <c r="G22" i="22" s="1"/>
  <c r="U15" i="22"/>
  <c r="G15" i="22" s="1"/>
  <c r="U91" i="22"/>
  <c r="G91" i="22" s="1"/>
  <c r="W71" i="22"/>
  <c r="T40" i="22"/>
  <c r="W80" i="22"/>
  <c r="I80" i="22" s="1"/>
  <c r="W37" i="22"/>
  <c r="I37" i="22" s="1"/>
  <c r="W63" i="22"/>
  <c r="V44" i="22"/>
  <c r="H44" i="22" s="1"/>
  <c r="V62" i="22"/>
  <c r="H62" i="22" s="1"/>
  <c r="T30" i="22"/>
  <c r="T45" i="22"/>
  <c r="W43" i="22"/>
  <c r="W79" i="22"/>
  <c r="I79" i="22" s="1"/>
  <c r="V91" i="22"/>
  <c r="U56" i="22"/>
  <c r="G56" i="22" s="1"/>
  <c r="W73" i="22"/>
  <c r="I73" i="22" s="1"/>
  <c r="W67" i="22"/>
  <c r="I67" i="22" s="1"/>
  <c r="T10" i="22"/>
  <c r="T36" i="22"/>
  <c r="T27" i="22"/>
  <c r="T95" i="22"/>
  <c r="U65" i="22"/>
  <c r="G65" i="22" s="1"/>
  <c r="U44" i="22"/>
  <c r="G44" i="22" s="1"/>
  <c r="U52" i="22"/>
  <c r="G52" i="22" s="1"/>
  <c r="U13" i="22"/>
  <c r="G13" i="22" s="1"/>
  <c r="V70" i="22"/>
  <c r="H70" i="22" s="1"/>
  <c r="U31" i="22"/>
  <c r="G31" i="22" s="1"/>
  <c r="V94" i="22"/>
  <c r="V39" i="22"/>
  <c r="H39" i="22" s="1"/>
  <c r="V54" i="22"/>
  <c r="H54" i="22" s="1"/>
  <c r="U4" i="22"/>
  <c r="G4" i="22" s="1"/>
  <c r="V41" i="22"/>
  <c r="H41" i="22" s="1"/>
  <c r="V28" i="22"/>
  <c r="H28" i="22" s="1"/>
  <c r="V14" i="22"/>
  <c r="H14" i="22" s="1"/>
  <c r="U32" i="22"/>
  <c r="G32" i="22" s="1"/>
  <c r="W38" i="22"/>
  <c r="I38" i="22" s="1"/>
  <c r="U53" i="22"/>
  <c r="G53" i="22" s="1"/>
  <c r="W81" i="22"/>
  <c r="I81" i="22" s="1"/>
  <c r="V57" i="22"/>
  <c r="H57" i="22" s="1"/>
  <c r="V9" i="22"/>
  <c r="H9" i="22" s="1"/>
  <c r="V98" i="22"/>
  <c r="V76" i="22"/>
  <c r="H76" i="22" s="1"/>
  <c r="V40" i="22"/>
  <c r="H40" i="22" s="1"/>
  <c r="V19" i="22"/>
  <c r="H19" i="22" s="1"/>
  <c r="W48" i="22"/>
  <c r="I48" i="22" s="1"/>
  <c r="V46" i="22"/>
  <c r="H46" i="22" s="1"/>
  <c r="T99" i="22"/>
  <c r="V81" i="22"/>
  <c r="H81" i="22" s="1"/>
  <c r="V32" i="22"/>
  <c r="H32" i="22" s="1"/>
  <c r="V71" i="22"/>
  <c r="H71" i="22" s="1"/>
  <c r="V82" i="22"/>
  <c r="H82" i="22" s="1"/>
  <c r="U42" i="22"/>
  <c r="G42" i="22" s="1"/>
  <c r="V67" i="22"/>
  <c r="H67" i="22" s="1"/>
  <c r="W82" i="22"/>
  <c r="U51" i="22"/>
  <c r="G51" i="22" s="1"/>
  <c r="U37" i="22"/>
  <c r="G37" i="22" s="1"/>
  <c r="U38" i="22"/>
  <c r="G38" i="22" s="1"/>
  <c r="W62" i="22"/>
  <c r="V22" i="22"/>
  <c r="H22" i="22" s="1"/>
  <c r="U59" i="22"/>
  <c r="G59" i="22" s="1"/>
  <c r="W78" i="22"/>
  <c r="W66" i="22"/>
  <c r="I66" i="22" s="1"/>
  <c r="W92" i="22"/>
  <c r="W60" i="22"/>
  <c r="W99" i="22"/>
  <c r="I99" i="22" s="1"/>
  <c r="V58" i="22"/>
  <c r="H58" i="22" s="1"/>
  <c r="U95" i="22"/>
  <c r="G95" i="22" s="1"/>
  <c r="U8" i="22"/>
  <c r="G8" i="22" s="1"/>
  <c r="U66" i="22"/>
  <c r="G66" i="22" s="1"/>
  <c r="U14" i="22"/>
  <c r="G14" i="22" s="1"/>
  <c r="V87" i="22"/>
  <c r="V34" i="22"/>
  <c r="H34" i="22" s="1"/>
  <c r="U74" i="22"/>
  <c r="G74" i="22" s="1"/>
  <c r="U23" i="22"/>
  <c r="G23" i="22" s="1"/>
  <c r="V31" i="22"/>
  <c r="H31" i="22" s="1"/>
  <c r="U18" i="22"/>
  <c r="G18" i="22" s="1"/>
  <c r="U25" i="22"/>
  <c r="V79" i="22"/>
  <c r="H79" i="22" s="1"/>
  <c r="W6" i="22"/>
  <c r="V29" i="22"/>
  <c r="H29" i="22" s="1"/>
  <c r="V89" i="22"/>
  <c r="U46" i="22"/>
  <c r="G46" i="22" s="1"/>
  <c r="U67" i="22"/>
  <c r="G67" i="22" s="1"/>
  <c r="V96" i="22"/>
  <c r="V4" i="22"/>
  <c r="H4" i="22" s="1"/>
  <c r="U41" i="22"/>
  <c r="G41" i="22" s="1"/>
  <c r="V17" i="22"/>
  <c r="H17" i="22" s="1"/>
  <c r="U54" i="22"/>
  <c r="G54" i="22" s="1"/>
  <c r="V78" i="22"/>
  <c r="H78" i="22" s="1"/>
  <c r="U76" i="22"/>
  <c r="G76" i="22" s="1"/>
  <c r="V101" i="22"/>
  <c r="V43" i="22"/>
  <c r="H43" i="22" s="1"/>
  <c r="U82" i="22"/>
  <c r="G82" i="22" s="1"/>
  <c r="V10" i="22"/>
  <c r="H10" i="22" s="1"/>
  <c r="V27" i="22"/>
  <c r="H27" i="22" s="1"/>
  <c r="V26" i="22"/>
  <c r="H26" i="22" s="1"/>
  <c r="W44" i="22"/>
  <c r="I44" i="22" s="1"/>
  <c r="U101" i="22"/>
  <c r="V23" i="22"/>
  <c r="H23" i="22" s="1"/>
  <c r="V51" i="22"/>
  <c r="H51" i="22" s="1"/>
  <c r="U29" i="22"/>
  <c r="G29" i="22" s="1"/>
  <c r="V49" i="22"/>
  <c r="H49" i="22" s="1"/>
  <c r="U36" i="22"/>
  <c r="G36" i="22" s="1"/>
  <c r="V53" i="22"/>
  <c r="H53" i="22" s="1"/>
  <c r="V64" i="22"/>
  <c r="H64" i="22" s="1"/>
  <c r="U99" i="22"/>
  <c r="G99" i="22" s="1"/>
  <c r="W23" i="22"/>
  <c r="I23" i="22" s="1"/>
  <c r="U61" i="22"/>
  <c r="G61" i="22" s="1"/>
  <c r="V45" i="22"/>
  <c r="H45" i="22" s="1"/>
  <c r="V52" i="22"/>
  <c r="H52" i="22" s="1"/>
  <c r="W11" i="22"/>
  <c r="W46" i="22"/>
  <c r="I46" i="22" s="1"/>
  <c r="V3" i="22"/>
  <c r="H3" i="22" s="1"/>
  <c r="U94" i="22"/>
  <c r="G94" i="22" s="1"/>
  <c r="W2" i="22"/>
  <c r="W16" i="22"/>
  <c r="I16" i="22" s="1"/>
  <c r="U39" i="22"/>
  <c r="G39" i="22" s="1"/>
  <c r="U47" i="22"/>
  <c r="G47" i="22" s="1"/>
  <c r="U77" i="22"/>
  <c r="G77" i="22" s="1"/>
  <c r="V90" i="22"/>
  <c r="U48" i="22"/>
  <c r="G48" i="22" s="1"/>
  <c r="W65" i="22"/>
  <c r="I65" i="22" s="1"/>
  <c r="W74" i="22"/>
  <c r="I74" i="22" s="1"/>
  <c r="V77" i="22"/>
  <c r="H77" i="22" s="1"/>
  <c r="V55" i="22"/>
  <c r="H55" i="22" s="1"/>
  <c r="V12" i="22"/>
  <c r="H12" i="22" s="1"/>
  <c r="W14" i="22"/>
  <c r="W50" i="22"/>
  <c r="I50" i="22" s="1"/>
  <c r="W52" i="22"/>
  <c r="I52" i="22" s="1"/>
  <c r="U28" i="22"/>
  <c r="G28" i="22" s="1"/>
  <c r="U79" i="22"/>
  <c r="G79" i="22" s="1"/>
  <c r="U45" i="22"/>
  <c r="G45" i="22" s="1"/>
  <c r="V100" i="22"/>
  <c r="U90" i="22"/>
  <c r="G90" i="22" s="1"/>
  <c r="U17" i="22"/>
  <c r="U60" i="22"/>
  <c r="G60" i="22" s="1"/>
  <c r="V33" i="22"/>
  <c r="H33" i="22" s="1"/>
  <c r="V72" i="22"/>
  <c r="H72" i="22" s="1"/>
  <c r="U16" i="22"/>
  <c r="G16" i="22" s="1"/>
  <c r="V5" i="22"/>
  <c r="H5" i="22" s="1"/>
  <c r="U55" i="22"/>
  <c r="G55" i="22" s="1"/>
  <c r="U11" i="22"/>
  <c r="G11" i="22" s="1"/>
  <c r="V95" i="22"/>
  <c r="W20" i="22"/>
  <c r="U85" i="22"/>
  <c r="G85" i="22" s="1"/>
  <c r="U64" i="22"/>
  <c r="G64" i="22" s="1"/>
  <c r="V36" i="22"/>
  <c r="H36" i="22" s="1"/>
  <c r="I6" i="41" l="1"/>
  <c r="H19" i="41"/>
  <c r="H18" i="41"/>
  <c r="H5" i="41"/>
  <c r="H11" i="41"/>
  <c r="I2" i="41"/>
  <c r="I9" i="41"/>
  <c r="H16" i="41"/>
  <c r="H8" i="41"/>
  <c r="I3" i="41"/>
  <c r="H10" i="41"/>
  <c r="H4" i="41"/>
  <c r="I7" i="41"/>
  <c r="H14" i="41"/>
  <c r="H15" i="41"/>
  <c r="H12" i="41"/>
  <c r="H13" i="41"/>
  <c r="H17" i="41"/>
  <c r="K81" i="22"/>
  <c r="K22" i="22"/>
  <c r="K98" i="22"/>
  <c r="K63" i="22"/>
  <c r="K9" i="22"/>
  <c r="K79" i="22"/>
  <c r="K78" i="22"/>
  <c r="K95" i="22"/>
  <c r="K44" i="22"/>
  <c r="K21" i="22"/>
  <c r="K28" i="22"/>
  <c r="F35" i="22"/>
  <c r="K35" i="22"/>
  <c r="F16" i="22"/>
  <c r="K16" i="22"/>
  <c r="F31" i="22"/>
  <c r="K31" i="22"/>
  <c r="K90" i="22"/>
  <c r="K48" i="22"/>
  <c r="F101" i="22"/>
  <c r="K101" i="22"/>
  <c r="F70" i="22"/>
  <c r="K70" i="22"/>
  <c r="K66" i="22"/>
  <c r="K92" i="22"/>
  <c r="K18" i="22"/>
  <c r="F26" i="22"/>
  <c r="K26" i="22"/>
  <c r="K57" i="22"/>
  <c r="K45" i="22"/>
  <c r="F53" i="22"/>
  <c r="K53" i="22"/>
  <c r="F5" i="22"/>
  <c r="K5" i="22"/>
  <c r="K91" i="22"/>
  <c r="K43" i="22"/>
  <c r="F72" i="22"/>
  <c r="K72" i="22"/>
  <c r="F37" i="22"/>
  <c r="K37" i="22"/>
  <c r="F27" i="22"/>
  <c r="K27" i="22"/>
  <c r="F30" i="22"/>
  <c r="K30" i="22"/>
  <c r="F25" i="22"/>
  <c r="K25" i="22"/>
  <c r="F4" i="22"/>
  <c r="K4" i="22"/>
  <c r="F24" i="22"/>
  <c r="K24" i="22"/>
  <c r="K87" i="22"/>
  <c r="K97" i="22"/>
  <c r="K100" i="22"/>
  <c r="K62" i="22"/>
  <c r="K67" i="22"/>
  <c r="F14" i="22"/>
  <c r="K14" i="22"/>
  <c r="K76" i="22"/>
  <c r="K86" i="22"/>
  <c r="F36" i="22"/>
  <c r="K36" i="22"/>
  <c r="G3" i="22"/>
  <c r="K3" i="22"/>
  <c r="K96" i="22"/>
  <c r="K80" i="22"/>
  <c r="K68" i="22"/>
  <c r="K49" i="22"/>
  <c r="K38" i="22"/>
  <c r="F23" i="22"/>
  <c r="K23" i="22"/>
  <c r="K93" i="22"/>
  <c r="K29" i="22"/>
  <c r="K64" i="22"/>
  <c r="F73" i="22"/>
  <c r="K73" i="22"/>
  <c r="F51" i="22"/>
  <c r="K51" i="22"/>
  <c r="F10" i="22"/>
  <c r="K10" i="22"/>
  <c r="K42" i="22"/>
  <c r="K15" i="22"/>
  <c r="K71" i="22"/>
  <c r="K94" i="22"/>
  <c r="K12" i="22"/>
  <c r="K56" i="22"/>
  <c r="F7" i="22"/>
  <c r="K7" i="22"/>
  <c r="K84" i="22"/>
  <c r="K39" i="22"/>
  <c r="K11" i="22"/>
  <c r="F33" i="22"/>
  <c r="K33" i="22"/>
  <c r="F65" i="22"/>
  <c r="K65" i="22"/>
  <c r="F99" i="22"/>
  <c r="K99" i="22"/>
  <c r="F34" i="22"/>
  <c r="K34" i="22"/>
  <c r="K55" i="22"/>
  <c r="K77" i="22"/>
  <c r="K83" i="22"/>
  <c r="K32" i="22"/>
  <c r="F6" i="22"/>
  <c r="K6" i="22"/>
  <c r="K89" i="22"/>
  <c r="K13" i="22"/>
  <c r="K8" i="22"/>
  <c r="K61" i="22"/>
  <c r="F47" i="22"/>
  <c r="K47" i="22"/>
  <c r="K82" i="22"/>
  <c r="F20" i="22"/>
  <c r="K20" i="22"/>
  <c r="K88" i="22"/>
  <c r="K52" i="22"/>
  <c r="K41" i="22"/>
  <c r="F17" i="22"/>
  <c r="K17" i="22"/>
  <c r="F46" i="22"/>
  <c r="K46" i="22"/>
  <c r="K85" i="22"/>
  <c r="K19" i="22"/>
  <c r="K69" i="22"/>
  <c r="K40" i="22"/>
  <c r="G2" i="22"/>
  <c r="K2" i="22"/>
  <c r="K75" i="22"/>
  <c r="K50" i="22"/>
  <c r="K54" i="22"/>
  <c r="F59" i="22"/>
  <c r="K59" i="22"/>
  <c r="K60" i="22"/>
  <c r="K58" i="22"/>
  <c r="F74" i="22"/>
  <c r="K74" i="22"/>
  <c r="L40" i="22"/>
  <c r="F40" i="22"/>
  <c r="L58" i="22"/>
  <c r="F58" i="22"/>
  <c r="N92" i="22"/>
  <c r="H92" i="22"/>
  <c r="L75" i="22"/>
  <c r="F75" i="22"/>
  <c r="L60" i="22"/>
  <c r="F60" i="22"/>
  <c r="N95" i="22"/>
  <c r="H95" i="22"/>
  <c r="N100" i="22"/>
  <c r="H100" i="22"/>
  <c r="O92" i="22"/>
  <c r="I92" i="22"/>
  <c r="O71" i="22"/>
  <c r="I71" i="22"/>
  <c r="O72" i="22"/>
  <c r="I72" i="22"/>
  <c r="O68" i="22"/>
  <c r="I68" i="22"/>
  <c r="O95" i="22"/>
  <c r="I95" i="22"/>
  <c r="L48" i="22"/>
  <c r="F48" i="22"/>
  <c r="L66" i="22"/>
  <c r="F66" i="22"/>
  <c r="L92" i="22"/>
  <c r="F92" i="22"/>
  <c r="L18" i="22"/>
  <c r="F18" i="22"/>
  <c r="L57" i="22"/>
  <c r="F57" i="22"/>
  <c r="O43" i="22"/>
  <c r="I43" i="22"/>
  <c r="O97" i="22"/>
  <c r="I97" i="22"/>
  <c r="O5" i="22"/>
  <c r="I5" i="22"/>
  <c r="L9" i="22"/>
  <c r="F9" i="22"/>
  <c r="L79" i="22"/>
  <c r="F79" i="22"/>
  <c r="L78" i="22"/>
  <c r="F78" i="22"/>
  <c r="O84" i="22"/>
  <c r="I84" i="22"/>
  <c r="O83" i="22"/>
  <c r="I83" i="22"/>
  <c r="O60" i="22"/>
  <c r="I60" i="22"/>
  <c r="N91" i="22"/>
  <c r="H91" i="22"/>
  <c r="L86" i="22"/>
  <c r="F86" i="22"/>
  <c r="O8" i="22"/>
  <c r="I8" i="22"/>
  <c r="O11" i="22"/>
  <c r="I11" i="22"/>
  <c r="N89" i="22"/>
  <c r="H89" i="22"/>
  <c r="L95" i="22"/>
  <c r="F95" i="22"/>
  <c r="N97" i="22"/>
  <c r="H97" i="22"/>
  <c r="O76" i="22"/>
  <c r="I76" i="22"/>
  <c r="N90" i="22"/>
  <c r="H90" i="22"/>
  <c r="O98" i="22"/>
  <c r="I98" i="22"/>
  <c r="O86" i="22"/>
  <c r="I86" i="22"/>
  <c r="O101" i="22"/>
  <c r="I101" i="22"/>
  <c r="O17" i="22"/>
  <c r="I17" i="22"/>
  <c r="O100" i="22"/>
  <c r="I100" i="22"/>
  <c r="L87" i="22"/>
  <c r="F87" i="22"/>
  <c r="L97" i="22"/>
  <c r="F97" i="22"/>
  <c r="L100" i="22"/>
  <c r="F100" i="22"/>
  <c r="L62" i="22"/>
  <c r="F62" i="22"/>
  <c r="L67" i="22"/>
  <c r="F67" i="22"/>
  <c r="L76" i="22"/>
  <c r="F76" i="22"/>
  <c r="N96" i="22"/>
  <c r="H96" i="22"/>
  <c r="O82" i="22"/>
  <c r="I82" i="22"/>
  <c r="N99" i="22"/>
  <c r="H99" i="22"/>
  <c r="O15" i="22"/>
  <c r="I15" i="22"/>
  <c r="L50" i="22"/>
  <c r="F50" i="22"/>
  <c r="L54" i="22"/>
  <c r="F54" i="22"/>
  <c r="O6" i="22"/>
  <c r="I6" i="22"/>
  <c r="O94" i="22"/>
  <c r="I94" i="22"/>
  <c r="O57" i="22"/>
  <c r="I57" i="22"/>
  <c r="L96" i="22"/>
  <c r="F96" i="22"/>
  <c r="L80" i="22"/>
  <c r="F80" i="22"/>
  <c r="L68" i="22"/>
  <c r="F68" i="22"/>
  <c r="L49" i="22"/>
  <c r="F49" i="22"/>
  <c r="L38" i="22"/>
  <c r="F38" i="22"/>
  <c r="L93" i="22"/>
  <c r="F93" i="22"/>
  <c r="L29" i="22"/>
  <c r="F29" i="22"/>
  <c r="L64" i="22"/>
  <c r="F64" i="22"/>
  <c r="O13" i="22"/>
  <c r="I13" i="22"/>
  <c r="O96" i="22"/>
  <c r="I96" i="22"/>
  <c r="O78" i="22"/>
  <c r="I78" i="22"/>
  <c r="N88" i="22"/>
  <c r="H88" i="22"/>
  <c r="L91" i="22"/>
  <c r="F91" i="22"/>
  <c r="L28" i="22"/>
  <c r="F28" i="22"/>
  <c r="L43" i="22"/>
  <c r="F43" i="22"/>
  <c r="M101" i="22"/>
  <c r="G101" i="22"/>
  <c r="O62" i="22"/>
  <c r="I62" i="22"/>
  <c r="N94" i="22"/>
  <c r="H94" i="22"/>
  <c r="O85" i="22"/>
  <c r="I85" i="22"/>
  <c r="M63" i="22"/>
  <c r="G63" i="22"/>
  <c r="O22" i="22"/>
  <c r="I22" i="22"/>
  <c r="O59" i="22"/>
  <c r="I59" i="22"/>
  <c r="L42" i="22"/>
  <c r="F42" i="22"/>
  <c r="L15" i="22"/>
  <c r="F15" i="22"/>
  <c r="O89" i="22"/>
  <c r="I89" i="22"/>
  <c r="L71" i="22"/>
  <c r="F71" i="22"/>
  <c r="L94" i="22"/>
  <c r="F94" i="22"/>
  <c r="L12" i="22"/>
  <c r="F12" i="22"/>
  <c r="L56" i="22"/>
  <c r="F56" i="22"/>
  <c r="L84" i="22"/>
  <c r="F84" i="22"/>
  <c r="L39" i="22"/>
  <c r="F39" i="22"/>
  <c r="N101" i="22"/>
  <c r="H101" i="22"/>
  <c r="N87" i="22"/>
  <c r="H87" i="22"/>
  <c r="N98" i="22"/>
  <c r="H98" i="22"/>
  <c r="L45" i="22"/>
  <c r="F45" i="22"/>
  <c r="O77" i="22"/>
  <c r="I77" i="22"/>
  <c r="L44" i="22"/>
  <c r="F44" i="22"/>
  <c r="L21" i="22"/>
  <c r="F21" i="22"/>
  <c r="O14" i="22"/>
  <c r="I14" i="22"/>
  <c r="M25" i="22"/>
  <c r="G25" i="22"/>
  <c r="O63" i="22"/>
  <c r="I63" i="22"/>
  <c r="O40" i="22"/>
  <c r="I40" i="22"/>
  <c r="O36" i="22"/>
  <c r="I36" i="22"/>
  <c r="L55" i="22"/>
  <c r="F55" i="22"/>
  <c r="L77" i="22"/>
  <c r="F77" i="22"/>
  <c r="L83" i="22"/>
  <c r="F83" i="22"/>
  <c r="L32" i="22"/>
  <c r="F32" i="22"/>
  <c r="L89" i="22"/>
  <c r="F89" i="22"/>
  <c r="L13" i="22"/>
  <c r="F13" i="22"/>
  <c r="L8" i="22"/>
  <c r="F8" i="22"/>
  <c r="L61" i="22"/>
  <c r="F61" i="22"/>
  <c r="O18" i="22"/>
  <c r="I18" i="22"/>
  <c r="O20" i="22"/>
  <c r="I20" i="22"/>
  <c r="O88" i="22"/>
  <c r="I88" i="22"/>
  <c r="N85" i="22"/>
  <c r="H85" i="22"/>
  <c r="O90" i="22"/>
  <c r="I90" i="22"/>
  <c r="O9" i="22"/>
  <c r="I9" i="22"/>
  <c r="M57" i="22"/>
  <c r="G57" i="22"/>
  <c r="L81" i="22"/>
  <c r="F81" i="22"/>
  <c r="L22" i="22"/>
  <c r="F22" i="22"/>
  <c r="O31" i="22"/>
  <c r="I31" i="22"/>
  <c r="L98" i="22"/>
  <c r="F98" i="22"/>
  <c r="L63" i="22"/>
  <c r="F63" i="22"/>
  <c r="L90" i="22"/>
  <c r="F90" i="22"/>
  <c r="O58" i="22"/>
  <c r="I58" i="22"/>
  <c r="O4" i="22"/>
  <c r="I4" i="22"/>
  <c r="M17" i="22"/>
  <c r="G17" i="22"/>
  <c r="O2" i="22"/>
  <c r="I2" i="22"/>
  <c r="O25" i="22"/>
  <c r="I25" i="22"/>
  <c r="N93" i="22"/>
  <c r="H93" i="22"/>
  <c r="M70" i="22"/>
  <c r="G70" i="22"/>
  <c r="M73" i="22"/>
  <c r="G73" i="22"/>
  <c r="L82" i="22"/>
  <c r="F82" i="22"/>
  <c r="O21" i="22"/>
  <c r="I21" i="22"/>
  <c r="L88" i="22"/>
  <c r="F88" i="22"/>
  <c r="L52" i="22"/>
  <c r="F52" i="22"/>
  <c r="L41" i="22"/>
  <c r="F41" i="22"/>
  <c r="L85" i="22"/>
  <c r="F85" i="22"/>
  <c r="L19" i="22"/>
  <c r="F19" i="22"/>
  <c r="L69" i="22"/>
  <c r="F69" i="22"/>
  <c r="O29" i="22"/>
  <c r="I29" i="22"/>
  <c r="O16" i="22"/>
  <c r="M41" i="22"/>
  <c r="M37" i="22"/>
  <c r="N46" i="22"/>
  <c r="O38" i="22"/>
  <c r="N83" i="22"/>
  <c r="L47" i="22"/>
  <c r="M64" i="22"/>
  <c r="M60" i="22"/>
  <c r="N12" i="22"/>
  <c r="M99" i="22"/>
  <c r="N26" i="22"/>
  <c r="M18" i="22"/>
  <c r="N58" i="22"/>
  <c r="N70" i="22"/>
  <c r="O73" i="22"/>
  <c r="N59" i="22"/>
  <c r="M72" i="22"/>
  <c r="N24" i="22"/>
  <c r="N86" i="22"/>
  <c r="N69" i="22"/>
  <c r="O53" i="22"/>
  <c r="M10" i="22"/>
  <c r="M75" i="22"/>
  <c r="N27" i="22"/>
  <c r="M51" i="22"/>
  <c r="O48" i="22"/>
  <c r="M56" i="22"/>
  <c r="O80" i="22"/>
  <c r="M30" i="22"/>
  <c r="O45" i="22"/>
  <c r="N66" i="22"/>
  <c r="N55" i="22"/>
  <c r="M32" i="22"/>
  <c r="M13" i="22"/>
  <c r="M34" i="22"/>
  <c r="L20" i="22"/>
  <c r="O74" i="22"/>
  <c r="N3" i="22"/>
  <c r="M36" i="22"/>
  <c r="M82" i="22"/>
  <c r="M67" i="22"/>
  <c r="N40" i="22"/>
  <c r="N28" i="22"/>
  <c r="M44" i="22"/>
  <c r="O79" i="22"/>
  <c r="N35" i="22"/>
  <c r="M6" i="22"/>
  <c r="O39" i="22"/>
  <c r="M5" i="22"/>
  <c r="O61" i="22"/>
  <c r="L101" i="22"/>
  <c r="M97" i="22"/>
  <c r="M11" i="22"/>
  <c r="O65" i="22"/>
  <c r="N49" i="22"/>
  <c r="N43" i="22"/>
  <c r="M42" i="22"/>
  <c r="M91" i="22"/>
  <c r="N84" i="22"/>
  <c r="L33" i="22"/>
  <c r="M15" i="22"/>
  <c r="O37" i="22"/>
  <c r="M76" i="22"/>
  <c r="M14" i="22"/>
  <c r="N54" i="22"/>
  <c r="N7" i="22"/>
  <c r="M96" i="22"/>
  <c r="M77" i="22"/>
  <c r="N23" i="22"/>
  <c r="N78" i="22"/>
  <c r="N62" i="22"/>
  <c r="M50" i="22"/>
  <c r="M85" i="22"/>
  <c r="N64" i="22"/>
  <c r="N4" i="22"/>
  <c r="N31" i="22"/>
  <c r="O99" i="22"/>
  <c r="N38" i="22"/>
  <c r="N37" i="22"/>
  <c r="O41" i="22"/>
  <c r="M81" i="22"/>
  <c r="L17" i="22"/>
  <c r="L46" i="22"/>
  <c r="M90" i="22"/>
  <c r="N77" i="22"/>
  <c r="M94" i="22"/>
  <c r="N53" i="22"/>
  <c r="N10" i="22"/>
  <c r="M23" i="22"/>
  <c r="N19" i="22"/>
  <c r="N14" i="22"/>
  <c r="M52" i="22"/>
  <c r="N2" i="22"/>
  <c r="M24" i="22"/>
  <c r="M40" i="22"/>
  <c r="N73" i="22"/>
  <c r="O30" i="22"/>
  <c r="M87" i="22"/>
  <c r="M2" i="22"/>
  <c r="N15" i="22"/>
  <c r="O33" i="22"/>
  <c r="O54" i="22"/>
  <c r="M58" i="22"/>
  <c r="M20" i="22"/>
  <c r="L59" i="22"/>
  <c r="O35" i="22"/>
  <c r="L74" i="22"/>
  <c r="L31" i="22"/>
  <c r="N67" i="22"/>
  <c r="O64" i="22"/>
  <c r="M88" i="22"/>
  <c r="M45" i="22"/>
  <c r="O46" i="22"/>
  <c r="M46" i="22"/>
  <c r="N34" i="22"/>
  <c r="O66" i="22"/>
  <c r="N76" i="22"/>
  <c r="N41" i="22"/>
  <c r="M65" i="22"/>
  <c r="N42" i="22"/>
  <c r="M84" i="22"/>
  <c r="O19" i="22"/>
  <c r="M69" i="22"/>
  <c r="N16" i="22"/>
  <c r="M86" i="22"/>
  <c r="M26" i="22"/>
  <c r="N18" i="22"/>
  <c r="M93" i="22"/>
  <c r="O10" i="22"/>
  <c r="L35" i="22"/>
  <c r="L37" i="22"/>
  <c r="L51" i="22"/>
  <c r="L65" i="22"/>
  <c r="O24" i="22"/>
  <c r="L70" i="22"/>
  <c r="M55" i="22"/>
  <c r="M79" i="22"/>
  <c r="M48" i="22"/>
  <c r="M29" i="22"/>
  <c r="N82" i="22"/>
  <c r="M4" i="22"/>
  <c r="O55" i="22"/>
  <c r="N6" i="22"/>
  <c r="O49" i="22"/>
  <c r="N63" i="22"/>
  <c r="M7" i="22"/>
  <c r="O26" i="22"/>
  <c r="M89" i="22"/>
  <c r="M68" i="22"/>
  <c r="O32" i="22"/>
  <c r="M12" i="22"/>
  <c r="L53" i="22"/>
  <c r="L5" i="22"/>
  <c r="L72" i="22"/>
  <c r="O34" i="22"/>
  <c r="M27" i="22"/>
  <c r="N5" i="22"/>
  <c r="M28" i="22"/>
  <c r="N52" i="22"/>
  <c r="N51" i="22"/>
  <c r="N29" i="22"/>
  <c r="M59" i="22"/>
  <c r="N71" i="22"/>
  <c r="N9" i="22"/>
  <c r="L27" i="22"/>
  <c r="L30" i="22"/>
  <c r="M22" i="22"/>
  <c r="N75" i="22"/>
  <c r="O42" i="22"/>
  <c r="N50" i="22"/>
  <c r="N21" i="22"/>
  <c r="N11" i="22"/>
  <c r="N80" i="22"/>
  <c r="L25" i="22"/>
  <c r="L4" i="22"/>
  <c r="L24" i="22"/>
  <c r="L14" i="22"/>
  <c r="O7" i="22"/>
  <c r="O51" i="22"/>
  <c r="M74" i="22"/>
  <c r="N56" i="22"/>
  <c r="N74" i="22"/>
  <c r="M71" i="22"/>
  <c r="L26" i="22"/>
  <c r="M16" i="22"/>
  <c r="O52" i="22"/>
  <c r="N45" i="22"/>
  <c r="M66" i="22"/>
  <c r="N22" i="22"/>
  <c r="N32" i="22"/>
  <c r="N57" i="22"/>
  <c r="N39" i="22"/>
  <c r="L36" i="22"/>
  <c r="N30" i="22"/>
  <c r="M19" i="22"/>
  <c r="O56" i="22"/>
  <c r="M80" i="22"/>
  <c r="M49" i="22"/>
  <c r="M3" i="22"/>
  <c r="N60" i="22"/>
  <c r="M35" i="22"/>
  <c r="N20" i="22"/>
  <c r="N68" i="22"/>
  <c r="O87" i="22"/>
  <c r="L23" i="22"/>
  <c r="L73" i="22"/>
  <c r="M9" i="22"/>
  <c r="N72" i="22"/>
  <c r="O50" i="22"/>
  <c r="M47" i="22"/>
  <c r="M61" i="22"/>
  <c r="M54" i="22"/>
  <c r="N79" i="22"/>
  <c r="M8" i="22"/>
  <c r="N81" i="22"/>
  <c r="O81" i="22"/>
  <c r="L10" i="22"/>
  <c r="N44" i="22"/>
  <c r="M92" i="22"/>
  <c r="M100" i="22"/>
  <c r="M62" i="22"/>
  <c r="O28" i="22"/>
  <c r="M98" i="22"/>
  <c r="N48" i="22"/>
  <c r="N65" i="22"/>
  <c r="N61" i="22"/>
  <c r="O47" i="22"/>
  <c r="O70" i="22"/>
  <c r="L7" i="22"/>
  <c r="O12" i="22"/>
  <c r="O27" i="22"/>
  <c r="L16" i="22"/>
  <c r="N36" i="22"/>
  <c r="N33" i="22"/>
  <c r="M39" i="22"/>
  <c r="O23" i="22"/>
  <c r="O44" i="22"/>
  <c r="N17" i="22"/>
  <c r="M95" i="22"/>
  <c r="M38" i="22"/>
  <c r="L99" i="22"/>
  <c r="M53" i="22"/>
  <c r="M31" i="22"/>
  <c r="O67" i="22"/>
  <c r="N25" i="22"/>
  <c r="M33" i="22"/>
  <c r="M83" i="22"/>
  <c r="N47" i="22"/>
  <c r="N8" i="22"/>
  <c r="M78" i="22"/>
  <c r="N13" i="22"/>
  <c r="O75" i="22"/>
  <c r="M43" i="22"/>
  <c r="O69" i="22"/>
  <c r="O93" i="22"/>
  <c r="M21" i="22"/>
  <c r="L34" i="22"/>
  <c r="L6" i="22"/>
  <c r="O3" i="22"/>
  <c r="O91" i="22"/>
  <c r="Q55" i="22"/>
  <c r="Q79" i="22"/>
  <c r="Q48" i="22"/>
  <c r="S11" i="22"/>
  <c r="Q29" i="22"/>
  <c r="R101" i="22"/>
  <c r="R89" i="22"/>
  <c r="R87" i="22"/>
  <c r="S78" i="22"/>
  <c r="R82" i="22"/>
  <c r="R98" i="22"/>
  <c r="Q4" i="22"/>
  <c r="P95" i="22"/>
  <c r="P45" i="22"/>
  <c r="Q15" i="22"/>
  <c r="S55" i="22"/>
  <c r="R97" i="22"/>
  <c r="R6" i="22"/>
  <c r="S49" i="22"/>
  <c r="S76" i="22"/>
  <c r="R63" i="22"/>
  <c r="Q7" i="22"/>
  <c r="S26" i="22"/>
  <c r="Q89" i="22"/>
  <c r="R88" i="22"/>
  <c r="S77" i="22"/>
  <c r="Q68" i="22"/>
  <c r="S32" i="22"/>
  <c r="Q12" i="22"/>
  <c r="P44" i="22"/>
  <c r="P53" i="22"/>
  <c r="P5" i="22"/>
  <c r="P91" i="22"/>
  <c r="P21" i="22"/>
  <c r="P28" i="22"/>
  <c r="P43" i="22"/>
  <c r="P72" i="22"/>
  <c r="S34" i="22"/>
  <c r="S13" i="22"/>
  <c r="S84" i="22"/>
  <c r="R5" i="22"/>
  <c r="Q28" i="22"/>
  <c r="R90" i="22"/>
  <c r="R52" i="22"/>
  <c r="R51" i="22"/>
  <c r="Q76" i="22"/>
  <c r="R29" i="22"/>
  <c r="Q14" i="22"/>
  <c r="Q59" i="22"/>
  <c r="R71" i="22"/>
  <c r="R9" i="22"/>
  <c r="R54" i="22"/>
  <c r="P27" i="22"/>
  <c r="P30" i="22"/>
  <c r="Q22" i="22"/>
  <c r="R75" i="22"/>
  <c r="R7" i="22"/>
  <c r="S42" i="22"/>
  <c r="S98" i="22"/>
  <c r="R50" i="22"/>
  <c r="R21" i="22"/>
  <c r="S86" i="22"/>
  <c r="R11" i="22"/>
  <c r="R80" i="22"/>
  <c r="Q96" i="22"/>
  <c r="S101" i="22"/>
  <c r="S17" i="22"/>
  <c r="S100" i="22"/>
  <c r="P25" i="22"/>
  <c r="P4" i="22"/>
  <c r="P24" i="22"/>
  <c r="P87" i="22"/>
  <c r="P97" i="22"/>
  <c r="P100" i="22"/>
  <c r="P62" i="22"/>
  <c r="P67" i="22"/>
  <c r="P14" i="22"/>
  <c r="P76" i="22"/>
  <c r="S18" i="22"/>
  <c r="S12" i="22"/>
  <c r="S91" i="22"/>
  <c r="S83" i="22"/>
  <c r="R45" i="22"/>
  <c r="S6" i="22"/>
  <c r="R32" i="22"/>
  <c r="P36" i="22"/>
  <c r="Q19" i="22"/>
  <c r="Q49" i="22"/>
  <c r="R20" i="22"/>
  <c r="S57" i="22"/>
  <c r="P49" i="22"/>
  <c r="P29" i="22"/>
  <c r="R72" i="22"/>
  <c r="S50" i="22"/>
  <c r="Q47" i="22"/>
  <c r="Q61" i="22"/>
  <c r="Q101" i="22"/>
  <c r="Q54" i="22"/>
  <c r="R79" i="22"/>
  <c r="Q8" i="22"/>
  <c r="S62" i="22"/>
  <c r="R81" i="22"/>
  <c r="S81" i="22"/>
  <c r="R94" i="22"/>
  <c r="P10" i="22"/>
  <c r="R44" i="22"/>
  <c r="Q92" i="22"/>
  <c r="Q100" i="22"/>
  <c r="Q62" i="22"/>
  <c r="S28" i="22"/>
  <c r="S85" i="22"/>
  <c r="Q98" i="22"/>
  <c r="R48" i="22"/>
  <c r="R65" i="22"/>
  <c r="Q63" i="22"/>
  <c r="R61" i="22"/>
  <c r="S47" i="22"/>
  <c r="S22" i="22"/>
  <c r="S59" i="22"/>
  <c r="S70" i="22"/>
  <c r="P42" i="22"/>
  <c r="P15" i="22"/>
  <c r="S89" i="22"/>
  <c r="P71" i="22"/>
  <c r="P94" i="22"/>
  <c r="P12" i="22"/>
  <c r="P56" i="22"/>
  <c r="P7" i="22"/>
  <c r="P84" i="22"/>
  <c r="P39" i="22"/>
  <c r="S52" i="22"/>
  <c r="R23" i="22"/>
  <c r="Q66" i="22"/>
  <c r="R39" i="22"/>
  <c r="Q50" i="22"/>
  <c r="S56" i="22"/>
  <c r="R60" i="22"/>
  <c r="S87" i="22"/>
  <c r="P80" i="22"/>
  <c r="P23" i="22"/>
  <c r="P64" i="22"/>
  <c r="S7" i="22"/>
  <c r="R36" i="22"/>
  <c r="R33" i="22"/>
  <c r="S14" i="22"/>
  <c r="Q39" i="22"/>
  <c r="S23" i="22"/>
  <c r="S44" i="22"/>
  <c r="R17" i="22"/>
  <c r="Q25" i="22"/>
  <c r="Q95" i="22"/>
  <c r="Q38" i="22"/>
  <c r="P99" i="22"/>
  <c r="Q53" i="22"/>
  <c r="Q31" i="22"/>
  <c r="S67" i="22"/>
  <c r="S63" i="22"/>
  <c r="R25" i="22"/>
  <c r="Q33" i="22"/>
  <c r="Q83" i="22"/>
  <c r="R47" i="22"/>
  <c r="R8" i="22"/>
  <c r="S40" i="22"/>
  <c r="Q78" i="22"/>
  <c r="R13" i="22"/>
  <c r="S75" i="22"/>
  <c r="Q43" i="22"/>
  <c r="S69" i="22"/>
  <c r="S36" i="22"/>
  <c r="S93" i="22"/>
  <c r="Q21" i="22"/>
  <c r="P34" i="22"/>
  <c r="P55" i="22"/>
  <c r="P77" i="22"/>
  <c r="P83" i="22"/>
  <c r="P32" i="22"/>
  <c r="P6" i="22"/>
  <c r="P89" i="22"/>
  <c r="P13" i="22"/>
  <c r="P8" i="22"/>
  <c r="P61" i="22"/>
  <c r="S3" i="22"/>
  <c r="S51" i="22"/>
  <c r="S96" i="22"/>
  <c r="Q64" i="22"/>
  <c r="Q60" i="22"/>
  <c r="R12" i="22"/>
  <c r="S16" i="22"/>
  <c r="Q99" i="22"/>
  <c r="R26" i="22"/>
  <c r="Q41" i="22"/>
  <c r="Q18" i="22"/>
  <c r="R58" i="22"/>
  <c r="Q37" i="22"/>
  <c r="R46" i="22"/>
  <c r="S38" i="22"/>
  <c r="R70" i="22"/>
  <c r="S73" i="22"/>
  <c r="S37" i="22"/>
  <c r="S88" i="22"/>
  <c r="R59" i="22"/>
  <c r="R85" i="22"/>
  <c r="S90" i="22"/>
  <c r="Q72" i="22"/>
  <c r="R24" i="22"/>
  <c r="S9" i="22"/>
  <c r="R86" i="22"/>
  <c r="R83" i="22"/>
  <c r="R69" i="22"/>
  <c r="Q57" i="22"/>
  <c r="S53" i="22"/>
  <c r="Q10" i="22"/>
  <c r="Q75" i="22"/>
  <c r="P81" i="22"/>
  <c r="P22" i="22"/>
  <c r="P16" i="22"/>
  <c r="S31" i="22"/>
  <c r="P31" i="22"/>
  <c r="P98" i="22"/>
  <c r="P63" i="22"/>
  <c r="P90" i="22"/>
  <c r="P47" i="22"/>
  <c r="P11" i="22"/>
  <c r="S29" i="22"/>
  <c r="S24" i="22"/>
  <c r="Q16" i="22"/>
  <c r="Q77" i="22"/>
  <c r="R78" i="22"/>
  <c r="R22" i="22"/>
  <c r="R57" i="22"/>
  <c r="R62" i="22"/>
  <c r="R30" i="22"/>
  <c r="Q80" i="22"/>
  <c r="Q3" i="22"/>
  <c r="P3" i="22"/>
  <c r="Q35" i="22"/>
  <c r="R68" i="22"/>
  <c r="S94" i="22"/>
  <c r="P96" i="22"/>
  <c r="P68" i="22"/>
  <c r="P38" i="22"/>
  <c r="P93" i="22"/>
  <c r="P73" i="22"/>
  <c r="Q85" i="22"/>
  <c r="Q17" i="22"/>
  <c r="R55" i="22"/>
  <c r="S2" i="22"/>
  <c r="R64" i="22"/>
  <c r="R27" i="22"/>
  <c r="R4" i="22"/>
  <c r="R31" i="22"/>
  <c r="S99" i="22"/>
  <c r="Q51" i="22"/>
  <c r="S48" i="22"/>
  <c r="Q32" i="22"/>
  <c r="Q13" i="22"/>
  <c r="Q56" i="22"/>
  <c r="S80" i="22"/>
  <c r="R38" i="22"/>
  <c r="S25" i="22"/>
  <c r="Q30" i="22"/>
  <c r="R93" i="22"/>
  <c r="R37" i="22"/>
  <c r="Q70" i="22"/>
  <c r="S45" i="22"/>
  <c r="Q34" i="22"/>
  <c r="R66" i="22"/>
  <c r="Q73" i="22"/>
  <c r="P82" i="22"/>
  <c r="S41" i="22"/>
  <c r="Q81" i="22"/>
  <c r="S21" i="22"/>
  <c r="P20" i="22"/>
  <c r="P88" i="22"/>
  <c r="P52" i="22"/>
  <c r="P41" i="22"/>
  <c r="P17" i="22"/>
  <c r="P46" i="22"/>
  <c r="P85" i="22"/>
  <c r="P19" i="22"/>
  <c r="P69" i="22"/>
  <c r="S20" i="22"/>
  <c r="Q90" i="22"/>
  <c r="R77" i="22"/>
  <c r="Q94" i="22"/>
  <c r="R53" i="22"/>
  <c r="R10" i="22"/>
  <c r="R96" i="22"/>
  <c r="Q23" i="22"/>
  <c r="S60" i="22"/>
  <c r="S82" i="22"/>
  <c r="R19" i="22"/>
  <c r="R14" i="22"/>
  <c r="Q52" i="22"/>
  <c r="R91" i="22"/>
  <c r="P40" i="22"/>
  <c r="R2" i="22"/>
  <c r="R92" i="22"/>
  <c r="Q24" i="22"/>
  <c r="Q40" i="22"/>
  <c r="R99" i="22"/>
  <c r="R73" i="22"/>
  <c r="S30" i="22"/>
  <c r="Q87" i="22"/>
  <c r="Q2" i="22"/>
  <c r="P2" i="22"/>
  <c r="R15" i="22"/>
  <c r="S33" i="22"/>
  <c r="S54" i="22"/>
  <c r="Q58" i="22"/>
  <c r="Q20" i="22"/>
  <c r="S15" i="22"/>
  <c r="P75" i="22"/>
  <c r="P50" i="22"/>
  <c r="P54" i="22"/>
  <c r="P59" i="22"/>
  <c r="P60" i="22"/>
  <c r="P58" i="22"/>
  <c r="S35" i="22"/>
  <c r="P74" i="22"/>
  <c r="S58" i="22"/>
  <c r="Q97" i="22"/>
  <c r="S27" i="22"/>
  <c r="R95" i="22"/>
  <c r="R100" i="22"/>
  <c r="S74" i="22"/>
  <c r="R3" i="22"/>
  <c r="Q36" i="22"/>
  <c r="Q82" i="22"/>
  <c r="Q67" i="22"/>
  <c r="Q74" i="22"/>
  <c r="S92" i="22"/>
  <c r="R67" i="22"/>
  <c r="R40" i="22"/>
  <c r="R28" i="22"/>
  <c r="Q44" i="22"/>
  <c r="S79" i="22"/>
  <c r="S71" i="22"/>
  <c r="R56" i="22"/>
  <c r="S64" i="22"/>
  <c r="R35" i="22"/>
  <c r="Q6" i="22"/>
  <c r="R74" i="22"/>
  <c r="S39" i="22"/>
  <c r="Q88" i="22"/>
  <c r="Q27" i="22"/>
  <c r="Q71" i="22"/>
  <c r="Q5" i="22"/>
  <c r="S72" i="22"/>
  <c r="S61" i="22"/>
  <c r="S68" i="22"/>
  <c r="S95" i="22"/>
  <c r="Q9" i="22"/>
  <c r="P48" i="22"/>
  <c r="P101" i="22"/>
  <c r="P70" i="22"/>
  <c r="P66" i="22"/>
  <c r="P92" i="22"/>
  <c r="P18" i="22"/>
  <c r="P26" i="22"/>
  <c r="P57" i="22"/>
  <c r="Q11" i="22"/>
  <c r="Q45" i="22"/>
  <c r="S65" i="22"/>
  <c r="S46" i="22"/>
  <c r="R49" i="22"/>
  <c r="R43" i="22"/>
  <c r="Q46" i="22"/>
  <c r="R34" i="22"/>
  <c r="S66" i="22"/>
  <c r="Q42" i="22"/>
  <c r="R76" i="22"/>
  <c r="R41" i="22"/>
  <c r="Q65" i="22"/>
  <c r="S43" i="22"/>
  <c r="Q91" i="22"/>
  <c r="R84" i="22"/>
  <c r="R42" i="22"/>
  <c r="Q84" i="22"/>
  <c r="S19" i="22"/>
  <c r="Q69" i="22"/>
  <c r="R16" i="22"/>
  <c r="Q86" i="22"/>
  <c r="Q26" i="22"/>
  <c r="R18" i="22"/>
  <c r="S8" i="22"/>
  <c r="S97" i="22"/>
  <c r="Q93" i="22"/>
  <c r="S5" i="22"/>
  <c r="S10" i="22"/>
  <c r="P9" i="22"/>
  <c r="P35" i="22"/>
  <c r="P79" i="22"/>
  <c r="P37" i="22"/>
  <c r="P33" i="22"/>
  <c r="P78" i="22"/>
  <c r="P51" i="22"/>
  <c r="P86" i="22"/>
  <c r="P65" i="22"/>
  <c r="S4" i="22"/>
  <c r="J62" i="22" l="1"/>
  <c r="J75" i="22"/>
  <c r="J4" i="22"/>
  <c r="J19" i="22"/>
  <c r="J73" i="22"/>
  <c r="J81" i="22"/>
  <c r="J56" i="22"/>
  <c r="J5" i="22"/>
  <c r="J11" i="22"/>
  <c r="J55" i="22"/>
  <c r="J15" i="22"/>
  <c r="J66" i="22"/>
  <c r="J49" i="22"/>
  <c r="J28" i="22"/>
  <c r="J36" i="22"/>
  <c r="J7" i="22"/>
  <c r="J53" i="22"/>
  <c r="J51" i="22"/>
  <c r="J17" i="22"/>
  <c r="J85" i="22"/>
  <c r="J82" i="22"/>
  <c r="J63" i="22"/>
  <c r="J89" i="22"/>
  <c r="J21" i="22"/>
  <c r="J12" i="22"/>
  <c r="J42" i="22"/>
  <c r="J91" i="22"/>
  <c r="J64" i="22"/>
  <c r="J68" i="22"/>
  <c r="J100" i="22"/>
  <c r="J86" i="22"/>
  <c r="J78" i="22"/>
  <c r="J48" i="22"/>
  <c r="J26" i="22"/>
  <c r="J13" i="22"/>
  <c r="J46" i="22"/>
  <c r="J6" i="22"/>
  <c r="J37" i="22"/>
  <c r="J101" i="22"/>
  <c r="J90" i="22"/>
  <c r="J65" i="22"/>
  <c r="J34" i="22"/>
  <c r="J35" i="22"/>
  <c r="J33" i="22"/>
  <c r="J41" i="22"/>
  <c r="J98" i="22"/>
  <c r="J32" i="22"/>
  <c r="J44" i="22"/>
  <c r="J94" i="22"/>
  <c r="J29" i="22"/>
  <c r="J80" i="22"/>
  <c r="J54" i="22"/>
  <c r="J97" i="22"/>
  <c r="J95" i="22"/>
  <c r="J79" i="22"/>
  <c r="J57" i="22"/>
  <c r="J58" i="22"/>
  <c r="J10" i="22"/>
  <c r="J3" i="22"/>
  <c r="J99" i="22"/>
  <c r="J31" i="22"/>
  <c r="J52" i="22"/>
  <c r="J61" i="22"/>
  <c r="J83" i="22"/>
  <c r="J39" i="22"/>
  <c r="J71" i="22"/>
  <c r="J93" i="22"/>
  <c r="J96" i="22"/>
  <c r="J50" i="22"/>
  <c r="J76" i="22"/>
  <c r="J87" i="22"/>
  <c r="J9" i="22"/>
  <c r="J18" i="22"/>
  <c r="J40" i="22"/>
  <c r="J72" i="22"/>
  <c r="J14" i="22"/>
  <c r="J74" i="22"/>
  <c r="J25" i="22"/>
  <c r="J24" i="22"/>
  <c r="J30" i="22"/>
  <c r="J20" i="22"/>
  <c r="J47" i="22"/>
  <c r="J69" i="22"/>
  <c r="J88" i="22"/>
  <c r="J22" i="22"/>
  <c r="J8" i="22"/>
  <c r="J77" i="22"/>
  <c r="J45" i="22"/>
  <c r="J84" i="22"/>
  <c r="J43" i="22"/>
  <c r="J38" i="22"/>
  <c r="J67" i="22"/>
  <c r="J92" i="22"/>
  <c r="J60" i="22"/>
  <c r="J16" i="22"/>
  <c r="J23" i="22"/>
  <c r="J27" i="22"/>
  <c r="J70" i="22"/>
  <c r="J59" i="22"/>
  <c r="J2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2DC52-C1A3-304B-B66A-4DC11C2C7E48}" name="NewFile" type="6" refreshedVersion="6" deleted="1" background="1" saveData="1">
    <textPr sourceFile="/Users/rwf545/Downloads/NewFile.csv" decimal="," thousands=".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<sst xmlns="http://schemas.openxmlformats.org/spreadsheetml/2006/main" count="20829" uniqueCount="5926">
  <si>
    <t>GRM5</t>
  </si>
  <si>
    <t>AA2AR</t>
  </si>
  <si>
    <t>Adenosine</t>
  </si>
  <si>
    <r>
      <t xml:space="preserve">Receptor
</t>
    </r>
    <r>
      <rPr>
        <sz val="12"/>
        <color theme="1"/>
        <rFont val="Calibri"/>
        <family val="2"/>
        <scheme val="minor"/>
      </rPr>
      <t>(UniProt)</t>
    </r>
  </si>
  <si>
    <t>PubChem CID</t>
  </si>
  <si>
    <t>ChEMBL compound ID</t>
  </si>
  <si>
    <t>UniProt entry code (peptide)</t>
  </si>
  <si>
    <t>CAS registry number</t>
  </si>
  <si>
    <t>_FASTA seq (peptide)</t>
  </si>
  <si>
    <t>_SMILES (small mol)</t>
  </si>
  <si>
    <t>_long name</t>
  </si>
  <si>
    <t>ID type</t>
  </si>
  <si>
    <t>ID</t>
  </si>
  <si>
    <t>Cl</t>
  </si>
  <si>
    <t>5HT1A</t>
  </si>
  <si>
    <t>A</t>
  </si>
  <si>
    <t>5HT1B</t>
  </si>
  <si>
    <t>5HT1D</t>
  </si>
  <si>
    <t>5HT1E</t>
  </si>
  <si>
    <t>5HT1F</t>
  </si>
  <si>
    <t>5HT2A</t>
  </si>
  <si>
    <t>5HT2B</t>
  </si>
  <si>
    <t>5HT2C</t>
  </si>
  <si>
    <t>5HT4R</t>
  </si>
  <si>
    <t>5HT6R</t>
  </si>
  <si>
    <t>5HT7R</t>
  </si>
  <si>
    <t>ACM1</t>
  </si>
  <si>
    <t>ACM2</t>
  </si>
  <si>
    <t>ACM3</t>
  </si>
  <si>
    <t>ACM4</t>
  </si>
  <si>
    <t>ACM5</t>
  </si>
  <si>
    <t>AA1R</t>
  </si>
  <si>
    <t>AA2BR</t>
  </si>
  <si>
    <t>AA3R</t>
  </si>
  <si>
    <t>ADA1A</t>
  </si>
  <si>
    <t>ADA1B</t>
  </si>
  <si>
    <t>ADA1D</t>
  </si>
  <si>
    <t>ADA2A</t>
  </si>
  <si>
    <t>ADA2B</t>
  </si>
  <si>
    <t>ADA2C</t>
  </si>
  <si>
    <t>ADRB1</t>
  </si>
  <si>
    <t>ADRB2</t>
  </si>
  <si>
    <t>ADRB3</t>
  </si>
  <si>
    <t>AGTR1</t>
  </si>
  <si>
    <t>Peptide</t>
  </si>
  <si>
    <t>APJ</t>
  </si>
  <si>
    <t>APLNR</t>
  </si>
  <si>
    <t>Apelin</t>
  </si>
  <si>
    <t>GPBAR</t>
  </si>
  <si>
    <t>Bombesin</t>
  </si>
  <si>
    <t>GRPR</t>
  </si>
  <si>
    <t>NMBR</t>
  </si>
  <si>
    <t>BKRB1</t>
  </si>
  <si>
    <t>B1</t>
  </si>
  <si>
    <t>BKRB2</t>
  </si>
  <si>
    <t>CALCR</t>
  </si>
  <si>
    <t>Calcitonin</t>
  </si>
  <si>
    <t>C</t>
  </si>
  <si>
    <t>CNR1</t>
  </si>
  <si>
    <t>CNR2</t>
  </si>
  <si>
    <t>ACKR3</t>
  </si>
  <si>
    <t>ACKR4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</si>
  <si>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</si>
  <si>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</si>
  <si>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</si>
  <si>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</si>
  <si>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</si>
  <si>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</si>
  <si>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</si>
  <si>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</si>
  <si>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</si>
  <si>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</si>
  <si>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</si>
  <si>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CXCR1</t>
  </si>
  <si>
    <t>CXCR2</t>
  </si>
  <si>
    <t>CXCR3</t>
  </si>
  <si>
    <t>CXCR4</t>
  </si>
  <si>
    <t>CXCR5</t>
  </si>
  <si>
    <t>CXCR6</t>
  </si>
  <si>
    <t>XCR1</t>
  </si>
  <si>
    <t>CCKAR</t>
  </si>
  <si>
    <t>GASR</t>
  </si>
  <si>
    <t>GP132</t>
  </si>
  <si>
    <t>GPR132</t>
  </si>
  <si>
    <t>GP174</t>
  </si>
  <si>
    <t>GPR174</t>
  </si>
  <si>
    <t>GP183</t>
  </si>
  <si>
    <t>GPR183</t>
  </si>
  <si>
    <t>GPR17</t>
  </si>
  <si>
    <t>GPR34</t>
  </si>
  <si>
    <t>GPR35</t>
  </si>
  <si>
    <t>GPR39</t>
  </si>
  <si>
    <t>GPR4</t>
  </si>
  <si>
    <t>GPR84</t>
  </si>
  <si>
    <t>MRGX1</t>
  </si>
  <si>
    <t>MRGPRX1</t>
  </si>
  <si>
    <t>MRGX2</t>
  </si>
  <si>
    <t>MRGPRX2</t>
  </si>
  <si>
    <t>OGR1</t>
  </si>
  <si>
    <t>GPR68</t>
  </si>
  <si>
    <t>P2Y10</t>
  </si>
  <si>
    <t>PSYR</t>
  </si>
  <si>
    <t>GPR65</t>
  </si>
  <si>
    <t>C5AR1</t>
  </si>
  <si>
    <t>CRFR1</t>
  </si>
  <si>
    <t>CRFR2</t>
  </si>
  <si>
    <t>DRD1</t>
  </si>
  <si>
    <t>Dopamine</t>
  </si>
  <si>
    <t>DRD2</t>
  </si>
  <si>
    <t>DRD3</t>
  </si>
  <si>
    <t>DRD4</t>
  </si>
  <si>
    <t>DRD5</t>
  </si>
  <si>
    <t>EDNRA</t>
  </si>
  <si>
    <t>EDNRB</t>
  </si>
  <si>
    <t>FPR1</t>
  </si>
  <si>
    <t>FPR2</t>
  </si>
  <si>
    <t>FPR3</t>
  </si>
  <si>
    <t>FFAR1</t>
  </si>
  <si>
    <t>FFAR2</t>
  </si>
  <si>
    <t>FFAR3</t>
  </si>
  <si>
    <t>FFAR4</t>
  </si>
  <si>
    <t>GALR1</t>
  </si>
  <si>
    <t>Galanin</t>
  </si>
  <si>
    <t>GALR2</t>
  </si>
  <si>
    <t>GALR3</t>
  </si>
  <si>
    <t>GHSR</t>
  </si>
  <si>
    <t>Ghrelin</t>
  </si>
  <si>
    <t>GIPR</t>
  </si>
  <si>
    <t>GLP1R</t>
  </si>
  <si>
    <t>GLP2R</t>
  </si>
  <si>
    <t>GLR</t>
  </si>
  <si>
    <t>GNRHR</t>
  </si>
  <si>
    <t>GP119</t>
  </si>
  <si>
    <t>GPR119</t>
  </si>
  <si>
    <t>GPR55</t>
  </si>
  <si>
    <t>HRH1</t>
  </si>
  <si>
    <t>Histamine</t>
  </si>
  <si>
    <t>HRH2</t>
  </si>
  <si>
    <t>HRH3</t>
  </si>
  <si>
    <t>HRH4</t>
  </si>
  <si>
    <t>HCAR2</t>
  </si>
  <si>
    <t>HCAR3</t>
  </si>
  <si>
    <t>KISSR</t>
  </si>
  <si>
    <t>Kisspeptin</t>
  </si>
  <si>
    <t>CLTR1</t>
  </si>
  <si>
    <t>CLTR2</t>
  </si>
  <si>
    <t>LT4R1</t>
  </si>
  <si>
    <t>LT4R2</t>
  </si>
  <si>
    <t>LPAR1</t>
  </si>
  <si>
    <t>LPAR2</t>
  </si>
  <si>
    <t>LPAR3</t>
  </si>
  <si>
    <t>LPAR4</t>
  </si>
  <si>
    <t>LPAR5</t>
  </si>
  <si>
    <t>LPAR6</t>
  </si>
  <si>
    <t>S1PR1</t>
  </si>
  <si>
    <t>S1PR2</t>
  </si>
  <si>
    <t>S1PR3</t>
  </si>
  <si>
    <t>S1PR5</t>
  </si>
  <si>
    <t>MCHR1</t>
  </si>
  <si>
    <t>MCHR2</t>
  </si>
  <si>
    <t>MC3R</t>
  </si>
  <si>
    <t>MC4R</t>
  </si>
  <si>
    <t>MC5R</t>
  </si>
  <si>
    <t>MSHR</t>
  </si>
  <si>
    <t>MTR1A</t>
  </si>
  <si>
    <t>Melatonin</t>
  </si>
  <si>
    <t>MTR1B</t>
  </si>
  <si>
    <t>GRM2</t>
  </si>
  <si>
    <t>GRM4</t>
  </si>
  <si>
    <t>GRM6</t>
  </si>
  <si>
    <t>GRM8</t>
  </si>
  <si>
    <t>MTLR</t>
  </si>
  <si>
    <t>NMUR1</t>
  </si>
  <si>
    <t>NMUR2</t>
  </si>
  <si>
    <t>NPFF1</t>
  </si>
  <si>
    <t>NPFF2</t>
  </si>
  <si>
    <t>NPBW1</t>
  </si>
  <si>
    <t>NPY1R</t>
  </si>
  <si>
    <t>NPY5R</t>
  </si>
  <si>
    <t>NTR1</t>
  </si>
  <si>
    <t>Neurotensin</t>
  </si>
  <si>
    <t>OPRD</t>
  </si>
  <si>
    <t>OPRK</t>
  </si>
  <si>
    <t>OPRM</t>
  </si>
  <si>
    <t>OPRX</t>
  </si>
  <si>
    <t>NOP</t>
  </si>
  <si>
    <t>OX1R</t>
  </si>
  <si>
    <t>OX2R</t>
  </si>
  <si>
    <t>OXGR1</t>
  </si>
  <si>
    <t>Oxoglutarate</t>
  </si>
  <si>
    <t>P2RY1</t>
  </si>
  <si>
    <t>P2RY2</t>
  </si>
  <si>
    <t>P2RY4</t>
  </si>
  <si>
    <t>P2RY6</t>
  </si>
  <si>
    <t>P2Y11</t>
  </si>
  <si>
    <t>P2Y12</t>
  </si>
  <si>
    <t>P2Y13</t>
  </si>
  <si>
    <t>P2Y14</t>
  </si>
  <si>
    <t>PTH1R</t>
  </si>
  <si>
    <t>PTH2R</t>
  </si>
  <si>
    <t>PTAFR</t>
  </si>
  <si>
    <t>PRLHR</t>
  </si>
  <si>
    <t>PD2R</t>
  </si>
  <si>
    <t>PE2R1</t>
  </si>
  <si>
    <t>PE2R2</t>
  </si>
  <si>
    <t>PE2R3</t>
  </si>
  <si>
    <t>PE2R4</t>
  </si>
  <si>
    <t>PF2R</t>
  </si>
  <si>
    <t>PI2R</t>
  </si>
  <si>
    <t>TA2R</t>
  </si>
  <si>
    <t>PAR1</t>
  </si>
  <si>
    <t>PAR2</t>
  </si>
  <si>
    <t>PAR3</t>
  </si>
  <si>
    <t>PAR4</t>
  </si>
  <si>
    <t>RXFP1</t>
  </si>
  <si>
    <t>RXFP2</t>
  </si>
  <si>
    <t>SSR1</t>
  </si>
  <si>
    <t>Somatostatin</t>
  </si>
  <si>
    <t>SSR2</t>
  </si>
  <si>
    <t>SSR3</t>
  </si>
  <si>
    <t>SSR4</t>
  </si>
  <si>
    <t>SSR5</t>
  </si>
  <si>
    <t>NK1R</t>
  </si>
  <si>
    <t>NK2R</t>
  </si>
  <si>
    <t>NK3R</t>
  </si>
  <si>
    <t>TRFR</t>
  </si>
  <si>
    <t>UR2R</t>
  </si>
  <si>
    <t>OXYR</t>
  </si>
  <si>
    <t>V1AR</t>
  </si>
  <si>
    <t>V1BR</t>
  </si>
  <si>
    <t>V2R</t>
  </si>
  <si>
    <t>PACR</t>
  </si>
  <si>
    <t>VIPR1</t>
  </si>
  <si>
    <t>7α,25-dihydroxycholesterol</t>
  </si>
  <si>
    <t>Vasopressin</t>
  </si>
  <si>
    <t>Endothelin-1</t>
  </si>
  <si>
    <t>Leukotriene D4</t>
  </si>
  <si>
    <t>Neuropeptide FF</t>
  </si>
  <si>
    <t>Lysophosphatidic acid</t>
  </si>
  <si>
    <t>Orexin-A</t>
  </si>
  <si>
    <t>Prostaglandin F2α</t>
  </si>
  <si>
    <t>Prostaglandin E2</t>
  </si>
  <si>
    <t>Propionic acid</t>
  </si>
  <si>
    <t>Serotonin</t>
  </si>
  <si>
    <t>PAR2 peptide</t>
  </si>
  <si>
    <t>Sphingosine 1-phosphate</t>
  </si>
  <si>
    <t xml:space="preserve">TFLLR-NH2 </t>
  </si>
  <si>
    <t>PAR1 peptide</t>
  </si>
  <si>
    <t>α-MSH</t>
  </si>
  <si>
    <t>Parathyroid Hormone</t>
  </si>
  <si>
    <t>Decanoic Acid</t>
  </si>
  <si>
    <t>Leukotriene B4</t>
  </si>
  <si>
    <t>CALCR+RAMP3</t>
  </si>
  <si>
    <t>Physiological
/Surrogate</t>
  </si>
  <si>
    <t>UniProt</t>
  </si>
  <si>
    <t>IUPHAR</t>
  </si>
  <si>
    <t>P08908</t>
  </si>
  <si>
    <t>P28222</t>
  </si>
  <si>
    <t>P28221</t>
  </si>
  <si>
    <t>P28223</t>
  </si>
  <si>
    <t>P41595</t>
  </si>
  <si>
    <t>P28335</t>
  </si>
  <si>
    <t>P11229</t>
  </si>
  <si>
    <t>P08172</t>
  </si>
  <si>
    <t>P20309</t>
  </si>
  <si>
    <t>P08173</t>
  </si>
  <si>
    <t>P30542</t>
  </si>
  <si>
    <t>P29274</t>
  </si>
  <si>
    <t>P29275</t>
  </si>
  <si>
    <t>P0DMS8</t>
  </si>
  <si>
    <t>P35348</t>
  </si>
  <si>
    <t>P08913</t>
  </si>
  <si>
    <t>P18089</t>
  </si>
  <si>
    <t>P18825</t>
  </si>
  <si>
    <t>P08588</t>
  </si>
  <si>
    <t>P07550</t>
  </si>
  <si>
    <t>P30556</t>
  </si>
  <si>
    <t>P35414</t>
  </si>
  <si>
    <t>Q8TDU6</t>
  </si>
  <si>
    <t>P46663</t>
  </si>
  <si>
    <t>P30411</t>
  </si>
  <si>
    <t>P21554</t>
  </si>
  <si>
    <t>P34972</t>
  </si>
  <si>
    <t>P51681</t>
  </si>
  <si>
    <t>P51684</t>
  </si>
  <si>
    <t>P25025</t>
  </si>
  <si>
    <t>P61073</t>
  </si>
  <si>
    <t>P32302</t>
  </si>
  <si>
    <t>P32238</t>
  </si>
  <si>
    <t>P32249</t>
  </si>
  <si>
    <t>O43194</t>
  </si>
  <si>
    <t>P21730</t>
  </si>
  <si>
    <t>Q13324</t>
  </si>
  <si>
    <t>P21728</t>
  </si>
  <si>
    <t>P14416</t>
  </si>
  <si>
    <t>P21918</t>
  </si>
  <si>
    <t>P25101</t>
  </si>
  <si>
    <t>O15552</t>
  </si>
  <si>
    <t>O14843</t>
  </si>
  <si>
    <t>Q5NUL3</t>
  </si>
  <si>
    <t>Q92847</t>
  </si>
  <si>
    <t>P48546</t>
  </si>
  <si>
    <t>P43220</t>
  </si>
  <si>
    <t>O95838</t>
  </si>
  <si>
    <t>P47871</t>
  </si>
  <si>
    <t>P30968</t>
  </si>
  <si>
    <t>P35367</t>
  </si>
  <si>
    <t>P25021</t>
  </si>
  <si>
    <t>Q8TDS4</t>
  </si>
  <si>
    <t>P49019</t>
  </si>
  <si>
    <t>Q9Y271</t>
  </si>
  <si>
    <t>Q9NS75</t>
  </si>
  <si>
    <t>Q15722</t>
  </si>
  <si>
    <t>Q9NPC1</t>
  </si>
  <si>
    <t>Q92633</t>
  </si>
  <si>
    <t>Q9HBW0</t>
  </si>
  <si>
    <t>P21453</t>
  </si>
  <si>
    <t>P41968</t>
  </si>
  <si>
    <t>P32245</t>
  </si>
  <si>
    <t>P48039</t>
  </si>
  <si>
    <t>P49286</t>
  </si>
  <si>
    <t>Q14416</t>
  </si>
  <si>
    <t>Q14833</t>
  </si>
  <si>
    <t>P41594</t>
  </si>
  <si>
    <t>O15303</t>
  </si>
  <si>
    <t>O00222</t>
  </si>
  <si>
    <t>Q9GZQ6</t>
  </si>
  <si>
    <t>Q9Y5X5</t>
  </si>
  <si>
    <t>P25929</t>
  </si>
  <si>
    <t>Q15761</t>
  </si>
  <si>
    <t>P41143</t>
  </si>
  <si>
    <t>P41145</t>
  </si>
  <si>
    <t>P35372</t>
  </si>
  <si>
    <t>P41146</t>
  </si>
  <si>
    <t>O43614</t>
  </si>
  <si>
    <t>P41231</t>
  </si>
  <si>
    <t>Q03431</t>
  </si>
  <si>
    <t>P34995</t>
  </si>
  <si>
    <t>P43116</t>
  </si>
  <si>
    <t>P43115</t>
  </si>
  <si>
    <t>P35408</t>
  </si>
  <si>
    <t>P43088</t>
  </si>
  <si>
    <t>P25116</t>
  </si>
  <si>
    <t>P30874</t>
  </si>
  <si>
    <t>P30559</t>
  </si>
  <si>
    <t>P37288</t>
  </si>
  <si>
    <t>P30518</t>
  </si>
  <si>
    <t>P32241</t>
  </si>
  <si>
    <t>CAS - Inoue</t>
  </si>
  <si>
    <t>Apelin</t>
    <phoneticPr fontId="3"/>
  </si>
  <si>
    <t>QRPRLSHKGPMPF</t>
  </si>
  <si>
    <t>217082-58-1</t>
  </si>
  <si>
    <t>64907-22-8</t>
  </si>
  <si>
    <t>Acetylcholine</t>
    <phoneticPr fontId="3"/>
  </si>
  <si>
    <t>Acetylcholine Chloride</t>
  </si>
  <si>
    <t>60-31-1</t>
  </si>
  <si>
    <t>Acetylcholine Chloride</t>
    <phoneticPr fontId="3"/>
  </si>
  <si>
    <t>Adenosine</t>
    <phoneticPr fontId="3"/>
  </si>
  <si>
    <t>58-61-7</t>
  </si>
  <si>
    <t>Angiotensin II</t>
    <phoneticPr fontId="3"/>
  </si>
  <si>
    <t>DRVYIHPF</t>
    <phoneticPr fontId="3"/>
  </si>
  <si>
    <t>4474-91-3</t>
  </si>
  <si>
    <t>CYFQNCPRG-NH2</t>
    <phoneticPr fontId="3"/>
  </si>
  <si>
    <t>113-79-1</t>
  </si>
  <si>
    <t>Vasopressin</t>
    <phoneticPr fontId="3"/>
  </si>
  <si>
    <t>CCK-Octapeptide</t>
    <phoneticPr fontId="3"/>
  </si>
  <si>
    <t>DY(SO3H)MGWMDF-NH2</t>
    <phoneticPr fontId="3"/>
  </si>
  <si>
    <t>25126-32-3</t>
  </si>
  <si>
    <t>Dopamine</t>
    <phoneticPr fontId="3"/>
  </si>
  <si>
    <t>3,4-Dihydroxyphenethylamine Hydrochloride</t>
    <phoneticPr fontId="3"/>
  </si>
  <si>
    <t>62-31-7</t>
  </si>
  <si>
    <t>3,4-Dihydroxyphenethylamine Hydrochloride</t>
  </si>
  <si>
    <t>Dynorphin A</t>
    <phoneticPr fontId="3"/>
  </si>
  <si>
    <t>YGGFLRRIRPKLK</t>
  </si>
  <si>
    <t>72957-38-1</t>
  </si>
  <si>
    <t>Endothelin-1</t>
    <phoneticPr fontId="3"/>
  </si>
  <si>
    <t>CSCSSLMDKECVYFCHLDIIW</t>
  </si>
  <si>
    <t>117399-94-7</t>
  </si>
  <si>
    <t>Histamine</t>
    <phoneticPr fontId="3"/>
  </si>
  <si>
    <t>Histamine Dihydrochloride</t>
  </si>
  <si>
    <t>56-92-8</t>
  </si>
  <si>
    <t>Histamine Dihydrochloride</t>
    <phoneticPr fontId="3"/>
  </si>
  <si>
    <t>73836-78-9</t>
  </si>
  <si>
    <t>Leukotriene D4</t>
    <phoneticPr fontId="3"/>
  </si>
  <si>
    <t>Melatonin</t>
    <phoneticPr fontId="3"/>
  </si>
  <si>
    <t>73-31-4</t>
  </si>
  <si>
    <t>Nociceptin</t>
    <phoneticPr fontId="3"/>
  </si>
  <si>
    <t>FGGFTGARKSARKLANQ</t>
    <phoneticPr fontId="3"/>
  </si>
  <si>
    <t>170713-75-4</t>
  </si>
  <si>
    <t>Norepinephrine</t>
  </si>
  <si>
    <t>L-(−)-Norepinephrine (+)-bitartrate salt monohydrate</t>
  </si>
  <si>
    <t>108341-18-0</t>
  </si>
  <si>
    <t>Norepinephrine</t>
    <phoneticPr fontId="3"/>
  </si>
  <si>
    <t>FLFQPQRF-NH2</t>
    <phoneticPr fontId="3"/>
  </si>
  <si>
    <t>99566-27-5</t>
  </si>
  <si>
    <t>1-oleoyl-2-hydroxy-sn-glycero-3-phosphate, sodium salt</t>
    <phoneticPr fontId="3"/>
  </si>
  <si>
    <t>325465-93-8</t>
  </si>
  <si>
    <t>Pyr-PLPDCCRQKTCSCRLYELLHGAGNHAAGILTL-NH2</t>
    <phoneticPr fontId="3"/>
  </si>
  <si>
    <t>205640-90-0</t>
  </si>
  <si>
    <t>Oxytocin</t>
    <phoneticPr fontId="3"/>
  </si>
  <si>
    <t>CYIQNCPLG-NH2</t>
    <phoneticPr fontId="3"/>
  </si>
  <si>
    <t>50-56-6</t>
  </si>
  <si>
    <t>Prostaglandin F2α</t>
    <phoneticPr fontId="3"/>
  </si>
  <si>
    <t>551-11-1</t>
  </si>
  <si>
    <t>Prostaglandin E2</t>
    <phoneticPr fontId="3"/>
  </si>
  <si>
    <t>363-24-6</t>
  </si>
  <si>
    <t>Propionic Acid</t>
    <phoneticPr fontId="3"/>
  </si>
  <si>
    <t>79-09-4</t>
  </si>
  <si>
    <t>Propionic acid</t>
    <phoneticPr fontId="3"/>
  </si>
  <si>
    <t>Propionic Acid</t>
  </si>
  <si>
    <t>Serotonin</t>
    <phoneticPr fontId="3"/>
  </si>
  <si>
    <t>5-Hydroxytryptamine Hydrochloride</t>
  </si>
  <si>
    <t>153-98-0</t>
  </si>
  <si>
    <t>5-Hydroxytryptamine Hydrochloride</t>
    <phoneticPr fontId="3"/>
  </si>
  <si>
    <t>SLIGRL-NH2</t>
    <phoneticPr fontId="3"/>
  </si>
  <si>
    <t>171436-38-7</t>
  </si>
  <si>
    <t>Somatostatin</t>
    <phoneticPr fontId="3"/>
  </si>
  <si>
    <t>AGCKNFFWKTFTSC</t>
  </si>
  <si>
    <t>38916-34-6</t>
  </si>
  <si>
    <t>Sphingosine 1-phosphate</t>
    <phoneticPr fontId="3"/>
  </si>
  <si>
    <t>Sphingosine-1-Phosphate</t>
    <phoneticPr fontId="3"/>
  </si>
  <si>
    <t>26993-30-6</t>
  </si>
  <si>
    <t>197794-83-5</t>
  </si>
  <si>
    <t>α-MSH</t>
    <phoneticPr fontId="3"/>
  </si>
  <si>
    <t>Ac-SYSMEHFRWGKPV-NH2</t>
    <phoneticPr fontId="3"/>
  </si>
  <si>
    <t>581-05-5</t>
  </si>
  <si>
    <t>Gastric Inhibitory Peptide</t>
  </si>
  <si>
    <t>YAEGTFISDYSIAMDKIHQQDFVNWLLAQKGKKNDWKHNITQ</t>
  </si>
  <si>
    <t>100040-31-1</t>
  </si>
  <si>
    <t>52232-67-4</t>
  </si>
  <si>
    <t>Methionine-Enkephalin</t>
    <phoneticPr fontId="3"/>
  </si>
  <si>
    <t>YGGFM</t>
  </si>
  <si>
    <t>58569-55-4</t>
  </si>
  <si>
    <t>MK 0677</t>
    <phoneticPr fontId="3"/>
  </si>
  <si>
    <t>159752-10-0</t>
  </si>
  <si>
    <t>Bradykinin</t>
    <phoneticPr fontId="3"/>
  </si>
  <si>
    <t>RPPGFSPFR</t>
  </si>
  <si>
    <t>58-82-2</t>
  </si>
  <si>
    <t>Lysyl-Bradykinin</t>
    <phoneticPr fontId="3"/>
  </si>
  <si>
    <t>KRPPGFSPFR</t>
    <phoneticPr fontId="3"/>
  </si>
  <si>
    <t>342-10-9</t>
  </si>
  <si>
    <t>Pyr-His-Trp-Ser-Tyr-D-Leu-Leu-Arg-Pro-NHEt, acetate salt</t>
    <phoneticPr fontId="3"/>
  </si>
  <si>
    <t>74381-53-6</t>
  </si>
  <si>
    <t>CAY10583</t>
  </si>
  <si>
    <t>862891-27-8</t>
  </si>
  <si>
    <t>Isoproterenol</t>
    <phoneticPr fontId="3"/>
  </si>
  <si>
    <t>(−)-Isoproterenol hydrochloride</t>
  </si>
  <si>
    <t>5984-95-2</t>
  </si>
  <si>
    <t>(−)-Isoproterenol hydrochloride</t>
    <phoneticPr fontId="3"/>
  </si>
  <si>
    <t>Methionine-Enkephalin</t>
  </si>
  <si>
    <t>YGGFM</t>
    <phoneticPr fontId="3"/>
  </si>
  <si>
    <t>Capric acid</t>
    <phoneticPr fontId="3"/>
  </si>
  <si>
    <t>334-48-5</t>
  </si>
  <si>
    <t>ATP</t>
    <phoneticPr fontId="3"/>
  </si>
  <si>
    <t>Adenosine 5'-Triphosphate Disodium Salt</t>
    <phoneticPr fontId="3"/>
  </si>
  <si>
    <t>987-65-5</t>
  </si>
  <si>
    <t>CP-55940</t>
    <phoneticPr fontId="3"/>
  </si>
  <si>
    <t>(−)-CP 55,940</t>
    <phoneticPr fontId="3"/>
  </si>
  <si>
    <t>83002-04-4</t>
  </si>
  <si>
    <t>(−)-CP 55,940</t>
  </si>
  <si>
    <t>TUG 891</t>
    <phoneticPr fontId="3"/>
  </si>
  <si>
    <t>1374516-07-0</t>
  </si>
  <si>
    <t>CCK-Octapeptide</t>
  </si>
  <si>
    <t>CSCSSLMDKECVYFCHLDIIW</t>
    <phoneticPr fontId="3"/>
  </si>
  <si>
    <t>Thrombin</t>
    <phoneticPr fontId="3"/>
  </si>
  <si>
    <t>Thrombin from bovine plasma</t>
  </si>
  <si>
    <t xml:space="preserve">9002-04-4  </t>
  </si>
  <si>
    <t>Thrombin</t>
  </si>
  <si>
    <t>Thrombin from bovine plasma</t>
    <phoneticPr fontId="3"/>
  </si>
  <si>
    <t>Palmitic acid</t>
    <phoneticPr fontId="3"/>
  </si>
  <si>
    <t>Palmitic acid</t>
  </si>
  <si>
    <t>57-10-3</t>
  </si>
  <si>
    <t>fMLP</t>
    <phoneticPr fontId="3"/>
  </si>
  <si>
    <t>For-MLP</t>
    <phoneticPr fontId="3"/>
  </si>
  <si>
    <t>59880-97-6</t>
  </si>
  <si>
    <t>WKYMVM</t>
  </si>
  <si>
    <t>WKYMVM-NH2</t>
    <phoneticPr fontId="3"/>
  </si>
  <si>
    <t>187986-11-4</t>
  </si>
  <si>
    <t>Galanin</t>
    <phoneticPr fontId="3"/>
  </si>
  <si>
    <t>GWTLNSAGYLLGPHAVGNHRSFSDKNGLTS</t>
  </si>
  <si>
    <t>119418-04-1</t>
  </si>
  <si>
    <t>GWTLNSAGYLLGPHAVGNHRSFSDKNGLTS</t>
    <phoneticPr fontId="3"/>
  </si>
  <si>
    <t>Galanin (rat)</t>
    <phoneticPr fontId="3"/>
  </si>
  <si>
    <t>GWTLNSAGYLLGPHAIDNHRSFSDKHGLT-NH2</t>
    <phoneticPr fontId="3"/>
  </si>
  <si>
    <t>114547-31-8</t>
  </si>
  <si>
    <t>GSK1292263</t>
  </si>
  <si>
    <t>1032823-75-8</t>
  </si>
  <si>
    <t>9-HODE</t>
    <phoneticPr fontId="3"/>
  </si>
  <si>
    <t>(±)9-HODE</t>
    <phoneticPr fontId="3"/>
  </si>
  <si>
    <t>98524-19-7</t>
  </si>
  <si>
    <t>MDL 29951</t>
  </si>
  <si>
    <t>130798-51-5</t>
  </si>
  <si>
    <t>Lysophosphatidylserine</t>
    <phoneticPr fontId="3"/>
  </si>
  <si>
    <t>1-oleoyl-2-hydroxy-sn-glycero-3-phospho-L-serine, sodium salt</t>
    <phoneticPr fontId="3"/>
  </si>
  <si>
    <t>326589-90-6</t>
  </si>
  <si>
    <t>Lysophosphatidylserine</t>
  </si>
  <si>
    <t>Zaprinast</t>
    <phoneticPr fontId="3"/>
  </si>
  <si>
    <t>Zaprinast</t>
  </si>
  <si>
    <t>37762-06-4</t>
  </si>
  <si>
    <t>Lysophosphatidylinositol</t>
    <phoneticPr fontId="3"/>
  </si>
  <si>
    <t>1-arachidonoyl-2-hydroxy-sn-glycero-3-phosphoinositol, ammonium salt</t>
    <phoneticPr fontId="3"/>
  </si>
  <si>
    <t>1246430-04-5</t>
    <phoneticPr fontId="3"/>
  </si>
  <si>
    <t>Pyr-QRLGNQWAVGHLM-NH2</t>
    <phoneticPr fontId="3"/>
  </si>
  <si>
    <t>31362-50-2</t>
  </si>
  <si>
    <t>Orexin-A</t>
    <phoneticPr fontId="3"/>
  </si>
  <si>
    <t xml:space="preserve">Kisspeptin-10 </t>
  </si>
  <si>
    <t>YNWNSFGLRF-NH2</t>
    <phoneticPr fontId="3"/>
  </si>
  <si>
    <t>374675-21-5</t>
  </si>
  <si>
    <t>Lysophosphatidic acid</t>
    <phoneticPr fontId="3"/>
  </si>
  <si>
    <t>Leukotriene B4</t>
    <phoneticPr fontId="3"/>
  </si>
  <si>
    <t>71160-24-2</t>
  </si>
  <si>
    <t>MCH</t>
    <phoneticPr fontId="3"/>
  </si>
  <si>
    <t>DFDMLRCMLGRVYRPCWQV</t>
  </si>
  <si>
    <t>128315-56-0</t>
  </si>
  <si>
    <t>MCH</t>
  </si>
  <si>
    <t>DFDMLRCMLGRVYRPCWQV</t>
    <phoneticPr fontId="3"/>
  </si>
  <si>
    <t>Motilin</t>
    <phoneticPr fontId="3"/>
  </si>
  <si>
    <t>FVPIFTYGELQRMQEKERNKGQ</t>
  </si>
  <si>
    <t>52906-92-0</t>
  </si>
  <si>
    <t>BAM-22P</t>
  </si>
  <si>
    <t>YGGFMRRVGRPEWWMDYQKRYG</t>
    <phoneticPr fontId="3"/>
  </si>
  <si>
    <t>76622-26-9</t>
  </si>
  <si>
    <t>Cortistatin-14</t>
    <phoneticPr fontId="3"/>
  </si>
  <si>
    <t>PCKNFFWKTFSSCK</t>
  </si>
  <si>
    <t>193829-96-8</t>
  </si>
  <si>
    <t>Neuromedin B</t>
  </si>
  <si>
    <t>GNLWATGHFM-NH2</t>
    <phoneticPr fontId="3"/>
  </si>
  <si>
    <t>87096-84-2</t>
  </si>
  <si>
    <t>Neuromedin-U25</t>
    <phoneticPr fontId="3"/>
  </si>
  <si>
    <t>FRVDEEFQSPFASQSRGYFLFRPRN-NH2</t>
    <phoneticPr fontId="3"/>
  </si>
  <si>
    <t>312306-89-1</t>
  </si>
  <si>
    <t>Neuropeptide W-30</t>
    <phoneticPr fontId="3"/>
  </si>
  <si>
    <t>WYKHVASPRYHTVGRAAGLLMGLRRSPYLW</t>
  </si>
  <si>
    <t>383415-80-3</t>
  </si>
  <si>
    <t>2-oxo-glutaric acid</t>
    <phoneticPr fontId="3"/>
  </si>
  <si>
    <t>2-Oxoglutaric Acid</t>
    <phoneticPr fontId="3"/>
  </si>
  <si>
    <t>328-50-7</t>
  </si>
  <si>
    <t>ADP</t>
    <phoneticPr fontId="3"/>
  </si>
  <si>
    <t>Adenosine 5'-Diphosphate Sodium Salt</t>
    <phoneticPr fontId="3"/>
  </si>
  <si>
    <t>20398-34-9</t>
  </si>
  <si>
    <t>UDP</t>
    <phoneticPr fontId="3"/>
  </si>
  <si>
    <t>Uridine 5'-Diphosphate Disodium Salt</t>
    <phoneticPr fontId="3"/>
  </si>
  <si>
    <t>27821-45-0</t>
  </si>
  <si>
    <t>UDP-Glucose</t>
    <phoneticPr fontId="3"/>
  </si>
  <si>
    <t>UDP-Glucose Disodium Salt</t>
    <phoneticPr fontId="3"/>
  </si>
  <si>
    <t>28053-08-9</t>
  </si>
  <si>
    <t>TPDINPAWYASRGIRPVGRF-NH2</t>
    <phoneticPr fontId="3"/>
  </si>
  <si>
    <t>235433-36-0</t>
  </si>
  <si>
    <t>PAF</t>
    <phoneticPr fontId="3"/>
  </si>
  <si>
    <t>1-O-hexadecyl-2-acetyl-sn-glycero-3-phosphocholine</t>
    <phoneticPr fontId="3"/>
  </si>
  <si>
    <t>74389-68-7</t>
  </si>
  <si>
    <t>Prostaglandin D2</t>
    <phoneticPr fontId="3"/>
  </si>
  <si>
    <t>41598-07-6</t>
  </si>
  <si>
    <t>Iloprost</t>
    <phoneticPr fontId="3"/>
  </si>
  <si>
    <t>Iloprost</t>
  </si>
  <si>
    <t>78919-13-8</t>
  </si>
  <si>
    <t>Sphingosine-1-Phosphate</t>
  </si>
  <si>
    <t>AGCKNFFWKTFTSC</t>
    <phoneticPr fontId="3"/>
  </si>
  <si>
    <t>Substance P</t>
    <phoneticPr fontId="3"/>
  </si>
  <si>
    <t>RPKPQQFFGLM-NH2</t>
    <phoneticPr fontId="3"/>
  </si>
  <si>
    <t>33507-63-0</t>
  </si>
  <si>
    <t>Neurokinin A</t>
  </si>
  <si>
    <t>HKTDSFVGLM-NH2</t>
    <phoneticPr fontId="3"/>
  </si>
  <si>
    <t>86933-74-6</t>
  </si>
  <si>
    <t>Neurokinin B</t>
    <phoneticPr fontId="3"/>
  </si>
  <si>
    <t>DMHDFFVGLM-NH2</t>
    <phoneticPr fontId="3"/>
  </si>
  <si>
    <t>86933-75-7</t>
  </si>
  <si>
    <t>U-46619</t>
  </si>
  <si>
    <t>U-46619</t>
    <phoneticPr fontId="3"/>
  </si>
  <si>
    <t>56985-40-1</t>
  </si>
  <si>
    <t>Urotensin II</t>
    <phoneticPr fontId="3"/>
  </si>
  <si>
    <t>ETPDCFWKYCV</t>
    <phoneticPr fontId="3"/>
  </si>
  <si>
    <t>251293-28-4</t>
  </si>
  <si>
    <t>PACAP27</t>
  </si>
  <si>
    <t>HSDGIFTDSYSRYRKQMAVKKYLAAVL-NH2</t>
    <phoneticPr fontId="3"/>
  </si>
  <si>
    <t>127317-03-7</t>
  </si>
  <si>
    <t>TIP39</t>
    <phoneticPr fontId="3"/>
  </si>
  <si>
    <t>SLALADDAAFRERARLLAALERRHWLNSYMHKLLVLDAP</t>
  </si>
  <si>
    <t>277302-47-3</t>
  </si>
  <si>
    <t>Leuprolide</t>
  </si>
  <si>
    <t>Ligand
short
(author)</t>
  </si>
  <si>
    <t>Ligand
long
(author)</t>
  </si>
  <si>
    <t>Isoproterenol</t>
  </si>
  <si>
    <t>Guide to Pharmacology</t>
  </si>
  <si>
    <t>Drug</t>
  </si>
  <si>
    <t>Clinical agent</t>
  </si>
  <si>
    <t>Entry name</t>
  </si>
  <si>
    <t>Accession</t>
  </si>
  <si>
    <t>Name</t>
  </si>
  <si>
    <t>GtP - Ligand ID</t>
  </si>
  <si>
    <t>GtP - Ligand Name</t>
  </si>
  <si>
    <t>GtP - Ligand UniProt ID</t>
  </si>
  <si>
    <t>GtP - Type</t>
  </si>
  <si>
    <t>GtP - PubChem CID</t>
  </si>
  <si>
    <t>GtP - IUPAC name</t>
  </si>
  <si>
    <t>GtP - INN</t>
  </si>
  <si>
    <t>GtP - Synonyms</t>
  </si>
  <si>
    <t>GtP - SMILES</t>
  </si>
  <si>
    <t>GtP - InChIKey</t>
  </si>
  <si>
    <t>5-HT&lt;sub&gt;1A&lt;/sub&gt; receptor</t>
  </si>
  <si>
    <t>5-hydroxytryptamine</t>
  </si>
  <si>
    <t>Metabolite</t>
  </si>
  <si>
    <t>3-(2-Aminoethyl)-1H-indol-5-o</t>
  </si>
  <si>
    <t>5-HT|serotonin</t>
  </si>
  <si>
    <t>NCCc1c[nH]c2c1cc(O)cc2</t>
  </si>
  <si>
    <t>QZAYGJVTTNCVMB-UHFFFAOYSA-N</t>
  </si>
  <si>
    <t>5-HT&lt;sub&gt;1B&lt;/sub&gt; receptor</t>
  </si>
  <si>
    <t>tryptamine</t>
  </si>
  <si>
    <t>2-(1H-INDOL-3-YL)ETHANAMINE</t>
  </si>
  <si>
    <t>NCCc1c[nH]c2c1cccc2</t>
  </si>
  <si>
    <t>APJYDQYYACXCRM-UHFFFAOYSA-N</t>
  </si>
  <si>
    <t>5-HT-moduline</t>
  </si>
  <si>
    <t>PEPTIDE1{L.S.A.L}$$$$</t>
  </si>
  <si>
    <t>IMIVWAUMTAIVPJ-XUXIUFHCSA-N</t>
  </si>
  <si>
    <t>5-HT&lt;sub&gt;1D&lt;/sub&gt; receptor</t>
  </si>
  <si>
    <t>P28566</t>
  </si>
  <si>
    <t>5-ht&lt;sub&gt;1E&lt;/sub&gt; receptor</t>
  </si>
  <si>
    <t>P30939</t>
  </si>
  <si>
    <t>5-HT&lt;sub&gt;1F&lt;/sub&gt; receptor</t>
  </si>
  <si>
    <t>5-HT&lt;sub&gt;2A&lt;/sub&gt; receptor</t>
  </si>
  <si>
    <t>5-HT&lt;sub&gt;2B&lt;/sub&gt; receptor</t>
  </si>
  <si>
    <t>5-HT&lt;sub&gt;2C&lt;/sub&gt; receptor</t>
  </si>
  <si>
    <t>Q13639</t>
  </si>
  <si>
    <t>5-HT&lt;sub&gt;4&lt;/sub&gt; receptor</t>
  </si>
  <si>
    <t>P47898</t>
  </si>
  <si>
    <t>5-HT&lt;sub&gt;5A&lt;/sub&gt; receptor</t>
  </si>
  <si>
    <t>P50406</t>
  </si>
  <si>
    <t>5-HT&lt;sub&gt;6&lt;/sub&gt; receptor</t>
  </si>
  <si>
    <t>P34969</t>
  </si>
  <si>
    <t>5-HT&lt;sub&gt;7&lt;/sub&gt; receptor</t>
  </si>
  <si>
    <t>A&lt;sub&gt;1&lt;/sub&gt; receptor</t>
  </si>
  <si>
    <t>adenosine</t>
  </si>
  <si>
    <t>(2R,3R,4S,5R)-2-(6-aminopurin-9-yl)-5-(hydroxymethyl)oxolane-3,4-diol</t>
  </si>
  <si>
    <t>Adenocard&amp;reg;|Adenoscan&amp;reg;</t>
  </si>
  <si>
    <t>OC[C@H]1O[C@H]([C@@H]([C@@H]1O)O)n1cnc2c1ncnc2N</t>
  </si>
  <si>
    <t>OIRDTQYFTABQOQ-KQYNXXCUSA-N</t>
  </si>
  <si>
    <t>A&lt;sub&gt;2A&lt;/sub&gt; receptor</t>
  </si>
  <si>
    <t>A&lt;sub&gt;2B&lt;/sub&gt; receptor</t>
  </si>
  <si>
    <t>A&lt;sub&gt;3&lt;/sub&gt; receptor</t>
  </si>
  <si>
    <t>P25106</t>
  </si>
  <si>
    <t>CXCL11</t>
  </si>
  <si>
    <t>O14625</t>
  </si>
  <si>
    <t>IP9|ITAC</t>
  </si>
  <si>
    <t>CXCL12&amp;alpha;</t>
  </si>
  <si>
    <t>P48061</t>
  </si>
  <si>
    <t>CXCL12 &amp;alpha;|SDF-1&amp;alpha;|stromal cell-derived factor-1&amp;alpha;</t>
  </si>
  <si>
    <t>Q9NPB9</t>
  </si>
  <si>
    <t>CCL19</t>
  </si>
  <si>
    <t>Q99731</t>
  </si>
  <si>
    <t>&amp;beta;-chemokine exodus-3|ck &amp;beta;-11|ck&amp;beta;11|MIP-3&amp;beta;</t>
  </si>
  <si>
    <t>CCL21</t>
  </si>
  <si>
    <t>O00585</t>
  </si>
  <si>
    <t>ck&amp;beta;9|TCA-4</t>
  </si>
  <si>
    <t>CCL25</t>
  </si>
  <si>
    <t>O15444</t>
  </si>
  <si>
    <t>M&lt;sub&gt;1&lt;/sub&gt; receptor</t>
  </si>
  <si>
    <t>acetylcholine</t>
  </si>
  <si>
    <t>2-acetyloxyethyl-trimethylazanium</t>
  </si>
  <si>
    <t>acetylcholine chloride</t>
  </si>
  <si>
    <t>ACh|E1001|O-acetylcholine</t>
  </si>
  <si>
    <t>CC(=O)OCC[N+](C)(C)C</t>
  </si>
  <si>
    <t>OIPILFWXSMYKGL-UHFFFAOYSA-N</t>
  </si>
  <si>
    <t>M&lt;sub&gt;2&lt;/sub&gt; receptor</t>
  </si>
  <si>
    <t>M&lt;sub&gt;3&lt;/sub&gt; receptor</t>
  </si>
  <si>
    <t>M&lt;sub&gt;4&lt;/sub&gt; receptor</t>
  </si>
  <si>
    <t>P08912</t>
  </si>
  <si>
    <t>M&lt;sub&gt;5&lt;/sub&gt; receptor</t>
  </si>
  <si>
    <t>Q01718</t>
  </si>
  <si>
    <t>MC&lt;sub&gt;2&lt;/sub&gt; receptor</t>
  </si>
  <si>
    <t>ACTH</t>
  </si>
  <si>
    <t>P01189</t>
  </si>
  <si>
    <t>corticotropin</t>
  </si>
  <si>
    <t>Acthar&amp;reg;|adrenocorticotropic hormone (1-39)|corticotropin</t>
  </si>
  <si>
    <t>IDLFZVILOHSSID-OVLDLUHVSA-N</t>
  </si>
  <si>
    <t>&amp;alpha;&lt;sub&gt;1A&lt;/sub&gt;-adrenoceptor</t>
  </si>
  <si>
    <t>(-)-adrenaline</t>
  </si>
  <si>
    <t>4-[(1R)-1-hydroxy-2-methylaminoethyl]benzene-1,2-diol</t>
  </si>
  <si>
    <t>epinephrine|racepinefrine</t>
  </si>
  <si>
    <t>adrenalin|Auvi-Q&amp;reg;|Epipen&amp;reg;|l-adrenaline|L-epinephrine|levoepinephrine</t>
  </si>
  <si>
    <t>CNC[C@@H](c1ccc(c(c1)O)O)O</t>
  </si>
  <si>
    <t>UCTWMZQNUQWSLP-VIFPVBQESA-N</t>
  </si>
  <si>
    <t>(-)-noradrenaline</t>
  </si>
  <si>
    <t>4-[(1R)-2-amino-1-hydroxyethyl]benzene-1,2-diol</t>
  </si>
  <si>
    <t>norepinephrine</t>
  </si>
  <si>
    <t>(-)-norepinephrine|Levarterenol&amp;reg;|noradrenaline</t>
  </si>
  <si>
    <t>NC[C@@H](c1ccc(c(c1)O)O)O</t>
  </si>
  <si>
    <t>SFLSHLFXELFNJZ-QMMMGPOBSA-N</t>
  </si>
  <si>
    <t>P35368</t>
  </si>
  <si>
    <t>&amp;alpha;&lt;sub&gt;1B&lt;/sub&gt;-adrenoceptor</t>
  </si>
  <si>
    <t>P25100</t>
  </si>
  <si>
    <t>&amp;alpha;&lt;sub&gt;1D&lt;/sub&gt;-adrenoceptor</t>
  </si>
  <si>
    <t>&amp;alpha;&lt;sub&gt;2A&lt;/sub&gt;-adrenoceptor</t>
  </si>
  <si>
    <t>&amp;alpha;&lt;sub&gt;2B&lt;/sub&gt;-adrenoceptor</t>
  </si>
  <si>
    <t>&amp;alpha;&lt;sub&gt;2C&lt;/sub&gt;-adrenoceptor</t>
  </si>
  <si>
    <t>&amp;beta;&lt;sub&gt;1&lt;/sub&gt;-adrenoceptor</t>
  </si>
  <si>
    <t>noradrenaline</t>
  </si>
  <si>
    <t>4-(2-amino-1-hydroxyethyl)benzene-1,2-diol</t>
  </si>
  <si>
    <t>NCC(c1ccc(c(c1)O)O)O</t>
  </si>
  <si>
    <t>SFLSHLFXELFNJZ-UHFFFAOYSA-N</t>
  </si>
  <si>
    <t>&amp;beta;&lt;sub&gt;2&lt;/sub&gt;-adrenoceptor</t>
  </si>
  <si>
    <t>Zn&lt;sup&gt;2+&lt;/sup&gt;</t>
  </si>
  <si>
    <t>Inorganic</t>
  </si>
  <si>
    <t>zinc|zinc ion</t>
  </si>
  <si>
    <t>P13945</t>
  </si>
  <si>
    <t>&amp;beta;&lt;sub&gt;3&lt;/sub&gt;-adrenoceptor</t>
  </si>
  <si>
    <t>(&amp;plusmn;)-adrenaline</t>
  </si>
  <si>
    <t>4-(1-hydroxy-2-methylaminoethyl)benzene-1,2-diol</t>
  </si>
  <si>
    <t>racepinefrine</t>
  </si>
  <si>
    <t>adrenaline|epinephrine</t>
  </si>
  <si>
    <t>CNCC(c1ccc(c(c1)O)O)O</t>
  </si>
  <si>
    <t>UCTWMZQNUQWSLP-UHFFFAOYSA-N</t>
  </si>
  <si>
    <t>O14514</t>
  </si>
  <si>
    <t>ADGRB1</t>
  </si>
  <si>
    <t>phosphatidylserine</t>
  </si>
  <si>
    <t>(2S)-2-amino-3-[[(2R)-2-butanoyloxy-3-propanoyloxypropoxy]-hydroxyphosphoryl]oxypropanoic acid</t>
  </si>
  <si>
    <t>distearoylphosphatidylserine|PS</t>
  </si>
  <si>
    <t>CCCC(=O)O[C@@H](COP(=O)(OC[C@@H](C(=O)O)N)O)COC(=O)CC</t>
  </si>
  <si>
    <t>UNJJBGNPUUVVFQ-ZJUUUORDSA-N</t>
  </si>
  <si>
    <t>O94910</t>
  </si>
  <si>
    <t>ADGRL1</t>
  </si>
  <si>
    <t>lasso D</t>
  </si>
  <si>
    <t>AT&lt;sub&gt;1&lt;/sub&gt; receptor</t>
  </si>
  <si>
    <t>angiotensin III</t>
  </si>
  <si>
    <t>P01019|P11859|P01015</t>
  </si>
  <si>
    <t>ang III</t>
  </si>
  <si>
    <t>UCRMCWFIVZYPFA-LGXQCQDRSA-N</t>
  </si>
  <si>
    <t>angiotensin II</t>
  </si>
  <si>
    <t>(3S)-3-amino-4-[[(2S)-5-(diaminomethylideneamino)-1-[[(2S)-1-[[(2S)-1-[[(2S,3S)-1-[[(2S)-1-[(2S)-2-[[(2S)-1-hydroxy-1-oxo-3-phenylpropan-2-yl]carbamoyl]pyrrolidin-1-yl]-3-(3H-imidazol-4-yl)-1-oxopropan-2-yl]amino]-3-methyl-1-oxopentan-2-yl]amino]-3-(4-hydroxyphenyl)-1-oxopropan-2-yl]amino]-3-methyl-1-oxobutan-2-yl]amino]-1-oxopentan-2-yl]amino]-4-oxobutanoic acid</t>
  </si>
  <si>
    <t>ang II|Giapreza&amp;reg;</t>
  </si>
  <si>
    <t>CZGUSIXMZVURDU-JZXHSEFVSA-N</t>
  </si>
  <si>
    <t>angiotensin IV</t>
  </si>
  <si>
    <t>AT II (3-8)</t>
  </si>
  <si>
    <t>angiotensin A</t>
  </si>
  <si>
    <t>P01019</t>
  </si>
  <si>
    <t>ang A</t>
  </si>
  <si>
    <t>P50052</t>
  </si>
  <si>
    <t>AT&lt;sub&gt;2&lt;/sub&gt; receptor</t>
  </si>
  <si>
    <t>angiotensin-(1-7)</t>
  </si>
  <si>
    <t>(2S)-1-[(2S)-2-[[(2S,3S)-2-[[(2S)-2-[[(2S)-2-[[(2S)-2-[[(2S)-2-amino-4-hydroxy-4-oxobutanoyl]amino]-5-(diaminomethylideneamino)pentanoyl]amino]-3-methylbutanoyl]amino]-3-(4-hydroxyphenyl)propanoyl]amino]-3-methylpentanoyl]amino]-3-(3H-imidazol-4-yl)propanoyl]pyrrolidine-2-carboxylic acid</t>
  </si>
  <si>
    <t>ang 1-7|angiotensin 1-7|TXA-127|TXA127</t>
  </si>
  <si>
    <t>CC[C@@H]([C@@H](C(=O)N[C@H](C(=O)N1CCC[C@H]1C(=O)O)Cc1[nH]cnc1)NC(=O)[C@@H](NC(=O)[C@H](C(C)C)NC(=O)[C@@H](NC(=O)[C@H](CC(=O)O)N)CCCN=C(N)N)Cc1ccc(cc1)O)C</t>
  </si>
  <si>
    <t>PVHLMTREZMEJCG-GDTLVBQBSA-N</t>
  </si>
  <si>
    <t>apelin receptor</t>
  </si>
  <si>
    <t>[Pyr&lt;sup&gt;1&lt;/sup&gt;]apelin-13</t>
  </si>
  <si>
    <t>Q9R0R3|Q9ULZ1|Q9R0R4</t>
  </si>
  <si>
    <t>Glu&lt;sup&gt;1&lt;/sup&gt;-apelin-13</t>
  </si>
  <si>
    <t>apelin-13</t>
  </si>
  <si>
    <t>[Pyr1]-Apelin-13</t>
  </si>
  <si>
    <t>XXCCRHIAIBQDPX-PEWBXTNBSA-N</t>
  </si>
  <si>
    <t>apelin-36</t>
  </si>
  <si>
    <t>Q9ULZ1</t>
  </si>
  <si>
    <t>apelin-17</t>
  </si>
  <si>
    <t>K17F</t>
  </si>
  <si>
    <t>apelin receptor early endogenous ligand</t>
  </si>
  <si>
    <t>P0DMC3</t>
  </si>
  <si>
    <t>ELA|ELABELA|Ende|tdl|toddler</t>
  </si>
  <si>
    <t>Elabela/Toddler-32</t>
  </si>
  <si>
    <t>ELA-32</t>
  </si>
  <si>
    <t>Elabela/Toddler-21</t>
  </si>
  <si>
    <t>ELA-21</t>
  </si>
  <si>
    <t>Elabela/Toddler-11</t>
  </si>
  <si>
    <t>ELA-11</t>
  </si>
  <si>
    <t>B&lt;sub&gt;1&lt;/sub&gt; receptor</t>
  </si>
  <si>
    <t>T-kinin</t>
  </si>
  <si>
    <t>P01048|P01042|P08932</t>
  </si>
  <si>
    <t>(2S)-2-[[(2S)-2-[[(2S)-1-[(2S)-2-[[(2S)-2-[[2-[[(2S)-1-[(2S)-1-[(2S)-2-[[(2S)-2-[[(2S,3S)-2-amino-3-methylpentanoyl]amino]-3-hydroxypropanoyl]amino]-5-(diaminomethylideneamino)pentanoyl]pyrrolidine-2-carbonyl]pyrrolidine-2-carbonyl]amino]acetyl]amino]-3-phenylpropanoyl]amino]-3-hydroxypropanoyl]pyrrolidine-2-carbonyl]amino]-3-phenylpropanoyl]amino]-5-(diaminomethylideneamino)pentanoic acid</t>
  </si>
  <si>
    <t>[Ile,Ser]bradykinin|Ile-Ser-BK</t>
  </si>
  <si>
    <t>GKCWYHPGFSRBQV-WRBAKOPXSA-N</t>
  </si>
  <si>
    <t>[des-Arg&lt;sup&gt;10&lt;/sup&gt;]kallidin</t>
  </si>
  <si>
    <t>P01042</t>
  </si>
  <si>
    <t>(2S)-2-[[(2S)-1-[(2S)-2-[[(2S)-2-[[2-[[(2S)-1-[(2S)-1-[(2S)-2-[[(2S)-2,6-diaminohexanoyl]amino]-5-(diaminomethylideneamino)pentanoyl]pyrrolidine-2-carbonyl]pyrrolidine-2-carbonyl]amino]acetyl]amino]-3-phenylpropanoyl]amino]-3-hydroxypropanoyl]pyrrolidine-2-carbonyl]amino]-3-phenylpropanoic acid</t>
  </si>
  <si>
    <t>[Lys,des-Arg&lt;sup&gt;9&lt;/sup&gt;]bradykinin|kallidin&lt;sub&gt;1-9&lt;/sub&gt;|Lys-[des-Arg&lt;sup&gt;9&lt;/sup&gt;]-bradykinin|Lys-[des-Arg&lt;sup&gt;9&lt;/sup&gt;]BK</t>
  </si>
  <si>
    <t>AILVBOHFGXNHCC-TZPCGENMSA-N</t>
  </si>
  <si>
    <t>[des-Arg&lt;sup&gt;9&lt;/sup&gt;]bradykinin</t>
  </si>
  <si>
    <t>O08677|P08934|P01042</t>
  </si>
  <si>
    <t>2-[[1-[2-[[2-[[2-[[1-[1-[2-amino-5-(diaminomethylideneamino)pentanoyl]pyrrolidine-2-carbonyl]pyrrolidine-2-carbonyl]amino]acetyl]amino]-3-phenylpropanoyl]amino]-3-hydroxypropanoyl]pyrrolidine-2-carbonyl]amino]-3-phenylpropanoic acid</t>
  </si>
  <si>
    <t>[des-Arg&lt;sup&gt;9&lt;/sup&gt;]BK</t>
  </si>
  <si>
    <t>VCEHWDBVPZFHAG-UHFFFAOYSA-N</t>
  </si>
  <si>
    <t>bradykinin</t>
  </si>
  <si>
    <t>(2S)-2-[[(2S)-2-[[(2S)-1-[(2S)-2-[[(2S)-2-[[2-[[(2S)-1-[(2S)-1-[(2S)-2-amino-5-(diaminomethylideneamino)pentanoyl]pyrrolidine-2-carbonyl]pyrrolidine-2-carbonyl]amino]acetyl]amino]-3-phenylpropanoyl]amino]-3-hydroxypropanoyl]pyrrolidine-2-carbonyl]amino]-3-phenylpropanoyl]amino]-5-(diaminomethylideneamino)pentanoic acid</t>
  </si>
  <si>
    <t>BK|kallidin I|kinin 9</t>
  </si>
  <si>
    <t>QXZGBUJJYSLZLT-FDISYFBBSA-N</t>
  </si>
  <si>
    <t>kallidin</t>
  </si>
  <si>
    <t>(2S)-2-[[(2S)-2-[[(2S)-1-[(2S)-2-[[(2S)-2-[[2-[[(2S)-1-[(2S)-1-[(2S)-2-[[(2S)-2,6-diaminohexanoyl]amino]-5-(diaminomethylideneamino)pentanoyl]pyrrolidine-2-carbonyl]pyrrolidine-2-carbonyl]amino]acetyl]amino]-3-phenylpropanoyl]amino]-3-hydroxypropanoyl]pyrrolidine-2-carbonyl]amino]-3-phenylpropanoyl]amino]-5-(diaminomethylideneamino)pentanoic acid</t>
  </si>
  <si>
    <t>[Lys]bradykinin|kallidin II|Lys-BK|Lysyl-bradykinin</t>
  </si>
  <si>
    <t>FYSKZKQBTVLYEQ-FSLKYBNLSA-N</t>
  </si>
  <si>
    <t>[Hyp&lt;sup&gt;3&lt;/sup&gt;]bradykinin</t>
  </si>
  <si>
    <t>[hydroxyproline&lt;sup&gt;3&lt;/sup&gt;]-bradykinin|[Hyp&lt;sup&gt;3&lt;/sup&gt;]-BK|[Hyp&lt;sup&gt;3&lt;/sup&gt;]-bradykinin</t>
  </si>
  <si>
    <t>Lys-[Hyp&lt;sup&gt;3&lt;/sup&gt;]-bradykinin</t>
  </si>
  <si>
    <t>[Hyp&lt;sup&gt;3&lt;/sup&gt;]-lysyl-bradykinin|Lys-[Hyp&lt;sup&gt;3&lt;/sup&gt;]-BK</t>
  </si>
  <si>
    <t>B&lt;sub&gt;2&lt;/sub&gt; receptor</t>
  </si>
  <si>
    <t>Q16581</t>
  </si>
  <si>
    <t>C3a receptor</t>
  </si>
  <si>
    <t>C5a</t>
  </si>
  <si>
    <t>P01031</t>
  </si>
  <si>
    <t>C5a anaphylatoxin|complement component C5a|human complement protein</t>
  </si>
  <si>
    <t>C3a</t>
  </si>
  <si>
    <t>P01024</t>
  </si>
  <si>
    <t>C3a anaphylatoxin|C3a anaphylatoxin polypeptide|complement component C3a</t>
  </si>
  <si>
    <t>C5a&lt;sub&gt;1&lt;/sub&gt; receptor</t>
  </si>
  <si>
    <t>C5a des-Arg</t>
  </si>
  <si>
    <t>C5a des-Arg&lt;sup&gt;74&lt;/sup&gt;</t>
  </si>
  <si>
    <t>ribosomal protein S19</t>
  </si>
  <si>
    <t>P39019</t>
  </si>
  <si>
    <t>RP-S19|RPS19|S19 ribosomal protein</t>
  </si>
  <si>
    <t>Q9P296</t>
  </si>
  <si>
    <t>C5a&lt;sub&gt;2&lt;/sub&gt; receptor</t>
  </si>
  <si>
    <t>P30988</t>
  </si>
  <si>
    <t>CT receptor</t>
  </si>
  <si>
    <t>&amp;alpha;-CGRP</t>
  </si>
  <si>
    <t>P06881</t>
  </si>
  <si>
    <t>&amp;alpha;-calcitonin gene-related peptide (&amp;alpha;CGRP, human)|calcitonin gene-related peptide 1 (CGRP)</t>
  </si>
  <si>
    <t>&amp;beta;-CGRP</t>
  </si>
  <si>
    <t>P10092</t>
  </si>
  <si>
    <t>&amp;beta;-calcitonin gene-related peptide|&amp;beta;CGRP|calcitonin gene-related peptide 2</t>
  </si>
  <si>
    <t>adrenomedullin</t>
  </si>
  <si>
    <t>P35318</t>
  </si>
  <si>
    <t>AM</t>
  </si>
  <si>
    <t>adrenomedullin 2/intermedin</t>
  </si>
  <si>
    <t>Q7Z4H4</t>
  </si>
  <si>
    <t>AM2/IMD</t>
  </si>
  <si>
    <t>calcitonin</t>
  </si>
  <si>
    <t>P01258</t>
  </si>
  <si>
    <t>CT|LS-173874|thyrocalcitonin</t>
  </si>
  <si>
    <t>amylin</t>
  </si>
  <si>
    <t>P10997</t>
  </si>
  <si>
    <t>AMY</t>
  </si>
  <si>
    <t>calcitonin (salmon)</t>
  </si>
  <si>
    <t>CT (salmon)|Miacalcin&amp;reg;</t>
  </si>
  <si>
    <t>P41180</t>
  </si>
  <si>
    <t>CaS receptor</t>
  </si>
  <si>
    <t>Ca&lt;sup&gt;2+&lt;/sup&gt;</t>
  </si>
  <si>
    <t>calcium ion</t>
  </si>
  <si>
    <t>Mg&lt;sup&gt;2+&lt;/sup&gt;</t>
  </si>
  <si>
    <t>magnesium ion</t>
  </si>
  <si>
    <t>spermine</t>
  </si>
  <si>
    <t>N,N'-bis(3-aminopropyl)butane-1,4-diamine</t>
  </si>
  <si>
    <t>NCCCNCCCCNCCCN</t>
  </si>
  <si>
    <t>PFNFFQXMRSDOHW-UHFFFAOYSA-N</t>
  </si>
  <si>
    <t>L-tryptophan</t>
  </si>
  <si>
    <t>(2S)-2-amino-3-(1H-indol-3-yl)propanoic acid</t>
  </si>
  <si>
    <t>tryptophan</t>
  </si>
  <si>
    <t>L-Trp</t>
  </si>
  <si>
    <t>OC(=O)[C@H](Cc1c[nH]c2c1cccc2)N</t>
  </si>
  <si>
    <t>QIVBCDIJIAJPQS-VIFPVBQESA-N</t>
  </si>
  <si>
    <t>CCK&lt;sub&gt;1&lt;/sub&gt; receptor</t>
  </si>
  <si>
    <t>CCK-33</t>
  </si>
  <si>
    <t>P06307</t>
  </si>
  <si>
    <t>CCRIS 3307|cholecystokinin 33</t>
  </si>
  <si>
    <t>QFLBZJPOIZFFJQ-UHFFFAOYSA-N</t>
  </si>
  <si>
    <t>CCK-4</t>
  </si>
  <si>
    <t>3-[[2-[[2-amino-3-(1H-indol-3-yl)propanoyl]amino]-4-methylsulfanylbutanoyl]amino]-4-[(1-amino-1-oxo-3-phenylpropan-2-yl)amino]-4-oxobutanoic acid</t>
  </si>
  <si>
    <t>cholecystokinin fragment 30-33 amide|tetragastrin</t>
  </si>
  <si>
    <t>RGYLYUZOGHTBRF-UHFFFAOYSA-N</t>
  </si>
  <si>
    <t>CCK-8</t>
  </si>
  <si>
    <t>P06307|P01355|P09240</t>
  </si>
  <si>
    <t>(3S)-3-[[(2S)-2-[[(2S)-2-[[2-[[(2S)-2-[[(2S)-2-[[(2S)-2-amino-4-hydroxy-4-oxobutanoyl]amino]-3-(4-sulfooxyphenyl)propanoyl]amino]-4-methylsulfanylbutanoyl]amino]acetyl]amino]-3-(1H-indol-3-yl)propanoyl]amino]-4-methylsulfanylbutanoyl]amino]-4-[[(2S)-1-amino-1-oxo-3-phenylpropan-2-yl]amino]-4-oxobutanoic acid</t>
  </si>
  <si>
    <t>sincalide</t>
  </si>
  <si>
    <t>CCK-8 (sulphated)|cholecystokinin 8|cholecystokinin fragment 26-33 amide (sulphated)</t>
  </si>
  <si>
    <t>IZTQOLKUZKXIRV-YRVFCXMDSA-N</t>
  </si>
  <si>
    <t>CCK-58</t>
  </si>
  <si>
    <t>gastrin-17</t>
  </si>
  <si>
    <t>P01350</t>
  </si>
  <si>
    <t>gastrin I</t>
  </si>
  <si>
    <t>desulfated cholecystokinin-8</t>
  </si>
  <si>
    <t>(3S,6S)-3-amino-6-[[(2S)-2-[[2-[[(2S)-2-[[(2S)-2-[[(2S)-2-[[(2S)-2-hydrazinyl-3-phenylpropanoyl]amino]-4-hydroxy-4-oxobutanoyl]amino]-4-methylsulfanylbutanoyl]amino]-3-(1H-indol-3-yl)propanoyl]amino]acetyl]amino]-4-methylsulfanylbutanoyl]amino]-7-(4-hydroxyphenyl)-4,5-dioxoheptanoic acid</t>
  </si>
  <si>
    <t>CCK-8 (desulphated)|des-CCK-8|desulfated sincalide</t>
  </si>
  <si>
    <t>ZBTPHEHKAHBSMT-YRVFCXMDSA-N</t>
  </si>
  <si>
    <t>CCK-39</t>
  </si>
  <si>
    <t>P32246</t>
  </si>
  <si>
    <t>CCL14</t>
  </si>
  <si>
    <t>Q16627</t>
  </si>
  <si>
    <t>CCL14a|CK&amp;beta;1|haemofiltrate CC chemokine 1 (HCC-1)|HCC-1(1-74)</t>
  </si>
  <si>
    <t>CCL15</t>
  </si>
  <si>
    <t>Q16663</t>
  </si>
  <si>
    <t>Lkn-1 [Leukotactin-1]|macrophage inflammatory protein-1&amp;delta;|MIP-1&amp;delta;</t>
  </si>
  <si>
    <t>CCL23</t>
  </si>
  <si>
    <t>P55773</t>
  </si>
  <si>
    <t>ck&amp;beta;8-1|myeloid progenitor inhibitor factor-1</t>
  </si>
  <si>
    <t>CCL3</t>
  </si>
  <si>
    <t>P10147</t>
  </si>
  <si>
    <t>macrophage inflammatory protein-1&amp;alpha;|MIP-1&amp;alpha;</t>
  </si>
  <si>
    <t>CCL4</t>
  </si>
  <si>
    <t>P13236</t>
  </si>
  <si>
    <t>HC21|macrophage inflammatory protein-1&amp;beta;|MIP-1&amp;beta;</t>
  </si>
  <si>
    <t>CCL5</t>
  </si>
  <si>
    <t>P13501</t>
  </si>
  <si>
    <t>eosinophil chemotactic cytokine [EoCP]|regulated upon activation normal T cell expressed and secreted (RANTES)</t>
  </si>
  <si>
    <t>CCL7</t>
  </si>
  <si>
    <t>P80098</t>
  </si>
  <si>
    <t>CCL13</t>
  </si>
  <si>
    <t>Q99616</t>
  </si>
  <si>
    <t>monocyte chemotactic protein-4</t>
  </si>
  <si>
    <t>CCL8</t>
  </si>
  <si>
    <t>P80075</t>
  </si>
  <si>
    <t>monocyte chemotactic protein-2</t>
  </si>
  <si>
    <t>CCL16</t>
  </si>
  <si>
    <t>O15467</t>
  </si>
  <si>
    <t>P46092</t>
  </si>
  <si>
    <t>CCL27</t>
  </si>
  <si>
    <t>Q9Y4X3</t>
  </si>
  <si>
    <t>CCL28</t>
  </si>
  <si>
    <t>Q9NRJ3</t>
  </si>
  <si>
    <t>P41597</t>
  </si>
  <si>
    <t>CCL11</t>
  </si>
  <si>
    <t>P51671</t>
  </si>
  <si>
    <t>eotaxin</t>
  </si>
  <si>
    <t>CCL2</t>
  </si>
  <si>
    <t>P13500</t>
  </si>
  <si>
    <t>CCL24</t>
  </si>
  <si>
    <t>O00175</t>
  </si>
  <si>
    <t>eotaxin-2</t>
  </si>
  <si>
    <t>CCL26</t>
  </si>
  <si>
    <t>Q9Y258</t>
  </si>
  <si>
    <t>MIP-4&amp;alpha;|PTEC</t>
  </si>
  <si>
    <t>P51677</t>
  </si>
  <si>
    <t>CXCL10</t>
  </si>
  <si>
    <t>P02778</t>
  </si>
  <si>
    <t>CXCL9</t>
  </si>
  <si>
    <t>Q07325</t>
  </si>
  <si>
    <t>MIG|monokine induced by gamma-interferon</t>
  </si>
  <si>
    <t>P51679</t>
  </si>
  <si>
    <t>CCL17</t>
  </si>
  <si>
    <t>Q92583</t>
  </si>
  <si>
    <t>TARC|thymus- and activation-regulated chemokine</t>
  </si>
  <si>
    <t>CCL22</t>
  </si>
  <si>
    <t>O00626</t>
  </si>
  <si>
    <t>dc/&amp;beta;-ck|macrophage-derived chemokine|STCP1</t>
  </si>
  <si>
    <t>CCL20</t>
  </si>
  <si>
    <t>P78556</t>
  </si>
  <si>
    <t>LARC|liver and activation-regulated chemokine|macrophage inflammatory protein-3&amp;alpha;|MIP-3&amp;alpha;</t>
  </si>
  <si>
    <t>beta-defensin 4A</t>
  </si>
  <si>
    <t>O15263</t>
  </si>
  <si>
    <t>beta-defensin 2|HBD2|skin-antimicrobial peptide 1 (SAP1)</t>
  </si>
  <si>
    <t>P32248</t>
  </si>
  <si>
    <t>P51685</t>
  </si>
  <si>
    <t>CCL1</t>
  </si>
  <si>
    <t>P22362</t>
  </si>
  <si>
    <t>I309|TCA-3</t>
  </si>
  <si>
    <t>P51686</t>
  </si>
  <si>
    <t>O00421</t>
  </si>
  <si>
    <t>CysLT&lt;sub&gt;1&lt;/sub&gt; receptor</t>
  </si>
  <si>
    <t>LTE&lt;sub&gt;4&lt;/sub&gt;</t>
  </si>
  <si>
    <t>(5S,6R,7E,9E,11Z,14Z)-6-[(2R)-2-amino-3-hydroxy-3-oxopropyl]sulfanyl-5-hydroxyicosa-7,9,11,14-tetraenoic acid</t>
  </si>
  <si>
    <t>leukotriene E|leukotriene E&lt;sub&gt;4&lt;/sub&gt;</t>
  </si>
  <si>
    <t>CCCCC/C=CC/C=CC=CC=C[C@H]([C@H](CCCC(=O)O)O)SC[C@@H](C(=O)O)N</t>
  </si>
  <si>
    <t>OTZRAYGBFWZKMX-FRFVZSDQSA-N</t>
  </si>
  <si>
    <t>LTD&lt;sub&gt;4&lt;/sub&gt;</t>
  </si>
  <si>
    <t>(5S,6R,7E,9E,11Z,14Z)-6-({2-amino-2-[(carboxymethyl)carbamoyl]ethyl}sulfanyl)-5-hydroxyicosa-7,9,11,14-tetraenoic acid</t>
  </si>
  <si>
    <t>leukotriene D4</t>
  </si>
  <si>
    <t>CCCCC/C=CC/C=CC=CC=C[C@H]([C@H](CCCC(=O)O)O)SCC(C(=O)NCC(=O)O)N</t>
  </si>
  <si>
    <t>YEESKJGWJFYOOK-LDDGIIIKSA-N</t>
  </si>
  <si>
    <t>LTC&lt;sub&gt;4&lt;/sub&gt;</t>
  </si>
  <si>
    <t>(5S,6R,7E,9E,11Z,14Z)-6-[(2R)-2-[[(4S)-4-amino-5-hydroxy-5-oxopentanoyl]amino]-3-(carboxymethylamino)-3-oxopropyl]sulfanyl-5-hydroxyicosa-7,9,11,14-tetraenoic acid</t>
  </si>
  <si>
    <t>leukotriene C4</t>
  </si>
  <si>
    <t>CCCCC/C=CC/C=CC=CC=C[C@H]([C@H](CCCC(=O)O)O)SC[C@@H](C(=O)NCC(=O)O)NC(=O)CC[C@@H](C(=O)O)N</t>
  </si>
  <si>
    <t>GWNVDXQDILPJIG-NXOLIXFESA-N</t>
  </si>
  <si>
    <t>CysLT&lt;sub&gt;2&lt;/sub&gt; receptor</t>
  </si>
  <si>
    <t>Q99788</t>
  </si>
  <si>
    <t>chemerin receptor</t>
  </si>
  <si>
    <t>chemerin</t>
  </si>
  <si>
    <t>Q99969</t>
  </si>
  <si>
    <t>RARRES2|retinoic acid receptor responder protein 2|TIG2</t>
  </si>
  <si>
    <t>resolvin E1</t>
  </si>
  <si>
    <t>(5S,6Z,8E,10E,12R,14Z,16E,18R)-5,12,18-trihydroxyicosa-6,8,10,14,16-pentaenoic acid</t>
  </si>
  <si>
    <t>5S,12R,18R‐trihydroxy‐6Z,8E,10E,14Z,16E‐eicosapentaenoic acid|RvE1</t>
  </si>
  <si>
    <t>CC[C@H](/C=C/C=CC[C@H](/C=C/C=C/C=C[C@H](CCCC(=O)O)O)O)O</t>
  </si>
  <si>
    <t>AOPOCGPBAIARAV-OTBJXLELSA-N</t>
  </si>
  <si>
    <t>CB&lt;sub&gt;1&lt;/sub&gt; receptor</t>
  </si>
  <si>
    <t>2-arachidonoylglycerol</t>
  </si>
  <si>
    <t>1,3-Dihydroxy-2-propanyl (5Z,8Z,11Z,14Z)-5,8,11,14-eicosatetraenoate</t>
  </si>
  <si>
    <t>2-AG|2-Ara-Gl|2-arachidonyl-glycerol|2AG</t>
  </si>
  <si>
    <t>CCCCC/C=CC/C=CC/C=CC/C=CCCCC(=O)OC(CO)CO</t>
  </si>
  <si>
    <t>RCRCTBLIHCHWDZ-DOFZRALJSA-N</t>
  </si>
  <si>
    <t>anandamide</t>
  </si>
  <si>
    <t>(5Z,8Z,11Z,14Z)-N-(2-hydroxyethyl)icosa-5,8,11,14-tetraenamide</t>
  </si>
  <si>
    <t>AEA|arachidonoyl ethanolamide|N-arachidonoylethanolamine</t>
  </si>
  <si>
    <t>CCCCC/C=CC/C=CC/C=CC/C=CCCCC(=O)NCCO</t>
  </si>
  <si>
    <t>LGEQQWMQCRIYKG-DOFZRALJSA-N</t>
  </si>
  <si>
    <t>CB&lt;sub&gt;2&lt;/sub&gt; receptor</t>
  </si>
  <si>
    <t>CRF&lt;sub&gt;2&lt;/sub&gt; receptor</t>
  </si>
  <si>
    <t>corticotrophin-releasing hormone</t>
  </si>
  <si>
    <t>Q8CIT0|P06850|P01143</t>
  </si>
  <si>
    <t>CRF</t>
  </si>
  <si>
    <t>urocortin 1</t>
  </si>
  <si>
    <t>P55089</t>
  </si>
  <si>
    <t>UCN</t>
  </si>
  <si>
    <t>urocortin 2</t>
  </si>
  <si>
    <t>Q96RP3</t>
  </si>
  <si>
    <t>urocortin II</t>
  </si>
  <si>
    <t>urocortin 3</t>
  </si>
  <si>
    <t>Q969E3</t>
  </si>
  <si>
    <t>JNJ-39588146|JNJ-9588146|RT-400|stresscopin</t>
  </si>
  <si>
    <t>P49238</t>
  </si>
  <si>
    <t>CX&lt;sub&gt;3&lt;/sub&gt;CR1</t>
  </si>
  <si>
    <t>CX&lt;sub&gt;3&lt;/sub&gt;CL1</t>
  </si>
  <si>
    <t>P78423</t>
  </si>
  <si>
    <t>fractalkine|neurotactin</t>
  </si>
  <si>
    <t>P25024</t>
  </si>
  <si>
    <t>CXCL1</t>
  </si>
  <si>
    <t>P09341</t>
  </si>
  <si>
    <t>GRO&amp;alpha;|melanocyte growth-stimulatory activity|MIP-2</t>
  </si>
  <si>
    <t>CXCL6</t>
  </si>
  <si>
    <t>P80162</t>
  </si>
  <si>
    <t>CXCL8</t>
  </si>
  <si>
    <t>P10145</t>
  </si>
  <si>
    <t>interleukin-8</t>
  </si>
  <si>
    <t>cytokine domain of tyrosyl tRNA synthetase</t>
  </si>
  <si>
    <t>P54577</t>
  </si>
  <si>
    <t>CXCL2</t>
  </si>
  <si>
    <t>P19875</t>
  </si>
  <si>
    <t>GRO&amp;beta;|MIP-2&amp;alpha;</t>
  </si>
  <si>
    <t>CXCL3</t>
  </si>
  <si>
    <t>P19876</t>
  </si>
  <si>
    <t>GRO&amp;gamma;|MIP-2&amp;beta;</t>
  </si>
  <si>
    <t>CXCL5</t>
  </si>
  <si>
    <t>P42830</t>
  </si>
  <si>
    <t>ENA-78</t>
  </si>
  <si>
    <t>CXCL7</t>
  </si>
  <si>
    <t>P02775</t>
  </si>
  <si>
    <t>PPBP</t>
  </si>
  <si>
    <t>P49682</t>
  </si>
  <si>
    <t>CXCL12&amp;beta;</t>
  </si>
  <si>
    <t>SDF-1&amp;beta;|stromal cell-derived factor-1 (SDF-1)|stromal cell-derived factor-1&amp;beta;</t>
  </si>
  <si>
    <t>CXCL12&amp;gamma;</t>
  </si>
  <si>
    <t>CXCL12&amp;delta;</t>
  </si>
  <si>
    <t>CXCL12&amp;epsilon;</t>
  </si>
  <si>
    <t>CXCL12&amp;phi;</t>
  </si>
  <si>
    <t>CXCL13</t>
  </si>
  <si>
    <t>O43927</t>
  </si>
  <si>
    <t>BCA-1</t>
  </si>
  <si>
    <t>O00574</t>
  </si>
  <si>
    <t>CXCL16</t>
  </si>
  <si>
    <t>Q9H2A7</t>
  </si>
  <si>
    <t>D&lt;sub&gt;1&lt;/sub&gt; receptor</t>
  </si>
  <si>
    <t>dopamine</t>
  </si>
  <si>
    <t>4-(2-Aminoethyl)benzene-1,2-diol</t>
  </si>
  <si>
    <t>3-hydroxytyramine</t>
  </si>
  <si>
    <t>NCCc1ccc(c(c1)O)O</t>
  </si>
  <si>
    <t>VYFYYTLLBUKUHU-UHFFFAOYSA-N</t>
  </si>
  <si>
    <t>D&lt;sub&gt;2&lt;/sub&gt; receptor</t>
  </si>
  <si>
    <t>P35462</t>
  </si>
  <si>
    <t>D&lt;sub&gt;3&lt;/sub&gt; receptor</t>
  </si>
  <si>
    <t>P21917</t>
  </si>
  <si>
    <t>D&lt;sub&gt;4&lt;/sub&gt; receptor</t>
  </si>
  <si>
    <t>D&lt;sub&gt;5&lt;/sub&gt; receptor</t>
  </si>
  <si>
    <t>ET&lt;sub&gt;A&lt;/sub&gt; receptor</t>
  </si>
  <si>
    <t>endothelin-1</t>
  </si>
  <si>
    <t>P22388|P22387|P05305</t>
  </si>
  <si>
    <t>L-cysteinyl-L-seryl-L-cysteinyl-L-seryl-L-seryl-L-leucyl-L-methionyl-L-alpha-aspartyl-L-lysyl-L-alpha-glutamyl-L-cysteinyl-L-valyl-L-tyrosyl-L-phenylalanyl-L-cysteinyl-L-histidyl-L-leucyl-L-alpha-aspartyl-L-isoleucyl-L-isoleucyl-L-tryptophan (1-&gt;15),(3-&gt;11)-bis(disulfide)</t>
  </si>
  <si>
    <t>ET-1</t>
  </si>
  <si>
    <t>ZUBDGKVDJUIMQQ-ZTNLKOGPSA-N</t>
  </si>
  <si>
    <t>endothelin-2</t>
  </si>
  <si>
    <t>P20800</t>
  </si>
  <si>
    <t>ET-2</t>
  </si>
  <si>
    <t>MLFJHYIHIKEBTQ-IYRKOGFYSA-N</t>
  </si>
  <si>
    <t>endothelin-3</t>
  </si>
  <si>
    <t>P14138|P48299|P13207</t>
  </si>
  <si>
    <t>ET-3</t>
  </si>
  <si>
    <t>P24530</t>
  </si>
  <si>
    <t>ET&lt;sub&gt;B&lt;/sub&gt; receptor</t>
  </si>
  <si>
    <t>O14842</t>
  </si>
  <si>
    <t>FFA1 receptor</t>
  </si>
  <si>
    <t>&amp;alpha;-linolenic acid</t>
  </si>
  <si>
    <t>(9Z,12Z,15Z)-octadeca-9,12,15-trienoic acid</t>
  </si>
  <si>
    <t>&amp;alpha;-LA|C18:3|linolenate</t>
  </si>
  <si>
    <t>CC/C=CC/C=CC/C=CCCCCCCCC(=O)O</t>
  </si>
  <si>
    <t>DTOSIQBPPRVQHS-PDBXOOCHSA-N</t>
  </si>
  <si>
    <t>docosahexaenoic acid</t>
  </si>
  <si>
    <t>(4Z,7Z,10Z,13Z,16Z,19Z)-docosa-4,7,10,13,16,19-hexaenoic acid</t>
  </si>
  <si>
    <t>doconexent</t>
  </si>
  <si>
    <t>all-cis-DHA|all-cis-docosa-4,7,10,13,16,19-hexaenoic acid|DHA|doconexent|Omega 3 fatty acid|Omega-3 marine triglycerides|Retriacyl&amp;reg; (proposed trade name)</t>
  </si>
  <si>
    <t>CC/C=CC/C=CC/C=CC/C=CC/C=CC/C=CCCC(=O)O</t>
  </si>
  <si>
    <t>MBMBGCFOFBJSGT-KUBAVDMBSA-N</t>
  </si>
  <si>
    <t>oleic acid</t>
  </si>
  <si>
    <t>(Z)-Octadec-9-enoic acid</t>
  </si>
  <si>
    <t>C18:1|oleate</t>
  </si>
  <si>
    <t>CCCCCCCC/C=CCCCCCCCC(=O)O</t>
  </si>
  <si>
    <t>ZQPPMHVWECSIRJ-KTKRTIGZSA-N</t>
  </si>
  <si>
    <t>myristic acid</t>
  </si>
  <si>
    <t>Tetradecanoic acid</t>
  </si>
  <si>
    <t>C14:0|myristate</t>
  </si>
  <si>
    <t>CCCCCCCCCCCCCC(=O)O</t>
  </si>
  <si>
    <t>TUNFSRHWOTWDNC-UHFFFAOYSA-N</t>
  </si>
  <si>
    <t>FFA2 receptor</t>
  </si>
  <si>
    <t>acetic acid</t>
  </si>
  <si>
    <t>acetate|ethanoic acid</t>
  </si>
  <si>
    <t>CC(=O)O</t>
  </si>
  <si>
    <t>QTBSBXVTEAMEQO-UHFFFAOYSA-N</t>
  </si>
  <si>
    <t>butyric acid</t>
  </si>
  <si>
    <t>butanoic acid</t>
  </si>
  <si>
    <t>butanoic acid|butyrate|C4</t>
  </si>
  <si>
    <t>CCCC(=O)O</t>
  </si>
  <si>
    <t>FERIUCNNQQJTOY-UHFFFAOYSA-N</t>
  </si>
  <si>
    <t>propanoic acid</t>
  </si>
  <si>
    <t>Propanoic acid</t>
  </si>
  <si>
    <t>propionate</t>
  </si>
  <si>
    <t>CCC(=O)O</t>
  </si>
  <si>
    <t>XBDQKXXYIPTUBI-UHFFFAOYSA-N</t>
  </si>
  <si>
    <t>&lt;i&gt;trans&lt;/i&gt;-2-methylcrotonic acid</t>
  </si>
  <si>
    <t>Synthetic organic</t>
  </si>
  <si>
    <t>2-methylbut-2-enoic acid</t>
  </si>
  <si>
    <t>tiglic acid</t>
  </si>
  <si>
    <t>C/C(=CC)/C(=O)O</t>
  </si>
  <si>
    <t>UIERETOOQGIECD-ONEGZZNKSA-N</t>
  </si>
  <si>
    <t>1-methylcyclopropanecarboxylic acid</t>
  </si>
  <si>
    <t>1-methylcyclopropane-1-carboxylic acid</t>
  </si>
  <si>
    <t>OC(=O)C1(C)CC1</t>
  </si>
  <si>
    <t>DIZKLZKLNKQFGB-UHFFFAOYSA-N</t>
  </si>
  <si>
    <t>FFA3 receptor</t>
  </si>
  <si>
    <t>FFA4 receptor</t>
  </si>
  <si>
    <t>linoleic acid</t>
  </si>
  <si>
    <t>(9Z,12Z)-octadeca-9,12-dienoic acid</t>
  </si>
  <si>
    <t>C18:2|linoleate|linolic acid|telfairic acid</t>
  </si>
  <si>
    <t>CCCCC/C=CC/C=CCCCCCCCC(=O)O</t>
  </si>
  <si>
    <t>OYHQOLUKZRVURQ-HZJYTTRNSA-N</t>
  </si>
  <si>
    <t>P21462</t>
  </si>
  <si>
    <t>fMet-Leu-Phe</t>
  </si>
  <si>
    <t>(2S)-2-[[(2S)-2-[[(2S)-2-formamido-4-methylsulfanylbutanoyl]amino]-4-methylpentanoyl]amino]-3-phenylpropanoic acid</t>
  </si>
  <si>
    <t>fMetLeuPhe|fMLP|formyl-Met-Leu-Phe</t>
  </si>
  <si>
    <t>PRQROPMIIGLWRP-BZSNNMDCSA-N</t>
  </si>
  <si>
    <t>spinorphin</t>
  </si>
  <si>
    <t>(2S,3R)-2-[[(2S)-2-[[(2S)-1-[(2S)-2-[[(2S)-2-[[(2S)-2-[[(2S)-2-amino-4-methylpentanoyl]amino]-3-methylbutanoyl]amino]-3-methylbutanoyl]amino]-3-(4-hydroxyphenyl)propanoyl]pyrrolidine-2-carbonyl]amino]-3-(1H-indol-3-yl)propanoyl]amino]-3-hydroxybutanoic acid</t>
  </si>
  <si>
    <t>LVVYPWT</t>
  </si>
  <si>
    <t>BXIFNVGZIMFBQB-DYDSHOKNSA-N</t>
  </si>
  <si>
    <t>annexin I</t>
  </si>
  <si>
    <t>P04083</t>
  </si>
  <si>
    <t>annexin 1|annexin A1|ANXA1</t>
  </si>
  <si>
    <t>cathepsin G</t>
  </si>
  <si>
    <t>P08311</t>
  </si>
  <si>
    <t>P25090</t>
  </si>
  <si>
    <t>FPR2/ALX</t>
  </si>
  <si>
    <t>LXA&lt;sub&gt;4&lt;/sub&gt;</t>
  </si>
  <si>
    <t>(5S,6R,7E,9E,11Z,13E,15S)-5,6,15-trihydroxyicosa-7,9,11,13-tetraenoic acid</t>
  </si>
  <si>
    <t>5,6,15-triHETE|lipoxin A&lt;sub&gt;4&lt;/sub&gt;</t>
  </si>
  <si>
    <t>CCCCC[C@@H](/C=C/C=CC=CC=C[C@H]([C@H](CCCC(=O)O)O)O)O</t>
  </si>
  <si>
    <t>IXAQOQZEOGMIQS-SSQFXEBMSA-N</t>
  </si>
  <si>
    <t>humanin</t>
  </si>
  <si>
    <t>Q8IVG9</t>
  </si>
  <si>
    <t>formyl humanin</t>
  </si>
  <si>
    <t>DPEUWKZJZIPZKE-OFANTOPUSA-N</t>
  </si>
  <si>
    <t>aspirin triggered lipoxin A4</t>
  </si>
  <si>
    <t>(5S,6R,7E,9E,11Z,13E,15R)-5,6,15-trihydroxyicosa-7,9,11,13-tetraenoic acid</t>
  </si>
  <si>
    <t>aspirin triggered 15-epi lipoxin A4|aspirin-triggered lipoxin A&lt;sub&gt;4&lt;/sub&gt;|ATL</t>
  </si>
  <si>
    <t>CCCCC[C@H](/C=C/C=CC=CC=C[C@H]([C@H](CCCC(=O)O)O)O)O</t>
  </si>
  <si>
    <t>IXAQOQZEOGMIQS-JEWNPAEBSA-N</t>
  </si>
  <si>
    <t>resolvin D1</t>
  </si>
  <si>
    <t>(4Z,7S,8S,9E,11E,13Z,15E,17S,19Z)-7,8,17-trihydroxydocosa-4,9,11,13,15,19-hexaenoic acid</t>
  </si>
  <si>
    <t>7S,8R,17S‐trihydroxy‐4Z,9E,11E,13Z,15E,19Z‐docosahexaenoic acid|RvD1</t>
  </si>
  <si>
    <t>CC/C=CC[C@@H](/C=C/C=CC=CC=C[C@@H]([C@H](C/C=CCCC(=O)O)O)O)O</t>
  </si>
  <si>
    <t>OIWTWACQMDFHJG-LDOXQWQISA-N</t>
  </si>
  <si>
    <t>LL-37</t>
  </si>
  <si>
    <t>P49913</t>
  </si>
  <si>
    <t>antibacterial protein LL-37|cathelicidin LL 37 (human)</t>
  </si>
  <si>
    <t>POIUWJQBRNEFGX-XAMSXPGMSA-N</t>
  </si>
  <si>
    <t>aspirin-triggered resolvin D1</t>
  </si>
  <si>
    <t>(4Z,7S,8R,9E,11E,13Z,15E,17R,19Z)-7,8,17-trihydroxydocosa-4,9,11,13,15,19-hexaenoic acid</t>
  </si>
  <si>
    <t>AT-Resolvin D1|AT-RvD1</t>
  </si>
  <si>
    <t>CC/C=CC[C@H](/C=C/C=CC=CC=C[C@H]([C@H](C/C=CCCC(=O)O)O)O)O</t>
  </si>
  <si>
    <t>OIWTWACQMDFHJG-BJEBZIPWSA-N</t>
  </si>
  <si>
    <t>serum amyloid A</t>
  </si>
  <si>
    <t>P0DJI8</t>
  </si>
  <si>
    <t>SAA</t>
  </si>
  <si>
    <t>PrP&lt;sub&gt;106-126&lt;/sub&gt;</t>
  </si>
  <si>
    <t>P04156</t>
  </si>
  <si>
    <t>P25089</t>
  </si>
  <si>
    <t>annexin I-(2-26)</t>
  </si>
  <si>
    <t>annexin I, Ac2-26|annexin-derived peptide|ANXA1-derived peptide</t>
  </si>
  <si>
    <t>F2L</t>
  </si>
  <si>
    <t>Q9NRV9</t>
  </si>
  <si>
    <t>P23945</t>
  </si>
  <si>
    <t>FSH receptor</t>
  </si>
  <si>
    <t>FSH</t>
  </si>
  <si>
    <t>urofollitropin</t>
  </si>
  <si>
    <t>follitropin|human follicle stimulating hormone</t>
  </si>
  <si>
    <t>Q9UP38</t>
  </si>
  <si>
    <t>FZD&lt;sub&gt;1&lt;/sub&gt;</t>
  </si>
  <si>
    <t>Wnt-5a</t>
  </si>
  <si>
    <t>P41221</t>
  </si>
  <si>
    <t>protein Wnt-5a</t>
  </si>
  <si>
    <t>Wnt-3a</t>
  </si>
  <si>
    <t>P56704</t>
  </si>
  <si>
    <t>protein Wnt-3a</t>
  </si>
  <si>
    <t>Wnt-1</t>
  </si>
  <si>
    <t>P04628</t>
  </si>
  <si>
    <t>Wnt-2</t>
  </si>
  <si>
    <t>P09544</t>
  </si>
  <si>
    <t>Int-1-like protein 1|Int-1-related protein</t>
  </si>
  <si>
    <t>Wnt-7b</t>
  </si>
  <si>
    <t>P56706</t>
  </si>
  <si>
    <t>protein Wnt-7b</t>
  </si>
  <si>
    <t>Q14332</t>
  </si>
  <si>
    <t>FZD&lt;sub&gt;2&lt;/sub&gt;</t>
  </si>
  <si>
    <t>O60353</t>
  </si>
  <si>
    <t>FZD&lt;sub&gt;6&lt;/sub&gt;</t>
  </si>
  <si>
    <t>Wnt-4</t>
  </si>
  <si>
    <t>P56705</t>
  </si>
  <si>
    <t>protein Wnt-4</t>
  </si>
  <si>
    <t>O60883</t>
  </si>
  <si>
    <t>&lt;i&gt;GPR37L1&lt;/i&gt;</t>
  </si>
  <si>
    <t>prosaptide</t>
  </si>
  <si>
    <t>P07602</t>
  </si>
  <si>
    <t>Q9UBS5</t>
  </si>
  <si>
    <t>GABA&lt;sub&gt;B1&lt;/sub&gt;</t>
  </si>
  <si>
    <t>GABA</t>
  </si>
  <si>
    <t>4-Aminobutanoic acid</t>
  </si>
  <si>
    <t>&amp;gamma;-amino butyric acid|4-aminobutyric acid|gamma-aminobutyric acid</t>
  </si>
  <si>
    <t>NCCCC(=O)O</t>
  </si>
  <si>
    <t>BTCSSZJGUNDROE-UHFFFAOYSA-N</t>
  </si>
  <si>
    <t>P47211</t>
  </si>
  <si>
    <t>GAL&lt;sub&gt;1&lt;/sub&gt; receptor</t>
  </si>
  <si>
    <t>galanin</t>
  </si>
  <si>
    <t>P22466</t>
  </si>
  <si>
    <t>galanin-like peptide</t>
  </si>
  <si>
    <t>Q9UBC7</t>
  </si>
  <si>
    <t>O43603</t>
  </si>
  <si>
    <t>GAL&lt;sub&gt;2&lt;/sub&gt; receptor</t>
  </si>
  <si>
    <t>O60755</t>
  </si>
  <si>
    <t>GAL&lt;sub&gt;3&lt;/sub&gt; receptor</t>
  </si>
  <si>
    <t>P32239</t>
  </si>
  <si>
    <t>CCK&lt;sub&gt;2&lt;/sub&gt; receptor</t>
  </si>
  <si>
    <t>desulfated gastrin-14</t>
  </si>
  <si>
    <t>minigastrin</t>
  </si>
  <si>
    <t>gastrin-34</t>
  </si>
  <si>
    <t>big gastrin</t>
  </si>
  <si>
    <t>gastrin-71</t>
  </si>
  <si>
    <t>desulfated gastrin-17</t>
  </si>
  <si>
    <t>little gastrin I</t>
  </si>
  <si>
    <t>desulfated gastrin-34</t>
  </si>
  <si>
    <t>desulfated gastrin-71</t>
  </si>
  <si>
    <t>gastrin-14</t>
  </si>
  <si>
    <t>Q02643</t>
  </si>
  <si>
    <t>GHRH receptor</t>
  </si>
  <si>
    <t>GHRH</t>
  </si>
  <si>
    <t>P01286</t>
  </si>
  <si>
    <t>somatorelin</t>
  </si>
  <si>
    <t>growth hormone-releasing factor (GHRF)|growth hormone-releasing hormone (GHRH)|somatoliberin|somatorelin</t>
  </si>
  <si>
    <t>ghrelin receptor</t>
  </si>
  <si>
    <t>ghrelin</t>
  </si>
  <si>
    <t>Q9UBU3</t>
  </si>
  <si>
    <t>[des-Gln&lt;sup&gt;14&lt;/sup&gt;]ghrelin</t>
  </si>
  <si>
    <t>des-Gln&lt;sup&gt;14&lt;/sup&gt;-ghrelin</t>
  </si>
  <si>
    <t>GIP receptor</t>
  </si>
  <si>
    <t>gastric inhibitory polypeptide</t>
  </si>
  <si>
    <t>P09681</t>
  </si>
  <si>
    <t>GIP|GIP(1-42)</t>
  </si>
  <si>
    <t>GLP-1 receptor</t>
  </si>
  <si>
    <t>glucagon-like peptide 1-(7-36) amide</t>
  </si>
  <si>
    <t>P01275|P06883|P55095</t>
  </si>
  <si>
    <t>GLP-1(7-36)amide</t>
  </si>
  <si>
    <t>glucagon</t>
  </si>
  <si>
    <t>MASNOZXLGMXCHN-ZLPAWPGGSA-N</t>
  </si>
  <si>
    <t>glucagon-like peptide 1-(7-37)</t>
  </si>
  <si>
    <t>GLP-1(7-37)|GLP-1-(7-37)</t>
  </si>
  <si>
    <t>GLP-2 receptor</t>
  </si>
  <si>
    <t>glucagon-like peptide 2</t>
  </si>
  <si>
    <t>P01275</t>
  </si>
  <si>
    <t>GLP-2|GLP-2 (1-33)|glucagon-like peptide 2 (1-33)</t>
  </si>
  <si>
    <t>glucagon-like peptide 2-(3-33)</t>
  </si>
  <si>
    <t>GLP-2 (3-33)</t>
  </si>
  <si>
    <t>glucagon receptor</t>
  </si>
  <si>
    <t>GnRH&lt;sub&gt;1&lt;/sub&gt; receptor</t>
  </si>
  <si>
    <t>GnRH I</t>
  </si>
  <si>
    <t>P07490|P01148|P13562</t>
  </si>
  <si>
    <t>GnRH|gonadoliberin|gonadotropin releasing hormone|LH-RH (LHRH)</t>
  </si>
  <si>
    <t>NMJREATYWWNIKX-UHFFFAOYSA-N</t>
  </si>
  <si>
    <t>GnRH II</t>
  </si>
  <si>
    <t>O43555</t>
  </si>
  <si>
    <t>gonadoliberin II|gonadoliberin-2|gonadotropin-releasing hormone II|LH-RH II|luliberin II|luteinizing hormone-releasing hormone II</t>
  </si>
  <si>
    <t>Q5VW38</t>
  </si>
  <si>
    <t>&lt;i&gt;GPR107&lt;/i&gt;</t>
  </si>
  <si>
    <t>neuronostatin</t>
  </si>
  <si>
    <t>neuronostatin-13</t>
  </si>
  <si>
    <t>Q8TDV5</t>
  </si>
  <si>
    <t>&lt;i&gt;GPR119&lt;/i&gt;</t>
  </si>
  <si>
    <t>N-oleoylethanolamide</t>
  </si>
  <si>
    <t>(Z)-N-(2-hydroxyethyl)octadec-9-enamide</t>
  </si>
  <si>
    <t>N-oleoylethanolamine|NOE|OEA|oleylethanolamide</t>
  </si>
  <si>
    <t>CCCCCCCC/C=CCCCCCCCC(=O)NCCO</t>
  </si>
  <si>
    <t>BOWVQLFMWHZBEF-KTKRTIGZSA-N</t>
  </si>
  <si>
    <t>SEA</t>
  </si>
  <si>
    <t>N-(2-Hydroxyethyl)octadecanamide</t>
  </si>
  <si>
    <t>&lt;em&gt;N&lt;/em&gt;-stearoylethanolamine|stearoylethanolamide</t>
  </si>
  <si>
    <t>CCCCCCCCCCCCCCCCCC(=O)NCCO</t>
  </si>
  <si>
    <t>OTGQIQQTPXJQRG-UHFFFAOYSA-N</t>
  </si>
  <si>
    <t>N-palmitoylethanolamine</t>
  </si>
  <si>
    <t>N-(2-Hydroxyethyl)hexadecanamide</t>
  </si>
  <si>
    <t>palmidrol</t>
  </si>
  <si>
    <t>palmitamide MEA|palmitoyl-EA|PEA</t>
  </si>
  <si>
    <t>CCCCCCCCCCCCCCCC(=O)NCCO</t>
  </si>
  <si>
    <t>HXYVTAGFYLMHSO-UHFFFAOYSA-N</t>
  </si>
  <si>
    <t>Q9UNW8</t>
  </si>
  <si>
    <t>&lt;i&gt;GPR132&lt;/i&gt;</t>
  </si>
  <si>
    <t>9-hydroxyoctadecadienoic acid</t>
  </si>
  <si>
    <t>(9S,10E,12Z)-9-hydroxyoctadeca-10,12-dienoic acid</t>
  </si>
  <si>
    <t>9(S)-HODE|9(S)-hydroxyoctadecadienoic acid|9-HODE</t>
  </si>
  <si>
    <t>CCCCC/C=CC=C[C@H](CCCCCCCC(=O)O)O</t>
  </si>
  <si>
    <t>NPDSHTNEKLQQIJ-UINYOVNOSA-N</t>
  </si>
  <si>
    <t>Q6DWJ6</t>
  </si>
  <si>
    <t>&lt;i&gt;GPR139&lt;/i&gt;</t>
  </si>
  <si>
    <t>L-phenylalanine</t>
  </si>
  <si>
    <t>(2S)-2-amino-3-phenylpropanoic acid</t>
  </si>
  <si>
    <t>phenylalanine</t>
  </si>
  <si>
    <t>L-Phe</t>
  </si>
  <si>
    <t>N[C@H](C(=O)O)Cc1ccccc1</t>
  </si>
  <si>
    <t>COLNVLDHVKWLRT-QMMMGPOBSA-N</t>
  </si>
  <si>
    <t>P51810</t>
  </si>
  <si>
    <t>&lt;i&gt;GPR143&lt;/i&gt;</t>
  </si>
  <si>
    <t>levodopa</t>
  </si>
  <si>
    <t>(2S)-2-amino-3-(3,4-dihydroxyphenyl)propanoic acid</t>
  </si>
  <si>
    <t>3,4-dihydroxy-L-phenylalanine|Inbrija&amp;reg; (levodopa inhalation powder)|L-DOPA|Sinemet&amp;reg;</t>
  </si>
  <si>
    <t>OC(=O)[C@H](Cc1ccc(c(c1)O)O)N</t>
  </si>
  <si>
    <t>WTDRDQBEARUVNC-LURJTMIESA-N</t>
  </si>
  <si>
    <t>Q9BXC1</t>
  </si>
  <si>
    <t>&lt;i&gt;GPR174&lt;/i&gt;</t>
  </si>
  <si>
    <t>lysophosphatidylserine</t>
  </si>
  <si>
    <t>(2S)-2-amino-3-[hydroxy-[(2R)-2-hydroxy-3-octadecanoyloxypropoxy]phosphoryl]oxypropanoic acid</t>
  </si>
  <si>
    <t>lysophosphatidyl-L-serine|lysoPS</t>
  </si>
  <si>
    <t>CCCCCCCCCCCCCCCCCC(=O)OC[C@H](COP(=O)(OC[C@@H](C(=O)O)N)O)O</t>
  </si>
  <si>
    <t>ZPDQFUYPBVXUKS-YADHBBJMSA-N</t>
  </si>
  <si>
    <t>&lt;i&gt;GPR183&lt;/i&gt;</t>
  </si>
  <si>
    <t>27-hydroxycholesterol</t>
  </si>
  <si>
    <t>(3S,8S,9S,10R,13R,14S,17R)-17-[(2R,6R)-7-hydroxy-6-methylheptan-2-yl]-10,13-dimethyl-2,3,4,7,8,9,11,12,14,15,16,17-dodecahydro-1H-cyclopenta[a]phenanthren-3-ol</t>
  </si>
  <si>
    <t>26-hydroxycholesterol|27-OHC</t>
  </si>
  <si>
    <t>OC[C@@H](CCC[C@H]([C@H]1CC[C@@H]2[C@]1(C)CC[C@H]1[C@H]2CC=C2[C@]1(C)CC[C@@H](C2)O)C)C</t>
  </si>
  <si>
    <t>FYHRJWMENCALJY-YSQMORBQSA-N</t>
  </si>
  <si>
    <t>25-hydroxycholesterol</t>
  </si>
  <si>
    <t>(3S,8S,9S,10R,13R,14S,17R)-17-[(2R)-6-hydroxy-6-methylheptan-2-yl]-10,13-dimethyl-2,3,4,7,8,9,11,12,14,15,16,17-dodecahydro-1H-cyclopenta[a]phenanthren-3-ol</t>
  </si>
  <si>
    <t>25-OHC</t>
  </si>
  <si>
    <t>O[C@H]1CC[C@]2(C(=CC[C@@H]3[C@@H]2CC[C@]2([C@H]3CC[C@@H]2[C@@H](CCCC(O)(C)C)C)C)C1)C</t>
  </si>
  <si>
    <t>INBGSXNNRGWLJU-ZHHJOTBYSA-N</t>
  </si>
  <si>
    <t>7&amp;alpha;,25-dihydroxycholesterol</t>
  </si>
  <si>
    <t>(3S,7S,8S,9S,10R,13R,14S,17R)-17-[(2R)-6-hydroxy-6-methylheptan-2-yl]-10,13-dimethyl-2,3,4,7,8,9,11,12,14,15,16,17-dodecahydro-1H-cyclopenta[a]phenanthrene-3,7-diol</t>
  </si>
  <si>
    <t>7&amp;alpha;-25-OHC</t>
  </si>
  <si>
    <t>O[C@H]1CC[C@]2(C(=C[C@H]([C@@H]3[C@@H]2CC[C@]2([C@H]3CC[C@@H]2[C@@H](CCCC(O)(C)C)C)C)O)C1)C</t>
  </si>
  <si>
    <t>BQMSKLCEWBSPPY-IKVTXIKFSA-N</t>
  </si>
  <si>
    <t>7&amp;alpha;-hydroxycholesterol</t>
  </si>
  <si>
    <t>(3S,7S,8S,9S,10R,13R,14S,17R)-10,13-dimethyl-17-[(2R)-6-methylheptan-2-yl]-2,3,4,7,8,9,11,12,14,15,16,17-dodecahydro-1H-cyclopenta[a]phenanthrene-3,7-diol</t>
  </si>
  <si>
    <t>7-&amp;alpha;-OHC</t>
  </si>
  <si>
    <t>CC(CCC[C@H]([C@H]1CC[C@@H]2[C@]1(C)CC[C@H]1[C@H]2[C@H](O)C=C2[C@]1(C)CC[C@@H](C2)O)C)C</t>
  </si>
  <si>
    <t>OYXZMSRRJOYLLO-RVOWOUOISA-N</t>
  </si>
  <si>
    <t>7&amp;beta;-hydroxycholesterol</t>
  </si>
  <si>
    <t>(3S,7R,8S,9S,10R,13R,14S,17R)-10,13-dimethyl-17-[(2R)-6-methylheptan-2-yl]-2,3,4,7,8,9,11,12,14,15,16,17-dodecahydro-1H-cyclopenta[a]phenanthrene-3,7-diol</t>
  </si>
  <si>
    <t>7-&amp;beta;-OHC</t>
  </si>
  <si>
    <t>CC(CCC[C@H]([C@H]1CC[C@@H]2[C@]1(C)CC[C@H]1[C@H]2[C@@H](O)C=C2[C@]1(C)CC[C@@H](C2)O)C)C</t>
  </si>
  <si>
    <t>OYXZMSRRJOYLLO-KGZHIOMZSA-N</t>
  </si>
  <si>
    <t>7&amp;alpha;,27-dihydroxycholesterol</t>
  </si>
  <si>
    <t>(3S,7S,8S,9S,10R,13R,14S,17R)-17-[(2R,6R)-7-hydroxy-6-methylheptan-2-yl]-10,13-dimethyl-2,3,4,7,8,9,11,12,14,15,16,17-dodecahydro-1H-cyclopenta[a]phenanthrene-3,7-diol</t>
  </si>
  <si>
    <t>7&amp;alpha;, 27-OHC</t>
  </si>
  <si>
    <t>OC[C@@H](CCC[C@H]([C@H]1CC[C@@H]2[C@]1(C)CC[C@H]1[C@H]2[C@H](O)C=C2[C@]1(C)CC[C@@H](C2)O)C)C</t>
  </si>
  <si>
    <t>RXMHNAKZMGJANZ-GNENNHQYSA-N</t>
  </si>
  <si>
    <t>7&amp;beta;, 27-dihydroxycholesterol</t>
  </si>
  <si>
    <t>(3S,7R,8S,9S,10R,13R,14S,17R)-17-[(2R,6R)-7-hydroxy-6-methylheptan-2-yl]-10,13-dimethyl-2,3,4,7,8,9,11,12,14,15,16,17-dodecahydro-1H-cyclopenta[a]phenanthrene-3,7-diol</t>
  </si>
  <si>
    <t>7&amp;beta;,26-dihydroxycholesterol</t>
  </si>
  <si>
    <t>OC[C@@H](CCC[C@H]([C@H]1CC[C@@H]2[C@]1(C)CC[C@H]1[C@H]2[C@@H](O)C=C2[C@]1(C)CC[C@@H](C2)O)C)C</t>
  </si>
  <si>
    <t>RXMHNAKZMGJANZ-BMOLSTJGSA-N</t>
  </si>
  <si>
    <t>7&amp;beta;, 25-dihydroxycholesterol</t>
  </si>
  <si>
    <t>(3S,7R,8S,9S,10R,13R,14S,17R)-17-[(2R)-6-hydroxy-6-methylheptan-2-yl]-10,13-dimethyl-2,3,4,7,8,9,11,12,14,15,16,17-dodecahydro-1H-cyclopenta[a]phenanthrene-3,7-diol</t>
  </si>
  <si>
    <t>O[C@H]1CC[C@]2(C(=C[C@@H]([C@@H]3[C@@H]2CC[C@]2([C@H]3CC[C@@H]2[C@@H](CCCC(O)(C)C)C)C)O)C1)C</t>
  </si>
  <si>
    <t>BQMSKLCEWBSPPY-CGSQRZAOSA-N</t>
  </si>
  <si>
    <t>GPBA receptor</t>
  </si>
  <si>
    <t>chenodeoxycholic acid</t>
  </si>
  <si>
    <t>(4R)-4-[(3R,5S,7R,8R,9S,10S,13R,14S,17R)-3,7-dihydroxy-10,13-dimethyl-2,3,4,5,6,7,8,9,11,12,14,15,16,17-tetradecahydro-1H-cyclopenta[a]phenanthren-17-yl]pentanoic acid</t>
  </si>
  <si>
    <t>CDCA|Chenix&amp;reg;|chenodeoxycholate|Chenodiol&amp;reg;|Leadiant&amp;reg; (formerly Chenodeoxycholic acid sigma-tau)</t>
  </si>
  <si>
    <t>O[C@@H]1CC[C@]2([C@@H](C1)C[C@H]([C@@H]1[C@@H]2CC[C@]2([C@H]1CC[C@@H]2[C@@H](CCC(=O)O)C)C)O)C</t>
  </si>
  <si>
    <t>RUDATBOHQWOJDD-BSWAIDMHSA-N</t>
  </si>
  <si>
    <t>cholic acid</t>
  </si>
  <si>
    <t>(4R)-4-[(3R,5S,7R,8R,9S,10S,12S,13R,14S,17R)-3,7,12-trihydroxy-10,13-dimethyl-2,3,4,5,6,7,8,9,11,12,14,15,16,17-tetradecahydro-1H-cyclopenta[a]phenanthren-17-yl]pentanoic acid</t>
  </si>
  <si>
    <t>CA|cholate|Cholbam&amp;reg;|Kolbam&amp;reg;|Orphacol&amp;Reg;</t>
  </si>
  <si>
    <t>O[C@@H]1CC[C@]2([C@@H](C1)C[C@H]([C@@H]1[C@@H]2C[C@H](O)[C@]2([C@H]1CC[C@@H]2[C@@H](CCC(=O)O)C)C)O)C</t>
  </si>
  <si>
    <t>BHQCQFFYRZLCQQ-OELDTZBJSA-N</t>
  </si>
  <si>
    <t>deoxycholic acid</t>
  </si>
  <si>
    <t>(4R)-4-[(3R,5R,8R,9S,10S,12S,13R,14S,17R)-3,12-dihydroxy-10,13-dimethyl-2,3,4,5,6,7,8,9,11,12,14,15,16,17-tetradecahydro-1H-cyclopenta[a]phenanthren-17-yl]pentanoic acid</t>
  </si>
  <si>
    <t>ATX-101|DCA|deoxycholate</t>
  </si>
  <si>
    <t>O[C@@H]1CC[C@]2([C@@H](C1)CC[C@@H]1[C@@H]2C[C@H](O)[C@]2([C@H]1CC[C@@H]2[C@@H](CCC(=O)O)C)C)C</t>
  </si>
  <si>
    <t>KXGVEGMKQFWNSR-LLQZFEROSA-N</t>
  </si>
  <si>
    <t>lithocholic acid</t>
  </si>
  <si>
    <t>(4R)-4-[(3R,5R,8R,9S,10S,13R,14S,17R)-3-hydroxy-10,13-dimethyl-2,3,4,5,6,7,8,9,11,12,14,15,16,17-tetradecahydro-1H-cyclopenta[a]phenanthren-17-yl]pentanoic acid</t>
  </si>
  <si>
    <t>LCA|lithocholate</t>
  </si>
  <si>
    <t>O[C@@H]1CC[C@]2([C@@H](C1)CC[C@@H]1[C@@H]2CC[C@]2([C@H]1CC[C@@H]2[C@@H](CCC(=O)O)C)C)C</t>
  </si>
  <si>
    <t>SMEROWZSTRWXGI-HVATVPOCSA-N</t>
  </si>
  <si>
    <t>Q5T6X5</t>
  </si>
  <si>
    <t>GPRC6 receptor</t>
  </si>
  <si>
    <t>L-alanine</t>
  </si>
  <si>
    <t>(2S)-2-aminopropanoic acid</t>
  </si>
  <si>
    <t>alanine</t>
  </si>
  <si>
    <t>L-Ala</t>
  </si>
  <si>
    <t>C[C@@H](C(=O)O)N</t>
  </si>
  <si>
    <t>QNAYBMKLOCPYGJ-REOHCLBHSA-N</t>
  </si>
  <si>
    <t>L-arginine</t>
  </si>
  <si>
    <t>(2S)-2-amino-5-(diaminomethylideneamino)pentanoic acid</t>
  </si>
  <si>
    <t>argimesna</t>
  </si>
  <si>
    <t>L-Arg</t>
  </si>
  <si>
    <t>OC(=O)[C@H](CCCN=C(N)N)N</t>
  </si>
  <si>
    <t>ODKSFYDXXFIFQN-BYPYZUCNSA-N</t>
  </si>
  <si>
    <t>L-citrulline</t>
  </si>
  <si>
    <t>(2S)-2-amino-5-(carbamoylamino)pentanoic acid</t>
  </si>
  <si>
    <t>NC(=O)NCCC[C@@H](C(=O)O)N</t>
  </si>
  <si>
    <t>RHGKLRLOHDJJDR-BYPYZUCNSA-N</t>
  </si>
  <si>
    <t>L-glutamine</t>
  </si>
  <si>
    <t>(2S)-2,5-diamino-5-oxopentanoic acid</t>
  </si>
  <si>
    <t>glutamine</t>
  </si>
  <si>
    <t>NC(=O)CC[C@@H](C(=O)O)N</t>
  </si>
  <si>
    <t>ZDXPYRJPNDTMRX-VKHMYHEASA-N</t>
  </si>
  <si>
    <t>L-lysine</t>
  </si>
  <si>
    <t>(2S)-2,6-diaminohexanoic acid</t>
  </si>
  <si>
    <t>lysine</t>
  </si>
  <si>
    <t>L-Lys</t>
  </si>
  <si>
    <t>NCCCC[C@@H](C(=O)O)N</t>
  </si>
  <si>
    <t>KDXKERNSBIXSRK-YFKPBYRVSA-N</t>
  </si>
  <si>
    <t>L-ornithine</t>
  </si>
  <si>
    <t>(2S)-2,5-diaminopentanoic acid</t>
  </si>
  <si>
    <t>ornithine</t>
  </si>
  <si>
    <t>N[C@H](C(=O)O)CCCN</t>
  </si>
  <si>
    <t>AHLPHDHHMVZTML-BYPYZUCNSA-N</t>
  </si>
  <si>
    <t>L-serine</t>
  </si>
  <si>
    <t>(2S)-2-amino-3-hydroxypropanoic acid</t>
  </si>
  <si>
    <t>serine</t>
  </si>
  <si>
    <t>L-Ser</t>
  </si>
  <si>
    <t>OC[C@@H](C(=O)O)N</t>
  </si>
  <si>
    <t>MTCFGRXMJLQNBG-REOHCLBHSA-N</t>
  </si>
  <si>
    <t>glycine</t>
  </si>
  <si>
    <t>carbonocyanidic acid</t>
  </si>
  <si>
    <t>NCC(=O)O</t>
  </si>
  <si>
    <t>DHMQDGOQFOQNFH-UHFFFAOYSA-N</t>
  </si>
  <si>
    <t>Q99527</t>
  </si>
  <si>
    <t>GPER</t>
  </si>
  <si>
    <t>17&amp;beta;-estradiol</t>
  </si>
  <si>
    <t>(8R,9S,13S,14S,17S)-13-methyl-6,7,8,9,11,12,14,15,16,17-decahydrocyclopenta[a]phenanthrene-3,17-diol</t>
  </si>
  <si>
    <t>estradiol</t>
  </si>
  <si>
    <t>E2|estrogen|oestrodiol|oestrogen</t>
  </si>
  <si>
    <t>Oc1ccc2c(c1)CC[C@@H]1[C@@H]2CC[C@]2([C@H]1CC[C@@H]2O)C</t>
  </si>
  <si>
    <t>VOXZDWNPVJITMN-ZBRFXRBCSA-N</t>
  </si>
  <si>
    <t>P46091</t>
  </si>
  <si>
    <t>P47775</t>
  </si>
  <si>
    <t>&lt;i&gt;GPR12&lt;/i&gt;</t>
  </si>
  <si>
    <t>sphingosine 1-phosphate</t>
  </si>
  <si>
    <t>[(2S,3R)-2-amino-3-hydroxyoctadec-4-enyl] dihydrogen phosphate</t>
  </si>
  <si>
    <t>S1P</t>
  </si>
  <si>
    <t>CCCCCCCCCCCCC/C=C/[C@H]([C@H](COP(=O)(O)O)N)O</t>
  </si>
  <si>
    <t>DUYSYHSSBDVJSM-KRWOKUGFSA-N</t>
  </si>
  <si>
    <t>Q13304</t>
  </si>
  <si>
    <t>&lt;i&gt;GPR17&lt;/i&gt;</t>
  </si>
  <si>
    <t>ATP</t>
  </si>
  <si>
    <t>[(2R,3S,4R,5R)-5-(6-aminopurin-9-yl)-3,4-dihydroxyoxolan-2-yl]methyl (hydroxy-phosphonooxyphosphoryl) hydrogen phosphate</t>
  </si>
  <si>
    <t>5'-ATP|adenosine 5' triphosphate|adenosine triphosphate</t>
  </si>
  <si>
    <t>O[C@@H]1[C@@H](COP(=O)(OP(=O)(OP(=O)(O)O)O)O)O[C@H]([C@@H]1O)n1cnc2c1ncnc2N</t>
  </si>
  <si>
    <t>ZKHQWZAMYRWXGA-KQYNXXCUSA-N</t>
  </si>
  <si>
    <t>uridine diphosphate</t>
  </si>
  <si>
    <t>[(2R,3S,4R,5R)-5-(2,4-dioxopyrimidin-1-yl)-3,4-dihydroxyoxolan-2-yl]methyl phosphono hydrogen phosphate</t>
  </si>
  <si>
    <t>5'-UDP|UDP|uridine 5'-diphosphate</t>
  </si>
  <si>
    <t>O[C@@H]1[C@@H](COP(=O)(OP(=O)(O)O)O)O[C@H]([C@@H]1O)n1ccc(=O)[nH]c1=O</t>
  </si>
  <si>
    <t>XCCTYIAWTASOJW-XVFCMESISA-N</t>
  </si>
  <si>
    <t>UDP-galactose</t>
  </si>
  <si>
    <t>[[(2R,3S,4R,5R)-5-(2,4-dioxopyrimidin-1-yl)-3,4-dihydroxyoxolan-2-yl]methoxy-hydroxyphosphoryl] [(2R,3R,4S,5R,6R)-3,4,5-trihydroxy-6-(hydroxymethyl)oxan-2-yl] hydrogen phosphate</t>
  </si>
  <si>
    <t>uridine diphosphate galactose</t>
  </si>
  <si>
    <t>OC[C@H]1O[C@H](OP(=O)(OP(=O)(OC[C@H]2O[C@H]([C@@H]([C@@H]2O)O)n2ccc(=O)[nH]c2=O)O)O)[C@@H]([C@H]([C@H]1O)O)O</t>
  </si>
  <si>
    <t>HSCJRCZFDFQWRP-ABVWGUQPSA-N</t>
  </si>
  <si>
    <t>UDP-glucose</t>
  </si>
  <si>
    <t>[[(2R,3S,4R,5R)-5-(2,4-dioxopyrimidin-1-yl)-3,4-dihydroxyoxolan-2-yl]methoxy-hydroxyphosphoryl] [(2R,3R,4S,5S,6R)-3,4,5-trihydroxy-6-(hydroxymethyl)oxan-2-yl] hydrogen phosphate</t>
  </si>
  <si>
    <t>uridine diphosphate glucose</t>
  </si>
  <si>
    <t>OC[C@H]1O[C@H](OP(=O)(OP(=O)(OC[C@H]2O[C@H]([C@@H]([C@@H]2O)O)n2ccc(=O)[nH]c2=O)O)O)[C@@H]([C@H]([C@@H]1O)O)O</t>
  </si>
  <si>
    <t>HSCJRCZFDFQWRP-JZMIEXBBSA-N</t>
  </si>
  <si>
    <t>Q14330</t>
  </si>
  <si>
    <t>&lt;i&gt;GPR18&lt;/i&gt;</t>
  </si>
  <si>
    <t>N-arachidonoylglycine</t>
  </si>
  <si>
    <t>2-[[(5Z,8Z,11Z,14Z)-icosa-5,8,11,14-tetraenoyl]amino]acetic acid</t>
  </si>
  <si>
    <t>NAG|NAGly</t>
  </si>
  <si>
    <t>CCCCC/C=CC/C=CC/C=CC/C=CCCCC(=O)NCC(=O)O</t>
  </si>
  <si>
    <t>YLEARPUNMCCKMP-DOFZRALJSA-N</t>
  </si>
  <si>
    <t>P46089</t>
  </si>
  <si>
    <t>&lt;i&gt;GPR3&lt;/i&gt;</t>
  </si>
  <si>
    <t>O00270</t>
  </si>
  <si>
    <t>&lt;i&gt;GPR31&lt;/i&gt;</t>
  </si>
  <si>
    <t>12S-HETE</t>
  </si>
  <si>
    <t>(5Z,8Z,10E,12S,14Z)-12-hydroxyicosa-5,8,10,14-tetraenoic acid</t>
  </si>
  <si>
    <t>12(S)-hydroxyeicosatetraenoic acid</t>
  </si>
  <si>
    <t>CCCCC/C=CC[C@@H](/C=C/C=CC/C=CCCCC(=O)O)O</t>
  </si>
  <si>
    <t>ZNHVWPKMFKADKW-LQWMCKPYSA-N</t>
  </si>
  <si>
    <t>O75388</t>
  </si>
  <si>
    <t>&lt;i&gt;GPR32&lt;/i&gt;</t>
  </si>
  <si>
    <t>Q9UPC5</t>
  </si>
  <si>
    <t>&lt;i&gt;GPR34&lt;/i&gt;</t>
  </si>
  <si>
    <t>Q9HC97</t>
  </si>
  <si>
    <t>&lt;i&gt;GPR35&lt;/i&gt;</t>
  </si>
  <si>
    <t>kynurenic acid</t>
  </si>
  <si>
    <t>4-oxo-1H-quinoline-2-carboxylic acid</t>
  </si>
  <si>
    <t>KYNA|transtorine</t>
  </si>
  <si>
    <t>OC(=O)c1cc(=O)c2c([nH]1)cccc2</t>
  </si>
  <si>
    <t>HCZHHEIFKROPDY-UHFFFAOYSA-N</t>
  </si>
  <si>
    <t>2-oleoyl-LPA</t>
  </si>
  <si>
    <t>{3-hydroxy-2-[(9Z)-octadec-9-enoyloxy]propoxy}phosphonic acid</t>
  </si>
  <si>
    <t>2-acyl-1LPA|2Acyl-LPA</t>
  </si>
  <si>
    <t>CCCCCCCC/C=CCCCCCCCC(=O)OC(COP(=O)(O)O)CO</t>
  </si>
  <si>
    <t>ZOOLJLSXNRZLDH-KTKRTIGZSA-N</t>
  </si>
  <si>
    <t>O15354</t>
  </si>
  <si>
    <t>&lt;i&gt;GPR37&lt;/i&gt;</t>
  </si>
  <si>
    <t>&lt;i&gt;GPR39&lt;/i&gt;</t>
  </si>
  <si>
    <t>obestatin</t>
  </si>
  <si>
    <t>Q9Y2T6</t>
  </si>
  <si>
    <t>&lt;i&gt;GPR55&lt;/i&gt;</t>
  </si>
  <si>
    <t>lysophosphatidylinositol</t>
  </si>
  <si>
    <t>L-&amp;alpha;-lysophosphatidylinositol|LPI</t>
  </si>
  <si>
    <t>O[C@@H](COC(=O)C)COP(=O)(O[C@@H]1[C@H](O)[C@H](O)[C@H]([C@@H]([C@H]1O)O)O)O</t>
  </si>
  <si>
    <t>FBDBXJJQMHPGMP-IFUOQLDVSA-N</t>
  </si>
  <si>
    <t>2-arachidonoylglycerolphosphoinositol</t>
  </si>
  <si>
    <t>[3-hydroxy-2-[(5Z,8Z,11Z,14Z)-icosa-5,8,11,14-tetraenoyl]oxypropyl] (2,3,4,5,6-pentahydroxycyclohexyl) phosphate</t>
  </si>
  <si>
    <t>2-AGPI|2-arachidonoyl-glycerol-phosphoinositol|arachidonoyl LPI</t>
  </si>
  <si>
    <t>CCCCC/C=CC/C=CC/C=CC/C=CCCCC(=O)OC(COP(=O)(OC1C(O)C(O)C(C(C1O)O)O)[O-])CO</t>
  </si>
  <si>
    <t>OKEQUIXTUXJQNT-DOFZRALJSA-M</t>
  </si>
  <si>
    <t>P46095</t>
  </si>
  <si>
    <t>&lt;i&gt;GPR6&lt;/i&gt;</t>
  </si>
  <si>
    <t>Q9BZJ6</t>
  </si>
  <si>
    <t>&lt;i&gt;GPR63&lt;/i&gt;</t>
  </si>
  <si>
    <t>dihydrosphingosine 1-phosphate</t>
  </si>
  <si>
    <t>[(2S,3R)-2-amino-3-hydroxyoctadecyl] dihydrogen phosphate</t>
  </si>
  <si>
    <t>dihydroS1P|sphinganine 1-phosphate|sphinganine-phosphate</t>
  </si>
  <si>
    <t>CCCCCCCCCCCCCCC[C@H]([C@H](COP(=O)(O)O)N)O</t>
  </si>
  <si>
    <t>YHEDRJPUIRMZMP-ZWKOTPCHSA-N</t>
  </si>
  <si>
    <t>dioleoylphosphatidic acid</t>
  </si>
  <si>
    <t>[1-[(Z)-octadec-9-enoyl]oxy-3-phosphonooxypropan-2-yl] (Z)-octadec-9-enoate</t>
  </si>
  <si>
    <t>dioleoyl phosphatidic acid|doPA</t>
  </si>
  <si>
    <t>CCCCCCCC/C=CCCCCCCCC(=O)OCC(OC(=O)CCCCCCC/C=CCCCCCCCC)COP(=O)(O)O</t>
  </si>
  <si>
    <t>MHUWZNTUIIFHAS-CLFAGFIQSA-N</t>
  </si>
  <si>
    <t>O95800</t>
  </si>
  <si>
    <t>&lt;i&gt;GPR75&lt;/i&gt;</t>
  </si>
  <si>
    <t>Q9BY21</t>
  </si>
  <si>
    <t>&lt;i&gt;GPR87&lt;/i&gt;</t>
  </si>
  <si>
    <t>LPA</t>
  </si>
  <si>
    <t>(2-hydroxy-3-phosphonooxypropyl) (Z)-octadec-9-enoate</t>
  </si>
  <si>
    <t>1-oleoyl-LPA|lysophosphatidic acid</t>
  </si>
  <si>
    <t>CCCCCCCC/C=CCCCCCCCC(=O)OCC(COP(=O)(O)O)O</t>
  </si>
  <si>
    <t>WRGQSWVCFNIUNZ-KTKRTIGZSA-N</t>
  </si>
  <si>
    <t>Q13255</t>
  </si>
  <si>
    <t>mGlu&lt;sub&gt;1&lt;/sub&gt; receptor</t>
  </si>
  <si>
    <t>L-glutamic acid</t>
  </si>
  <si>
    <t>(2S)-2-aminopentanedioic acid</t>
  </si>
  <si>
    <t>glutamic acid</t>
  </si>
  <si>
    <t>L-Glu|L-glutamate|poly-L-glutamate</t>
  </si>
  <si>
    <t>OC(=O)CC[C@@H](C(=O)O)N</t>
  </si>
  <si>
    <t>WHUUTDBJXJRKMK-VKHMYHEASA-N</t>
  </si>
  <si>
    <t>mGlu&lt;sub&gt;2&lt;/sub&gt; receptor</t>
  </si>
  <si>
    <t>Q14832</t>
  </si>
  <si>
    <t>mGlu&lt;sub&gt;3&lt;/sub&gt; receptor</t>
  </si>
  <si>
    <t>NAAG</t>
  </si>
  <si>
    <t>(2S)-2-[[(2S)-2-acetamido-4-hydroxy-4-oxobutanoyl]amino]pentanedioic acid</t>
  </si>
  <si>
    <t>spaglumic acid</t>
  </si>
  <si>
    <t>&lt;i&gt;N&lt;/i&gt;-acetylaspartylglutamate|isospaglumic acid|spaglumic acid</t>
  </si>
  <si>
    <t>OC(=O)CC[C@@H](C(=O)O)NC(=O)[C@@H](NC(=O)C)CC(=O)O</t>
  </si>
  <si>
    <t>OPVPGKGADVGKTG-BQBZGAKWSA-N</t>
  </si>
  <si>
    <t>mGlu&lt;sub&gt;4&lt;/sub&gt; receptor</t>
  </si>
  <si>
    <t>L-serine-O-phosphate</t>
  </si>
  <si>
    <t>(2S)-2-amino-3-phosphonooxypropanoic acid</t>
  </si>
  <si>
    <t>dexfosfoserine</t>
  </si>
  <si>
    <t>L-SOP|LSOP</t>
  </si>
  <si>
    <t>OC(=O)[C@H](COP(=O)(O)O)N</t>
  </si>
  <si>
    <t>BZQFBWGGLXLEPQ-REOHCLBHSA-N</t>
  </si>
  <si>
    <t>mGlu&lt;sub&gt;5&lt;/sub&gt; receptor</t>
  </si>
  <si>
    <t>mGlu&lt;sub&gt;6&lt;/sub&gt; receptor</t>
  </si>
  <si>
    <t>Q14831</t>
  </si>
  <si>
    <t>mGlu&lt;sub&gt;7&lt;/sub&gt; receptor</t>
  </si>
  <si>
    <t>mGlu&lt;sub&gt;8&lt;/sub&gt; receptor</t>
  </si>
  <si>
    <t>P30550</t>
  </si>
  <si>
    <t>BB&lt;sub&gt;2&lt;/sub&gt; receptor</t>
  </si>
  <si>
    <t>gastrin-releasing peptide</t>
  </si>
  <si>
    <t>P07492</t>
  </si>
  <si>
    <t>GRP</t>
  </si>
  <si>
    <t>neuromedin B</t>
  </si>
  <si>
    <t>Q9CR53|P01297|P08949</t>
  </si>
  <si>
    <t>2-[(2-aminoacetyl)amino]-N-[1-[[1-[[1-[[1-[[2-[[1-[[1-[(1-amino-4-methylsulfanyl-1-oxobutan-2-yl)amino]-1-oxo-3-phenylpropan-2-yl]amino]-3-(3H-imidazol-4-yl)-1-oxopropan-2-yl]amino]-2-oxoethyl]amino]-3-hydroxy-1-oxobutan-2-yl]amino]-1-oxopropan-2-yl]amino]-3-(1H-indol-3-yl)-1-oxopropan-2-yl]amino]-4-methyl-1-oxopentan-2-yl]butanediamide</t>
  </si>
  <si>
    <t>NMB</t>
  </si>
  <si>
    <t>YPFNACALNKVZNK-UHFFFAOYSA-N</t>
  </si>
  <si>
    <t>GRP-(18-27)</t>
  </si>
  <si>
    <t>P07492|P63153</t>
  </si>
  <si>
    <t>GRP (18-27)|GRP(18-27)|GRP-18-27</t>
  </si>
  <si>
    <t>gastrin releasing peptide(14-27) (human)</t>
  </si>
  <si>
    <t>GRP(14-27)</t>
  </si>
  <si>
    <t>neuromedin C</t>
  </si>
  <si>
    <t>NMC</t>
  </si>
  <si>
    <t>Q9BXC0</t>
  </si>
  <si>
    <t>HCA&lt;sub&gt;1&lt;/sub&gt; receptor</t>
  </si>
  <si>
    <t>L-lactic acid</t>
  </si>
  <si>
    <t>(2S)-2-hydroxypropanoic acid</t>
  </si>
  <si>
    <t>(S)-lactate|(S)-lactic acid|L-lactate|lactate</t>
  </si>
  <si>
    <t>OC(=O)[C@@H](O)C</t>
  </si>
  <si>
    <t>JVTAAEKCZFNVCJ-REOHCLBHSA-N</t>
  </si>
  <si>
    <t>HCA&lt;sub&gt;2&lt;/sub&gt; receptor</t>
  </si>
  <si>
    <t>&amp;beta;-D-hydroxybutyric acid</t>
  </si>
  <si>
    <t>(3R)-3-hydroxybutanoic acid</t>
  </si>
  <si>
    <t>(&lt;i&gt;R&lt;/i&gt;)-3-hydroxybutanoate|3-hydroxybutyrate</t>
  </si>
  <si>
    <t>C[C@H](CC(=O)O)O</t>
  </si>
  <si>
    <t>WHBMMWSBFZVSSR-GSVOUGTGSA-N</t>
  </si>
  <si>
    <t>HCA&lt;sub&gt;3&lt;/sub&gt; receptor</t>
  </si>
  <si>
    <t>3-hydroxyoctanoic acid</t>
  </si>
  <si>
    <t>(3S)-3-hydroxyoctanoic acid</t>
  </si>
  <si>
    <t>3-hydroxyoctanoate|3-OH-octanoic acid</t>
  </si>
  <si>
    <t>CCCCC[C@@H](CC(=O)O)O</t>
  </si>
  <si>
    <t>NDPLAKGOSZHTPH-ZETCQYMHSA-N</t>
  </si>
  <si>
    <t>H&lt;sub&gt;1&lt;/sub&gt; receptor</t>
  </si>
  <si>
    <t>histamine</t>
  </si>
  <si>
    <t>2-(3H-imidazol-4-yl)ethanamine</t>
  </si>
  <si>
    <t>NCCc1cnc[nH]1</t>
  </si>
  <si>
    <t>NTYJJOPFIAHURM-UHFFFAOYSA-N</t>
  </si>
  <si>
    <t>H&lt;sub&gt;2&lt;/sub&gt; receptor</t>
  </si>
  <si>
    <t>Q9Y5N1</t>
  </si>
  <si>
    <t>H&lt;sub&gt;3&lt;/sub&gt; receptor</t>
  </si>
  <si>
    <t>Q9H3N8</t>
  </si>
  <si>
    <t>H&lt;sub&gt;4&lt;/sub&gt; receptor</t>
  </si>
  <si>
    <t>Q969F8</t>
  </si>
  <si>
    <t>kisspeptin receptor</t>
  </si>
  <si>
    <t>kisspeptin-10</t>
  </si>
  <si>
    <t>KP-10|KP10</t>
  </si>
  <si>
    <t>RITKWYDZSSQNJI-INXYWQKQSA-N</t>
  </si>
  <si>
    <t>kisspeptin-13</t>
  </si>
  <si>
    <t>Q15726</t>
  </si>
  <si>
    <t>KP-13|KP13</t>
  </si>
  <si>
    <t>kisspeptin-14</t>
  </si>
  <si>
    <t>KP-14</t>
  </si>
  <si>
    <t>kisspeptin-54</t>
  </si>
  <si>
    <t>KP-54|KP54|metastin</t>
  </si>
  <si>
    <t>Q9BXB1</t>
  </si>
  <si>
    <t>&lt;i&gt;LGR4&lt;/i&gt;</t>
  </si>
  <si>
    <t>R-spondin-1</t>
  </si>
  <si>
    <t>Q2MKA7</t>
  </si>
  <si>
    <t>hRspo1|roof plate-specific spondin-1</t>
  </si>
  <si>
    <t>R-spondin-2</t>
  </si>
  <si>
    <t>Q6UXX9</t>
  </si>
  <si>
    <t>hRspo2|Roof plate-specific spondin-2</t>
  </si>
  <si>
    <t>R-spondin-3</t>
  </si>
  <si>
    <t>Q9BXY4</t>
  </si>
  <si>
    <t>hPWTSR|hRspo3|Roof plate-specific spondin-3</t>
  </si>
  <si>
    <t>R-spondin-4</t>
  </si>
  <si>
    <t>Q2I0M5</t>
  </si>
  <si>
    <t>hRspo4|roof plate-specific spondin-4</t>
  </si>
  <si>
    <t>O75473</t>
  </si>
  <si>
    <t>&lt;i&gt;LGR5&lt;/i&gt;</t>
  </si>
  <si>
    <t>Q9HBX8</t>
  </si>
  <si>
    <t>&lt;i&gt;LGR6&lt;/i&gt;</t>
  </si>
  <si>
    <t>LPA&lt;sub&gt;1&lt;/sub&gt; receptor</t>
  </si>
  <si>
    <t>LPA&lt;sub&gt;2&lt;/sub&gt; receptor</t>
  </si>
  <si>
    <t>farnesyl diphosphate</t>
  </si>
  <si>
    <t>phosphono [(2Z,6Z)-3,7,11-trimethyldodeca-2,6,10-trienyl] hydrogen phosphate</t>
  </si>
  <si>
    <t>farnesyl pyrophosphate (FPP)|FDP</t>
  </si>
  <si>
    <t>C/C(=C/COP(=O)(OP(=O)(O)O)O)/CC/C=C(CCC=C(C)C)/C</t>
  </si>
  <si>
    <t>VWFJDQUYCIWHTN-FBXUGWQNSA-N</t>
  </si>
  <si>
    <t>farnesyl monophosphate</t>
  </si>
  <si>
    <t>[(2Z,6Z)-3,7,11-trimethyldodeca-2,6,10-trienyl] dihydrogen phosphate</t>
  </si>
  <si>
    <t>FMP</t>
  </si>
  <si>
    <t>C/C(=C/CC/C(=CCOP(=O)(O)O)/C)/CCC=C(C)C</t>
  </si>
  <si>
    <t>ALEWCKXBHSDCCT-FBXUGWQNSA-N</t>
  </si>
  <si>
    <t>Q9UBY5</t>
  </si>
  <si>
    <t>LPA&lt;sub&gt;3&lt;/sub&gt; receptor</t>
  </si>
  <si>
    <t>Q99677</t>
  </si>
  <si>
    <t>LPA&lt;sub&gt;4&lt;/sub&gt; receptor</t>
  </si>
  <si>
    <t>Q9H1C0</t>
  </si>
  <si>
    <t>LPA&lt;sub&gt;5&lt;/sub&gt; receptor</t>
  </si>
  <si>
    <t>P43657</t>
  </si>
  <si>
    <t>LPA&lt;sub&gt;6&lt;/sub&gt; receptor</t>
  </si>
  <si>
    <t>P22888</t>
  </si>
  <si>
    <t>LH receptor</t>
  </si>
  <si>
    <t>LH</t>
  </si>
  <si>
    <t>lutropin alfa</t>
  </si>
  <si>
    <t>luteinising hormone|luteinizing hormone</t>
  </si>
  <si>
    <t>hCG</t>
  </si>
  <si>
    <t>CG|human chorionic gonadotropin</t>
  </si>
  <si>
    <t>BLT&lt;sub&gt;1&lt;/sub&gt; receptor</t>
  </si>
  <si>
    <t>LTB&lt;sub&gt;4&lt;/sub&gt;</t>
  </si>
  <si>
    <t>(5S,6Z,8E,10E,12R,14Z)-5,12-dihydroxyicosa-6,8,10,14-tetraenoic acid</t>
  </si>
  <si>
    <t>leukotriene B&lt;sub&gt;4&lt;/sub&gt;</t>
  </si>
  <si>
    <t>CCCCC/C=CC[C@H](/C=C/C=C/C=C[C@H](CCCC(=O)O)O)O</t>
  </si>
  <si>
    <t>VNYSSYRCGWBHLG-AMOLWHMGSA-N</t>
  </si>
  <si>
    <t>20-hydroxy-LTB&lt;sub&gt;4&lt;/sub&gt;</t>
  </si>
  <si>
    <t>(5S,6Z,8E,10E,12R,14Z)-5,12,20-trihydroxyicosa-6,8,10,14-tetraenoic acid</t>
  </si>
  <si>
    <t>OCCCCC/C=CC[C@H](/C=C/C=C/C=C[C@H](CCCC(=O)O)O)O</t>
  </si>
  <si>
    <t>PTJFJXLGRSTECQ-PSPARDEHSA-N</t>
  </si>
  <si>
    <t>12R-HETE</t>
  </si>
  <si>
    <t>(5Z,8Z,10E,12R,14Z)-12-hydroxyicosa-5,8,10,14-tetraenoic acid</t>
  </si>
  <si>
    <t>12r-HETE</t>
  </si>
  <si>
    <t>CCCCC/C=CC[C@H](/C=C/C=CC/C=CCCCC(=O)O)O</t>
  </si>
  <si>
    <t>ZNHVWPKMFKADKW-ZYBDYUKJSA-N</t>
  </si>
  <si>
    <t>BLT&lt;sub&gt;2&lt;/sub&gt; receptor</t>
  </si>
  <si>
    <t>12S-HPETE</t>
  </si>
  <si>
    <t>(5Z,8Z,10E,12S,14Z)-12-hydroperoxyicosa-5,8,10,14-tetraenoic acid</t>
  </si>
  <si>
    <t>12-(S)-HPETE|12-(S)-hydroperoxyeicosatetraenoic acid</t>
  </si>
  <si>
    <t>CCCCC/C=CC[C@@H](/C=C/C=CC/C=CCCCC(=O)O)OO</t>
  </si>
  <si>
    <t>ZIOZYRSDNLNNNJ-LQWMCKPYSA-N</t>
  </si>
  <si>
    <t>15S-HETE</t>
  </si>
  <si>
    <t>(5Z,8Z,11Z,13E,15S)-15-hydroxyicosa-5,8,11,13-tetraenoic acid</t>
  </si>
  <si>
    <t>icomucret</t>
  </si>
  <si>
    <t>15(S)-hydroxyeicosatetraenoic acid|15-HETE</t>
  </si>
  <si>
    <t>CCCCC[C@@H](/C=C/C=CC/C=CC/C=CCCCC(=O)O)O</t>
  </si>
  <si>
    <t>JSFATNQSLKRBCI-VAEKSGALSA-N</t>
  </si>
  <si>
    <t>12-hydroxyheptadecatrienoic acid</t>
  </si>
  <si>
    <t>(5Z,8E,10E,12S)-12-hydroxyheptadeca-5,8,10-trienoic acid</t>
  </si>
  <si>
    <t>12-HHT|12S-HHTrE</t>
  </si>
  <si>
    <t>CCCCC[C@@H](/C=C/C=C/C/C=CCCCC(=O)O)O</t>
  </si>
  <si>
    <t>KUKJHGXXZWHSBG-WBGSEQOASA-N</t>
  </si>
  <si>
    <t>12-epi LTB&lt;sub&gt;4&lt;/sub&gt;</t>
  </si>
  <si>
    <t>(5S,6Z,8E,10E,12S,14Z)-5,12-dihydroxyicosa-6,8,10,14-tetraenoic acid</t>
  </si>
  <si>
    <t>12(S)-Leukotriene B4</t>
  </si>
  <si>
    <t>CCCCC/C=CC[C@@H](/C=C/C=C/C=C[C@H](CCCC(=O)O)O)O</t>
  </si>
  <si>
    <t>VNYSSYRCGWBHLG-CBBLYLIKSA-N</t>
  </si>
  <si>
    <t>MC&lt;sub&gt;3&lt;/sub&gt; receptor</t>
  </si>
  <si>
    <t>&amp;alpha;-MSH</t>
  </si>
  <si>
    <t>P01193|P01189|P01194</t>
  </si>
  <si>
    <t>&amp;alpha;-melanocyte stimulating hormone</t>
  </si>
  <si>
    <t>&amp;gamma;-MSH</t>
  </si>
  <si>
    <t>&amp;gamma;-melanocyte stimulating hormone|melanotropin gamma</t>
  </si>
  <si>
    <t>agouti-related protein</t>
  </si>
  <si>
    <t>O00253</t>
  </si>
  <si>
    <t>agouti-related peptide|AGRP</t>
  </si>
  <si>
    <t>&amp;beta;-MSH</t>
  </si>
  <si>
    <t>&amp;beta;-melanocyte stimulating hormone</t>
  </si>
  <si>
    <t>MC&lt;sub&gt;4&lt;/sub&gt; receptor</t>
  </si>
  <si>
    <t>P33032</t>
  </si>
  <si>
    <t>MC&lt;sub&gt;5&lt;/sub&gt; receptor</t>
  </si>
  <si>
    <t>Q99705</t>
  </si>
  <si>
    <t>MCH&lt;sub&gt;1&lt;/sub&gt; receptor</t>
  </si>
  <si>
    <t>melanin-concentrating hormone</t>
  </si>
  <si>
    <t>P20382|P56942|P14200</t>
  </si>
  <si>
    <t>ORRDHOMWDPJSNL-UHFFFAOYSA-N</t>
  </si>
  <si>
    <t>Q969V1</t>
  </si>
  <si>
    <t>MCH&lt;sub&gt;2&lt;/sub&gt; receptor</t>
  </si>
  <si>
    <t>Q8TDS7</t>
  </si>
  <si>
    <t>&lt;i&gt;MRGPRD&lt;/i&gt;</t>
  </si>
  <si>
    <t>&amp;beta;-alanine</t>
  </si>
  <si>
    <t>3-Aminopropanoic acid</t>
  </si>
  <si>
    <t>NCCC(=O)O</t>
  </si>
  <si>
    <t>UCMIRNVEIXFBKS-UHFFFAOYSA-N</t>
  </si>
  <si>
    <t>Q96LB2</t>
  </si>
  <si>
    <t>&lt;i&gt;MRGPRX1&lt;/i&gt;</t>
  </si>
  <si>
    <t>bovine adrenal medulla peptide 8-22</t>
  </si>
  <si>
    <t>P01210</t>
  </si>
  <si>
    <t>BAM (8-22)|BAM 8-22|BAM-15|BAM-22|BAM-22P (8-22)</t>
  </si>
  <si>
    <t>GOEYECACIBFJGZ-NPAGUKBMSA-N</t>
  </si>
  <si>
    <t>Q96LB1</t>
  </si>
  <si>
    <t>&lt;i&gt;MRGPRX2&lt;/i&gt;</t>
  </si>
  <si>
    <t>PAMP-20</t>
  </si>
  <si>
    <t>Human PAMP(1-20)|Proadrenomedullin N-terminal 20 peptide (human)</t>
  </si>
  <si>
    <t>Q01726</t>
  </si>
  <si>
    <t>MC&lt;sub&gt;1&lt;/sub&gt; receptor</t>
  </si>
  <si>
    <t>O43193</t>
  </si>
  <si>
    <t>motilin receptor</t>
  </si>
  <si>
    <t>motilin</t>
  </si>
  <si>
    <t>P01307|P12872</t>
  </si>
  <si>
    <t>LVRVABPNVHYXRT-BQWXUCBYSA-N</t>
  </si>
  <si>
    <t>MT&lt;sub&gt;1&lt;/sub&gt; receptor</t>
  </si>
  <si>
    <t>melatonin</t>
  </si>
  <si>
    <t>N-[2-(5-methoxy-1H-indol-3-yl)ethyl]acetamide</t>
  </si>
  <si>
    <t>Circadin&amp;reg;|MLT</t>
  </si>
  <si>
    <t>COc1ccc2c(c1)c(CCNC(=O)C)c[nH]2</t>
  </si>
  <si>
    <t>DRLFMBDRBRZALE-UHFFFAOYSA-N</t>
  </si>
  <si>
    <t>MT&lt;sub&gt;2&lt;/sub&gt; receptor</t>
  </si>
  <si>
    <t>P25103</t>
  </si>
  <si>
    <t>NK&lt;sub&gt;1&lt;/sub&gt; receptor</t>
  </si>
  <si>
    <t>neurokinin A</t>
  </si>
  <si>
    <t>P20366|P41539|P06767</t>
  </si>
  <si>
    <t>(3S)-3-[[(2S,3R)-2-[[(2S)-6-amino-2-[[(2S)-2-amino-3-(3H-imidazol-4-yl)propanoyl]amino]hexanoyl]amino]-3-hydroxybutanoyl]amino]-4-[[(2S)-1-[[(2S)-1-[[(2S)-1-[[2-[[(2S)-1-[[(2S)-1-amino-4-methylsulfanyl-1-oxobutan-2-yl]amino]-4-methyl-1-oxopentan-2-yl]amino]-2-oxoethyl]amino]-3-methyl-1-oxobutan-2-yl]amino]-1-oxo-3-phenylpropan-2-yl]amino]-3-hydroxy-1-oxopropan-2-yl]amino]-4-oxobutanoic acid</t>
  </si>
  <si>
    <t>NKA|substance K</t>
  </si>
  <si>
    <t>HEAUFJZALFKPBA-JPQUDPSNSA-N</t>
  </si>
  <si>
    <t>neurokinin B</t>
  </si>
  <si>
    <t>Q9UHF0|P67934|P55099|P08435</t>
  </si>
  <si>
    <t>(3S)-3-[[(2S)-2-[[(2S)-2-[[(2S)-2-amino-4-hydroxy-4-oxobutanoyl]amino]-4-methylsulfanylbutanoyl]amino]-3-(3H-imidazol-4-yl)propanoyl]amino]-4-[[(2S)-1-[[(2S)-1-[[(2S)-1-[[2-[[(2S)-1-[[(2S)-1-amino-4-methylsulfanyl-1-oxobutan-2-yl]amino]-4-methyl-1-oxopentan-2-yl]amino]-2-oxoethyl]amino]-3-methyl-1-oxobutan-2-yl]amino]-1-oxo-3-phenylpropan-2-yl]amino]-1-oxo-3-phenylpropan-2-yl]amino]-4-oxobutanoic acid</t>
  </si>
  <si>
    <t>neurokinin &amp;beta;|neuromedin K</t>
  </si>
  <si>
    <t>NHXYSAFTNPANFK-HDMCBQFHSA-N</t>
  </si>
  <si>
    <t>neuropeptide K</t>
  </si>
  <si>
    <t>P06767|P20366</t>
  </si>
  <si>
    <t>NP-K</t>
  </si>
  <si>
    <t>neuropeptide-&amp;gamma;</t>
  </si>
  <si>
    <t>substance P</t>
  </si>
  <si>
    <t>(2S)-2-[[(2S)-1-[(2S)-6-amino-2-[[(2S)-1-[(2S)-2-amino-5-(diaminomethylideneamino)pentanoyl]pyrrolidine-2-carbonyl]amino]hexanoyl]pyrrolidine-2-carbonyl]amino]-N-[(2S)-5-amino-1-[[(2S)-1-[[(2S)-1-[[2-[[(2S)-1-[[(2S)-1-amino-4-methylsulfanyl-1-oxobutan-2-yl]amino]-4-methyl-1-oxopentan-2-yl]amino]-2-oxoethyl]amino]-1-oxo-3-phenylpropan-2-yl]amino]-1-oxo-3-phenylpropan-2-yl]amino]-1,5-dioxopentan-2-yl]pentanediamide</t>
  </si>
  <si>
    <t>SP</t>
  </si>
  <si>
    <t>ADNPLDHMAVUMIW-CUZNLEPHSA-N</t>
  </si>
  <si>
    <t>P21452</t>
  </si>
  <si>
    <t>NK&lt;sub&gt;2&lt;/sub&gt; receptor</t>
  </si>
  <si>
    <t>neuropeptide &amp;gamma;</t>
  </si>
  <si>
    <t>P29371</t>
  </si>
  <si>
    <t>NK&lt;sub&gt;3&lt;/sub&gt; receptor</t>
  </si>
  <si>
    <t>P28336</t>
  </si>
  <si>
    <t>BB&lt;sub&gt;1&lt;/sub&gt; receptor</t>
  </si>
  <si>
    <t>Q9HB89</t>
  </si>
  <si>
    <t>NMU1 receptor</t>
  </si>
  <si>
    <t>neuromedin S-33</t>
  </si>
  <si>
    <t>Q5H8A3</t>
  </si>
  <si>
    <t>NMS|NMS-33|NmS-33</t>
  </si>
  <si>
    <t>neuromedin U-25</t>
  </si>
  <si>
    <t>P48645</t>
  </si>
  <si>
    <t>human neuromedin U-25|NMU-25|NmU-25</t>
  </si>
  <si>
    <t>Q9GZQ4</t>
  </si>
  <si>
    <t>NMU2 receptor</t>
  </si>
  <si>
    <t>P48145</t>
  </si>
  <si>
    <t>NPBW1 receptor</t>
  </si>
  <si>
    <t>neuropeptide W-23</t>
  </si>
  <si>
    <t>Q8N729</t>
  </si>
  <si>
    <t>NPW-23</t>
  </si>
  <si>
    <t>neuropeptide W-30</t>
  </si>
  <si>
    <t>NPW-30</t>
  </si>
  <si>
    <t>des-Br-neuropeptide B-23</t>
  </si>
  <si>
    <t>Q8NG41</t>
  </si>
  <si>
    <t>des-Br-NPB-23</t>
  </si>
  <si>
    <t>des-Br-neuropeptide B-29</t>
  </si>
  <si>
    <t>des-Br-NPB-29</t>
  </si>
  <si>
    <t>neuropeptide B-23</t>
  </si>
  <si>
    <t>NPB-23</t>
  </si>
  <si>
    <t>neuropeptide B-29</t>
  </si>
  <si>
    <t>NPB-29</t>
  </si>
  <si>
    <t>P48146</t>
  </si>
  <si>
    <t>NPBW2 receptor</t>
  </si>
  <si>
    <t>NPFF1 receptor</t>
  </si>
  <si>
    <t>neuropeptide FF</t>
  </si>
  <si>
    <t>Q9WVA9|Q9WVA8|O15130</t>
  </si>
  <si>
    <t>NPFF</t>
  </si>
  <si>
    <t>PrRP-31</t>
  </si>
  <si>
    <t>P81277</t>
  </si>
  <si>
    <t>human prolactin-releasing peptide-31|PrP31|PrRP31</t>
  </si>
  <si>
    <t>QRFP43</t>
  </si>
  <si>
    <t>P83859</t>
  </si>
  <si>
    <t>43RFa|pyroglutamylated arginine-phenylalanine-amide peptide|QRFP|QRFP-43</t>
  </si>
  <si>
    <t>neuropeptide AF</t>
  </si>
  <si>
    <t>O15130</t>
  </si>
  <si>
    <t>NPAF</t>
  </si>
  <si>
    <t>neuropeptide SF</t>
  </si>
  <si>
    <t>NPSF</t>
  </si>
  <si>
    <t>RFRP-3</t>
  </si>
  <si>
    <t>Q9HCQ7</t>
  </si>
  <si>
    <t>neuropeptide RFRP-3|NPVF</t>
  </si>
  <si>
    <t>RFRP-1</t>
  </si>
  <si>
    <t>neuropeptide RFRP-1</t>
  </si>
  <si>
    <t>NPFF2 receptor</t>
  </si>
  <si>
    <t>Q6W5P4</t>
  </si>
  <si>
    <t>NPS receptor</t>
  </si>
  <si>
    <t>neuropeptide S</t>
  </si>
  <si>
    <t>P0C0P6</t>
  </si>
  <si>
    <t>NPS</t>
  </si>
  <si>
    <t>Y&lt;sub&gt;1&lt;/sub&gt; receptor</t>
  </si>
  <si>
    <t>neuropeptide Y</t>
  </si>
  <si>
    <t>P01303|P57774|P07808</t>
  </si>
  <si>
    <t>NPY</t>
  </si>
  <si>
    <t>XKWCTHKJQNUFOQ-HRPSIEBRSA-N</t>
  </si>
  <si>
    <t>pancreatic polypeptide</t>
  </si>
  <si>
    <t>P01298</t>
  </si>
  <si>
    <t>PP</t>
  </si>
  <si>
    <t>peptide YY</t>
  </si>
  <si>
    <t>P10082</t>
  </si>
  <si>
    <t>peptide tyrosine tyrosine|PYY</t>
  </si>
  <si>
    <t>P49146</t>
  </si>
  <si>
    <t>Y&lt;sub&gt;2&lt;/sub&gt; receptor</t>
  </si>
  <si>
    <t>PYY-(3-36)</t>
  </si>
  <si>
    <t>human peptide tyrosine tyrosine (3-36)|human peptide YY (3-36)|PYY (3-36)|PYY&lt;sub&gt;3-36&lt;/sub&gt;</t>
  </si>
  <si>
    <t>neuropeptide Y-(3-36)</t>
  </si>
  <si>
    <t>NPY 3-36|NPY-(3-36)</t>
  </si>
  <si>
    <t>P50391</t>
  </si>
  <si>
    <t>Y&lt;sub&gt;4&lt;/sub&gt; receptor</t>
  </si>
  <si>
    <t>Y&lt;sub&gt;5&lt;/sub&gt; receptor</t>
  </si>
  <si>
    <t>P30989</t>
  </si>
  <si>
    <t>NTS&lt;sub&gt;1&lt;/sub&gt; receptor</t>
  </si>
  <si>
    <t>large neuromedin N</t>
  </si>
  <si>
    <t>P30990</t>
  </si>
  <si>
    <t>large NN|NmN-125</t>
  </si>
  <si>
    <t>large neurotensin</t>
  </si>
  <si>
    <t>large NT</t>
  </si>
  <si>
    <t>neurotensin</t>
  </si>
  <si>
    <t>P30990|P01156|P20068|Q9D3P9</t>
  </si>
  <si>
    <t>(2S)-2-[[(2S,3S)-2-[[(2S)-2-[[(2S)-1-[(2S)-2-[[(2S)-2-[[(2S)-1-[(2S)-6-amino-2-[[(2S)-4-amino-2-[[(2S)-4-carboxy-2-[[(2S)-3-(4-hydroxyphenyl)-2-[[(2S)-4-methyl-2-[[(2S)-5-oxopyrrolidine-2-carbonyl]amino]pentanoyl]amino]propanoyl]amino]butanoyl]amino]-4-oxobutanoyl]amino]hexanoyl]pyrrolidine-2-carbonyl]amino]-5-(diaminomethylideneamino)pentanoyl]amino]-5-(diaminomethylideneamino)pentanoyl]pyrrolidine-2-carbonyl]amino]-3-(4-hydroxyphenyl)propanoyl]amino]-3-methylpentanoyl]amino]-4-methylpentanoic acid</t>
  </si>
  <si>
    <t>NT</t>
  </si>
  <si>
    <t>PCJGZPGTCUMMOT-ISULXFBGSA-N</t>
  </si>
  <si>
    <t>neuromedin N</t>
  </si>
  <si>
    <t>O95665</t>
  </si>
  <si>
    <t>NTS&lt;sub&gt;2&lt;/sub&gt; receptor</t>
  </si>
  <si>
    <t>xenin</t>
  </si>
  <si>
    <t>P53621|Q8CIE6|Q5BJV4</t>
  </si>
  <si>
    <t>xenin-25</t>
  </si>
  <si>
    <t>IDHVLSACPFUBDY-QCDLPZBNSA-N</t>
  </si>
  <si>
    <t>&amp;delta; receptor</t>
  </si>
  <si>
    <t>&amp;alpha;-neoendorphin</t>
  </si>
  <si>
    <t>O35417|P06300|P01213</t>
  </si>
  <si>
    <t>[Leu]enkephalin</t>
  </si>
  <si>
    <t>P01210|P22005|P04094</t>
  </si>
  <si>
    <t>2-[[2-[[2-[[2-[[2-amino-3-(4-hydroxyphenyl)propanoyl]amino]acetyl]amino]acetyl]amino]-3-phenylpropanoyl]amino]-4-methylpentanoic acid</t>
  </si>
  <si>
    <t>[Leu]-enkephalin|leucine enkephalin</t>
  </si>
  <si>
    <t>URLZCHNOLZSCCA-UHFFFAOYSA-N</t>
  </si>
  <si>
    <t>[Met]enkephalin</t>
  </si>
  <si>
    <t>(2S)-2-[[(2S)-2-[[2-[[2-[[(2S)-2-amino-3-(4-hydroxyphenyl)propanoyl]amino]acetyl]amino]acetyl]amino]-3-phenylpropanoyl]amino]-4-methylsulfanylbutanoic acid</t>
  </si>
  <si>
    <t>metenkefalin</t>
  </si>
  <si>
    <t>1-5 Adrenorphin|[Met]-enkephalin|IRT-101|methionine enkephalin|np2 enkephalin|opioid growth factor (OGF)</t>
  </si>
  <si>
    <t>YFGBQHOOROIVKG-FKBYEOEOSA-N</t>
  </si>
  <si>
    <t>dynorphin A-(1-13)</t>
  </si>
  <si>
    <t>dynorphin 1-13|dynorphin A (1-13)</t>
  </si>
  <si>
    <t>dynorphin A</t>
  </si>
  <si>
    <t>dynA|dynorphin 1-17|dynorphin A (1-17)</t>
  </si>
  <si>
    <t>dynorphin A-(1-8)</t>
  </si>
  <si>
    <t>dynorphin A (1-8)</t>
  </si>
  <si>
    <t>dynorphin B</t>
  </si>
  <si>
    <t>(2S,3R)-2-[[(2S)-2-[[(2S)-2-[[(2S)-6-amino-2-[[(2S)-2-[[(2S)-5-amino-2-[[(2S)-2-[[(2S)-2-[[(2S)-2-[[(2S)-2-[[2-[[2-[[(2S)-2-amino-3-(4-hydroxyphenyl)propanoyl]amino]acetyl]amino]acetyl]amino]-3-phenylpropanoyl]amino]-4-methylpentanoyl]amino]-5-(diaminomethylideneamino)pentanoyl]amino]-5-(diaminomethylideneamino)pentanoyl]amino]-5-oxopentanoyl]amino]-3-phenylpropanoyl]amino]hexanoyl]amino]-3-methylbutanoyl]amino]-3-methylbutanoyl]amino]-3-hydroxybutanoic acid</t>
  </si>
  <si>
    <t>rimorphin</t>
  </si>
  <si>
    <t>AGTSSZRZBSNTGQ-ITZCFHCWSA-N</t>
  </si>
  <si>
    <t>endomorphin-1</t>
  </si>
  <si>
    <t>(2S)-1-[(2S)-2-amino-3-(4-hydroxyphenyl)propanoyl]-N-[(2S)-1-[[(2S)-1-amino-1-oxo-3-phenylpropan-2-yl]amino]-3-(1H-indol-3-yl)-1-oxopropan-2-yl]pyrrolidine-2-carboxamide</t>
  </si>
  <si>
    <t>ZEXLJFNSKAHNFH-SYKYGTKKSA-N</t>
  </si>
  <si>
    <t>&amp;beta;-endorphin</t>
  </si>
  <si>
    <t>&amp;beta;-end</t>
  </si>
  <si>
    <t>&amp;kappa; receptor</t>
  </si>
  <si>
    <t>&amp;beta;-neoendorphin</t>
  </si>
  <si>
    <t>big dynorphin</t>
  </si>
  <si>
    <t>big dyn</t>
  </si>
  <si>
    <t>&amp;mu; receptor</t>
  </si>
  <si>
    <t>endomorphin-2</t>
  </si>
  <si>
    <t>(2S)-1-[(2S)-2-amino-3-(4-hydroxyphenyl)propanoyl]-N-[(2S)-1-[[(2S)-1-amino-1-oxo-3-phenylpropan-2-yl]amino]-1-oxo-3-phenylpropan-2-yl]pyrrolidine-2-carboxamide</t>
  </si>
  <si>
    <t>XIJHWXXXIMEHKW-LJWNLINESA-N</t>
  </si>
  <si>
    <t>NOP receptor</t>
  </si>
  <si>
    <t>nociceptin/orphanin FQ</t>
  </si>
  <si>
    <t>Q13519|Q64387|Q62923</t>
  </si>
  <si>
    <t>N/OFQ</t>
  </si>
  <si>
    <t>PULGYDLMFSFVBL-SMFNREODSA-N</t>
  </si>
  <si>
    <t>O43613</t>
  </si>
  <si>
    <t>OX&lt;sub&gt;1&lt;/sub&gt; receptor</t>
  </si>
  <si>
    <t>orexin-A</t>
  </si>
  <si>
    <t>O43612|O55232|O55241</t>
  </si>
  <si>
    <t>hypocretin-1</t>
  </si>
  <si>
    <t>orexin-B</t>
  </si>
  <si>
    <t>O43612</t>
  </si>
  <si>
    <t>hypocretin-2|orexin b</t>
  </si>
  <si>
    <t>OHOWSYIKESXDMN-WMQZXSDYSA-N</t>
  </si>
  <si>
    <t>OX&lt;sub&gt;2&lt;/sub&gt; receptor</t>
  </si>
  <si>
    <t>Q8TDS5</t>
  </si>
  <si>
    <t>OXE receptor</t>
  </si>
  <si>
    <t>5S-HPETE</t>
  </si>
  <si>
    <t>(5S,6E,8Z,11Z,14Z)-5-hydroperoxyicosa-6,8,11,14-tetraenoic acid</t>
  </si>
  <si>
    <t>5-(S)-hydroperoxyeicosatetraenoic acid|5S-HpETE</t>
  </si>
  <si>
    <t>CCCCC/C=CC/C=CC/C=CC=C[C@H](CCCC(=O)O)OO</t>
  </si>
  <si>
    <t>JNUUNUQHXIOFDA-JGKLHWIESA-N</t>
  </si>
  <si>
    <t>5S-HETE</t>
  </si>
  <si>
    <t>(5S,6E,8Z,11Z,14Z)-5-hydroxyicosa-6,8,11,14-tetraenoic acid</t>
  </si>
  <si>
    <t>5-(S)-hydroxyeicosatetraenoic acid</t>
  </si>
  <si>
    <t>CCCCC/C=CC/C=CC/C=CC=C[C@H](CCCC(=O)O)O</t>
  </si>
  <si>
    <t>KGIJOOYOSFUGPC-JGKLHWIESA-N</t>
  </si>
  <si>
    <t>5-oxo-ETE</t>
  </si>
  <si>
    <t>(6E,8Z,11Z,14Z)-5-oxoicosa-6,8,11,14-tetraenoic acid</t>
  </si>
  <si>
    <t>CCCCC/C=CC/C=CC/C=CC=CC(=O)CCCC(=O)O</t>
  </si>
  <si>
    <t>MEASLHGILYBXFO-XTDASVJISA-N</t>
  </si>
  <si>
    <t>5-oxo-C20:3</t>
  </si>
  <si>
    <t>(6Z,8Z,11Z)-5-oxoicosa-6,8,11-trienoic acid</t>
  </si>
  <si>
    <t>5-oxo-6e,8z,11z-eicosatrienoic acid|5-oxo-ETrE</t>
  </si>
  <si>
    <t>CCCCCCCC/C=CC/C=CC=C/C(=O)CCCC(=O)O</t>
  </si>
  <si>
    <t>ULMVEQWNDGUUBR-IEQFDQMRSA-N</t>
  </si>
  <si>
    <t>5-oxo-ODE</t>
  </si>
  <si>
    <t>(6E,8Z)-5-oxooctadeca-6,8-dienoic acid</t>
  </si>
  <si>
    <t>5-oxo-(6E,8Z)-octadecadienoic acid</t>
  </si>
  <si>
    <t>CCCCCCCCC/C=CC=CC(=O)CCCC(=O)O</t>
  </si>
  <si>
    <t>YVWMHFYOIJMUMN-HSINTONASA-N</t>
  </si>
  <si>
    <t>5-oxo-15-HETE</t>
  </si>
  <si>
    <t>(6E,8Z,11Z,13E,15S)-15-hydroxy-5-oxoicosa-6,8,11,13-tetraenoic acid</t>
  </si>
  <si>
    <t>5-oxo-15-hydroxy-(6E,8Z,11Z,13E)-eicosatetraenoic acid</t>
  </si>
  <si>
    <t>CCCCC[C@@H](/C=C/C=CC/C=CC=CC(=O)CCCC(=O)O)O</t>
  </si>
  <si>
    <t>RIUDRKHGFDAKPO-WWWYWCMOSA-N</t>
  </si>
  <si>
    <t>5-oxo-20-HETE</t>
  </si>
  <si>
    <t>(6E,8Z,11Z,14Z)-20-hydroxy-5-oxoicosa-6,8,11,14-tetraenoic acid</t>
  </si>
  <si>
    <t>5-oxo-20-hydroxy-6E, 8Z,11Z, 14Z-eicosatetraenoic acid</t>
  </si>
  <si>
    <t>OCCCCC/C=CC/C=CC/C=CC=CC(=O)CCCC(=O)O</t>
  </si>
  <si>
    <t>DTSRZRUIWKDHMR-DHYYJNSCSA-N</t>
  </si>
  <si>
    <t>5-oxo-12-HETE</t>
  </si>
  <si>
    <t>(6E,8Z,10E,12S,14Z)-12-hydroxy-5-oxoicosa-6,8,10,14-tetraenoic acid</t>
  </si>
  <si>
    <t>5-oxo-12S-hydroxy-6E,8Z,10E,14Z-eicosatetraenoic acid</t>
  </si>
  <si>
    <t>CCCCC/C=CC[C@@H](/C=C/C=CC=CC(=O)CCCC(=O)O)O</t>
  </si>
  <si>
    <t>MLZJFLKEKVDNAZ-XPKTZJOPSA-N</t>
  </si>
  <si>
    <t>Q96P68</t>
  </si>
  <si>
    <t>oxoglutarate receptor</t>
  </si>
  <si>
    <t>&amp;alpha;-ketoglutaric acid</t>
  </si>
  <si>
    <t>2-Oxopentanedioic acid</t>
  </si>
  <si>
    <t>&amp;alpha;-ketoglutarate|2-ketoglutarate|2-ketoglutaric acid|2-oxoglutarate|oxoglutarate</t>
  </si>
  <si>
    <t>OC(=O)CCC(=O)C(=O)O</t>
  </si>
  <si>
    <t>KPGXRSRHYNQIFN-UHFFFAOYSA-N</t>
  </si>
  <si>
    <t>OT receptor</t>
  </si>
  <si>
    <t>vasopressin</t>
  </si>
  <si>
    <t>P01186|P01185|P35455</t>
  </si>
  <si>
    <t>(2S)-1-[(4R,7S,10S,13S,16S,19R)-19-amino-7-(2-amino-2-oxoethyl)-10-(3-amino-3-oxopropyl)-16-[(4-hydroxyphenyl)methyl]-6,9,12,15,18-pentaoxo-13-(phenylmethyl)1,2-dithia-5,8,11,14,17-pentazacycloicosane-4-carbonyl]-N-[(2S)-1-[(2-amino-2-oxoethyl)amino]-5-(diaminomethylideneamino)-1-oxopentan-2-yl]pyrrolidine-2-carboxamide</t>
  </si>
  <si>
    <t>vasopressin injection</t>
  </si>
  <si>
    <t>ADH|antidiuretic hormone|arginine vasopressin|argipressin|AVP</t>
  </si>
  <si>
    <t>KBZOIRJILGZLEJ-LGYYRGKSSA-N</t>
  </si>
  <si>
    <t>oxytocin</t>
  </si>
  <si>
    <t>P35454|P01179|P01178</t>
  </si>
  <si>
    <t>(2S)-1-[(4R,7S,10S,13S,16S,19R)-19-amino-7-(2-amino-2-oxoethyl)-10-(3-amino-3-oxopropyl)-13-[(2S)-butan-2-yl]-16-[(4-hydroxyphenyl)methyl]-6,9,12,15,18-pentaoxo1,2-dithia-5,8,11,14,17-pentazacycloicosane-4-carbonyl]-N-[(2S)-1-[(2-amino-2-oxoethyl)amino]-4-methyl-1-oxopentan-2-yl]pyrrolidine-2-carboxamide</t>
  </si>
  <si>
    <t>OT|Otx|Pitocin&amp;reg;|Syntocinon&amp;reg;</t>
  </si>
  <si>
    <t>XNOPRXBHLZRZKH-DSZYJQQASA-N</t>
  </si>
  <si>
    <t>P47900</t>
  </si>
  <si>
    <t>P2Y&lt;sub&gt;1&lt;/sub&gt; receptor</t>
  </si>
  <si>
    <t>ADP</t>
  </si>
  <si>
    <t>[(2R,3S,4R,5R)-5-(6-aminopurin-9-yl)-3,4-dihydroxyoxolan-2-yl]methyl phosphono hydrogen phosphate</t>
  </si>
  <si>
    <t>adenosine diphosphate</t>
  </si>
  <si>
    <t>O[C@@H]1[C@@H](COP(=O)(OP(=O)(O)O)O)O[C@H]([C@@H]1O)n1cnc2c1ncnc2N</t>
  </si>
  <si>
    <t>XTWYTFMLZFPYCI-KQYNXXCUSA-N</t>
  </si>
  <si>
    <t>P2Y&lt;sub&gt;2&lt;/sub&gt; receptor</t>
  </si>
  <si>
    <t>uridine triphosphate</t>
  </si>
  <si>
    <t>[(2R,3S,4R,5R)-5-(2,4-dioxopyrimidin-1-yl)-3,4-dihydroxyoxolan-2-yl]methyl (hydroxy-phosphonooxyphosphoryl) hydrogen phosphate</t>
  </si>
  <si>
    <t>5'-UTP|uridine 5'-triphosphate|UTP</t>
  </si>
  <si>
    <t>O[C@@H]1[C@@H](COP(=O)(OP(=O)(OP(=O)(O)O)O)O)O[C@H]([C@@H]1O)n1ccc(=O)[nH]c1=O</t>
  </si>
  <si>
    <t>PGAVKCOVUIYSFO-XVFCMESISA-N</t>
  </si>
  <si>
    <t>P51582</t>
  </si>
  <si>
    <t>P2Y&lt;sub&gt;4&lt;/sub&gt; receptor</t>
  </si>
  <si>
    <t>Q15077</t>
  </si>
  <si>
    <t>P2Y&lt;sub&gt;6&lt;/sub&gt; receptor</t>
  </si>
  <si>
    <t>O00398</t>
  </si>
  <si>
    <t>&lt;i&gt;P2RY10&lt;/i&gt;</t>
  </si>
  <si>
    <t>Q96G91</t>
  </si>
  <si>
    <t>P2Y&lt;sub&gt;11&lt;/sub&gt; receptor</t>
  </si>
  <si>
    <t>Q9H244</t>
  </si>
  <si>
    <t>P2Y&lt;sub&gt;12&lt;/sub&gt; receptor</t>
  </si>
  <si>
    <t>Q9BPV8</t>
  </si>
  <si>
    <t>P2Y&lt;sub&gt;13&lt;/sub&gt; receptor</t>
  </si>
  <si>
    <t>Q15391</t>
  </si>
  <si>
    <t>P2Y&lt;sub&gt;14&lt;/sub&gt; receptor</t>
  </si>
  <si>
    <t>UDP N-acetyl-glucosamine</t>
  </si>
  <si>
    <t>[(2R,3R,4R,5S,6R)-3-acetamido-4,5-dihydroxy-6-(hydroxymethyl)oxan-2-yl] [[(2R,3S,4R,5R)-5-(2,4-dioxopyrimidin-1-yl)-3,4-dihydroxyoxolan-2-yl]methoxy-hydroxyphosphoryl] hydrogen phosphate</t>
  </si>
  <si>
    <t>UDP-acetylglucosamine|UPPAG|uridine diphosphate N-acetylglucosamine</t>
  </si>
  <si>
    <t>OC[C@H]1O[C@H](OP(=O)(OP(=O)(OC[C@H]2O[C@H]([C@@H]([C@@H]2O)O)n2ccc(=O)[nH]c2=O)O)O)[C@@H]([C@H]([C@@H]1O)O)NC(=O)C</t>
  </si>
  <si>
    <t>LFTYTUAZOPRMMI-CFRASDGPSA-N</t>
  </si>
  <si>
    <t>UDP-glucuronic acid</t>
  </si>
  <si>
    <t>(2S,3S,4S,5R,6R)-6-[[[(2R,3S,4R,5R)-5-(2,4-dioxopyrimidin-1-yl)-3,4-dihydroxyoxolan-2-yl]methoxy-hydroxyphosphoryl]oxy-hydroxyphosphoryl]oxy-3,4,5-trihydroxyoxane-2-carboxylic acid</t>
  </si>
  <si>
    <t>UDP glucuronic acid|UDP-glucuronate|UDPGA|uridine diphosphate glucuronic acid</t>
  </si>
  <si>
    <t>O[C@@H]1[C@@H](COP(=O)(OP(=O)(O[C@H]2O[C@H](C(=O)O)[C@H]([C@@H]([C@H]2O)O)O)O)O)O[C@H]([C@@H]1O)n1ccc(=O)[nH]c1=O</t>
  </si>
  <si>
    <t>HDYANYHVCAPMJV-LXQIFKJMSA-N</t>
  </si>
  <si>
    <t>P41586</t>
  </si>
  <si>
    <t>PAC&lt;sub&gt;1&lt;/sub&gt; receptor</t>
  </si>
  <si>
    <t>VIP</t>
  </si>
  <si>
    <t>P32648|P01282|P01283</t>
  </si>
  <si>
    <t>VBUWHHLIZKOSMS-UHFFFAOYSA-N</t>
  </si>
  <si>
    <t>PACAP-27</t>
  </si>
  <si>
    <t>P16613|P13589|O70176|P18509</t>
  </si>
  <si>
    <t>pituitary adenylate cyclase activating polypeptide-27</t>
  </si>
  <si>
    <t>RZGBUJXSKLDAFE-UHFFFAOYSA-N</t>
  </si>
  <si>
    <t>PACAP-38</t>
  </si>
  <si>
    <t>O70176|P13589|P18509</t>
  </si>
  <si>
    <t>pituitary adenylate cyclase activating polypeptide-38</t>
  </si>
  <si>
    <t>PHM</t>
  </si>
  <si>
    <t>P01282</t>
  </si>
  <si>
    <t>peptide histidine-methionine</t>
  </si>
  <si>
    <t>PHV</t>
  </si>
  <si>
    <t>intestinal peptide PHV-42|peptide histidine valine</t>
  </si>
  <si>
    <t>thrombin</t>
  </si>
  <si>
    <t>P00734</t>
  </si>
  <si>
    <t>O00254</t>
  </si>
  <si>
    <t>Q96RI0</t>
  </si>
  <si>
    <t>Q13258</t>
  </si>
  <si>
    <t>DP&lt;sub&gt;1&lt;/sub&gt; receptor</t>
  </si>
  <si>
    <t>PGD&lt;sub&gt;2&lt;/sub&gt;</t>
  </si>
  <si>
    <t>(Z)-7-[(1R,2R,5S)-5-hydroxy-2-[(E,3S)-3-hydroxyoct-1-enyl]-3-oxocyclopentyl]hept-5-enoic acid</t>
  </si>
  <si>
    <t>11-dehydroprostaglandin F2-&amp;alpha;|BRN 2170623|prostaglandin D2</t>
  </si>
  <si>
    <t>CCCCC[C@@H](/C=C/[C@H]1C(=O)C[C@@H]([C@@H]1C/C=CCCCC(=O)O)O)O</t>
  </si>
  <si>
    <t>BHMBVRSPMRCCGG-OUTUXVNYSA-N</t>
  </si>
  <si>
    <t>PGE&lt;sub&gt;1&lt;/sub&gt;</t>
  </si>
  <si>
    <t>Natural product</t>
  </si>
  <si>
    <t>7-[(1R,2R,3R)-3-hydroxy-2-[(E,3S)-3-hydroxyoct-1-enyl]-5-oxocyclopentyl]heptanoic acid</t>
  </si>
  <si>
    <t>alprostadil</t>
  </si>
  <si>
    <t>Alprostadil&amp;reg;|MR-256|prostaglandin E&lt;sub&gt;1&lt;/sub&gt;</t>
  </si>
  <si>
    <t>CCCCC[C@@H](/C=C/[C@H]1[C@H](O)CC(=O)[C@@H]1CCCCCCC(=O)O)O</t>
  </si>
  <si>
    <t>GMVPRGQOIOIIMI-DWKJAMRDSA-N</t>
  </si>
  <si>
    <t>PGE&lt;sub&gt;2&lt;/sub&gt;</t>
  </si>
  <si>
    <t>(Z)-7-[(1R,2R,3R)-3-hydroxy-2-[(E,3S)-3-hydroxyoct-1-enyl]-5-oxocyclopentyl]hept-5-enoic acid</t>
  </si>
  <si>
    <t>dinoprostone</t>
  </si>
  <si>
    <t>Cervidil&amp;reg;|minprositin E2|minprostin E2|Propess&amp;reg;|prostaglandin E2</t>
  </si>
  <si>
    <t>CCCCC[C@@H](/C=C/[C@H]1[C@H](O)CC(=O)[C@@H]1C/C=CCCCC(=O)O)O</t>
  </si>
  <si>
    <t>XEYBRNLFEZDVAW-ARSRFYASSA-N</t>
  </si>
  <si>
    <t>PGF&lt;sub&gt;2&amp;alpha;&lt;/sub&gt;</t>
  </si>
  <si>
    <t>(Z)-7-[(1R,2R,3R,5S)-3,5-dihydroxy-2-[(E,3S)-3-hydroxyoct-1-enyl]cyclopentyl]hept-5-enoic acid</t>
  </si>
  <si>
    <t>dinoprost</t>
  </si>
  <si>
    <t>prostaglandin F&lt;sub&gt;2&amp;alpha;&lt;/sub&gt;</t>
  </si>
  <si>
    <t>CCCCC[C@@H](/C=C/[C@H]1[C@H](O)C[C@@H]([C@@H]1C/C=CCCCC(=O)O)O)O</t>
  </si>
  <si>
    <t>PXGPLTODNUVGFL-YNNPMVKQSA-N</t>
  </si>
  <si>
    <t>PGJ&lt;sub&gt;2&lt;/sub&gt;</t>
  </si>
  <si>
    <t>(Z)-7-[(1S,5R)-5-[(E,3S)-3-hydroxyoct-1-enyl]-4-oxo-1-cyclopent-2-enyl]hept-5-enoic acid</t>
  </si>
  <si>
    <t>9-deoxy-delta-9-prostaglandin D2|prostaglandin J2</t>
  </si>
  <si>
    <t>CCCCC[C@@H](/C=C/[C@@H]1[C@@H](C/C=CCCCC(=O)O)C=CC1=O)O</t>
  </si>
  <si>
    <t>UQOQENZZLBSFKO-POPPZSFYSA-N</t>
  </si>
  <si>
    <t>PGI&lt;sub&gt;2&lt;/sub&gt;</t>
  </si>
  <si>
    <t>(5Z)-5-[(3aR,4R,5R,6aS)-5-hydroxy-4-[(E,3S)-3-hydroxyoct-1-enyl]-3,3a,4,5,6,6a-hexahydrocyclopenta[d]furan-2-ylidene]pentanoic acid</t>
  </si>
  <si>
    <t>epoprostenol</t>
  </si>
  <si>
    <t>prostacyclin|prostacyclin I2|prostaglandin I2|vasocyclin</t>
  </si>
  <si>
    <t>CCCCC[C@@H](/C=C/[C@H]1[C@H](O)C[C@H]2[C@@H]1C/C(=C/CCCC(=O)O)/O2)O</t>
  </si>
  <si>
    <t>KAQKFAOMNZTLHT-OZUDYXHBSA-N</t>
  </si>
  <si>
    <t>Q9Y5Y4</t>
  </si>
  <si>
    <t>DP&lt;sub&gt;2&lt;/sub&gt; receptor</t>
  </si>
  <si>
    <t>PGD&lt;sub&gt;3&lt;/sub&gt;</t>
  </si>
  <si>
    <t>7-[(1R,2R,5S)-5-hydroxy-2-[(3S)-3-hydroxyocta-1,5-dien-1-yl]-3-oxocyclopentyl]hept-5-enoic acid</t>
  </si>
  <si>
    <t>CCC=CC[C@@H](C=C[C@H]1C(=O)C[C@@H]([C@@H]1CC=CCCCC(=O)O)O)O</t>
  </si>
  <si>
    <t>ANOICLBSJIMQTA-MLHJIOFPSA-N</t>
  </si>
  <si>
    <t>EP&lt;sub&gt;1&lt;/sub&gt; receptor</t>
  </si>
  <si>
    <t>EP&lt;sub&gt;2&lt;/sub&gt; receptor</t>
  </si>
  <si>
    <t>EP&lt;sub&gt;3&lt;/sub&gt; receptor</t>
  </si>
  <si>
    <t>EP&lt;sub&gt;4&lt;/sub&gt; receptor</t>
  </si>
  <si>
    <t>FP receptor</t>
  </si>
  <si>
    <t>P43119</t>
  </si>
  <si>
    <t>IP receptor</t>
  </si>
  <si>
    <t>Q8TCW9</t>
  </si>
  <si>
    <t>PKR&lt;sub&gt;1&lt;/sub&gt;</t>
  </si>
  <si>
    <t>prokineticin-1</t>
  </si>
  <si>
    <t>Q9HC23</t>
  </si>
  <si>
    <t>EG-VEGF|endocrine gland-derived vascular endothelial growth factor</t>
  </si>
  <si>
    <t>prokineticin-2</t>
  </si>
  <si>
    <t>prokineticin-2&amp;beta;</t>
  </si>
  <si>
    <t>PK2&amp;beta;</t>
  </si>
  <si>
    <t>Q8NFJ6</t>
  </si>
  <si>
    <t>PKR&lt;sub&gt;2&lt;/sub&gt;</t>
  </si>
  <si>
    <t>P49683</t>
  </si>
  <si>
    <t>PrRP receptor</t>
  </si>
  <si>
    <t>PrRP-20</t>
  </si>
  <si>
    <t>human prolactin-releasing peptide-20|PrRP20</t>
  </si>
  <si>
    <t>PTHrP</t>
  </si>
  <si>
    <t>P12272</t>
  </si>
  <si>
    <t>parathyroid hormone-like hormone|parathyroid hormone-related peptide</t>
  </si>
  <si>
    <t>P25105</t>
  </si>
  <si>
    <t>PAF receptor</t>
  </si>
  <si>
    <t>PAF</t>
  </si>
  <si>
    <t>[(2R)-2-acetyloxy-3-hexadecoxypropyl] 2-trimethylazaniumylethyl phosphate</t>
  </si>
  <si>
    <t>PAF (C16)|PAF C-16|platelet activating factor</t>
  </si>
  <si>
    <t>CCCCCCCCCCCCCCCCOC[C@@H](OC(=O)C)COP(=O)(OCC[N+](C)(C)C)[O-]</t>
  </si>
  <si>
    <t>HVAUUPRFYPCOCA-AREMUKBSSA-N</t>
  </si>
  <si>
    <t>methylcarbamyl PAF</t>
  </si>
  <si>
    <t>[(2R)-3-hexadecoxy-2-(methylcarbamoyloxy)propyl] 2-trimethylazaniumylethyl phosphate</t>
  </si>
  <si>
    <t>mc-PAF|methyl-carbamyl platelet-activating factor</t>
  </si>
  <si>
    <t>CCCCCCCCCCCCCCCCOC[C@@H](OC(=O)NC)COP(=O)(OCC[N+](C)(C)C)[O-]</t>
  </si>
  <si>
    <t>FNFHZBKBDFRYHS-RUZDIDTESA-N</t>
  </si>
  <si>
    <t>PTH1 receptor</t>
  </si>
  <si>
    <t>PTH</t>
  </si>
  <si>
    <t>P01270</t>
  </si>
  <si>
    <t>parathyroid hormone</t>
  </si>
  <si>
    <t>Natpar&amp;reg;|Natpara&amp;reg;|rhPTH[1-84]</t>
  </si>
  <si>
    <t>PTHrP-(1-36)</t>
  </si>
  <si>
    <t>human parathyroid hormone related peptide|PTHrP (1-36)|PTHrP-1-36</t>
  </si>
  <si>
    <t>TIP39</t>
  </si>
  <si>
    <t>Q96A98|P0C171</t>
  </si>
  <si>
    <t>human/bovine tuberoinfundibular peptide</t>
  </si>
  <si>
    <t>P49190</t>
  </si>
  <si>
    <t>PTH2 receptor</t>
  </si>
  <si>
    <t>PTHrP-(1-34) (human)</t>
  </si>
  <si>
    <t>parathyroid hormone-related peptide</t>
  </si>
  <si>
    <t>Q96P65</t>
  </si>
  <si>
    <t>QRFP receptor</t>
  </si>
  <si>
    <t>QRFP26</t>
  </si>
  <si>
    <t>26RFa|P518</t>
  </si>
  <si>
    <t>Q9NSD7</t>
  </si>
  <si>
    <t>RXFP3</t>
  </si>
  <si>
    <t>relaxin</t>
  </si>
  <si>
    <t>H2 relaxin</t>
  </si>
  <si>
    <t>relaxin-3</t>
  </si>
  <si>
    <t>H3 relaxin</t>
  </si>
  <si>
    <t>relaxin-3 (B chain)</t>
  </si>
  <si>
    <t>Q8WXF3</t>
  </si>
  <si>
    <t>H3 relaxin (B chain)|insulin-like peptide INSL7</t>
  </si>
  <si>
    <t>INSL5</t>
  </si>
  <si>
    <t>Q9Y5Q6</t>
  </si>
  <si>
    <t>insulin-like peptide 5</t>
  </si>
  <si>
    <t>Q8TDU9</t>
  </si>
  <si>
    <t>RXFP4</t>
  </si>
  <si>
    <t>Q9HBX9</t>
  </si>
  <si>
    <t>relaxin-1</t>
  </si>
  <si>
    <t>H1 relaxin</t>
  </si>
  <si>
    <t>Q8WXD0</t>
  </si>
  <si>
    <t>INSL3</t>
  </si>
  <si>
    <t>P51460</t>
  </si>
  <si>
    <t>insulin-like peptide 3</t>
  </si>
  <si>
    <t>S1P&lt;sub&gt;1&lt;/sub&gt; receptor</t>
  </si>
  <si>
    <t>sphingosylphosphorylcholine</t>
  </si>
  <si>
    <t>[(E,2S,3R)-2-amino-3-hydroxyoctadec-4-enyl] 2-trimethylazaniumylethyl phosphate</t>
  </si>
  <si>
    <t>SPC|sphingosyl phosphorylcholine</t>
  </si>
  <si>
    <t>CCCCCCCCCCCCC/C=C/[C@H]([C@H](COP(=O)(OCC[N+](C)(C)C)[O-])N)O</t>
  </si>
  <si>
    <t>JLVSPVFPBBFMBE-HXSWCURESA-N</t>
  </si>
  <si>
    <t>O95136</t>
  </si>
  <si>
    <t>S1P&lt;sub&gt;2&lt;/sub&gt; receptor</t>
  </si>
  <si>
    <t>Q99500</t>
  </si>
  <si>
    <t>S1P&lt;sub&gt;3&lt;/sub&gt; receptor</t>
  </si>
  <si>
    <t>O95977</t>
  </si>
  <si>
    <t>S1P&lt;sub&gt;4&lt;/sub&gt; receptor</t>
  </si>
  <si>
    <t>Q9H228</t>
  </si>
  <si>
    <t>S1P&lt;sub&gt;5&lt;/sub&gt; receptor</t>
  </si>
  <si>
    <t>P47872</t>
  </si>
  <si>
    <t>secretin receptor</t>
  </si>
  <si>
    <t>secretin</t>
  </si>
  <si>
    <t>P09683</t>
  </si>
  <si>
    <t>secretin human</t>
  </si>
  <si>
    <t>ChiRhoStim&amp;reg;|secretin synthetic human</t>
  </si>
  <si>
    <t>P30872</t>
  </si>
  <si>
    <t>SST1 receptor</t>
  </si>
  <si>
    <t>CST-17</t>
  </si>
  <si>
    <t>O00230</t>
  </si>
  <si>
    <t>cortistatin-17</t>
  </si>
  <si>
    <t>SRIF-14</t>
  </si>
  <si>
    <t>P61278|P60041|P60042</t>
  </si>
  <si>
    <t>somatostatin-14|SS14|SST-14</t>
  </si>
  <si>
    <t>VVEJUSYNERNRME-XGFVQVCISA-N</t>
  </si>
  <si>
    <t>SRIF-28</t>
  </si>
  <si>
    <t>P61278|P60042|P60041</t>
  </si>
  <si>
    <t>somatostatin 1-28|SST-28</t>
  </si>
  <si>
    <t>GGYTXJNZMFRSLX-DFTNLTQTSA-N</t>
  </si>
  <si>
    <t>SST2 receptor</t>
  </si>
  <si>
    <t>P32745</t>
  </si>
  <si>
    <t>SST3 receptor</t>
  </si>
  <si>
    <t>P31391</t>
  </si>
  <si>
    <t>SST4 receptor</t>
  </si>
  <si>
    <t>P35346</t>
  </si>
  <si>
    <t>SST5 receptor</t>
  </si>
  <si>
    <t>Q9BXA5</t>
  </si>
  <si>
    <t>succinate receptor</t>
  </si>
  <si>
    <t>succinic acid</t>
  </si>
  <si>
    <t>butanedioic acid</t>
  </si>
  <si>
    <t>succinate</t>
  </si>
  <si>
    <t>OC(=O)CCC(=O)O</t>
  </si>
  <si>
    <t>KDYFGRWQOYBRFD-UHFFFAOYSA-N</t>
  </si>
  <si>
    <t>maleic acid</t>
  </si>
  <si>
    <t>(2Z)-But-2-enedioic acid</t>
  </si>
  <si>
    <t>VZCYOOQTPOCHFL-UPHRSURJSA-N</t>
  </si>
  <si>
    <t>P21731</t>
  </si>
  <si>
    <t>TP receptor</t>
  </si>
  <si>
    <t>thromboxane A&lt;sub&gt;2&lt;/sub&gt;</t>
  </si>
  <si>
    <t>(Z)-7-[(1S,2S,3R,5S)-3-[(E,3S)-3-hydroxyoct-1-enyl]-4,7-dioxabicyclo[3.1.1]heptan-2-yl]hept-5-enoic acid</t>
  </si>
  <si>
    <t>TXA&lt;sub&gt;2&lt;/sub&gt;</t>
  </si>
  <si>
    <t>CCCCC[C@@H](/C=C/[C@H]1O[C@H]2C[C@@H]([C@@H]1C/C=CCCCC(=O)O)O2)O</t>
  </si>
  <si>
    <t>DSNBHJFQCNUKMA-SCKDECHMSA-N</t>
  </si>
  <si>
    <t>Q96RJ0</t>
  </si>
  <si>
    <t>TA&lt;sub&gt;1&lt;/sub&gt; receptor</t>
  </si>
  <si>
    <t>&amp;beta;-phenylethylamine</t>
  </si>
  <si>
    <t>2-phenylethanamine</t>
  </si>
  <si>
    <t>&amp;beta;-PEA|2-phenylethylamine|PEA|phenethylamine</t>
  </si>
  <si>
    <t>NCCc1ccccc1</t>
  </si>
  <si>
    <t>BHHGXPLMPWCGHP-UHFFFAOYSA-N</t>
  </si>
  <si>
    <t>3-iodothyronamine</t>
  </si>
  <si>
    <t>4-[4-(2-aminoethyl)phenoxy]-2-iodophenol</t>
  </si>
  <si>
    <t>T&lt;sub&gt;1&lt;/sub&gt;AM</t>
  </si>
  <si>
    <t>NCCc1ccc(cc1)Oc1ccc(c(c1)I)O</t>
  </si>
  <si>
    <t>HCYGDNGLWSZCCA-UHFFFAOYSA-N</t>
  </si>
  <si>
    <t>octopamine</t>
  </si>
  <si>
    <t>4-(2-amino-1-hydroxyethyl)phenol</t>
  </si>
  <si>
    <t>NCC(c1ccc(cc1)O)O</t>
  </si>
  <si>
    <t>QHGUCRYDKWKLMG-UHFFFAOYSA-N</t>
  </si>
  <si>
    <t>tyramine</t>
  </si>
  <si>
    <t>4-(2-Aminoethyl)phenol</t>
  </si>
  <si>
    <t>p-tyramine</t>
  </si>
  <si>
    <t>NCCc1ccc(cc1)O</t>
  </si>
  <si>
    <t>DZGWFCGJZKJUFP-UHFFFAOYSA-N</t>
  </si>
  <si>
    <t>Q9P1P4</t>
  </si>
  <si>
    <t>&lt;i&gt;TAAR3&lt;/i&gt;</t>
  </si>
  <si>
    <t>isoamylamine</t>
  </si>
  <si>
    <t>3-METHYLBUTAN-1-AMINE</t>
  </si>
  <si>
    <t>NCCC(C)C</t>
  </si>
  <si>
    <t>BMFVGAAISNGQNM-UHFFFAOYSA-N</t>
  </si>
  <si>
    <t>P34981</t>
  </si>
  <si>
    <t>TRH&lt;sub&gt;1&lt;/sub&gt; receptor</t>
  </si>
  <si>
    <t>TRH</t>
  </si>
  <si>
    <t>P20396|P01150|Q62361</t>
  </si>
  <si>
    <t>(2S)-N-[(2S)-1-[(2S)-2-carbamoylpyrrolidin-1-yl]-3-(3H-imidazol-4-yl)-1-oxopropan-2-yl]-5-oxopyrrolidine-2-carboxamide</t>
  </si>
  <si>
    <t>protirelin</t>
  </si>
  <si>
    <t>thyroliberin</t>
  </si>
  <si>
    <t>XNSAINXGIQZQOO-SRVKXCTJSA-N</t>
  </si>
  <si>
    <t>P16473</t>
  </si>
  <si>
    <t>TSH receptor</t>
  </si>
  <si>
    <t>TSH</t>
  </si>
  <si>
    <t>thyrotropin alfa</t>
  </si>
  <si>
    <t>Thyrogen&amp;reg;|thyroid-stimulating hormone|thyrotropin</t>
  </si>
  <si>
    <t>Q9UKP6</t>
  </si>
  <si>
    <t>UT receptor</t>
  </si>
  <si>
    <t>urotensin-II</t>
  </si>
  <si>
    <t>O95399</t>
  </si>
  <si>
    <t>U-II</t>
  </si>
  <si>
    <t>urotensin II-related peptide</t>
  </si>
  <si>
    <t>Q765I1|Q765I0|Q765I2</t>
  </si>
  <si>
    <t>(2S)-2-[[(4R,7S,10S,13S,16S,19R)-10-(4-aminobutyl)-19-[[(2S)-2-aminopropanoyl]amino]-16-(cyclohexylmethyl)-7-[(4-hydroxyphenyl)methyl]-13-(1H-indol-3-ylmethyl)-6,9,12,15,18-pentaoxo1,2-dithia-5,8,11,14,17-pentazacycloicosane-4-carbonyl]amino]-3-methylbutanoic acid</t>
  </si>
  <si>
    <t>urotensin-related peptide|URP</t>
  </si>
  <si>
    <t>BKBNRUZZGBUWOM-KOOAXUMWSA-N</t>
  </si>
  <si>
    <t>V&lt;sub&gt;1A&lt;/sub&gt; receptor</t>
  </si>
  <si>
    <t>P47901</t>
  </si>
  <si>
    <t>V&lt;sub&gt;1B&lt;/sub&gt; receptor</t>
  </si>
  <si>
    <t>V&lt;sub&gt;2&lt;/sub&gt; receptor</t>
  </si>
  <si>
    <t>VPAC&lt;sub&gt;1&lt;/sub&gt; receptor</t>
  </si>
  <si>
    <t>P41587</t>
  </si>
  <si>
    <t>VPAC&lt;sub&gt;2&lt;/sub&gt; receptor</t>
  </si>
  <si>
    <t>P46094</t>
  </si>
  <si>
    <t>XCL1</t>
  </si>
  <si>
    <t>P47992</t>
  </si>
  <si>
    <t>c motif cytokine 1|cytokine SCM-1&amp;alpha;|lymphotactin &amp;alpha;</t>
  </si>
  <si>
    <t>XCL2</t>
  </si>
  <si>
    <t>Q9UBD3</t>
  </si>
  <si>
    <t>C motif cytokine 2|lymphotactin &amp;beta;</t>
  </si>
  <si>
    <t>5ht1a</t>
  </si>
  <si>
    <t>5ht1b</t>
  </si>
  <si>
    <t>5ht1d</t>
  </si>
  <si>
    <t>5ht1e</t>
  </si>
  <si>
    <t>5ht1f</t>
  </si>
  <si>
    <t>5ht2a</t>
  </si>
  <si>
    <t>5ht2b</t>
  </si>
  <si>
    <t>5ht2c</t>
  </si>
  <si>
    <t>5ht4r</t>
  </si>
  <si>
    <t>5ht5a</t>
  </si>
  <si>
    <t>5ht6r</t>
  </si>
  <si>
    <t>5ht7r</t>
  </si>
  <si>
    <t>aa1r</t>
  </si>
  <si>
    <t>aa2ar</t>
  </si>
  <si>
    <t>aa2br</t>
  </si>
  <si>
    <t>aa3r</t>
  </si>
  <si>
    <t>ackr3</t>
  </si>
  <si>
    <t>ackr4</t>
  </si>
  <si>
    <t>acm1</t>
  </si>
  <si>
    <t>acm2</t>
  </si>
  <si>
    <t>acm3</t>
  </si>
  <si>
    <t>acm4</t>
  </si>
  <si>
    <t>acm5</t>
  </si>
  <si>
    <t>acthr</t>
  </si>
  <si>
    <t>ada1a</t>
  </si>
  <si>
    <t>ada1b</t>
  </si>
  <si>
    <t>ada1d</t>
  </si>
  <si>
    <t>ada2a</t>
  </si>
  <si>
    <t>ada2b</t>
  </si>
  <si>
    <t>ada2c</t>
  </si>
  <si>
    <t>adrb1</t>
  </si>
  <si>
    <t>adrb2</t>
  </si>
  <si>
    <t>adrb3</t>
  </si>
  <si>
    <t>agrb1</t>
  </si>
  <si>
    <t>agrl1</t>
  </si>
  <si>
    <t>agtr1</t>
  </si>
  <si>
    <t>agtr2</t>
  </si>
  <si>
    <t>apj</t>
  </si>
  <si>
    <t>bkrb1</t>
  </si>
  <si>
    <t>bkrb2</t>
  </si>
  <si>
    <t>c3ar</t>
  </si>
  <si>
    <t>c5ar1</t>
  </si>
  <si>
    <t>c5ar2</t>
  </si>
  <si>
    <t>calcr</t>
  </si>
  <si>
    <t>casr</t>
  </si>
  <si>
    <t>cckar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</si>
  <si>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</si>
  <si>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</si>
  <si>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</si>
  <si>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</si>
  <si>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</si>
  <si>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</si>
  <si>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</si>
  <si>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</si>
  <si>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</si>
  <si>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</si>
  <si>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</si>
  <si>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cltr1</t>
  </si>
  <si>
    <t>cltr2</t>
  </si>
  <si>
    <t>cml1</t>
  </si>
  <si>
    <t>cnr1</t>
  </si>
  <si>
    <t>cnr2</t>
  </si>
  <si>
    <t>crfr2</t>
  </si>
  <si>
    <t>cx3c1</t>
  </si>
  <si>
    <t>cxcr1</t>
  </si>
  <si>
    <t>cxcr2</t>
  </si>
  <si>
    <t>cxcr3</t>
  </si>
  <si>
    <t>cxcr4</t>
  </si>
  <si>
    <t>cxcr5</t>
  </si>
  <si>
    <t>cxcr6</t>
  </si>
  <si>
    <t>drd1</t>
  </si>
  <si>
    <t>drd2</t>
  </si>
  <si>
    <t>drd3</t>
  </si>
  <si>
    <t>drd4</t>
  </si>
  <si>
    <t>drd5</t>
  </si>
  <si>
    <t>ednra</t>
  </si>
  <si>
    <t>ednrb</t>
  </si>
  <si>
    <t>ffar1</t>
  </si>
  <si>
    <t>ffar2</t>
  </si>
  <si>
    <t>ffar3</t>
  </si>
  <si>
    <t>ffar4</t>
  </si>
  <si>
    <t>fpr1</t>
  </si>
  <si>
    <t>fpr2</t>
  </si>
  <si>
    <t>fpr3</t>
  </si>
  <si>
    <t>fshr</t>
  </si>
  <si>
    <t>fzd1</t>
  </si>
  <si>
    <t>fzd2</t>
  </si>
  <si>
    <t>fzd6</t>
  </si>
  <si>
    <t>g37l1</t>
  </si>
  <si>
    <t>gabr1</t>
  </si>
  <si>
    <t>galr1</t>
  </si>
  <si>
    <t>galr2</t>
  </si>
  <si>
    <t>galr3</t>
  </si>
  <si>
    <t>gasr</t>
  </si>
  <si>
    <t>ghrhr</t>
  </si>
  <si>
    <t>ghsr</t>
  </si>
  <si>
    <t>gipr</t>
  </si>
  <si>
    <t>glp1r</t>
  </si>
  <si>
    <t>glp2r</t>
  </si>
  <si>
    <t>glr</t>
  </si>
  <si>
    <t>gnrhr</t>
  </si>
  <si>
    <t>gp107</t>
  </si>
  <si>
    <t>gp119</t>
  </si>
  <si>
    <t>gp132</t>
  </si>
  <si>
    <t>gp139</t>
  </si>
  <si>
    <t>gp143</t>
  </si>
  <si>
    <t>gp174</t>
  </si>
  <si>
    <t>gp183</t>
  </si>
  <si>
    <t>gpbar</t>
  </si>
  <si>
    <t>gpc6a</t>
  </si>
  <si>
    <t>gper1</t>
  </si>
  <si>
    <t>gpr12</t>
  </si>
  <si>
    <t>gpr17</t>
  </si>
  <si>
    <t>gpr18</t>
  </si>
  <si>
    <t>gpr3</t>
  </si>
  <si>
    <t>gpr31</t>
  </si>
  <si>
    <t>gpr32</t>
  </si>
  <si>
    <t>gpr34</t>
  </si>
  <si>
    <t>gpr35</t>
  </si>
  <si>
    <t>gpr37</t>
  </si>
  <si>
    <t>gpr39</t>
  </si>
  <si>
    <t>gpr55</t>
  </si>
  <si>
    <t>gpr6</t>
  </si>
  <si>
    <t>gpr63</t>
  </si>
  <si>
    <t>gpr75</t>
  </si>
  <si>
    <t>gpr87</t>
  </si>
  <si>
    <t>grm1</t>
  </si>
  <si>
    <t>grm2</t>
  </si>
  <si>
    <t>grm3</t>
  </si>
  <si>
    <t>grm4</t>
  </si>
  <si>
    <t>grm5</t>
  </si>
  <si>
    <t>grm6</t>
  </si>
  <si>
    <t>grm7</t>
  </si>
  <si>
    <t>grm8</t>
  </si>
  <si>
    <t>grpr</t>
  </si>
  <si>
    <t>hcar1</t>
  </si>
  <si>
    <t>hcar2</t>
  </si>
  <si>
    <t>hcar3</t>
  </si>
  <si>
    <t>hrh1</t>
  </si>
  <si>
    <t>hrh2</t>
  </si>
  <si>
    <t>hrh3</t>
  </si>
  <si>
    <t>hrh4</t>
  </si>
  <si>
    <t>kissr</t>
  </si>
  <si>
    <t>lgr4</t>
  </si>
  <si>
    <t>lgr5</t>
  </si>
  <si>
    <t>lgr6</t>
  </si>
  <si>
    <t>lpar1</t>
  </si>
  <si>
    <t>lpar2</t>
  </si>
  <si>
    <t>lpar3</t>
  </si>
  <si>
    <t>lpar4</t>
  </si>
  <si>
    <t>lpar5</t>
  </si>
  <si>
    <t>lpar6</t>
  </si>
  <si>
    <t>lshr</t>
  </si>
  <si>
    <t>lt4r1</t>
  </si>
  <si>
    <t>lt4r2</t>
  </si>
  <si>
    <t>mc3r</t>
  </si>
  <si>
    <t>mc4r</t>
  </si>
  <si>
    <t>mc5r</t>
  </si>
  <si>
    <t>mchr1</t>
  </si>
  <si>
    <t>mchr2</t>
  </si>
  <si>
    <t>mrgrd</t>
  </si>
  <si>
    <t>mrgx1</t>
  </si>
  <si>
    <t>mrgx2</t>
  </si>
  <si>
    <t>mshr</t>
  </si>
  <si>
    <t>mtlr</t>
  </si>
  <si>
    <t>mtr1a</t>
  </si>
  <si>
    <t>mtr1b</t>
  </si>
  <si>
    <t>nk1r</t>
  </si>
  <si>
    <t>nk2r</t>
  </si>
  <si>
    <t>nk3r</t>
  </si>
  <si>
    <t>nmbr</t>
  </si>
  <si>
    <t>nmur1</t>
  </si>
  <si>
    <t>nmur2</t>
  </si>
  <si>
    <t>npbw1</t>
  </si>
  <si>
    <t>npbw2</t>
  </si>
  <si>
    <t>npff1</t>
  </si>
  <si>
    <t>npff2</t>
  </si>
  <si>
    <t>npsr1</t>
  </si>
  <si>
    <t>npy1r</t>
  </si>
  <si>
    <t>npy2r</t>
  </si>
  <si>
    <t>npy4r</t>
  </si>
  <si>
    <t>npy5r</t>
  </si>
  <si>
    <t>ntr1</t>
  </si>
  <si>
    <t>ntr2</t>
  </si>
  <si>
    <t>oprd</t>
  </si>
  <si>
    <t>oprk</t>
  </si>
  <si>
    <t>oprm</t>
  </si>
  <si>
    <t>oprx</t>
  </si>
  <si>
    <t>ox1r</t>
  </si>
  <si>
    <t>ox2r</t>
  </si>
  <si>
    <t>oxer1</t>
  </si>
  <si>
    <t>oxgr1</t>
  </si>
  <si>
    <t>oxyr</t>
  </si>
  <si>
    <t>p2ry1</t>
  </si>
  <si>
    <t>p2ry2</t>
  </si>
  <si>
    <t>p2ry4</t>
  </si>
  <si>
    <t>p2ry6</t>
  </si>
  <si>
    <t>p2y10</t>
  </si>
  <si>
    <t>p2y11</t>
  </si>
  <si>
    <t>p2y12</t>
  </si>
  <si>
    <t>p2y13</t>
  </si>
  <si>
    <t>p2y14</t>
  </si>
  <si>
    <t>pacr</t>
  </si>
  <si>
    <t>par1</t>
  </si>
  <si>
    <t>par3</t>
  </si>
  <si>
    <t>par4</t>
  </si>
  <si>
    <t>pd2r</t>
  </si>
  <si>
    <t>pd2r2</t>
  </si>
  <si>
    <t>pe2r1</t>
  </si>
  <si>
    <t>pe2r2</t>
  </si>
  <si>
    <t>pe2r3</t>
  </si>
  <si>
    <t>pe2r4</t>
  </si>
  <si>
    <t>pf2r</t>
  </si>
  <si>
    <t>pi2r</t>
  </si>
  <si>
    <t>pkr1</t>
  </si>
  <si>
    <t>pkr2</t>
  </si>
  <si>
    <t>prlhr</t>
  </si>
  <si>
    <t>ptafr</t>
  </si>
  <si>
    <t>pth1r</t>
  </si>
  <si>
    <t>pth2r</t>
  </si>
  <si>
    <t>qrfpr</t>
  </si>
  <si>
    <t>rl3r1</t>
  </si>
  <si>
    <t>rl3r2</t>
  </si>
  <si>
    <t>rxfp1</t>
  </si>
  <si>
    <t>rxfp2</t>
  </si>
  <si>
    <t>s1pr1</t>
  </si>
  <si>
    <t>s1pr2</t>
  </si>
  <si>
    <t>s1pr3</t>
  </si>
  <si>
    <t>s1pr4</t>
  </si>
  <si>
    <t>s1pr5</t>
  </si>
  <si>
    <t>sctr</t>
  </si>
  <si>
    <t>ssr1</t>
  </si>
  <si>
    <t>ssr2</t>
  </si>
  <si>
    <t>ssr3</t>
  </si>
  <si>
    <t>ssr4</t>
  </si>
  <si>
    <t>ssr5</t>
  </si>
  <si>
    <t>sucr1</t>
  </si>
  <si>
    <t>ta2r</t>
  </si>
  <si>
    <t>taar1</t>
  </si>
  <si>
    <t>taar3</t>
  </si>
  <si>
    <t>trfr</t>
  </si>
  <si>
    <t>tshr</t>
  </si>
  <si>
    <t>ur2r</t>
  </si>
  <si>
    <t>v1ar</t>
  </si>
  <si>
    <t>v1br</t>
  </si>
  <si>
    <t>v2r</t>
  </si>
  <si>
    <t>vipr1</t>
  </si>
  <si>
    <t>vipr2</t>
  </si>
  <si>
    <t>xcr1</t>
  </si>
  <si>
    <t>1-oleoyl-2-hydroxy-sn-glycero-3-phosphate, sodium salt</t>
  </si>
  <si>
    <t>SVSEIQLMHNLGKHLNSMERVEWLRKKLQDVHNF</t>
  </si>
  <si>
    <t>Prolactin-Releasing Peptide-20</t>
  </si>
  <si>
    <t>CP-55940</t>
  </si>
  <si>
    <t>MK-0677</t>
  </si>
  <si>
    <t>TUG 891</t>
  </si>
  <si>
    <t>UT</t>
  </si>
  <si>
    <t>TP</t>
  </si>
  <si>
    <t>SST5</t>
  </si>
  <si>
    <t>SST4</t>
  </si>
  <si>
    <t>SST3</t>
  </si>
  <si>
    <t>SST2</t>
  </si>
  <si>
    <t>SST1</t>
  </si>
  <si>
    <t>PTH2</t>
  </si>
  <si>
    <t>PTH1</t>
  </si>
  <si>
    <t>PrRP</t>
  </si>
  <si>
    <t>IP</t>
  </si>
  <si>
    <t>FP</t>
  </si>
  <si>
    <t>OT</t>
  </si>
  <si>
    <t>μ</t>
  </si>
  <si>
    <t>𝜅</t>
  </si>
  <si>
    <t>𝛅</t>
  </si>
  <si>
    <t>NMU2</t>
  </si>
  <si>
    <t>NMU1</t>
  </si>
  <si>
    <t>GIP</t>
  </si>
  <si>
    <t>FFA4</t>
  </si>
  <si>
    <t>FFA3</t>
  </si>
  <si>
    <t>FFA2</t>
  </si>
  <si>
    <t>FFA1</t>
  </si>
  <si>
    <t>I-Basal
SD
G13</t>
  </si>
  <si>
    <t>I-Basal
SD
G12</t>
  </si>
  <si>
    <t>I-Basal
SD
G15</t>
  </si>
  <si>
    <t>I-Basal
SD
G14</t>
  </si>
  <si>
    <t>I-Basal
SD
G11</t>
  </si>
  <si>
    <t>I-Basal
SD
Gq</t>
  </si>
  <si>
    <t>I-Basal
SD
Gz</t>
  </si>
  <si>
    <t>I-Basal
SD
GoB</t>
  </si>
  <si>
    <t>I-Basal
SD
GoA</t>
  </si>
  <si>
    <t>I-Basal
SD
Gi3</t>
  </si>
  <si>
    <t>I-Basal
SD
Gi2</t>
  </si>
  <si>
    <t>I-Basal
SD
Gi1</t>
  </si>
  <si>
    <t>I-Basal
SD
Golf</t>
  </si>
  <si>
    <r>
      <t>5-HT</t>
    </r>
    <r>
      <rPr>
        <vertAlign val="subscript"/>
        <sz val="12"/>
        <color theme="1"/>
        <rFont val="Calibri"/>
        <family val="2"/>
      </rPr>
      <t>1A</t>
    </r>
  </si>
  <si>
    <r>
      <t>5-HT</t>
    </r>
    <r>
      <rPr>
        <vertAlign val="subscript"/>
        <sz val="12"/>
        <color theme="1"/>
        <rFont val="Calibri"/>
        <family val="2"/>
      </rPr>
      <t>1B</t>
    </r>
  </si>
  <si>
    <r>
      <t>5-HT</t>
    </r>
    <r>
      <rPr>
        <vertAlign val="subscript"/>
        <sz val="12"/>
        <color theme="1"/>
        <rFont val="Calibri"/>
        <family val="2"/>
      </rPr>
      <t>1D</t>
    </r>
  </si>
  <si>
    <r>
      <t>5-HT</t>
    </r>
    <r>
      <rPr>
        <vertAlign val="subscript"/>
        <sz val="12"/>
        <color theme="1"/>
        <rFont val="Calibri"/>
        <family val="2"/>
      </rPr>
      <t>1E</t>
    </r>
  </si>
  <si>
    <r>
      <t>5-HT</t>
    </r>
    <r>
      <rPr>
        <vertAlign val="subscript"/>
        <sz val="12"/>
        <color theme="1"/>
        <rFont val="Calibri"/>
        <family val="2"/>
      </rPr>
      <t>1F</t>
    </r>
  </si>
  <si>
    <r>
      <t>5-HT</t>
    </r>
    <r>
      <rPr>
        <vertAlign val="subscript"/>
        <sz val="12"/>
        <color theme="1"/>
        <rFont val="Calibri"/>
        <family val="2"/>
      </rPr>
      <t>2A</t>
    </r>
  </si>
  <si>
    <r>
      <t>5-HT</t>
    </r>
    <r>
      <rPr>
        <vertAlign val="subscript"/>
        <sz val="12"/>
        <color theme="1"/>
        <rFont val="Calibri"/>
        <family val="2"/>
      </rPr>
      <t>2B</t>
    </r>
  </si>
  <si>
    <r>
      <t>5-HT</t>
    </r>
    <r>
      <rPr>
        <vertAlign val="subscript"/>
        <sz val="12"/>
        <color theme="1"/>
        <rFont val="Calibri"/>
        <family val="2"/>
      </rPr>
      <t>2C</t>
    </r>
  </si>
  <si>
    <r>
      <t>5-HT</t>
    </r>
    <r>
      <rPr>
        <vertAlign val="subscript"/>
        <sz val="12"/>
        <color theme="1"/>
        <rFont val="Calibri"/>
        <family val="2"/>
      </rPr>
      <t>4</t>
    </r>
  </si>
  <si>
    <r>
      <t>5-HT</t>
    </r>
    <r>
      <rPr>
        <vertAlign val="subscript"/>
        <sz val="12"/>
        <color theme="1"/>
        <rFont val="Calibri"/>
        <family val="2"/>
      </rPr>
      <t>6</t>
    </r>
  </si>
  <si>
    <r>
      <t>5-HT</t>
    </r>
    <r>
      <rPr>
        <vertAlign val="subscript"/>
        <sz val="12"/>
        <color theme="1"/>
        <rFont val="Calibri"/>
        <family val="2"/>
      </rPr>
      <t>7</t>
    </r>
  </si>
  <si>
    <r>
      <t>A</t>
    </r>
    <r>
      <rPr>
        <vertAlign val="subscript"/>
        <sz val="12"/>
        <color theme="1"/>
        <rFont val="Calibri"/>
        <family val="2"/>
      </rPr>
      <t>1</t>
    </r>
  </si>
  <si>
    <r>
      <t>A</t>
    </r>
    <r>
      <rPr>
        <vertAlign val="subscript"/>
        <sz val="12"/>
        <color theme="1"/>
        <rFont val="Calibri"/>
        <family val="2"/>
      </rPr>
      <t>2A</t>
    </r>
  </si>
  <si>
    <r>
      <t>A</t>
    </r>
    <r>
      <rPr>
        <vertAlign val="subscript"/>
        <sz val="12"/>
        <color theme="1"/>
        <rFont val="Calibri"/>
        <family val="2"/>
      </rPr>
      <t>2B</t>
    </r>
  </si>
  <si>
    <r>
      <t>A</t>
    </r>
    <r>
      <rPr>
        <vertAlign val="subscript"/>
        <sz val="12"/>
        <color theme="1"/>
        <rFont val="Calibri"/>
        <family val="2"/>
      </rPr>
      <t>3</t>
    </r>
  </si>
  <si>
    <r>
      <t>M</t>
    </r>
    <r>
      <rPr>
        <vertAlign val="subscript"/>
        <sz val="12"/>
        <color theme="1"/>
        <rFont val="Calibri"/>
        <family val="2"/>
      </rPr>
      <t>1</t>
    </r>
  </si>
  <si>
    <r>
      <t>M</t>
    </r>
    <r>
      <rPr>
        <vertAlign val="subscript"/>
        <sz val="12"/>
        <color theme="1"/>
        <rFont val="Calibri"/>
        <family val="2"/>
      </rPr>
      <t>2</t>
    </r>
  </si>
  <si>
    <r>
      <t>M</t>
    </r>
    <r>
      <rPr>
        <vertAlign val="subscript"/>
        <sz val="12"/>
        <color theme="1"/>
        <rFont val="Calibri"/>
        <family val="2"/>
      </rPr>
      <t>3</t>
    </r>
  </si>
  <si>
    <r>
      <t>M</t>
    </r>
    <r>
      <rPr>
        <vertAlign val="subscript"/>
        <sz val="12"/>
        <color theme="1"/>
        <rFont val="Calibri"/>
        <family val="2"/>
      </rPr>
      <t>4</t>
    </r>
  </si>
  <si>
    <r>
      <t>M</t>
    </r>
    <r>
      <rPr>
        <vertAlign val="subscript"/>
        <sz val="12"/>
        <color theme="1"/>
        <rFont val="Calibri"/>
        <family val="2"/>
      </rPr>
      <t>5</t>
    </r>
  </si>
  <si>
    <r>
      <t>α</t>
    </r>
    <r>
      <rPr>
        <vertAlign val="subscript"/>
        <sz val="12"/>
        <color theme="1"/>
        <rFont val="Calibri"/>
        <family val="2"/>
      </rPr>
      <t>1A</t>
    </r>
  </si>
  <si>
    <r>
      <t>α</t>
    </r>
    <r>
      <rPr>
        <vertAlign val="subscript"/>
        <sz val="12"/>
        <color theme="1"/>
        <rFont val="Calibri"/>
        <family val="2"/>
      </rPr>
      <t>1B</t>
    </r>
  </si>
  <si>
    <r>
      <t>α</t>
    </r>
    <r>
      <rPr>
        <vertAlign val="subscript"/>
        <sz val="12"/>
        <color theme="1"/>
        <rFont val="Calibri"/>
        <family val="2"/>
      </rPr>
      <t>1D</t>
    </r>
  </si>
  <si>
    <r>
      <t>α</t>
    </r>
    <r>
      <rPr>
        <vertAlign val="subscript"/>
        <sz val="12"/>
        <color theme="1"/>
        <rFont val="Calibri"/>
        <family val="2"/>
      </rPr>
      <t>2A</t>
    </r>
  </si>
  <si>
    <r>
      <t>α</t>
    </r>
    <r>
      <rPr>
        <vertAlign val="subscript"/>
        <sz val="12"/>
        <color theme="1"/>
        <rFont val="Calibri"/>
        <family val="2"/>
      </rPr>
      <t>2B</t>
    </r>
  </si>
  <si>
    <r>
      <t>α</t>
    </r>
    <r>
      <rPr>
        <vertAlign val="subscript"/>
        <sz val="12"/>
        <color theme="1"/>
        <rFont val="Calibri"/>
        <family val="2"/>
      </rPr>
      <t>2C</t>
    </r>
  </si>
  <si>
    <r>
      <t>β</t>
    </r>
    <r>
      <rPr>
        <vertAlign val="subscript"/>
        <sz val="12"/>
        <color theme="1"/>
        <rFont val="Calibri"/>
        <family val="2"/>
      </rPr>
      <t>1</t>
    </r>
  </si>
  <si>
    <r>
      <t>β</t>
    </r>
    <r>
      <rPr>
        <vertAlign val="subscript"/>
        <sz val="12"/>
        <color theme="1"/>
        <rFont val="Calibri"/>
        <family val="2"/>
      </rPr>
      <t>2</t>
    </r>
  </si>
  <si>
    <r>
      <t>β</t>
    </r>
    <r>
      <rPr>
        <vertAlign val="subscript"/>
        <sz val="12"/>
        <color theme="1"/>
        <rFont val="Calibri"/>
        <family val="2"/>
      </rPr>
      <t>3</t>
    </r>
  </si>
  <si>
    <r>
      <t>AT</t>
    </r>
    <r>
      <rPr>
        <vertAlign val="subscript"/>
        <sz val="12"/>
        <color theme="1"/>
        <rFont val="Calibri"/>
        <family val="2"/>
      </rPr>
      <t>1</t>
    </r>
  </si>
  <si>
    <r>
      <t>B</t>
    </r>
    <r>
      <rPr>
        <vertAlign val="subscript"/>
        <sz val="12"/>
        <color theme="1"/>
        <rFont val="Calibri"/>
        <family val="2"/>
      </rPr>
      <t>1</t>
    </r>
  </si>
  <si>
    <r>
      <t>B</t>
    </r>
    <r>
      <rPr>
        <vertAlign val="subscript"/>
        <sz val="12"/>
        <color theme="1"/>
        <rFont val="Calibri"/>
        <family val="2"/>
      </rPr>
      <t>2</t>
    </r>
  </si>
  <si>
    <r>
      <t>CCK</t>
    </r>
    <r>
      <rPr>
        <vertAlign val="subscript"/>
        <sz val="12"/>
        <color theme="1"/>
        <rFont val="Calibri"/>
        <family val="2"/>
      </rPr>
      <t>1</t>
    </r>
  </si>
  <si>
    <r>
      <t>CysLT</t>
    </r>
    <r>
      <rPr>
        <vertAlign val="subscript"/>
        <sz val="12"/>
        <color theme="1"/>
        <rFont val="Calibri"/>
        <family val="2"/>
      </rPr>
      <t>1</t>
    </r>
  </si>
  <si>
    <r>
      <t>CysLT</t>
    </r>
    <r>
      <rPr>
        <vertAlign val="subscript"/>
        <sz val="12"/>
        <color theme="1"/>
        <rFont val="Calibri"/>
        <family val="2"/>
      </rPr>
      <t>2</t>
    </r>
  </si>
  <si>
    <r>
      <t>CB</t>
    </r>
    <r>
      <rPr>
        <vertAlign val="subscript"/>
        <sz val="12"/>
        <color theme="1"/>
        <rFont val="Calibri"/>
        <family val="2"/>
      </rPr>
      <t>1</t>
    </r>
  </si>
  <si>
    <r>
      <t>CB</t>
    </r>
    <r>
      <rPr>
        <vertAlign val="subscript"/>
        <sz val="12"/>
        <color theme="1"/>
        <rFont val="Calibri"/>
        <family val="2"/>
      </rPr>
      <t>2</t>
    </r>
  </si>
  <si>
    <r>
      <t>D</t>
    </r>
    <r>
      <rPr>
        <vertAlign val="subscript"/>
        <sz val="12"/>
        <color theme="1"/>
        <rFont val="Calibri"/>
        <family val="2"/>
      </rPr>
      <t>1</t>
    </r>
  </si>
  <si>
    <r>
      <t>D</t>
    </r>
    <r>
      <rPr>
        <vertAlign val="subscript"/>
        <sz val="12"/>
        <color theme="1"/>
        <rFont val="Calibri"/>
        <family val="2"/>
      </rPr>
      <t>2</t>
    </r>
  </si>
  <si>
    <r>
      <t>D</t>
    </r>
    <r>
      <rPr>
        <vertAlign val="subscript"/>
        <sz val="12"/>
        <color theme="1"/>
        <rFont val="Calibri"/>
        <family val="2"/>
      </rPr>
      <t>3</t>
    </r>
  </si>
  <si>
    <r>
      <t>D</t>
    </r>
    <r>
      <rPr>
        <vertAlign val="subscript"/>
        <sz val="12"/>
        <color theme="1"/>
        <rFont val="Calibri"/>
        <family val="2"/>
      </rPr>
      <t>4</t>
    </r>
  </si>
  <si>
    <r>
      <t>D</t>
    </r>
    <r>
      <rPr>
        <vertAlign val="subscript"/>
        <sz val="12"/>
        <color theme="1"/>
        <rFont val="Calibri"/>
        <family val="2"/>
      </rPr>
      <t>5</t>
    </r>
  </si>
  <si>
    <r>
      <t>ET</t>
    </r>
    <r>
      <rPr>
        <vertAlign val="subscript"/>
        <sz val="12"/>
        <color theme="1"/>
        <rFont val="Calibri"/>
        <family val="2"/>
      </rPr>
      <t>A</t>
    </r>
  </si>
  <si>
    <r>
      <t>ET</t>
    </r>
    <r>
      <rPr>
        <vertAlign val="subscript"/>
        <sz val="12"/>
        <color theme="1"/>
        <rFont val="Calibri"/>
        <family val="2"/>
      </rPr>
      <t>B</t>
    </r>
  </si>
  <si>
    <r>
      <t>GAL</t>
    </r>
    <r>
      <rPr>
        <vertAlign val="subscript"/>
        <sz val="12"/>
        <color theme="1"/>
        <rFont val="Calibri"/>
        <family val="2"/>
      </rPr>
      <t>1</t>
    </r>
  </si>
  <si>
    <r>
      <t>GAL</t>
    </r>
    <r>
      <rPr>
        <vertAlign val="subscript"/>
        <sz val="12"/>
        <color theme="1"/>
        <rFont val="Calibri"/>
        <family val="2"/>
      </rPr>
      <t>2</t>
    </r>
  </si>
  <si>
    <r>
      <t>GAL</t>
    </r>
    <r>
      <rPr>
        <vertAlign val="subscript"/>
        <sz val="12"/>
        <color theme="1"/>
        <rFont val="Calibri"/>
        <family val="2"/>
      </rPr>
      <t>3</t>
    </r>
  </si>
  <si>
    <r>
      <t>CCK</t>
    </r>
    <r>
      <rPr>
        <vertAlign val="subscript"/>
        <sz val="12"/>
        <color theme="1"/>
        <rFont val="Calibri"/>
        <family val="2"/>
      </rPr>
      <t>2</t>
    </r>
  </si>
  <si>
    <r>
      <t>GnRH</t>
    </r>
    <r>
      <rPr>
        <vertAlign val="subscript"/>
        <sz val="12"/>
        <color theme="1"/>
        <rFont val="Calibri"/>
        <family val="2"/>
      </rPr>
      <t>1</t>
    </r>
  </si>
  <si>
    <r>
      <t>BB</t>
    </r>
    <r>
      <rPr>
        <vertAlign val="subscript"/>
        <sz val="12"/>
        <color theme="1"/>
        <rFont val="Calibri"/>
        <family val="2"/>
      </rPr>
      <t>2</t>
    </r>
  </si>
  <si>
    <r>
      <t>H</t>
    </r>
    <r>
      <rPr>
        <vertAlign val="subscript"/>
        <sz val="12"/>
        <color theme="1"/>
        <rFont val="Calibri"/>
        <family val="2"/>
      </rPr>
      <t>1</t>
    </r>
  </si>
  <si>
    <r>
      <t>H</t>
    </r>
    <r>
      <rPr>
        <vertAlign val="subscript"/>
        <sz val="12"/>
        <color theme="1"/>
        <rFont val="Calibri"/>
        <family val="2"/>
      </rPr>
      <t>2</t>
    </r>
  </si>
  <si>
    <r>
      <t>H</t>
    </r>
    <r>
      <rPr>
        <vertAlign val="subscript"/>
        <sz val="12"/>
        <color theme="1"/>
        <rFont val="Calibri"/>
        <family val="2"/>
      </rPr>
      <t>3</t>
    </r>
  </si>
  <si>
    <r>
      <t>H</t>
    </r>
    <r>
      <rPr>
        <vertAlign val="subscript"/>
        <sz val="12"/>
        <color theme="1"/>
        <rFont val="Calibri"/>
        <family val="2"/>
      </rPr>
      <t>4</t>
    </r>
  </si>
  <si>
    <r>
      <t>LPA</t>
    </r>
    <r>
      <rPr>
        <vertAlign val="subscript"/>
        <sz val="12"/>
        <color theme="1"/>
        <rFont val="Calibri"/>
        <family val="2"/>
      </rPr>
      <t>1</t>
    </r>
  </si>
  <si>
    <r>
      <t>LPA</t>
    </r>
    <r>
      <rPr>
        <vertAlign val="subscript"/>
        <sz val="12"/>
        <color theme="1"/>
        <rFont val="Calibri"/>
        <family val="2"/>
      </rPr>
      <t>2</t>
    </r>
  </si>
  <si>
    <r>
      <t>LPA</t>
    </r>
    <r>
      <rPr>
        <vertAlign val="subscript"/>
        <sz val="12"/>
        <color theme="1"/>
        <rFont val="Calibri"/>
        <family val="2"/>
      </rPr>
      <t>3</t>
    </r>
  </si>
  <si>
    <r>
      <t>LPA</t>
    </r>
    <r>
      <rPr>
        <vertAlign val="subscript"/>
        <sz val="12"/>
        <color theme="1"/>
        <rFont val="Calibri"/>
        <family val="2"/>
      </rPr>
      <t>4</t>
    </r>
  </si>
  <si>
    <r>
      <t>LPA</t>
    </r>
    <r>
      <rPr>
        <vertAlign val="subscript"/>
        <sz val="12"/>
        <color theme="1"/>
        <rFont val="Calibri"/>
        <family val="2"/>
      </rPr>
      <t>5</t>
    </r>
  </si>
  <si>
    <r>
      <t>LPA</t>
    </r>
    <r>
      <rPr>
        <vertAlign val="subscript"/>
        <sz val="12"/>
        <color theme="1"/>
        <rFont val="Calibri"/>
        <family val="2"/>
      </rPr>
      <t>6</t>
    </r>
  </si>
  <si>
    <r>
      <t>BLT</t>
    </r>
    <r>
      <rPr>
        <vertAlign val="subscript"/>
        <sz val="12"/>
        <color theme="1"/>
        <rFont val="Calibri"/>
        <family val="2"/>
      </rPr>
      <t>1</t>
    </r>
  </si>
  <si>
    <r>
      <t>BLT</t>
    </r>
    <r>
      <rPr>
        <vertAlign val="subscript"/>
        <sz val="12"/>
        <color theme="1"/>
        <rFont val="Calibri"/>
        <family val="2"/>
      </rPr>
      <t>2</t>
    </r>
  </si>
  <si>
    <r>
      <t>MC</t>
    </r>
    <r>
      <rPr>
        <vertAlign val="subscript"/>
        <sz val="12"/>
        <color theme="1"/>
        <rFont val="Calibri"/>
        <family val="2"/>
      </rPr>
      <t>3</t>
    </r>
  </si>
  <si>
    <r>
      <t>MC</t>
    </r>
    <r>
      <rPr>
        <vertAlign val="subscript"/>
        <sz val="12"/>
        <color theme="1"/>
        <rFont val="Calibri"/>
        <family val="2"/>
      </rPr>
      <t>4</t>
    </r>
  </si>
  <si>
    <r>
      <t>MC</t>
    </r>
    <r>
      <rPr>
        <vertAlign val="subscript"/>
        <sz val="12"/>
        <color theme="1"/>
        <rFont val="Calibri"/>
        <family val="2"/>
      </rPr>
      <t>5</t>
    </r>
  </si>
  <si>
    <r>
      <t>MCH</t>
    </r>
    <r>
      <rPr>
        <vertAlign val="subscript"/>
        <sz val="12"/>
        <color theme="1"/>
        <rFont val="Calibri"/>
        <family val="2"/>
      </rPr>
      <t>1</t>
    </r>
  </si>
  <si>
    <r>
      <t>MCH</t>
    </r>
    <r>
      <rPr>
        <vertAlign val="subscript"/>
        <sz val="12"/>
        <color theme="1"/>
        <rFont val="Calibri"/>
        <family val="2"/>
      </rPr>
      <t>2</t>
    </r>
  </si>
  <si>
    <r>
      <t>MC</t>
    </r>
    <r>
      <rPr>
        <vertAlign val="subscript"/>
        <sz val="12"/>
        <color theme="1"/>
        <rFont val="Calibri"/>
        <family val="2"/>
      </rPr>
      <t>1</t>
    </r>
  </si>
  <si>
    <r>
      <t>MT</t>
    </r>
    <r>
      <rPr>
        <vertAlign val="subscript"/>
        <sz val="12"/>
        <color theme="1"/>
        <rFont val="Calibri"/>
        <family val="2"/>
      </rPr>
      <t>1</t>
    </r>
  </si>
  <si>
    <r>
      <t>MT</t>
    </r>
    <r>
      <rPr>
        <vertAlign val="subscript"/>
        <sz val="12"/>
        <color theme="1"/>
        <rFont val="Calibri"/>
        <family val="2"/>
      </rPr>
      <t>2</t>
    </r>
  </si>
  <si>
    <r>
      <t>NK</t>
    </r>
    <r>
      <rPr>
        <vertAlign val="subscript"/>
        <sz val="12"/>
        <color theme="1"/>
        <rFont val="Calibri"/>
        <family val="2"/>
      </rPr>
      <t>1</t>
    </r>
  </si>
  <si>
    <r>
      <t>NK</t>
    </r>
    <r>
      <rPr>
        <vertAlign val="subscript"/>
        <sz val="12"/>
        <color theme="1"/>
        <rFont val="Calibri"/>
        <family val="2"/>
      </rPr>
      <t>2</t>
    </r>
  </si>
  <si>
    <r>
      <t>NK</t>
    </r>
    <r>
      <rPr>
        <vertAlign val="subscript"/>
        <sz val="12"/>
        <color theme="1"/>
        <rFont val="Calibri"/>
        <family val="2"/>
      </rPr>
      <t>3</t>
    </r>
  </si>
  <si>
    <r>
      <t>BB</t>
    </r>
    <r>
      <rPr>
        <vertAlign val="subscript"/>
        <sz val="12"/>
        <color theme="1"/>
        <rFont val="Calibri"/>
        <family val="2"/>
      </rPr>
      <t>1</t>
    </r>
  </si>
  <si>
    <r>
      <t>NTS</t>
    </r>
    <r>
      <rPr>
        <vertAlign val="subscript"/>
        <sz val="12"/>
        <color theme="1"/>
        <rFont val="Calibri"/>
        <family val="2"/>
      </rPr>
      <t>1</t>
    </r>
  </si>
  <si>
    <r>
      <t>OX</t>
    </r>
    <r>
      <rPr>
        <vertAlign val="subscript"/>
        <sz val="12"/>
        <color theme="1"/>
        <rFont val="Calibri"/>
        <family val="2"/>
      </rPr>
      <t>1</t>
    </r>
  </si>
  <si>
    <r>
      <t>OX</t>
    </r>
    <r>
      <rPr>
        <vertAlign val="subscript"/>
        <sz val="12"/>
        <color theme="1"/>
        <rFont val="Calibri"/>
        <family val="2"/>
      </rPr>
      <t>2</t>
    </r>
  </si>
  <si>
    <r>
      <t>P2Y</t>
    </r>
    <r>
      <rPr>
        <vertAlign val="subscript"/>
        <sz val="12"/>
        <color theme="1"/>
        <rFont val="Calibri"/>
        <family val="2"/>
      </rPr>
      <t>1</t>
    </r>
  </si>
  <si>
    <r>
      <t>P2Y</t>
    </r>
    <r>
      <rPr>
        <vertAlign val="subscript"/>
        <sz val="12"/>
        <color theme="1"/>
        <rFont val="Calibri"/>
        <family val="2"/>
      </rPr>
      <t>2</t>
    </r>
  </si>
  <si>
    <r>
      <t>P2Y</t>
    </r>
    <r>
      <rPr>
        <vertAlign val="subscript"/>
        <sz val="12"/>
        <color theme="1"/>
        <rFont val="Calibri"/>
        <family val="2"/>
      </rPr>
      <t>4</t>
    </r>
  </si>
  <si>
    <r>
      <t>P2Y</t>
    </r>
    <r>
      <rPr>
        <vertAlign val="subscript"/>
        <sz val="12"/>
        <color theme="1"/>
        <rFont val="Calibri"/>
        <family val="2"/>
      </rPr>
      <t>6</t>
    </r>
  </si>
  <si>
    <r>
      <t>P2RY</t>
    </r>
    <r>
      <rPr>
        <vertAlign val="subscript"/>
        <sz val="12"/>
        <color theme="1"/>
        <rFont val="Calibri"/>
        <family val="2"/>
      </rPr>
      <t>10</t>
    </r>
  </si>
  <si>
    <r>
      <t>P2Y</t>
    </r>
    <r>
      <rPr>
        <vertAlign val="subscript"/>
        <sz val="12"/>
        <color theme="1"/>
        <rFont val="Calibri"/>
        <family val="2"/>
      </rPr>
      <t>11</t>
    </r>
  </si>
  <si>
    <r>
      <t>P2Y</t>
    </r>
    <r>
      <rPr>
        <vertAlign val="subscript"/>
        <sz val="12"/>
        <color theme="1"/>
        <rFont val="Calibri"/>
        <family val="2"/>
      </rPr>
      <t>12</t>
    </r>
  </si>
  <si>
    <r>
      <t>P2Y</t>
    </r>
    <r>
      <rPr>
        <vertAlign val="subscript"/>
        <sz val="12"/>
        <color theme="1"/>
        <rFont val="Calibri"/>
        <family val="2"/>
      </rPr>
      <t>13</t>
    </r>
  </si>
  <si>
    <r>
      <t>P2Y</t>
    </r>
    <r>
      <rPr>
        <vertAlign val="subscript"/>
        <sz val="12"/>
        <color theme="1"/>
        <rFont val="Calibri"/>
        <family val="2"/>
      </rPr>
      <t>14</t>
    </r>
  </si>
  <si>
    <r>
      <t>PAC</t>
    </r>
    <r>
      <rPr>
        <vertAlign val="subscript"/>
        <sz val="12"/>
        <color theme="1"/>
        <rFont val="Calibri"/>
        <family val="2"/>
      </rPr>
      <t>1</t>
    </r>
  </si>
  <si>
    <r>
      <t>DP</t>
    </r>
    <r>
      <rPr>
        <vertAlign val="subscript"/>
        <sz val="12"/>
        <color theme="1"/>
        <rFont val="Calibri"/>
        <family val="2"/>
      </rPr>
      <t>1</t>
    </r>
  </si>
  <si>
    <r>
      <t>EP</t>
    </r>
    <r>
      <rPr>
        <vertAlign val="subscript"/>
        <sz val="12"/>
        <color theme="1"/>
        <rFont val="Calibri"/>
        <family val="2"/>
      </rPr>
      <t>1</t>
    </r>
  </si>
  <si>
    <r>
      <t>EP</t>
    </r>
    <r>
      <rPr>
        <vertAlign val="subscript"/>
        <sz val="12"/>
        <color theme="1"/>
        <rFont val="Calibri"/>
        <family val="2"/>
      </rPr>
      <t>2</t>
    </r>
  </si>
  <si>
    <r>
      <t>EP</t>
    </r>
    <r>
      <rPr>
        <vertAlign val="subscript"/>
        <sz val="12"/>
        <color theme="1"/>
        <rFont val="Calibri"/>
        <family val="2"/>
      </rPr>
      <t>3</t>
    </r>
  </si>
  <si>
    <r>
      <t>EP</t>
    </r>
    <r>
      <rPr>
        <vertAlign val="subscript"/>
        <sz val="12"/>
        <color theme="1"/>
        <rFont val="Calibri"/>
        <family val="2"/>
      </rPr>
      <t>4</t>
    </r>
  </si>
  <si>
    <r>
      <t>S1P</t>
    </r>
    <r>
      <rPr>
        <vertAlign val="subscript"/>
        <sz val="12"/>
        <color theme="1"/>
        <rFont val="Calibri"/>
        <family val="2"/>
      </rPr>
      <t>1</t>
    </r>
  </si>
  <si>
    <r>
      <t>S1P</t>
    </r>
    <r>
      <rPr>
        <vertAlign val="subscript"/>
        <sz val="12"/>
        <color theme="1"/>
        <rFont val="Calibri"/>
        <family val="2"/>
      </rPr>
      <t>2</t>
    </r>
  </si>
  <si>
    <r>
      <t>S1P</t>
    </r>
    <r>
      <rPr>
        <vertAlign val="subscript"/>
        <sz val="12"/>
        <color theme="1"/>
        <rFont val="Calibri"/>
        <family val="2"/>
      </rPr>
      <t>3</t>
    </r>
  </si>
  <si>
    <r>
      <t>S1P</t>
    </r>
    <r>
      <rPr>
        <vertAlign val="subscript"/>
        <sz val="12"/>
        <color theme="1"/>
        <rFont val="Calibri"/>
        <family val="2"/>
      </rPr>
      <t>5</t>
    </r>
  </si>
  <si>
    <r>
      <t>TRH</t>
    </r>
    <r>
      <rPr>
        <vertAlign val="subscript"/>
        <sz val="12"/>
        <color theme="1"/>
        <rFont val="Calibri"/>
        <family val="2"/>
      </rPr>
      <t>1</t>
    </r>
  </si>
  <si>
    <r>
      <t>V</t>
    </r>
    <r>
      <rPr>
        <vertAlign val="subscript"/>
        <sz val="12"/>
        <color theme="1"/>
        <rFont val="Calibri"/>
        <family val="2"/>
      </rPr>
      <t>1A</t>
    </r>
  </si>
  <si>
    <r>
      <t>V</t>
    </r>
    <r>
      <rPr>
        <vertAlign val="subscript"/>
        <sz val="12"/>
        <color theme="1"/>
        <rFont val="Calibri"/>
        <family val="2"/>
      </rPr>
      <t>1B</t>
    </r>
  </si>
  <si>
    <r>
      <t>V</t>
    </r>
    <r>
      <rPr>
        <vertAlign val="subscript"/>
        <sz val="12"/>
        <color theme="1"/>
        <rFont val="Calibri"/>
        <family val="2"/>
      </rPr>
      <t>2</t>
    </r>
  </si>
  <si>
    <t>Thyrotropin releasing hormone</t>
  </si>
  <si>
    <t>GPBA</t>
  </si>
  <si>
    <t>Glucagon</t>
  </si>
  <si>
    <t>GLP-2</t>
  </si>
  <si>
    <t>GLP-1</t>
  </si>
  <si>
    <t>CT</t>
  </si>
  <si>
    <t>Guide To Pharmacology</t>
  </si>
  <si>
    <t>Acetylcholine</t>
  </si>
  <si>
    <t>Noradrenaline</t>
  </si>
  <si>
    <t>Zn2+</t>
  </si>
  <si>
    <t>Zinc ion</t>
  </si>
  <si>
    <t>C5a anaphylatoxin</t>
  </si>
  <si>
    <t>[Pyr1]-Apelin 13</t>
  </si>
  <si>
    <t>Litocholic acid</t>
  </si>
  <si>
    <t>Kallidin</t>
  </si>
  <si>
    <t>Amylin</t>
  </si>
  <si>
    <t>WIN55,212-2</t>
  </si>
  <si>
    <t>WIN55212-2</t>
  </si>
  <si>
    <t>CCL3 (MIP-1a)</t>
  </si>
  <si>
    <t>macrophage inflammatory protein-1α (MIP-1α)</t>
  </si>
  <si>
    <t>Liver and activation-regulated chemokine (LARC)</t>
  </si>
  <si>
    <t>Interleukin-8</t>
  </si>
  <si>
    <t>CCK8</t>
  </si>
  <si>
    <t>Cholecystokinin 8</t>
  </si>
  <si>
    <t>Corticotropin-releasing factor</t>
  </si>
  <si>
    <t>Urocortin II</t>
  </si>
  <si>
    <t>α-linolenic acid</t>
  </si>
  <si>
    <t>Propionate</t>
  </si>
  <si>
    <t>GLP-2 (1-33)</t>
  </si>
  <si>
    <t>Glucagon-like peptide 2</t>
  </si>
  <si>
    <t>Vasoactive intestinal polypeptide</t>
  </si>
  <si>
    <t>LH-RH</t>
  </si>
  <si>
    <t>Gonadotropin releasing hormone</t>
  </si>
  <si>
    <t>α-melanocyte stimulating hormone</t>
  </si>
  <si>
    <t>γ-MSH</t>
  </si>
  <si>
    <t>γ-melanocyte stimulating hormone</t>
  </si>
  <si>
    <t>Glutamate</t>
  </si>
  <si>
    <t>Neuropeptide Y</t>
  </si>
  <si>
    <t>Nicotinic acid</t>
  </si>
  <si>
    <t>SNC-80</t>
  </si>
  <si>
    <t>NSC707484</t>
  </si>
  <si>
    <t>Dynorphin A</t>
  </si>
  <si>
    <t>DAMGO</t>
  </si>
  <si>
    <t>2-Ala-4-mephe-5-gly-enkephalin</t>
  </si>
  <si>
    <t>Nociceptin</t>
  </si>
  <si>
    <t>UTP</t>
  </si>
  <si>
    <t>Uridine 5'-triphosphate</t>
  </si>
  <si>
    <t>PGD2</t>
  </si>
  <si>
    <t>Prostaglandin E5</t>
  </si>
  <si>
    <t>PGE2</t>
  </si>
  <si>
    <t>Prostaglandin E4</t>
  </si>
  <si>
    <t>Prostaglandin E3</t>
  </si>
  <si>
    <t>Somatostatin-14</t>
  </si>
  <si>
    <t>AVP</t>
  </si>
  <si>
    <t>Oxytocin</t>
  </si>
  <si>
    <t>LTD4</t>
  </si>
  <si>
    <t>LTB4</t>
  </si>
  <si>
    <t>Angiotensin II</t>
  </si>
  <si>
    <t>3-HOA</t>
  </si>
  <si>
    <t>3-hydroxy octanoic acid</t>
  </si>
  <si>
    <t>O-LPA</t>
  </si>
  <si>
    <t>Gastric inhibitory polypeptide</t>
  </si>
  <si>
    <t>GLP-1 (7-36)</t>
  </si>
  <si>
    <t>Glucagon-like peptide 1</t>
  </si>
  <si>
    <t xml:space="preserve">SLIGKV-NH2 </t>
  </si>
  <si>
    <t>RFRP3</t>
  </si>
  <si>
    <t>Neuropeptide RFRP-3</t>
  </si>
  <si>
    <t>7α-25 dihydroxycholesterol</t>
  </si>
  <si>
    <t>PTH (1-34)</t>
  </si>
  <si>
    <t>Undecanoic acid</t>
  </si>
  <si>
    <t>CXCL12</t>
  </si>
  <si>
    <t>Stromal cell-derived factor</t>
  </si>
  <si>
    <t>pH (proton)</t>
  </si>
  <si>
    <t>Ligand renamed - Bouvier</t>
  </si>
  <si>
    <t>Ligand - Bouvier</t>
  </si>
  <si>
    <t>Epi</t>
  </si>
  <si>
    <t>NT8-13</t>
  </si>
  <si>
    <t>5-HT</t>
  </si>
  <si>
    <t>Epinephrine</t>
  </si>
  <si>
    <t>Neurotensin8-13</t>
  </si>
  <si>
    <r>
      <t xml:space="preserve">Receptor
</t>
    </r>
    <r>
      <rPr>
        <sz val="12"/>
        <color theme="1"/>
        <rFont val="Calibri"/>
        <family val="2"/>
        <scheme val="minor"/>
      </rPr>
      <t>(UniProt)</t>
    </r>
  </si>
  <si>
    <t>Rhodopsin</t>
  </si>
  <si>
    <t>OPSD</t>
  </si>
  <si>
    <t>Inoue</t>
  </si>
  <si>
    <t>Bouvier</t>
  </si>
  <si>
    <t>A2A</t>
  </si>
  <si>
    <t>G12/13</t>
  </si>
  <si>
    <t>Gq/11</t>
  </si>
  <si>
    <t>Gi/o</t>
  </si>
  <si>
    <t>Gs</t>
  </si>
  <si>
    <t>Class</t>
  </si>
  <si>
    <t>log(Emax
/EC50)
GsL</t>
  </si>
  <si>
    <t>log(Emax
/EC50)
Golf</t>
  </si>
  <si>
    <t>log(Emax
/EC50)
Gi1</t>
  </si>
  <si>
    <t>log(Emax
/EC50)
Gi2</t>
  </si>
  <si>
    <t>log(Emax
/EC50)
Gi3</t>
  </si>
  <si>
    <t>log(Emax
/EC50)
GoA</t>
  </si>
  <si>
    <t>log(Emax
/EC50)
GoB</t>
  </si>
  <si>
    <t>log(Emax
/EC50)
Gz</t>
  </si>
  <si>
    <t>log(Emax
/EC50)
Gq</t>
  </si>
  <si>
    <t>log(Emax
/EC50)
G11</t>
  </si>
  <si>
    <t>log(Emax
/EC50)
G15</t>
  </si>
  <si>
    <t>log(Emax
/EC50)
G12</t>
  </si>
  <si>
    <t>log(Emax
/EC50)
G13</t>
  </si>
  <si>
    <t>Emax
GsS</t>
  </si>
  <si>
    <t>Emax
GsL</t>
  </si>
  <si>
    <t>Emax
Golf</t>
  </si>
  <si>
    <t>Emax
Gi1</t>
  </si>
  <si>
    <t>Emax
Gi2</t>
  </si>
  <si>
    <t>Emax
Gi3</t>
  </si>
  <si>
    <t>Emax
GoA</t>
  </si>
  <si>
    <t>Emax
GoB</t>
  </si>
  <si>
    <t>Emax
Gz</t>
  </si>
  <si>
    <t>Emax
Ggust</t>
  </si>
  <si>
    <t>Emax
Gq</t>
  </si>
  <si>
    <t>Emax
G11</t>
  </si>
  <si>
    <t>Emax
G15</t>
  </si>
  <si>
    <t>Emax
G12</t>
  </si>
  <si>
    <t>Emax
G13</t>
  </si>
  <si>
    <t>pEC50
GsS</t>
  </si>
  <si>
    <t>pEC50
GsL</t>
  </si>
  <si>
    <t>pEC50
Golf</t>
  </si>
  <si>
    <t>pEC50
Gi1</t>
  </si>
  <si>
    <t>pEC50
Gi2</t>
  </si>
  <si>
    <t>pEC50
Gi3</t>
  </si>
  <si>
    <t>pEC50
GoA</t>
  </si>
  <si>
    <t>pEC50
GoB</t>
  </si>
  <si>
    <t>pEC50
Gz</t>
  </si>
  <si>
    <t>pEC50
Ggust</t>
  </si>
  <si>
    <t>pEC50
Gq</t>
  </si>
  <si>
    <t>pEC50
G11</t>
  </si>
  <si>
    <t>pEC50
G15</t>
  </si>
  <si>
    <t>pEC50
G12</t>
  </si>
  <si>
    <t>pEC50
G13</t>
  </si>
  <si>
    <t>pEC50
G14</t>
  </si>
  <si>
    <t>log(Emax
/EC50)
G14</t>
  </si>
  <si>
    <t>Emax
G14</t>
  </si>
  <si>
    <t>#SDs
Gi1</t>
  </si>
  <si>
    <t>#SDs
Gi2</t>
  </si>
  <si>
    <t>#SDs
GoA</t>
  </si>
  <si>
    <t>#SDs
GoB</t>
  </si>
  <si>
    <t>#SDs
Gz</t>
  </si>
  <si>
    <t>#SDs
Gq</t>
  </si>
  <si>
    <t>#SDs
G11</t>
  </si>
  <si>
    <t>#SDs
G14</t>
  </si>
  <si>
    <t>#SDs
G15</t>
  </si>
  <si>
    <t>#SDs
G12</t>
  </si>
  <si>
    <t>#SDs
G13</t>
  </si>
  <si>
    <t>Emax
βarr1
/GRK2</t>
  </si>
  <si>
    <t>Emax
βarr2</t>
  </si>
  <si>
    <t>Emax
βarr2
/GRK2</t>
  </si>
  <si>
    <t>Basal
SD
GsSL</t>
  </si>
  <si>
    <t>Basal
SD
Gi1</t>
  </si>
  <si>
    <t>Basal
SD
Gi2</t>
  </si>
  <si>
    <t>Basal
SD
GoA</t>
  </si>
  <si>
    <t>Basal
SD
GoB</t>
  </si>
  <si>
    <t>Basal
SD
Gz</t>
  </si>
  <si>
    <t>Basal
SD
Gq</t>
  </si>
  <si>
    <t>Basal
SD
G11</t>
  </si>
  <si>
    <t>Basal
SD
G14</t>
  </si>
  <si>
    <t>Basal
SD
G15</t>
  </si>
  <si>
    <t>Basal
SD
G12</t>
  </si>
  <si>
    <t>Basal
SD
G13</t>
  </si>
  <si>
    <t>Basal
SD
βarr1
/GRK2</t>
  </si>
  <si>
    <t>Basal
SD
βarr2</t>
  </si>
  <si>
    <t>Basal
SD
βarr2
/GRK2</t>
  </si>
  <si>
    <t>#SDs
GsL</t>
  </si>
  <si>
    <t>Emax
β2</t>
  </si>
  <si>
    <t>Emax
β1/GRK2</t>
  </si>
  <si>
    <t>Emax
β2/GRK2</t>
  </si>
  <si>
    <t>pEC50
β2</t>
  </si>
  <si>
    <t>pEC50
β1/GRK2</t>
  </si>
  <si>
    <t>pEC50
β2/GRK2</t>
  </si>
  <si>
    <t>#SDs
β2</t>
  </si>
  <si>
    <t>#SDs
β1/GRK2</t>
  </si>
  <si>
    <t>#SDs
β2/GRK2</t>
  </si>
  <si>
    <t>BRET buffer</t>
  </si>
  <si>
    <t>N/A</t>
  </si>
  <si>
    <t>GenScript</t>
  </si>
  <si>
    <t>Tocris</t>
  </si>
  <si>
    <t>G15</t>
  </si>
  <si>
    <t>Gq</t>
  </si>
  <si>
    <t>Aminergic</t>
  </si>
  <si>
    <t>Cayman Chemical</t>
  </si>
  <si>
    <t>NM_000685, NM_005458</t>
  </si>
  <si>
    <t>GABBR20000</t>
  </si>
  <si>
    <t>GenScript/cDNA Resource Center</t>
  </si>
  <si>
    <t>Amino Acid</t>
  </si>
  <si>
    <t>Different</t>
  </si>
  <si>
    <t>NR</t>
  </si>
  <si>
    <t>GABBR1/GABBR2</t>
  </si>
  <si>
    <t>Wash three times</t>
  </si>
  <si>
    <t>NM_000845</t>
  </si>
  <si>
    <t>GRM8000000</t>
  </si>
  <si>
    <t>cDNA Resource Center</t>
  </si>
  <si>
    <t>MilliporeSigma</t>
  </si>
  <si>
    <t>L-Glutamic Acid</t>
  </si>
  <si>
    <t>Same</t>
  </si>
  <si>
    <t/>
  </si>
  <si>
    <t>Wash nine times</t>
  </si>
  <si>
    <t>NM_000844</t>
  </si>
  <si>
    <t>GRM7000001</t>
  </si>
  <si>
    <t>GRM7</t>
  </si>
  <si>
    <t>NM_000843</t>
  </si>
  <si>
    <t>GRM6000000</t>
  </si>
  <si>
    <t>Wash four times</t>
  </si>
  <si>
    <t>NM_001143831</t>
  </si>
  <si>
    <t>GRM4000000</t>
  </si>
  <si>
    <t>No wash</t>
  </si>
  <si>
    <t>GRM3000000</t>
  </si>
  <si>
    <t>GRM3</t>
  </si>
  <si>
    <t>NM_000839</t>
  </si>
  <si>
    <t>GRM2000000</t>
  </si>
  <si>
    <t>NM_001278064</t>
  </si>
  <si>
    <t>GRM1</t>
  </si>
  <si>
    <t>AY449734</t>
  </si>
  <si>
    <t>CRHR200000</t>
  </si>
  <si>
    <t>AS-24254</t>
  </si>
  <si>
    <t>AnaSpec</t>
  </si>
  <si>
    <t>CRF (CRH)</t>
  </si>
  <si>
    <t>B</t>
  </si>
  <si>
    <t>CRHR2</t>
  </si>
  <si>
    <t>AY457172</t>
  </si>
  <si>
    <t>CRHR100000</t>
  </si>
  <si>
    <t>CRHR1</t>
  </si>
  <si>
    <t>AY366498</t>
  </si>
  <si>
    <t>ACP1R10000</t>
  </si>
  <si>
    <t>J63980</t>
  </si>
  <si>
    <t>Alfa Aesar</t>
  </si>
  <si>
    <t>PACAPR</t>
  </si>
  <si>
    <t>NM_003382</t>
  </si>
  <si>
    <t>VIPR200000</t>
  </si>
  <si>
    <t>VIPR2</t>
  </si>
  <si>
    <t>NM_004624</t>
  </si>
  <si>
    <t>VIPR100000</t>
  </si>
  <si>
    <t>AY497546</t>
  </si>
  <si>
    <t>PTHR200000</t>
  </si>
  <si>
    <t>Parathyroid Hormone (1-34)</t>
  </si>
  <si>
    <t>AY449732</t>
  </si>
  <si>
    <t>PTHR100000</t>
  </si>
  <si>
    <t>with RAMP1</t>
  </si>
  <si>
    <t>AY389506</t>
  </si>
  <si>
    <t>CALCRL0000</t>
  </si>
  <si>
    <t>H-1470</t>
  </si>
  <si>
    <t>Bachem</t>
  </si>
  <si>
    <t>α-CGRP</t>
  </si>
  <si>
    <t>CALCRL</t>
  </si>
  <si>
    <t>CALRL</t>
  </si>
  <si>
    <t>AY430048</t>
  </si>
  <si>
    <t>CALCR00000</t>
  </si>
  <si>
    <t>AS-20674</t>
  </si>
  <si>
    <t>AY462218</t>
  </si>
  <si>
    <t>SCTR000000</t>
  </si>
  <si>
    <t>Secretin</t>
  </si>
  <si>
    <t>SCTR</t>
  </si>
  <si>
    <t>NM_004246</t>
  </si>
  <si>
    <t>GLP2R00000</t>
  </si>
  <si>
    <t>GLP2</t>
  </si>
  <si>
    <t>NM_002062</t>
  </si>
  <si>
    <t>RP-1506</t>
  </si>
  <si>
    <t>Alfa Diagnostic International</t>
  </si>
  <si>
    <t>GLP1 (7-36)</t>
  </si>
  <si>
    <t>AY557192</t>
  </si>
  <si>
    <t>GHRHR00000</t>
  </si>
  <si>
    <t>CS-5901</t>
  </si>
  <si>
    <t>ChemScene LLC</t>
  </si>
  <si>
    <t>GHRHR</t>
  </si>
  <si>
    <t>NM_000164</t>
  </si>
  <si>
    <t>Abbiotec</t>
  </si>
  <si>
    <t>NM_000160</t>
  </si>
  <si>
    <t>GCGR000000</t>
  </si>
  <si>
    <t>HOR-286</t>
  </si>
  <si>
    <t>Peptide International</t>
  </si>
  <si>
    <t>GCGR</t>
  </si>
  <si>
    <t>NM_080818</t>
  </si>
  <si>
    <t>OXGR100000</t>
  </si>
  <si>
    <t>K3752</t>
  </si>
  <si>
    <t>Dicarboxylic acid</t>
  </si>
  <si>
    <t>α-Ketoglutaric acid</t>
  </si>
  <si>
    <t>NM_033050</t>
  </si>
  <si>
    <t>SUCNR10000</t>
  </si>
  <si>
    <t>S0100-25G</t>
  </si>
  <si>
    <t>Fisher Scientific</t>
  </si>
  <si>
    <t>Succinate</t>
  </si>
  <si>
    <t>SUCNR1</t>
  </si>
  <si>
    <t>NM_170699</t>
  </si>
  <si>
    <t>B20061</t>
  </si>
  <si>
    <t>Steroid</t>
  </si>
  <si>
    <t>Deoxycholic acid</t>
  </si>
  <si>
    <t>GPBAR1</t>
  </si>
  <si>
    <t>NM_016083</t>
  </si>
  <si>
    <t>CNR0100001</t>
  </si>
  <si>
    <t>Lipid</t>
  </si>
  <si>
    <t>Anandamide</t>
  </si>
  <si>
    <t>AY429110</t>
  </si>
  <si>
    <t>TXA2R00000</t>
  </si>
  <si>
    <t>PTGH2</t>
  </si>
  <si>
    <t>TBXA2R</t>
  </si>
  <si>
    <t>AY507142</t>
  </si>
  <si>
    <t>CRTH200000</t>
  </si>
  <si>
    <t>PTGDR2</t>
  </si>
  <si>
    <t>NM_000953</t>
  </si>
  <si>
    <t>PTGDR00000</t>
  </si>
  <si>
    <t>PTGDR</t>
  </si>
  <si>
    <t>AY429109</t>
  </si>
  <si>
    <t>PER0400000</t>
  </si>
  <si>
    <t>PTGER4</t>
  </si>
  <si>
    <t>NM_198719</t>
  </si>
  <si>
    <t>PTGER3</t>
  </si>
  <si>
    <t>AY275471</t>
  </si>
  <si>
    <t>PER0200000</t>
  </si>
  <si>
    <t>PTGER2</t>
  </si>
  <si>
    <t>Serum starvation (4hrs)</t>
  </si>
  <si>
    <t>AY275470</t>
  </si>
  <si>
    <t>PER0100000</t>
  </si>
  <si>
    <t>PTGER1</t>
  </si>
  <si>
    <t>AY242129</t>
  </si>
  <si>
    <t>CXCR400000</t>
  </si>
  <si>
    <t>350-NS</t>
  </si>
  <si>
    <t>S&amp;D Systems</t>
  </si>
  <si>
    <t>500 ng/ml</t>
  </si>
  <si>
    <t>Protein</t>
  </si>
  <si>
    <t>SDF-1α (CXCL12α)</t>
  </si>
  <si>
    <t>NM_032551</t>
  </si>
  <si>
    <t>KISS1R0000</t>
  </si>
  <si>
    <t>J65487</t>
  </si>
  <si>
    <t>KISS1R</t>
  </si>
  <si>
    <t>NM_001053</t>
  </si>
  <si>
    <t>SSTR500000</t>
  </si>
  <si>
    <t>H-1490.0005</t>
  </si>
  <si>
    <t>SSTR5</t>
  </si>
  <si>
    <t>SSTR400000</t>
  </si>
  <si>
    <t>SSTR4</t>
  </si>
  <si>
    <t>AY322541</t>
  </si>
  <si>
    <t>SSTR300000</t>
  </si>
  <si>
    <t>SSTR3</t>
  </si>
  <si>
    <t>AY236542</t>
  </si>
  <si>
    <t>SSTR200000</t>
  </si>
  <si>
    <t>SSTR2</t>
  </si>
  <si>
    <t xml:space="preserve">SSTR100000	</t>
  </si>
  <si>
    <t>SSTR1</t>
  </si>
  <si>
    <t>NM_022146</t>
  </si>
  <si>
    <t>NPFFR10000</t>
  </si>
  <si>
    <t>NPFFR1</t>
  </si>
  <si>
    <t>AY322551</t>
  </si>
  <si>
    <t>CCKBR00000</t>
  </si>
  <si>
    <t>Cholecystokinin</t>
  </si>
  <si>
    <t>CCKBR</t>
  </si>
  <si>
    <t>AY322549</t>
  </si>
  <si>
    <t>CCKAR00000</t>
  </si>
  <si>
    <t>AY389507</t>
  </si>
  <si>
    <t>OXTR000000</t>
  </si>
  <si>
    <t>AS-24276</t>
  </si>
  <si>
    <t>OXTR</t>
  </si>
  <si>
    <t>NM_001526</t>
  </si>
  <si>
    <t>ab141330</t>
  </si>
  <si>
    <t>AbCam</t>
  </si>
  <si>
    <t>Orexin B</t>
  </si>
  <si>
    <t>HCRTR2</t>
  </si>
  <si>
    <t>NM_001525</t>
  </si>
  <si>
    <t>HCR0100000</t>
  </si>
  <si>
    <t>ab120212</t>
  </si>
  <si>
    <t>Orexin A</t>
  </si>
  <si>
    <t>HCRTR1</t>
  </si>
  <si>
    <t>AY429106</t>
  </si>
  <si>
    <t>NTSR100000</t>
  </si>
  <si>
    <t>1909/1</t>
  </si>
  <si>
    <t>R&amp;D Systems</t>
  </si>
  <si>
    <t>NTSR1</t>
  </si>
  <si>
    <t>AY462099</t>
  </si>
  <si>
    <t>TACR300000</t>
  </si>
  <si>
    <t>4010836.0001</t>
  </si>
  <si>
    <t>Neurokinin B</t>
  </si>
  <si>
    <t>TACR3</t>
  </si>
  <si>
    <t>AY322545</t>
  </si>
  <si>
    <t>TACR200000</t>
  </si>
  <si>
    <t>J66817</t>
  </si>
  <si>
    <t>TACR2</t>
  </si>
  <si>
    <t>AY462098</t>
  </si>
  <si>
    <t>TACR100000</t>
  </si>
  <si>
    <t>ab120170</t>
  </si>
  <si>
    <t>Substance P</t>
  </si>
  <si>
    <t>TACR1</t>
  </si>
  <si>
    <t>AY322538</t>
  </si>
  <si>
    <t>NPYR500000</t>
  </si>
  <si>
    <t>J66797</t>
  </si>
  <si>
    <t>AY268432</t>
  </si>
  <si>
    <t>NPYR400000</t>
  </si>
  <si>
    <t>NPY4R</t>
  </si>
  <si>
    <t>AY236540</t>
  </si>
  <si>
    <t>NPYR200000</t>
  </si>
  <si>
    <t>NPY2R</t>
  </si>
  <si>
    <t>AY548168</t>
  </si>
  <si>
    <t>NPYR100000</t>
  </si>
  <si>
    <t>with MRAP</t>
  </si>
  <si>
    <t>NM_005913</t>
  </si>
  <si>
    <t>MCR0500000</t>
  </si>
  <si>
    <t>AY236539</t>
  </si>
  <si>
    <t>MCR0400000</t>
  </si>
  <si>
    <t>AY227893</t>
  </si>
  <si>
    <t>MCR0300000</t>
  </si>
  <si>
    <t>NM_002386</t>
  </si>
  <si>
    <t>MCR0100000</t>
  </si>
  <si>
    <t>MC1R</t>
  </si>
  <si>
    <t>AY275465</t>
  </si>
  <si>
    <t>BDKB200000</t>
  </si>
  <si>
    <t>Bradykinin</t>
  </si>
  <si>
    <t>BDKRB2</t>
  </si>
  <si>
    <t>AY242131</t>
  </si>
  <si>
    <t>AVR0200000</t>
  </si>
  <si>
    <t>AVPR2</t>
  </si>
  <si>
    <t>NM_000707</t>
  </si>
  <si>
    <t>AVR01B0000</t>
  </si>
  <si>
    <t>AVPR1B</t>
  </si>
  <si>
    <t>AY322550</t>
  </si>
  <si>
    <t>AVR01A0000</t>
  </si>
  <si>
    <t>AVPR1A</t>
  </si>
  <si>
    <t>NM_005161</t>
  </si>
  <si>
    <t>AGTL100000</t>
  </si>
  <si>
    <t>Apelin-17</t>
  </si>
  <si>
    <t>Apelin receptor</t>
  </si>
  <si>
    <t>AY585193</t>
  </si>
  <si>
    <t>BRS0300000</t>
  </si>
  <si>
    <t>AS-60134-1</t>
  </si>
  <si>
    <t>[D-Tyr6, β-Ala11, Phe13, Nle14]-Bombesin (6-14)</t>
  </si>
  <si>
    <t>BRS3</t>
  </si>
  <si>
    <t>NM_005314</t>
  </si>
  <si>
    <t>GRPR000000</t>
  </si>
  <si>
    <t>AS-24214</t>
  </si>
  <si>
    <t>Gastrin-releasing peptide</t>
  </si>
  <si>
    <t>AY275463</t>
  </si>
  <si>
    <t>EDNRB00000</t>
  </si>
  <si>
    <t>J66594</t>
  </si>
  <si>
    <t>Endothelin-2</t>
  </si>
  <si>
    <t>AY275462</t>
  </si>
  <si>
    <t>EDNRA00000</t>
  </si>
  <si>
    <t>AY268428</t>
  </si>
  <si>
    <t>OPRL100000</t>
  </si>
  <si>
    <t>0910</t>
  </si>
  <si>
    <t>OPRL1</t>
  </si>
  <si>
    <t>AF498922</t>
  </si>
  <si>
    <t>OPRK100000</t>
  </si>
  <si>
    <t>Gi/o, G12/13</t>
  </si>
  <si>
    <t>OPRK1</t>
  </si>
  <si>
    <t>KOR</t>
  </si>
  <si>
    <t>NM_000911</t>
  </si>
  <si>
    <t>OPRD100000</t>
  </si>
  <si>
    <t>Enkephalin</t>
  </si>
  <si>
    <t>OPRD1</t>
  </si>
  <si>
    <t>DOR</t>
  </si>
  <si>
    <t>AY521028</t>
  </si>
  <si>
    <t>OPRM100000</t>
  </si>
  <si>
    <t>Endomorphin 1</t>
  </si>
  <si>
    <t>OPRM1</t>
  </si>
  <si>
    <t>MOR</t>
  </si>
  <si>
    <t>AY587582</t>
  </si>
  <si>
    <t>GALR300000</t>
  </si>
  <si>
    <t>J66251</t>
  </si>
  <si>
    <t>NM_003857</t>
  </si>
  <si>
    <t>GALR200000</t>
  </si>
  <si>
    <t>AY541036</t>
  </si>
  <si>
    <t>GALR100000</t>
  </si>
  <si>
    <t>AY136749</t>
  </si>
  <si>
    <t>ADRA300000</t>
  </si>
  <si>
    <t>cDAN Resource Center</t>
  </si>
  <si>
    <t>Nucleotide</t>
  </si>
  <si>
    <t>ADORA3</t>
  </si>
  <si>
    <t>AY136748</t>
  </si>
  <si>
    <t>ADRA2B0000</t>
  </si>
  <si>
    <t>ADORA2B</t>
  </si>
  <si>
    <t>ADRA2A0000</t>
  </si>
  <si>
    <t>ADORA2A</t>
  </si>
  <si>
    <t>AY136746</t>
  </si>
  <si>
    <t>ADRA100000</t>
  </si>
  <si>
    <t>ADORA1</t>
  </si>
  <si>
    <t>AY521019</t>
  </si>
  <si>
    <t>MTNR1B0000</t>
  </si>
  <si>
    <t>MTNR1B</t>
  </si>
  <si>
    <t>NM_005958</t>
  </si>
  <si>
    <t>MTNR1A0000</t>
  </si>
  <si>
    <t>MTNR1A</t>
  </si>
  <si>
    <t>NM_007232</t>
  </si>
  <si>
    <t>HRH0300000</t>
  </si>
  <si>
    <t>3545/50</t>
  </si>
  <si>
    <t>AY136744</t>
  </si>
  <si>
    <t>HRH0200000</t>
  </si>
  <si>
    <t>AY136743</t>
  </si>
  <si>
    <t>HRH0100000</t>
  </si>
  <si>
    <t>NM_000798</t>
  </si>
  <si>
    <t>DRD0500000</t>
  </si>
  <si>
    <t>NM_000797</t>
  </si>
  <si>
    <t>DRD0400000</t>
  </si>
  <si>
    <t>NM_000796</t>
  </si>
  <si>
    <t>DRD03A0000</t>
  </si>
  <si>
    <t>NM_000795</t>
  </si>
  <si>
    <t>DRD0200001</t>
  </si>
  <si>
    <t>NM_000794</t>
  </si>
  <si>
    <t>DRD0100000</t>
  </si>
  <si>
    <t>AY487247</t>
  </si>
  <si>
    <t xml:space="preserve">	AR0B300000</t>
  </si>
  <si>
    <t>E4250</t>
  </si>
  <si>
    <t>Sigma-Aldrich</t>
  </si>
  <si>
    <t>Adrenaline</t>
  </si>
  <si>
    <t>NM_000024</t>
  </si>
  <si>
    <t>AR0B200000</t>
  </si>
  <si>
    <t>NM_000684</t>
  </si>
  <si>
    <t>AY455666</t>
  </si>
  <si>
    <t>AR0A2C0000</t>
  </si>
  <si>
    <t>ADRA2C</t>
  </si>
  <si>
    <t>NM_000682</t>
  </si>
  <si>
    <t>AR0A2B0000</t>
  </si>
  <si>
    <t>ADRA2B</t>
  </si>
  <si>
    <t>NM_000681</t>
  </si>
  <si>
    <t>AR0A2A0000</t>
  </si>
  <si>
    <t>ADRA2A</t>
  </si>
  <si>
    <t>NM_000678</t>
  </si>
  <si>
    <t>ADRA1D</t>
  </si>
  <si>
    <t>AR0A1B0000</t>
  </si>
  <si>
    <t>ADRA1B</t>
  </si>
  <si>
    <t>NM_000680</t>
  </si>
  <si>
    <t>AR0A1A0001</t>
  </si>
  <si>
    <t>ADRA1A</t>
  </si>
  <si>
    <t>AF498919</t>
  </si>
  <si>
    <t>MAR0500000</t>
  </si>
  <si>
    <t>CHRM5</t>
  </si>
  <si>
    <t>AF498918</t>
  </si>
  <si>
    <t>MAR0400000</t>
  </si>
  <si>
    <t>CHRM4</t>
  </si>
  <si>
    <t>AF498917</t>
  </si>
  <si>
    <t>MAR0300000</t>
  </si>
  <si>
    <t>CHRM3</t>
  </si>
  <si>
    <t>AF498916</t>
  </si>
  <si>
    <t>MAR0200000</t>
  </si>
  <si>
    <t>CHRM2</t>
  </si>
  <si>
    <t>AF498915</t>
  </si>
  <si>
    <t>MAR0100000</t>
  </si>
  <si>
    <t>CHRM1</t>
  </si>
  <si>
    <t>4hrs serum starvation</t>
  </si>
  <si>
    <t>NM_019860</t>
  </si>
  <si>
    <t>HTR07B0000</t>
  </si>
  <si>
    <t>8.1-9.6 (pKi)</t>
  </si>
  <si>
    <t>HTR7</t>
  </si>
  <si>
    <t>Overnight serum starvation</t>
  </si>
  <si>
    <t>NM_000872</t>
  </si>
  <si>
    <t>HTR07A0000</t>
  </si>
  <si>
    <t>AY429105</t>
  </si>
  <si>
    <t>HTR0600000</t>
  </si>
  <si>
    <t>HTR6</t>
  </si>
  <si>
    <t>AF498985</t>
  </si>
  <si>
    <t>HTR05A0000</t>
  </si>
  <si>
    <t>HTR5A</t>
  </si>
  <si>
    <t>NM_000870</t>
  </si>
  <si>
    <t>HTR040000B</t>
  </si>
  <si>
    <t>HTR4</t>
  </si>
  <si>
    <t>NM_000868</t>
  </si>
  <si>
    <t>HTR02C0000</t>
  </si>
  <si>
    <t>HTR2C</t>
  </si>
  <si>
    <t>AY136751</t>
  </si>
  <si>
    <t>HTR02B0000</t>
  </si>
  <si>
    <t>HTR2B</t>
  </si>
  <si>
    <t>NM_000621</t>
  </si>
  <si>
    <t>HTR02A0001</t>
  </si>
  <si>
    <t>HTR2A</t>
  </si>
  <si>
    <t>AF498981</t>
  </si>
  <si>
    <t>HTR01F0000</t>
  </si>
  <si>
    <t>HTR1F</t>
  </si>
  <si>
    <t>AF498980</t>
  </si>
  <si>
    <t>HTR01E0000</t>
  </si>
  <si>
    <t>HTR1E</t>
  </si>
  <si>
    <t>AF498979</t>
  </si>
  <si>
    <t>HTR01D0000</t>
  </si>
  <si>
    <t>HTR1D</t>
  </si>
  <si>
    <t>AY225227</t>
  </si>
  <si>
    <t>HTR01BTN00</t>
  </si>
  <si>
    <t>HTR1B</t>
  </si>
  <si>
    <t>AF498978</t>
  </si>
  <si>
    <t>HTR01A0000</t>
  </si>
  <si>
    <t>HTR1A</t>
  </si>
  <si>
    <t>NM_005684</t>
  </si>
  <si>
    <t>GPR0520000</t>
  </si>
  <si>
    <t>Orphan</t>
  </si>
  <si>
    <t>FTBMT</t>
  </si>
  <si>
    <t>GPR52</t>
  </si>
  <si>
    <t>Cat. No.</t>
  </si>
  <si>
    <t>Vendor</t>
  </si>
  <si>
    <t>Affinity (GtoPdb)</t>
  </si>
  <si>
    <t>Note</t>
  </si>
  <si>
    <t>Buffer</t>
  </si>
  <si>
    <t>GenBank</t>
  </si>
  <si>
    <t>Source</t>
  </si>
  <si>
    <t>Promiscuity</t>
  </si>
  <si>
    <t>GoA</t>
  </si>
  <si>
    <t>GsL</t>
  </si>
  <si>
    <t>G13</t>
  </si>
  <si>
    <t>HGNC
gene
symbol</t>
  </si>
  <si>
    <t>Max
BRET
SEM
GoA</t>
  </si>
  <si>
    <t>Max
BRET
SEM
Gq</t>
  </si>
  <si>
    <t>Max
BRET
SEM
G15</t>
  </si>
  <si>
    <t>Max
BRET
SEM
GsL</t>
  </si>
  <si>
    <t>Max
BRET
SEM
G13</t>
  </si>
  <si>
    <t>Kon
mean
GoA</t>
  </si>
  <si>
    <t>Kon
SEM
GoA</t>
  </si>
  <si>
    <t>Kon
mean
Gq</t>
  </si>
  <si>
    <t>Kon
SEM
Gq</t>
  </si>
  <si>
    <t>Kon
mean
G15</t>
  </si>
  <si>
    <t>Kon
SEM
G15</t>
  </si>
  <si>
    <t>Kon
mean
GsL</t>
  </si>
  <si>
    <t>Kon
SEM
GsL</t>
  </si>
  <si>
    <t>Kon
mean
G13</t>
  </si>
  <si>
    <t>Kon
SEM
G13</t>
  </si>
  <si>
    <t>Calcitonin receptors</t>
  </si>
  <si>
    <t>B1 (Secretin)</t>
  </si>
  <si>
    <t>AMY3</t>
  </si>
  <si>
    <t>14723707|16885213</t>
  </si>
  <si>
    <t>Phospholipase A2 stimulation</t>
  </si>
  <si>
    <t>Frizzled</t>
  </si>
  <si>
    <t>Protein receptors</t>
  </si>
  <si>
    <t>F (Frizzled)</t>
  </si>
  <si>
    <t>SMOH</t>
  </si>
  <si>
    <t>SMO</t>
  </si>
  <si>
    <t>Q99835</t>
  </si>
  <si>
    <t>FZD10</t>
  </si>
  <si>
    <t>Q9ULW2</t>
  </si>
  <si>
    <t>FZD3</t>
  </si>
  <si>
    <t>FZD9</t>
  </si>
  <si>
    <t>O00144</t>
  </si>
  <si>
    <t>Other - See Comments</t>
  </si>
  <si>
    <t>Gs, Gi/o</t>
  </si>
  <si>
    <t>FZD7</t>
  </si>
  <si>
    <t>O75084</t>
  </si>
  <si>
    <t>Gi/o, Gq/11, G protein independent mechanism</t>
  </si>
  <si>
    <t>FZD6</t>
  </si>
  <si>
    <t>17614820|16602827</t>
  </si>
  <si>
    <t>FZD4</t>
  </si>
  <si>
    <t>Q9ULV1</t>
  </si>
  <si>
    <t>12471263|16920709|17684012</t>
  </si>
  <si>
    <t>Calcium channel, Other - See Comments</t>
  </si>
  <si>
    <t>Gi/o, G protein (identity unknown)</t>
  </si>
  <si>
    <t>FZD2</t>
  </si>
  <si>
    <t>16672224|17595165</t>
  </si>
  <si>
    <t>10557084|15923619|16672224|17595165</t>
  </si>
  <si>
    <t>Phospholipase C stimulation, Other - See Comments</t>
  </si>
  <si>
    <t>Gi/o, Gq/11</t>
  </si>
  <si>
    <t>FZD1</t>
  </si>
  <si>
    <t>17804197|18420933</t>
  </si>
  <si>
    <t>Gs, G protein (identity unknown)</t>
  </si>
  <si>
    <t>Q9NPG1</t>
  </si>
  <si>
    <t>24008333|15576628</t>
  </si>
  <si>
    <t>Phospholipase C stimulation</t>
  </si>
  <si>
    <t>Class C Orphans</t>
  </si>
  <si>
    <t>Orphan receptors</t>
  </si>
  <si>
    <t>C (Glutamate)</t>
  </si>
  <si>
    <t>GPRC6A</t>
  </si>
  <si>
    <t>GPC6A</t>
  </si>
  <si>
    <t>9016353|7722646|9473604</t>
  </si>
  <si>
    <t>Adenylate cyclase inhibition</t>
  </si>
  <si>
    <t>Metabotropic glutamate receptors</t>
  </si>
  <si>
    <t>Amino acid receptors</t>
  </si>
  <si>
    <t>GPRC1H;MGLUR8</t>
  </si>
  <si>
    <t>8145723|8288585|9473604|11050109</t>
  </si>
  <si>
    <t>Adenylate cyclase inhibition, Calcium channel</t>
  </si>
  <si>
    <t>GPRC1G;MGLUR7</t>
  </si>
  <si>
    <t>8389366|9215706</t>
  </si>
  <si>
    <t>9407094|11124982</t>
  </si>
  <si>
    <t>GPRC1F;MGLUR6</t>
  </si>
  <si>
    <t>9974152|9131252|7623957</t>
  </si>
  <si>
    <t>7623957|9131252</t>
  </si>
  <si>
    <t>Adenylate cyclase stimulation, Potassium channel, Calcium channel, Phospholipase A2 stimulation, Phospholipase D stimulation, Other - See Comments</t>
  </si>
  <si>
    <t>GPRC1E;MGLUR5</t>
  </si>
  <si>
    <t>7623957|10530808</t>
  </si>
  <si>
    <t>GPRC1D;MGLUR4</t>
  </si>
  <si>
    <t>Adenylate cyclase inhibition, Potassium channel, Calcium channel</t>
  </si>
  <si>
    <t>GPRC1C;MGLUR3</t>
  </si>
  <si>
    <t>7620613|10221750</t>
  </si>
  <si>
    <t>Adenylate cyclase inhibition, Potassium channel</t>
  </si>
  <si>
    <t>GPRC1B;MGLUR2</t>
  </si>
  <si>
    <t>9974152|9131252|19112153|7623957</t>
  </si>
  <si>
    <t>Adenylate cyclase stimulation, Adenylate cyclase inhibition, Phospholipase A2 stimulation, Phospholipase D stimulation, Other - See Comments</t>
  </si>
  <si>
    <t>Gs, Gi/o, G protein independent mechanism</t>
  </si>
  <si>
    <t>GPRC1A;MGLUR1</t>
  </si>
  <si>
    <t>11278341|10217268|9614133|9144337|11208605|9422777|11038250|8806675</t>
  </si>
  <si>
    <t>9556057|3755106|9144337|2462488|12954603</t>
  </si>
  <si>
    <t>Adenylate cyclase stimulation, Potassium channel, Phospholipase A2 stimulation, Phospholipase D stimulation, Other - See Comments</t>
  </si>
  <si>
    <t>Adenylate cyclase inhibition, Phospholipase C stimulation, Phospholipase D stimulation</t>
  </si>
  <si>
    <t>Gq/11, G protein (identity unknown)</t>
  </si>
  <si>
    <t>Gi/o, Gq/11, G12/13</t>
  </si>
  <si>
    <t>Calcium-sensing receptors</t>
  </si>
  <si>
    <t>Ion receptors</t>
  </si>
  <si>
    <t>GPRC2A;PCAR1</t>
  </si>
  <si>
    <t>CASR</t>
  </si>
  <si>
    <t>ADGRG</t>
  </si>
  <si>
    <t>Adhesion receptors</t>
  </si>
  <si>
    <t>B2 (Adhesion)</t>
  </si>
  <si>
    <t>GPR97;PGR26</t>
  </si>
  <si>
    <t>ADGRG3</t>
  </si>
  <si>
    <t>Q86Y34</t>
  </si>
  <si>
    <t>AGRG3</t>
  </si>
  <si>
    <t>Adenylate cyclase stimulation</t>
  </si>
  <si>
    <t>GPR64;HE6;TM7LN2</t>
  </si>
  <si>
    <t>ADGRG2</t>
  </si>
  <si>
    <t>Q8IZP9</t>
  </si>
  <si>
    <t>AGRG2</t>
  </si>
  <si>
    <t>21768377|23001883</t>
  </si>
  <si>
    <t>Gq/11, G12/13</t>
  </si>
  <si>
    <t>GPR56;TM7LN4;TM7XN1;UNQ540/PRO1083</t>
  </si>
  <si>
    <t>ADGRG1</t>
  </si>
  <si>
    <t>Q9Y653</t>
  </si>
  <si>
    <t>AGRG1</t>
  </si>
  <si>
    <t>ADGRD</t>
  </si>
  <si>
    <t>GPR133;PGR25</t>
  </si>
  <si>
    <t>ADGRD1</t>
  </si>
  <si>
    <t>Q6QNK2</t>
  </si>
  <si>
    <t>AGRD1</t>
  </si>
  <si>
    <t>22797060|21978933</t>
  </si>
  <si>
    <t>ADGRE</t>
  </si>
  <si>
    <t>CD97</t>
  </si>
  <si>
    <t>P48960</t>
  </si>
  <si>
    <t>AGRE5</t>
  </si>
  <si>
    <t>EMR2</t>
  </si>
  <si>
    <t>ADGRE2</t>
  </si>
  <si>
    <t>Q9UHX3</t>
  </si>
  <si>
    <t>AGRE2</t>
  </si>
  <si>
    <t>9799228|16301314|9261169|10212487|19124473|21724987|15483624</t>
  </si>
  <si>
    <t>Phospholipase C stimulation, Potassium channel, Calcium channel</t>
  </si>
  <si>
    <t>G protein (identity unknown)</t>
  </si>
  <si>
    <t>ADGRL</t>
  </si>
  <si>
    <t>KIAA0821;</t>
  </si>
  <si>
    <t>AGRL1</t>
  </si>
  <si>
    <t>8993443|11181537|11353814</t>
  </si>
  <si>
    <t>Phospholipase C stimulation, Phospholipase D stimulation</t>
  </si>
  <si>
    <t>VIP and PACAP receptors</t>
  </si>
  <si>
    <t>Peptide receptors</t>
  </si>
  <si>
    <t>VIP2R</t>
  </si>
  <si>
    <t>8993443|9223629|11353814</t>
  </si>
  <si>
    <t>8390245|8074647|208077|8791009</t>
  </si>
  <si>
    <t>Gi/o, Gq/11, G protein (identity unknown)</t>
  </si>
  <si>
    <t>7796937|8663363</t>
  </si>
  <si>
    <t>Gs, Gq/11</t>
  </si>
  <si>
    <t>ADCYAP1R1</t>
  </si>
  <si>
    <t>8732687|9054374|9704578|10856878</t>
  </si>
  <si>
    <t>8732687|8082781|9704578|17040990</t>
  </si>
  <si>
    <t>Parathyroid hormone receptors</t>
  </si>
  <si>
    <t>PTHR;PTHR1</t>
  </si>
  <si>
    <t>Glucagon receptor family</t>
  </si>
  <si>
    <t>Adenylate cyclase stimulation, Calcium channel</t>
  </si>
  <si>
    <t>9326293|7846062|7755719|11416224|7565810|8536644|9199241|9717834|10336722</t>
  </si>
  <si>
    <t>Corticotropin-releasing factor receptors</t>
  </si>
  <si>
    <t>CRF2R;CRH2R</t>
  </si>
  <si>
    <t>8536612|15450949</t>
  </si>
  <si>
    <t>7692441|8274282|8243338|8243652|8536612|9326293|9863624|9851694|11145609|11711031|14761672</t>
  </si>
  <si>
    <t>CRFR;CRFR1;CRHR</t>
  </si>
  <si>
    <t>P34998-2</t>
  </si>
  <si>
    <t>11459804|8732687|25815174|1646739</t>
  </si>
  <si>
    <t>15692146|14623894|25815174</t>
  </si>
  <si>
    <t>P30988-2</t>
  </si>
  <si>
    <t>Class A orphans</t>
  </si>
  <si>
    <t>A (Rhodopsin)</t>
  </si>
  <si>
    <t>MRGX4;SNSR5;SNSR6</t>
  </si>
  <si>
    <t>MRGPRX4</t>
  </si>
  <si>
    <t>Q96LA9</t>
  </si>
  <si>
    <t>MRGX4</t>
  </si>
  <si>
    <t>MRGX3;SNSR1;SNSR2</t>
  </si>
  <si>
    <t>MRGPRX3</t>
  </si>
  <si>
    <t>Q96LB0</t>
  </si>
  <si>
    <t>MRGX3</t>
  </si>
  <si>
    <t>15823563|12915402|16979137</t>
  </si>
  <si>
    <t>Adenylate cyclase inhibition, Phospholipase C stimulation</t>
  </si>
  <si>
    <t>MRGX1;SNSR3;SNSR4</t>
  </si>
  <si>
    <t>17442834|15037631</t>
  </si>
  <si>
    <t>MRGD</t>
  </si>
  <si>
    <t>MRGPRD</t>
  </si>
  <si>
    <t>MRGRD</t>
  </si>
  <si>
    <t>MAS</t>
  </si>
  <si>
    <t>MAS1</t>
  </si>
  <si>
    <t>P04201</t>
  </si>
  <si>
    <t>21796212|21844396|21796211|16540462</t>
  </si>
  <si>
    <t>EBI2</t>
  </si>
  <si>
    <t>GPRG1;PGR3</t>
  </si>
  <si>
    <t>GPR139</t>
  </si>
  <si>
    <t>GP139</t>
  </si>
  <si>
    <t>GPR101</t>
  </si>
  <si>
    <t>Q96P66</t>
  </si>
  <si>
    <t>GP101</t>
  </si>
  <si>
    <t>EX33</t>
  </si>
  <si>
    <t>Q9NQS5</t>
  </si>
  <si>
    <t>UNQ5925/PRO19818</t>
  </si>
  <si>
    <t>GPR78</t>
  </si>
  <si>
    <t>Q96P69</t>
  </si>
  <si>
    <t>GPR75</t>
  </si>
  <si>
    <t>20622109|21907704|12069813|16787916</t>
  </si>
  <si>
    <t>Q15743</t>
  </si>
  <si>
    <t>15618224|19234222|15665078|15326175</t>
  </si>
  <si>
    <t>TDAG8</t>
  </si>
  <si>
    <t>Q8IYL9</t>
  </si>
  <si>
    <t>Gs, G12/13</t>
  </si>
  <si>
    <t>ETBRLP2</t>
  </si>
  <si>
    <t>GPR37L1</t>
  </si>
  <si>
    <t>G37L1</t>
  </si>
  <si>
    <t>GPR37</t>
  </si>
  <si>
    <t>22343749|17628210</t>
  </si>
  <si>
    <t>16720677|15987686|16595170</t>
  </si>
  <si>
    <t>GPR33</t>
  </si>
  <si>
    <t>Q49SQ1</t>
  </si>
  <si>
    <t>GPR31</t>
  </si>
  <si>
    <t>SREB1</t>
  </si>
  <si>
    <t>GPR27</t>
  </si>
  <si>
    <t>Q9NS67</t>
  </si>
  <si>
    <t>GPR26</t>
  </si>
  <si>
    <t>Q8NDV2</t>
  </si>
  <si>
    <t>GPR22</t>
  </si>
  <si>
    <t>Q99680</t>
  </si>
  <si>
    <t>GPR20</t>
  </si>
  <si>
    <t>Q99678</t>
  </si>
  <si>
    <t>16990797|19625605</t>
  </si>
  <si>
    <t>21773766|16990797|19625605</t>
  </si>
  <si>
    <t>12574419|17078925|17284443|12220620</t>
  </si>
  <si>
    <t>Adenylate cyclase stimulation, Adenylate cyclase inhibition</t>
  </si>
  <si>
    <t>GPR12</t>
  </si>
  <si>
    <t>12574419|19059244</t>
  </si>
  <si>
    <t>GPR6</t>
  </si>
  <si>
    <t>Adenylate cyclase stimulation, Phospholipase C stimulation</t>
  </si>
  <si>
    <t>Gs, Gi/o, Gq/11, G12/13</t>
  </si>
  <si>
    <t>GPR19</t>
  </si>
  <si>
    <t>P46093</t>
  </si>
  <si>
    <t>ACCA</t>
  </si>
  <si>
    <t>GPR3</t>
  </si>
  <si>
    <t>Opsins</t>
  </si>
  <si>
    <t>Sensory receptors</t>
  </si>
  <si>
    <t>GPR136;PGR12;TMEM13</t>
  </si>
  <si>
    <t>OPN5</t>
  </si>
  <si>
    <t>Q6U736</t>
  </si>
  <si>
    <t>MOP</t>
  </si>
  <si>
    <t>OPN4</t>
  </si>
  <si>
    <t>Q9UHM6</t>
  </si>
  <si>
    <t>26386312|15141213|23770096</t>
  </si>
  <si>
    <t>Adenylate cyclase inhibition, Phospholipase C stimulation, Other - See Comments</t>
  </si>
  <si>
    <t>Succinate receptors</t>
  </si>
  <si>
    <t>Alicarboxylic acid receptors</t>
  </si>
  <si>
    <t>GPR91</t>
  </si>
  <si>
    <t>SUCR1</t>
  </si>
  <si>
    <t>Oxoglutarate receptors</t>
  </si>
  <si>
    <t>GPR80;GPR99;P2RY15;P2Y15</t>
  </si>
  <si>
    <t>17358052|16389067|15929991|12522134</t>
  </si>
  <si>
    <t>Adenylate cyclase inhibition, Other - See Comments</t>
  </si>
  <si>
    <t>Hydroxycarboxylic acid receptors</t>
  </si>
  <si>
    <t>GPR109B;HCA3;HM74B;NIACR2</t>
  </si>
  <si>
    <t>17452318|16674924|12563315|12522134</t>
  </si>
  <si>
    <t>Adenylate cyclase inhibition, Phospholipase A2 stimulation</t>
  </si>
  <si>
    <t>GPR109A;HCA2;HM74A;NIACR1</t>
  </si>
  <si>
    <t>GPR104;GPR81;HCA1;FKSG80</t>
  </si>
  <si>
    <t>HCAR1</t>
  </si>
  <si>
    <t>15539556|11773440</t>
  </si>
  <si>
    <t>15705806|11043579|15090535</t>
  </si>
  <si>
    <t>Estrogen (G protein-coupled) receptors</t>
  </si>
  <si>
    <t>Steroid receptors</t>
  </si>
  <si>
    <t>CEPR;CMKRL2;DRY12;GPER;GPR30</t>
  </si>
  <si>
    <t>GPER1</t>
  </si>
  <si>
    <t>Bile acid receptors</t>
  </si>
  <si>
    <t>TGR5</t>
  </si>
  <si>
    <t>P2Y receptors</t>
  </si>
  <si>
    <t>Nucleotide receptors</t>
  </si>
  <si>
    <t>GPR86;GPR94;FKSG77</t>
  </si>
  <si>
    <t>P2RY13</t>
  </si>
  <si>
    <t>11156592|10578132</t>
  </si>
  <si>
    <t>P2RY11</t>
  </si>
  <si>
    <t>19008857|19011163</t>
  </si>
  <si>
    <t>PP2891</t>
  </si>
  <si>
    <t>NRU</t>
  </si>
  <si>
    <t>16186116|17452627</t>
  </si>
  <si>
    <t>17609252|17291397</t>
  </si>
  <si>
    <t>P2RU1</t>
  </si>
  <si>
    <t>16957090|18689674</t>
  </si>
  <si>
    <t>15509659|14742685</t>
  </si>
  <si>
    <t>Potassium channel</t>
  </si>
  <si>
    <t>10496952|12817016</t>
  </si>
  <si>
    <t>1323836|7622506</t>
  </si>
  <si>
    <t>Adenosine receptors</t>
  </si>
  <si>
    <t>10496952|7560091</t>
  </si>
  <si>
    <t>ADORA2</t>
  </si>
  <si>
    <t>7798201|15302686</t>
  </si>
  <si>
    <t>7568007|11698691|12957828|11992626|11121382</t>
  </si>
  <si>
    <t>Melatonin receptors</t>
  </si>
  <si>
    <t>10531408|11698691|12957828|11992626</t>
  </si>
  <si>
    <t>7946354|15695169|11698691|12957828|11992626</t>
  </si>
  <si>
    <t>Prostanoid receptors</t>
  </si>
  <si>
    <t>Lipid receptors</t>
  </si>
  <si>
    <t>12016224|7532011</t>
  </si>
  <si>
    <t>7511597|7532011</t>
  </si>
  <si>
    <t>PRIPR</t>
  </si>
  <si>
    <t>PTGIR</t>
  </si>
  <si>
    <t>9462300|8179609</t>
  </si>
  <si>
    <t>PTGFR</t>
  </si>
  <si>
    <t>12566441|15855407|22002714|22012553</t>
  </si>
  <si>
    <t>14559350|15850653</t>
  </si>
  <si>
    <t>GPR105;KIAA0001</t>
  </si>
  <si>
    <t>P2RY14</t>
  </si>
  <si>
    <t>7981210|19769944</t>
  </si>
  <si>
    <t>7981210|7532011|10082673|9013884</t>
  </si>
  <si>
    <t>7532011|14607240</t>
  </si>
  <si>
    <t>12466225|12721327</t>
  </si>
  <si>
    <t>CRTH2;DL1R;GPR44</t>
  </si>
  <si>
    <t>PD2R2</t>
  </si>
  <si>
    <t>16920964|14617636|11309383|14500680|22570732</t>
  </si>
  <si>
    <t>Adenylate cyclase stimulation, Other - See Comments</t>
  </si>
  <si>
    <t>Platelet-activating factor receptors</t>
  </si>
  <si>
    <t>PAFR</t>
  </si>
  <si>
    <t>GPR18, GPR55 and GPR119</t>
  </si>
  <si>
    <t>21718301|18445684</t>
  </si>
  <si>
    <t>16844083|22266325</t>
  </si>
  <si>
    <t>GPCRW</t>
  </si>
  <si>
    <t>GPR18</t>
  </si>
  <si>
    <t>9751186|12037135</t>
  </si>
  <si>
    <t>7565624|7651369|8819477|8647116|8679694|12037135|12084572</t>
  </si>
  <si>
    <t>Cannabinoid receptors</t>
  </si>
  <si>
    <t>CB2A;CB2B</t>
  </si>
  <si>
    <t>9751186|9204917</t>
  </si>
  <si>
    <t>1902257|2869405|1315042|8781498|10362691|7472417|9242259|7777206|8954083|7775459|7556170</t>
  </si>
  <si>
    <t>Adenylate cyclase inhibition, Potassium channel, Calcium channel, Other - See Comments</t>
  </si>
  <si>
    <t>CNR</t>
  </si>
  <si>
    <t>10799507|11069896</t>
  </si>
  <si>
    <t>Lysophospholipid (S1P) receptors</t>
  </si>
  <si>
    <t>EDG8</t>
  </si>
  <si>
    <t>12761884|12875654</t>
  </si>
  <si>
    <t>EDG6</t>
  </si>
  <si>
    <t>S1PR4</t>
  </si>
  <si>
    <t>10383399|10488065</t>
  </si>
  <si>
    <t>EDG3</t>
  </si>
  <si>
    <t>9854026|17283075</t>
  </si>
  <si>
    <t>Adenylate cyclase stimulation, Phospholipase C stimulation, Calcium channel</t>
  </si>
  <si>
    <t>Gs, Gq/11, G12/13</t>
  </si>
  <si>
    <t>EDG5</t>
  </si>
  <si>
    <t>16554657|10446161|9765227</t>
  </si>
  <si>
    <t>Adenylate cyclase inhibition, Phospholipase C stimulation, Calcium channel, Phospholipase D stimulation, Other - See Comments</t>
  </si>
  <si>
    <t>CHEDG1;EDG1</t>
  </si>
  <si>
    <t>19679818|18297070|19386608</t>
  </si>
  <si>
    <t>Adenylate cyclase stimulation, Phospholipase C stimulation, Other - See Comments</t>
  </si>
  <si>
    <t>Gs, Gi/o, G12/13</t>
  </si>
  <si>
    <t>Lysophospholipid (LPA) receptors</t>
  </si>
  <si>
    <t>P2RY5</t>
  </si>
  <si>
    <t>GPR92;GPR93</t>
  </si>
  <si>
    <t>GPR23;LPA4;P2RY9</t>
  </si>
  <si>
    <t>EDG7;LPA3</t>
  </si>
  <si>
    <t>EDG4;LPA2</t>
  </si>
  <si>
    <t>9600933|11040035</t>
  </si>
  <si>
    <t>Adenylate cyclase inhibition, Phospholipase C stimulation, Phospholipase A2 stimulation, Other - See Comments</t>
  </si>
  <si>
    <t>EDG2;LPA1</t>
  </si>
  <si>
    <t>22634634|12065583|16039985|8663432</t>
  </si>
  <si>
    <t>22634634|16039985</t>
  </si>
  <si>
    <t>Adenylate cyclase inhibition, Phospholipase A2 stimulation, Other - See Comments</t>
  </si>
  <si>
    <t>Leukotriene receptors</t>
  </si>
  <si>
    <t>GPR170;TG1019</t>
  </si>
  <si>
    <t>OXER1</t>
  </si>
  <si>
    <t>21753081|10851239</t>
  </si>
  <si>
    <t>CYSLT2;CYSLT2R;PSEC0146</t>
  </si>
  <si>
    <t>CYSLTR2</t>
  </si>
  <si>
    <t>14518564|1964390|2174431</t>
  </si>
  <si>
    <t>10391245|10462554</t>
  </si>
  <si>
    <t>CYSLT1</t>
  </si>
  <si>
    <t>CYSLTR1</t>
  </si>
  <si>
    <t>10889186|10913347|10934230</t>
  </si>
  <si>
    <t>BLT2R;BLTR2</t>
  </si>
  <si>
    <t>LTB4R2</t>
  </si>
  <si>
    <t>12615958|9504401|9742207|10601267|15363951|9177352</t>
  </si>
  <si>
    <t>BLT;BLT1;BLTR;CMKRL1;GPR16;P2RY7</t>
  </si>
  <si>
    <t>LTB4R</t>
  </si>
  <si>
    <t>21618241|18827341|15774482</t>
  </si>
  <si>
    <t>Free fatty acid receptors</t>
  </si>
  <si>
    <t>GPR120;GPR129;O3FAR1;PGR4</t>
  </si>
  <si>
    <t>GPR41</t>
  </si>
  <si>
    <t>12496283|12684041|12711604</t>
  </si>
  <si>
    <t>FFA2;GPCR43;GPR43</t>
  </si>
  <si>
    <t>16254037|15695516</t>
  </si>
  <si>
    <t>12496284|12565875|12629551</t>
  </si>
  <si>
    <t>Adenylate cyclase stimulation, Phospholipase C stimulation, Phospholipase A2 stimulation</t>
  </si>
  <si>
    <t>GPR40</t>
  </si>
  <si>
    <t>15772293|11751915</t>
  </si>
  <si>
    <t>15772293|18826963</t>
  </si>
  <si>
    <t>Prokineticin receptors</t>
  </si>
  <si>
    <t>GPR73L1;PKR2</t>
  </si>
  <si>
    <t>PROKR2</t>
  </si>
  <si>
    <t>PKR2</t>
  </si>
  <si>
    <t>12427552|11886876|16299550</t>
  </si>
  <si>
    <t>GPR73;PKR1</t>
  </si>
  <si>
    <t>PROKR1</t>
  </si>
  <si>
    <t>PKR1</t>
  </si>
  <si>
    <t>Glycoprotein hormone receptors</t>
  </si>
  <si>
    <t>LGR3</t>
  </si>
  <si>
    <t>TSHR</t>
  </si>
  <si>
    <t>15919743|10493819</t>
  </si>
  <si>
    <t>8702611|10493819</t>
  </si>
  <si>
    <t>LCGR;LGR2;LHRHR</t>
  </si>
  <si>
    <t>LHCGR</t>
  </si>
  <si>
    <t>LSHR</t>
  </si>
  <si>
    <t>Gs, Gi/o, Gq/11</t>
  </si>
  <si>
    <t>LGR1</t>
  </si>
  <si>
    <t>FSHR</t>
  </si>
  <si>
    <t>Calcium channel</t>
  </si>
  <si>
    <t>Chemokine receptors</t>
  </si>
  <si>
    <t>CCXCR1;GPR5</t>
  </si>
  <si>
    <t>CMKBRL1;GPR13</t>
  </si>
  <si>
    <t>CX3CR1</t>
  </si>
  <si>
    <t>CX3C1</t>
  </si>
  <si>
    <t>11017100|14625285</t>
  </si>
  <si>
    <t>BONZO;STRL33;TYMSTR</t>
  </si>
  <si>
    <t>BLR1;MDR15</t>
  </si>
  <si>
    <t>9295051|11880151</t>
  </si>
  <si>
    <t>9842912|10825390|12782716|15150261</t>
  </si>
  <si>
    <t>GPR9</t>
  </si>
  <si>
    <t>GPR2</t>
  </si>
  <si>
    <t>10229797|10544196|10498628</t>
  </si>
  <si>
    <t>GPR28</t>
  </si>
  <si>
    <t>CKRL1;CMKBR8;CMKBRL2</t>
  </si>
  <si>
    <t>15059845|15778365|10512740</t>
  </si>
  <si>
    <t>CMKBR7;EBI1;EVI1</t>
  </si>
  <si>
    <t>CKRL3;CMKBR6;GPR29;STRL22</t>
  </si>
  <si>
    <t>CMKBR5</t>
  </si>
  <si>
    <t>CMKBR4</t>
  </si>
  <si>
    <t>CMKBR3</t>
  </si>
  <si>
    <t>CMKBR2</t>
  </si>
  <si>
    <t>CMKBR1;CMKR1;SCYAR1</t>
  </si>
  <si>
    <t>Chemerin receptor</t>
  </si>
  <si>
    <t>CHEMR23;DEZ</t>
  </si>
  <si>
    <t>CMKLR1</t>
  </si>
  <si>
    <t>CML1</t>
  </si>
  <si>
    <t>9575824|9176188</t>
  </si>
  <si>
    <t>9575824|10795906</t>
  </si>
  <si>
    <t>Vasopressin and oxytocin receptors</t>
  </si>
  <si>
    <t>ADHR;DIR;DIR3;V2R</t>
  </si>
  <si>
    <t>AVPR3;VPR3</t>
  </si>
  <si>
    <t>AVPR1</t>
  </si>
  <si>
    <t>12381671|11020490|12842917|11435331|12503613</t>
  </si>
  <si>
    <t>Urotensin receptors</t>
  </si>
  <si>
    <t>GPR14</t>
  </si>
  <si>
    <t>UTS2R</t>
  </si>
  <si>
    <t>1334076|1333052</t>
  </si>
  <si>
    <t>Thyrotropin-releasing hormone receptors</t>
  </si>
  <si>
    <t>TRHR</t>
  </si>
  <si>
    <t>9405640|10188995|12627953</t>
  </si>
  <si>
    <t>IL8RB</t>
  </si>
  <si>
    <t>Tachykinin receptors</t>
  </si>
  <si>
    <t>NK3R;TAC3R</t>
  </si>
  <si>
    <t>11459843|9826060|8903968</t>
  </si>
  <si>
    <t>NK2R;NKNAR;TAC2R</t>
  </si>
  <si>
    <t>20504688|2461321|12065752|1370820|8903968</t>
  </si>
  <si>
    <t>NK1R;TAC1R</t>
  </si>
  <si>
    <t>23418396|10598790</t>
  </si>
  <si>
    <t>Somatostatin receptors</t>
  </si>
  <si>
    <t>8175684|25483286|20573967|24810884|9426226|9809748|12566440|18385315|25445035|10347203|9831922|10486283|24743707</t>
  </si>
  <si>
    <t>8175684|8100352|7905265|10598790</t>
  </si>
  <si>
    <t>Potassium channel, Calcium channel, Other - See Comments</t>
  </si>
  <si>
    <t>8405411|10598790|1328199</t>
  </si>
  <si>
    <t>8144617|8405411|7538774|10598790</t>
  </si>
  <si>
    <t>7907795|8144617|12566440</t>
  </si>
  <si>
    <t>8144617|8405411|10598790</t>
  </si>
  <si>
    <t>27243554|15525639|25514935</t>
  </si>
  <si>
    <t>27243554|15465925|14522967|15525639</t>
  </si>
  <si>
    <t>Relaxin family peptide receptors</t>
  </si>
  <si>
    <t>GPR100;RLN3R2</t>
  </si>
  <si>
    <t>RL3R2</t>
  </si>
  <si>
    <t>23303914|15367576|15465925|14522968|15525639</t>
  </si>
  <si>
    <t>RLN3R1;SALPR</t>
  </si>
  <si>
    <t>RL3R1</t>
  </si>
  <si>
    <t>16569707|15649866|11809971|15123806|12114498|12506116</t>
  </si>
  <si>
    <t>GPR106;GREAT;LGR8</t>
  </si>
  <si>
    <t>22835547|24098703|15215200|17522128|9622136|22936987|12522118|15289446|19289144|22510373|19073841|12646076|23704950|11967993</t>
  </si>
  <si>
    <t>17509748|11517286|15956719|16569707|20664520|19029286|18805799|10935549|11809971|10235632|15956721|15604116|12595573</t>
  </si>
  <si>
    <t>Guanylate cyclase stimulation, Other - See Comments</t>
  </si>
  <si>
    <t>LGR7</t>
  </si>
  <si>
    <t>12960173|12714592</t>
  </si>
  <si>
    <t>Peptide P518 receptors</t>
  </si>
  <si>
    <t>GPR103</t>
  </si>
  <si>
    <t>QRFPR</t>
  </si>
  <si>
    <t>12606634|21378163|12702704|12208495|11549701|11600545|9491897|18599270</t>
  </si>
  <si>
    <t>Adenylate cyclase stimulation, Adenylate cyclase inhibition, Phospholipase C stimulation</t>
  </si>
  <si>
    <t>Orexin receptors</t>
  </si>
  <si>
    <t>12606634|12702704|12208495|18488139|27237973|26582739|Intracellular Signal Pathways Utilized by the Hypocretin/Orexin Receptors.|14691055|10880509|16430869|15683363|17050705|9491897|10498827|20002100|22550093|18198212</t>
  </si>
  <si>
    <t>7566152|7481766|9353393|11027224|8735615</t>
  </si>
  <si>
    <t>Opioid receptors</t>
  </si>
  <si>
    <t>OOR;ORL1</t>
  </si>
  <si>
    <t>12077485|9572309</t>
  </si>
  <si>
    <t>9030567|8643659|8097884|7595566|10323586|8752140|8637576|12519790|12496346|7643119|8863832|2440052|8863841|7746271|7996199|7494457|8700117</t>
  </si>
  <si>
    <t>Adenylate cyclase stimulation, Adenylate cyclase inhibition, Phospholipase C stimulation, Potassium channel, Calcium channel, Phospholipase A2 stimulation, Phospholipase D stimulation, Other - See Comments</t>
  </si>
  <si>
    <t>MOR1</t>
  </si>
  <si>
    <t>8863832|7494457|9572309|7875310|10646507|15070904</t>
  </si>
  <si>
    <t>7700253|7700508|8103800|2828959|8381004|2906610|7902584|7931552</t>
  </si>
  <si>
    <t>12558970|10836142|15155836|15464054</t>
  </si>
  <si>
    <t>Adenylate cyclase inhibition, Phospholipase C stimulation, Potassium channel, Calcium channel, Other - See Comments</t>
  </si>
  <si>
    <t>12084713|15361549</t>
  </si>
  <si>
    <t>9080465|8795617</t>
  </si>
  <si>
    <t>Neurotensin receptors</t>
  </si>
  <si>
    <t>NTSR2</t>
  </si>
  <si>
    <t>NTR2</t>
  </si>
  <si>
    <t>11042263|8380559|8528577|2988544|6329783|3010077</t>
  </si>
  <si>
    <t>1331689|11042263|1328536|3011505|8528577|3018165|3040912</t>
  </si>
  <si>
    <t>Adenylate cyclase stimulation, Adenylate cyclase inhibition, Guanylate cyclase stimulation, Other - See Comments</t>
  </si>
  <si>
    <t>NTRR</t>
  </si>
  <si>
    <t>Neuropeptide Y receptors</t>
  </si>
  <si>
    <t>NPYR5</t>
  </si>
  <si>
    <t>15308651|10640301|9210181</t>
  </si>
  <si>
    <t>PPYR1</t>
  </si>
  <si>
    <t>8132619|15308651</t>
  </si>
  <si>
    <t>10188995|8692878</t>
  </si>
  <si>
    <t>9915816|10188995|12627953</t>
  </si>
  <si>
    <t>Calcium channel, Phospholipase D stimulation, Other - See Comments</t>
  </si>
  <si>
    <t>CMKAR1;IL8RA</t>
  </si>
  <si>
    <t>1316999|1321422|7623780|15308651</t>
  </si>
  <si>
    <t>NPYR;NPYY1</t>
  </si>
  <si>
    <t>12130646|12401809|12719537</t>
  </si>
  <si>
    <t>Neuropeptide W/neuropeptide B receptors</t>
  </si>
  <si>
    <t>GPR8</t>
  </si>
  <si>
    <t>NPBWR2</t>
  </si>
  <si>
    <t>NPBW2</t>
  </si>
  <si>
    <t>12130646|12118011|12401809|12719537</t>
  </si>
  <si>
    <t>GPR7</t>
  </si>
  <si>
    <t>NPBWR1</t>
  </si>
  <si>
    <t>14757815|16144971</t>
  </si>
  <si>
    <t>16790440|17696420|15312648</t>
  </si>
  <si>
    <t>Neuropeptide S receptors</t>
  </si>
  <si>
    <t>GPR154;GPRA;PGR14</t>
  </si>
  <si>
    <t>NPSR1</t>
  </si>
  <si>
    <t>12242085|15608144</t>
  </si>
  <si>
    <t>Adenylate cyclase inhibition, Calcium channel, Other - See Comments</t>
  </si>
  <si>
    <t>Neuropeptide FF/neuropeptide AF receptors</t>
  </si>
  <si>
    <t>GPR74;NPFF2;NPGPR</t>
  </si>
  <si>
    <t>NPFFR2</t>
  </si>
  <si>
    <t>16488058|12242085</t>
  </si>
  <si>
    <t>GPR147;NPFF1</t>
  </si>
  <si>
    <t>15292653|15331768|22832358|10899166|11010960|10811630|22493291</t>
  </si>
  <si>
    <t>Neuromedin U receptors</t>
  </si>
  <si>
    <t>NMU2R;TGR1</t>
  </si>
  <si>
    <t>15292653|15331768|22832358|10899166|10811630|22493291</t>
  </si>
  <si>
    <t>GPR66</t>
  </si>
  <si>
    <t>Motilin receptors</t>
  </si>
  <si>
    <t>GPR38;MTLR;MTLR1</t>
  </si>
  <si>
    <t>MLNR</t>
  </si>
  <si>
    <t>Melanocortin receptors</t>
  </si>
  <si>
    <t>8463333|7854347</t>
  </si>
  <si>
    <t>11161002|12906838</t>
  </si>
  <si>
    <t>ACTHR</t>
  </si>
  <si>
    <t>MC2R</t>
  </si>
  <si>
    <t>Melanin-concentrating hormone</t>
  </si>
  <si>
    <t>GPR145;SLT</t>
  </si>
  <si>
    <t>10421368|11108264|12865333|11708774</t>
  </si>
  <si>
    <t>GPR24;SLC1</t>
  </si>
  <si>
    <t>15596153|11414709|11457843|11387329</t>
  </si>
  <si>
    <t>Kisspeptin receptors</t>
  </si>
  <si>
    <t>AXOR12;GPR54</t>
  </si>
  <si>
    <t>8898346|8058044</t>
  </si>
  <si>
    <t>Gonadotrophin-releasing hormone receptors</t>
  </si>
  <si>
    <t>GRHR</t>
  </si>
  <si>
    <t>22117076|15905359|21402696</t>
  </si>
  <si>
    <t>22117076|20556829</t>
  </si>
  <si>
    <t>Gi/o, G12/13, G protein independent mechanism</t>
  </si>
  <si>
    <t>Ghrelin receptors</t>
  </si>
  <si>
    <t>9832121|9722565</t>
  </si>
  <si>
    <t>Galanin receptors</t>
  </si>
  <si>
    <t>GALNR3</t>
  </si>
  <si>
    <t>9578584|9685625|9281594</t>
  </si>
  <si>
    <t>9880084|9578584|9685625|9427506|9832122|9305929|10980593</t>
  </si>
  <si>
    <t>GALNR2</t>
  </si>
  <si>
    <t>9578534|7524088|8750821|9722565</t>
  </si>
  <si>
    <t>GALNR;GALNR1</t>
  </si>
  <si>
    <t>Formylpeptide receptors</t>
  </si>
  <si>
    <t>FPRH1;FPRL2</t>
  </si>
  <si>
    <t>11689885|17191385</t>
  </si>
  <si>
    <t>8006586|8389617|8662841|2983319|11689885|17191385</t>
  </si>
  <si>
    <t>Phospholipase C stimulation, Phospholipase A2 stimulation, Phospholipase D stimulation, Other - See Comments</t>
  </si>
  <si>
    <t>Phospholipase C stimulation, Phospholipase A2 stimulation, Phospholipase D stimulation</t>
  </si>
  <si>
    <t>FPRH1;FPRL1;LXA4R</t>
  </si>
  <si>
    <t>11128053|558197|11689885|6310757</t>
  </si>
  <si>
    <t>7499283|3113327|8315346|18453106</t>
  </si>
  <si>
    <t>Adenylate cyclase inhibition, Phospholipase C stimulation, Phospholipase A2 stimulation, Phospholipase D stimulation</t>
  </si>
  <si>
    <t>9226297|Endothelin receptors and signalling mechanisms.|Cell signalling by endothelin peptides.|7882989</t>
  </si>
  <si>
    <t>Endothelin receptors</t>
  </si>
  <si>
    <t>ETRB</t>
  </si>
  <si>
    <t>7882989|9226297|Cell signalling by endothelin peptides.|Endothelin receptors and signalling mechanisms.</t>
  </si>
  <si>
    <t>ETA;ETRA</t>
  </si>
  <si>
    <t>Complement peptide receptors</t>
  </si>
  <si>
    <t>C5AR;C5R1</t>
  </si>
  <si>
    <t>Cholecystokinin receptors</t>
  </si>
  <si>
    <t>CCKRB</t>
  </si>
  <si>
    <t>8503909|8343165</t>
  </si>
  <si>
    <t>CCKRA</t>
  </si>
  <si>
    <t>1657928|8458876|8227332|7946358|10422787|2560387|2159473|10364236</t>
  </si>
  <si>
    <t>Adenylate cyclase inhibition, Phospholipase C stimulation, Phospholipase A2 stimulation</t>
  </si>
  <si>
    <t>Bradykinin receptors</t>
  </si>
  <si>
    <t>BKR2</t>
  </si>
  <si>
    <t>BRADYB1</t>
  </si>
  <si>
    <t>BDKRB1</t>
  </si>
  <si>
    <t>20467915|22127929|9593699|9765358|10689196</t>
  </si>
  <si>
    <t>Phospholipase C stimulation, Phospholipase D stimulation, Other - See Comments</t>
  </si>
  <si>
    <t>Bombesin receptors</t>
  </si>
  <si>
    <t>P32247</t>
  </si>
  <si>
    <t>8129732|1532578|9194577</t>
  </si>
  <si>
    <t>23220008|17349623|9530154|9688642|8842515|10347243</t>
  </si>
  <si>
    <t>Adenylate cyclase stimulation, Phospholipase A2 stimulation, Phospholipase D stimulation</t>
  </si>
  <si>
    <t>10777510|10525157|11779205|10871767|15385434</t>
  </si>
  <si>
    <t>Apelin receptors</t>
  </si>
  <si>
    <t>AGTRL1;APJ</t>
  </si>
  <si>
    <t>9892143|8106454|8663053</t>
  </si>
  <si>
    <t>Phospholipase A2 stimulation, Other - See Comments</t>
  </si>
  <si>
    <t>Angiotensin receptors</t>
  </si>
  <si>
    <t>AGTR2</t>
  </si>
  <si>
    <t>Adenylate cyclase inhibition, Phospholipase C stimulation, Calcium channel, Phospholipase A2 stimulation, Phospholipase D stimulation, Other - See Comments</t>
  </si>
  <si>
    <t>AGTR1A;AGTR1B;AT2R1;AT2R1B</t>
  </si>
  <si>
    <t>11459929|11723224|15718104</t>
  </si>
  <si>
    <t>Trace amine receptors</t>
  </si>
  <si>
    <t>Aminergic receptors</t>
  </si>
  <si>
    <t>TA1;TAR1;TRAR1</t>
  </si>
  <si>
    <t>TAAR1</t>
  </si>
  <si>
    <t>Histamine receptors</t>
  </si>
  <si>
    <t>GPCR105</t>
  </si>
  <si>
    <t>8838460|8023737</t>
  </si>
  <si>
    <t>GPCR97</t>
  </si>
  <si>
    <t>8961278|2553705</t>
  </si>
  <si>
    <t>1826762|1831904|1834671</t>
  </si>
  <si>
    <t>Dopamine receptors</t>
  </si>
  <si>
    <t>DRD1B;DRD1L2</t>
  </si>
  <si>
    <t>8302280|7957635|7907363|1330688|8890457</t>
  </si>
  <si>
    <t>17318879|12466426</t>
  </si>
  <si>
    <t>14711933|10974023|10498836</t>
  </si>
  <si>
    <t>14551227|9717730|b3-adrenergic regulation of cardiac L-type Ca2+ current in human atrial myocytes.</t>
  </si>
  <si>
    <t>Adenylate cyclase inhibition, Guanylate cyclase stimulation</t>
  </si>
  <si>
    <t>Adrenoceptors</t>
  </si>
  <si>
    <t>ADRB3R;B3AR</t>
  </si>
  <si>
    <t>9716378|14711933|12106601|6143332</t>
  </si>
  <si>
    <t>Guanylate cyclase stimulation</t>
  </si>
  <si>
    <t>ADRB2R;B2AR</t>
  </si>
  <si>
    <t>12106601|6143332</t>
  </si>
  <si>
    <t>ADRB1R;B1AR</t>
  </si>
  <si>
    <t>2553931|2840317</t>
  </si>
  <si>
    <t>ADRA2L2;ADRA2RL2</t>
  </si>
  <si>
    <t>ADRA2L1;ADRA2RL1</t>
  </si>
  <si>
    <t>2553931|2840317|1847497</t>
  </si>
  <si>
    <t>Adenylate cyclase inhibition, Potassium channel, Calcium channel, Phospholipase A2 stimulation</t>
  </si>
  <si>
    <t>ADRA2R;ADRAR</t>
  </si>
  <si>
    <t>11337028|14609720</t>
  </si>
  <si>
    <t>Phospholipase D stimulation, Other - See Comments</t>
  </si>
  <si>
    <t>Phospholipase C stimulation, Calcium channel, Other - See Comments</t>
  </si>
  <si>
    <t>14609720|14761886|11337028|14736339</t>
  </si>
  <si>
    <t>14609720|11337028</t>
  </si>
  <si>
    <t>Phospholipase A2 stimulation, Phospholipase D stimulation, Other - See Comments</t>
  </si>
  <si>
    <t>ADRA1C</t>
  </si>
  <si>
    <t>Acetylcholine receptors (muscarinic)</t>
  </si>
  <si>
    <t>7608168|2841607</t>
  </si>
  <si>
    <t>8925880|2841607</t>
  </si>
  <si>
    <t>11248120|1849644|6344565</t>
  </si>
  <si>
    <t>Potassium channel, Other - See Comments</t>
  </si>
  <si>
    <t>17065363|17392404</t>
  </si>
  <si>
    <t>8441322|8626481|8925880|2841607</t>
  </si>
  <si>
    <t>5-Hydroxytryptamine receptors</t>
  </si>
  <si>
    <t>9720796|9865521</t>
  </si>
  <si>
    <t>5HT5A</t>
  </si>
  <si>
    <t>2849052|2314390|1319906|2169944|1311410|7965722|12819788</t>
  </si>
  <si>
    <t>Adenylate cyclase stimulation, Calcium channel, Other - See Comments</t>
  </si>
  <si>
    <t>8809227|11976386|2940597</t>
  </si>
  <si>
    <t>HTR1C</t>
  </si>
  <si>
    <t>8621713|7700243</t>
  </si>
  <si>
    <t>11976386|7651356</t>
  </si>
  <si>
    <t>HTR2</t>
  </si>
  <si>
    <t>HTR1EL</t>
  </si>
  <si>
    <t>12145108|1652050</t>
  </si>
  <si>
    <t>HTR1DA;HTRL</t>
  </si>
  <si>
    <t>9840417|12145108</t>
  </si>
  <si>
    <t>HTR1DB</t>
  </si>
  <si>
    <t>2549039|10585418|12145108</t>
  </si>
  <si>
    <t>ADRB2RL1;ADRBRL1</t>
  </si>
  <si>
    <t>GPa1</t>
  </si>
  <si>
    <t>STE2</t>
  </si>
  <si>
    <t>Ste2-like receptors</t>
  </si>
  <si>
    <t>D1 (Ste2-like fungal pheromone)</t>
  </si>
  <si>
    <t>D6VTK4</t>
  </si>
  <si>
    <t>STE2_YEAST</t>
  </si>
  <si>
    <t>Other GPCR orphans</t>
  </si>
  <si>
    <t>Other GPCRs</t>
  </si>
  <si>
    <t>GPR157</t>
  </si>
  <si>
    <t>Q5UAW9</t>
  </si>
  <si>
    <t>GP157</t>
  </si>
  <si>
    <t>OA1</t>
  </si>
  <si>
    <t>GPR143</t>
  </si>
  <si>
    <t>GP143</t>
  </si>
  <si>
    <t>GPR175;TMEM227;PP6566</t>
  </si>
  <si>
    <t>TPRA1</t>
  </si>
  <si>
    <t>Q86W33</t>
  </si>
  <si>
    <t>GPR164;OR51E1P;OR52A3P;POGR;PSGR2</t>
  </si>
  <si>
    <t>OR51E1</t>
  </si>
  <si>
    <t>Q8TCB6</t>
  </si>
  <si>
    <t>O51E1</t>
  </si>
  <si>
    <t>C11orf4;GPR137A;TM7SF1L1</t>
  </si>
  <si>
    <t>GPR137</t>
  </si>
  <si>
    <t>Q96N19</t>
  </si>
  <si>
    <t>G137A</t>
  </si>
  <si>
    <t>KIAA1624;LUSTR1</t>
  </si>
  <si>
    <t>GPR107</t>
  </si>
  <si>
    <t>GP107</t>
  </si>
  <si>
    <t>Taste 2 receptors</t>
  </si>
  <si>
    <t>Taste 2</t>
  </si>
  <si>
    <t>TAS2R60</t>
  </si>
  <si>
    <t>P59551</t>
  </si>
  <si>
    <t>T2R60</t>
  </si>
  <si>
    <t>TAS2R50</t>
  </si>
  <si>
    <t>P59544</t>
  </si>
  <si>
    <t>T2R50</t>
  </si>
  <si>
    <t>TAS2R46</t>
  </si>
  <si>
    <t>P59540</t>
  </si>
  <si>
    <t>T2R46</t>
  </si>
  <si>
    <t>GPR59</t>
  </si>
  <si>
    <t>TAS2R45</t>
  </si>
  <si>
    <t>P59539</t>
  </si>
  <si>
    <t>T2R45</t>
  </si>
  <si>
    <t>TAS2R43</t>
  </si>
  <si>
    <t>P59537</t>
  </si>
  <si>
    <t>T2R43</t>
  </si>
  <si>
    <t>TAS2R55</t>
  </si>
  <si>
    <t>TAS2R42</t>
  </si>
  <si>
    <t>Q7RTR8</t>
  </si>
  <si>
    <t>T2R42</t>
  </si>
  <si>
    <t>TAS2R41</t>
  </si>
  <si>
    <t>P59536</t>
  </si>
  <si>
    <t>T2R41</t>
  </si>
  <si>
    <t>GPR60</t>
  </si>
  <si>
    <t>TAS2R40</t>
  </si>
  <si>
    <t>P59535</t>
  </si>
  <si>
    <t>T2R40</t>
  </si>
  <si>
    <t>TAS2R39</t>
  </si>
  <si>
    <t>P59534</t>
  </si>
  <si>
    <t>T2R39</t>
  </si>
  <si>
    <t>PTC</t>
  </si>
  <si>
    <t>TAS2R38</t>
  </si>
  <si>
    <t>P59533</t>
  </si>
  <si>
    <t>T2R38</t>
  </si>
  <si>
    <t>TAS2R44</t>
  </si>
  <si>
    <t>TAS2R31</t>
  </si>
  <si>
    <t>P59538</t>
  </si>
  <si>
    <t>T2R31</t>
  </si>
  <si>
    <t>TAS2R47</t>
  </si>
  <si>
    <t>TAS2R30</t>
  </si>
  <si>
    <t>P59541</t>
  </si>
  <si>
    <t>T2R30</t>
  </si>
  <si>
    <t>TAS2R49</t>
  </si>
  <si>
    <t>TAS2R20</t>
  </si>
  <si>
    <t>P59543</t>
  </si>
  <si>
    <t>T2R20</t>
  </si>
  <si>
    <t>TAS2R23;TAS2R48</t>
  </si>
  <si>
    <t>TAS2R19</t>
  </si>
  <si>
    <t>P59542</t>
  </si>
  <si>
    <t>T2R19</t>
  </si>
  <si>
    <t>TAS2R16</t>
  </si>
  <si>
    <t>Q9NYV7</t>
  </si>
  <si>
    <t>T2R16</t>
  </si>
  <si>
    <t>TAS2R14</t>
  </si>
  <si>
    <t>Q9NYV8</t>
  </si>
  <si>
    <t>T2R14</t>
  </si>
  <si>
    <t>TAS2R13</t>
  </si>
  <si>
    <t>Q9NYV9</t>
  </si>
  <si>
    <t>T2R13</t>
  </si>
  <si>
    <t>TAS2R7</t>
  </si>
  <si>
    <t>Q9NYW3</t>
  </si>
  <si>
    <t>TA2R7</t>
  </si>
  <si>
    <t>TAS2R5</t>
  </si>
  <si>
    <t>Q9NYW4</t>
  </si>
  <si>
    <t>TA2R5</t>
  </si>
  <si>
    <t>TAS2R4</t>
  </si>
  <si>
    <t>Q9NYW5</t>
  </si>
  <si>
    <t>TA2R4</t>
  </si>
  <si>
    <t>TAS2R3</t>
  </si>
  <si>
    <t>Q9NYW6</t>
  </si>
  <si>
    <t>TA2R3</t>
  </si>
  <si>
    <t>TAS2R1</t>
  </si>
  <si>
    <t>Q9NYW7</t>
  </si>
  <si>
    <t>TA2R1</t>
  </si>
  <si>
    <t>TAS2R8</t>
  </si>
  <si>
    <t>Q9NYW2</t>
  </si>
  <si>
    <t>TA2R8</t>
  </si>
  <si>
    <t>TAS2R10</t>
  </si>
  <si>
    <t>Q9NYW0</t>
  </si>
  <si>
    <t>T2R10</t>
  </si>
  <si>
    <t>TAS2R9</t>
  </si>
  <si>
    <t>Q9NYW1</t>
  </si>
  <si>
    <t>TA2R9</t>
  </si>
  <si>
    <t>FZD8</t>
  </si>
  <si>
    <t>Q9H461</t>
  </si>
  <si>
    <t>C2orf31</t>
  </si>
  <si>
    <t>FZD5</t>
  </si>
  <si>
    <t>Q13467</t>
  </si>
  <si>
    <t>GPRC5D</t>
  </si>
  <si>
    <t>Q9NZD1</t>
  </si>
  <si>
    <t>GPC5D</t>
  </si>
  <si>
    <t>RAIG3;PSEC0087</t>
  </si>
  <si>
    <t>GPRC5C</t>
  </si>
  <si>
    <t>Q9NQ84</t>
  </si>
  <si>
    <t>GPC5C</t>
  </si>
  <si>
    <t>RAIG2</t>
  </si>
  <si>
    <t>GPRC5B</t>
  </si>
  <si>
    <t>Q9NZH0</t>
  </si>
  <si>
    <t>GPC5B</t>
  </si>
  <si>
    <t>GPCR5A;RAI3;RAIG1</t>
  </si>
  <si>
    <t>GPRC5A</t>
  </si>
  <si>
    <t>Q8NFJ5</t>
  </si>
  <si>
    <t>RAI3</t>
  </si>
  <si>
    <t>GPR158L;GPR158L1</t>
  </si>
  <si>
    <t>GPR179</t>
  </si>
  <si>
    <t>Q6PRD1</t>
  </si>
  <si>
    <t>GP179</t>
  </si>
  <si>
    <t>KIAA1136</t>
  </si>
  <si>
    <t>GPR158</t>
  </si>
  <si>
    <t>Q5T848</t>
  </si>
  <si>
    <t>GP158</t>
  </si>
  <si>
    <t>GABABL;PGR28</t>
  </si>
  <si>
    <t>GPR156</t>
  </si>
  <si>
    <t>Q8NFN8</t>
  </si>
  <si>
    <t>GP156</t>
  </si>
  <si>
    <t>Taste 1 receptors</t>
  </si>
  <si>
    <t>T1R3;TR3</t>
  </si>
  <si>
    <t>TAS1R3</t>
  </si>
  <si>
    <t>Q7RTX0</t>
  </si>
  <si>
    <t>TS1R3</t>
  </si>
  <si>
    <t>GPR71;T1R2;TR2</t>
  </si>
  <si>
    <t>TAS1R2</t>
  </si>
  <si>
    <t>Q8TE23</t>
  </si>
  <si>
    <t>TS1R2</t>
  </si>
  <si>
    <t>GPR70;T1R1;TR1;GM148</t>
  </si>
  <si>
    <t>TAS1R1</t>
  </si>
  <si>
    <t>Q7RTX1</t>
  </si>
  <si>
    <t>TS1R1</t>
  </si>
  <si>
    <t>2579700|8388192</t>
  </si>
  <si>
    <t>GABA&lt;sub&gt;B&lt;/sub&gt; receptors</t>
  </si>
  <si>
    <t>GPR51;GPRC3B</t>
  </si>
  <si>
    <t>GABBR2</t>
  </si>
  <si>
    <t>O75899</t>
  </si>
  <si>
    <t>GABR2</t>
  </si>
  <si>
    <t>GPRC3A</t>
  </si>
  <si>
    <t>GABBR1</t>
  </si>
  <si>
    <t>GABR1</t>
  </si>
  <si>
    <t>ADGRV</t>
  </si>
  <si>
    <t>KIAA0686;KIAA1943;MASS1;VLGR1</t>
  </si>
  <si>
    <t>GPR98</t>
  </si>
  <si>
    <t>Q8WXG9</t>
  </si>
  <si>
    <t>AGRV1</t>
  </si>
  <si>
    <t>GPR128</t>
  </si>
  <si>
    <t>ADGRG7</t>
  </si>
  <si>
    <t>Q96K78</t>
  </si>
  <si>
    <t>AGRG7</t>
  </si>
  <si>
    <t>DREG;GPR126;VIGR</t>
  </si>
  <si>
    <t>ADGRG6</t>
  </si>
  <si>
    <t>Q86SQ4</t>
  </si>
  <si>
    <t>AGRG6</t>
  </si>
  <si>
    <t>GPR114;PGR27;UNQ2524/PRO6017</t>
  </si>
  <si>
    <t>ADGRG5</t>
  </si>
  <si>
    <t>Q8IZF4</t>
  </si>
  <si>
    <t>AGRG5</t>
  </si>
  <si>
    <t>GPR112</t>
  </si>
  <si>
    <t>ADGRG4</t>
  </si>
  <si>
    <t>Q8IZF6</t>
  </si>
  <si>
    <t>AGRG4</t>
  </si>
  <si>
    <t>ADGRB</t>
  </si>
  <si>
    <t>BAI3;KIAA0550</t>
  </si>
  <si>
    <t>ADGRB3</t>
  </si>
  <si>
    <t>O60242</t>
  </si>
  <si>
    <t>AGRB3</t>
  </si>
  <si>
    <t>BAI2</t>
  </si>
  <si>
    <t>ADGRB2</t>
  </si>
  <si>
    <t>O60241</t>
  </si>
  <si>
    <t>AGRB2</t>
  </si>
  <si>
    <t>BAI1</t>
  </si>
  <si>
    <t>AGRB1</t>
  </si>
  <si>
    <t>ADGRF</t>
  </si>
  <si>
    <t>GPR116;KIAA0758</t>
  </si>
  <si>
    <t>ADGRF5</t>
  </si>
  <si>
    <t>Q8IZF2</t>
  </si>
  <si>
    <t>AGRF5</t>
  </si>
  <si>
    <t>GPR115;PGR18</t>
  </si>
  <si>
    <t>ADGRF4</t>
  </si>
  <si>
    <t>Q8IZF3</t>
  </si>
  <si>
    <t>AGRF4</t>
  </si>
  <si>
    <t>GPR113;PGR23;UNQ9196/PRO34000</t>
  </si>
  <si>
    <t>ADGRF3</t>
  </si>
  <si>
    <t>Q8IZF5</t>
  </si>
  <si>
    <t>AGRF3</t>
  </si>
  <si>
    <t>GPR111;PGR20</t>
  </si>
  <si>
    <t>ADGRF2</t>
  </si>
  <si>
    <t>Q8IZF7</t>
  </si>
  <si>
    <t>AGRF2</t>
  </si>
  <si>
    <t>GPR110;PGR19</t>
  </si>
  <si>
    <t>ADGRF1</t>
  </si>
  <si>
    <t>Q5T601</t>
  </si>
  <si>
    <t>AGRF1</t>
  </si>
  <si>
    <t>GPR144;PGR24</t>
  </si>
  <si>
    <t>ADGRD2</t>
  </si>
  <si>
    <t>Q7Z7M1</t>
  </si>
  <si>
    <t>AGRD2</t>
  </si>
  <si>
    <t>ADGRC</t>
  </si>
  <si>
    <t>CDHF11;EGFL1;FMI1;KIAA0812;MEGF2</t>
  </si>
  <si>
    <t>CELSR3</t>
  </si>
  <si>
    <t>Q9NYQ7</t>
  </si>
  <si>
    <t>CELR3</t>
  </si>
  <si>
    <t>CDHF10;EGFL2;KIAA0279;MEGF3</t>
  </si>
  <si>
    <t>CELSR2</t>
  </si>
  <si>
    <t>Q9HCU4</t>
  </si>
  <si>
    <t>CELR2</t>
  </si>
  <si>
    <t>CDHF9;FMI2</t>
  </si>
  <si>
    <t>CELSR1</t>
  </si>
  <si>
    <t>Q9NYQ6</t>
  </si>
  <si>
    <t>CELR1</t>
  </si>
  <si>
    <t>ADGRA</t>
  </si>
  <si>
    <t>GPR125;UNQ556/PRO1113</t>
  </si>
  <si>
    <t>ADGRA3</t>
  </si>
  <si>
    <t>Q8IWK6</t>
  </si>
  <si>
    <t>AGRA3</t>
  </si>
  <si>
    <t>GPR124;KIAA1531;</t>
  </si>
  <si>
    <t>ADGRA2</t>
  </si>
  <si>
    <t>Q96PE1</t>
  </si>
  <si>
    <t>AGRA2</t>
  </si>
  <si>
    <t>GPR123;KIAA1828</t>
  </si>
  <si>
    <t>ADGRA1</t>
  </si>
  <si>
    <t>Q86SQ6</t>
  </si>
  <si>
    <t>AGRA1</t>
  </si>
  <si>
    <t>EMR4;EMR4P;GPR127;PGR16</t>
  </si>
  <si>
    <t>ADGRE4P</t>
  </si>
  <si>
    <t>Q86SQ3</t>
  </si>
  <si>
    <t>AGRE4</t>
  </si>
  <si>
    <t>EMR3;UNQ683/PRO1562</t>
  </si>
  <si>
    <t>ADGRE3</t>
  </si>
  <si>
    <t>Q9BY15</t>
  </si>
  <si>
    <t>AGRE3</t>
  </si>
  <si>
    <t>EMR1;TM7LN3</t>
  </si>
  <si>
    <t>ADGRE1</t>
  </si>
  <si>
    <t>Q14246</t>
  </si>
  <si>
    <t>AGRE1</t>
  </si>
  <si>
    <t>ELTD1;ETL;UNQ202/PRO228</t>
  </si>
  <si>
    <t>ADGRL4</t>
  </si>
  <si>
    <t>Q9HBW9</t>
  </si>
  <si>
    <t>AGRL4</t>
  </si>
  <si>
    <t>KIAA0768;</t>
  </si>
  <si>
    <t>ADGRL3</t>
  </si>
  <si>
    <t>Q9HAR2</t>
  </si>
  <si>
    <t>AGRL3</t>
  </si>
  <si>
    <t>KIAA0786;LEC1;LPHH1;LPHN2</t>
  </si>
  <si>
    <t>ADGRL2</t>
  </si>
  <si>
    <t>O95490</t>
  </si>
  <si>
    <t>AGRL2</t>
  </si>
  <si>
    <t>PTHR2</t>
  </si>
  <si>
    <t>CGRPR</t>
  </si>
  <si>
    <t>Q16602</t>
  </si>
  <si>
    <t>TA3;TAR3;TRAR3</t>
  </si>
  <si>
    <t>TAAR9</t>
  </si>
  <si>
    <t>Q96RI9</t>
  </si>
  <si>
    <t>TA4;TAR4;TRAR4</t>
  </si>
  <si>
    <t>TAAR6</t>
  </si>
  <si>
    <t>Q96RI8</t>
  </si>
  <si>
    <t>PNR</t>
  </si>
  <si>
    <t>TAAR5</t>
  </si>
  <si>
    <t>O14804</t>
  </si>
  <si>
    <t>GPR57;TAAR3</t>
  </si>
  <si>
    <t>TAAR3P</t>
  </si>
  <si>
    <t>TAAR3</t>
  </si>
  <si>
    <t>GPR58</t>
  </si>
  <si>
    <t>TAAR2</t>
  </si>
  <si>
    <t>Q9P1P5</t>
  </si>
  <si>
    <t>P2RY10</t>
  </si>
  <si>
    <t>P2RY8</t>
  </si>
  <si>
    <t>Q86VZ1</t>
  </si>
  <si>
    <t>GPR169;MRGG</t>
  </si>
  <si>
    <t>MRGPRG</t>
  </si>
  <si>
    <t>Q86SM5</t>
  </si>
  <si>
    <t>MRGRG</t>
  </si>
  <si>
    <t>GPR140;GPR168;MRGF;PSEC0142</t>
  </si>
  <si>
    <t>MRGPRF</t>
  </si>
  <si>
    <t>Q96AM1</t>
  </si>
  <si>
    <t>MRGRF</t>
  </si>
  <si>
    <t>GPR167;MRGE</t>
  </si>
  <si>
    <t>MRGPRE</t>
  </si>
  <si>
    <t>Q86SM8</t>
  </si>
  <si>
    <t>MRGRE</t>
  </si>
  <si>
    <t>MRG</t>
  </si>
  <si>
    <t>MAS1L</t>
  </si>
  <si>
    <t>P35410</t>
  </si>
  <si>
    <t>UNQ6427/PRO21331;VTS20631</t>
  </si>
  <si>
    <t>LGR6</t>
  </si>
  <si>
    <t>GPR102;TA5;TAR5;TRAR5</t>
  </si>
  <si>
    <t>TAAR8</t>
  </si>
  <si>
    <t>Q969N4</t>
  </si>
  <si>
    <t>GPR49;GPR67</t>
  </si>
  <si>
    <t>LGR5</t>
  </si>
  <si>
    <t>19605502|18424556</t>
  </si>
  <si>
    <t>GPR48</t>
  </si>
  <si>
    <t>LGR4</t>
  </si>
  <si>
    <t>ADMR</t>
  </si>
  <si>
    <t>GPR182</t>
  </si>
  <si>
    <t>O15218</t>
  </si>
  <si>
    <t>GP182</t>
  </si>
  <si>
    <t>GPR176</t>
  </si>
  <si>
    <t>Q14439</t>
  </si>
  <si>
    <t>GP176</t>
  </si>
  <si>
    <t>FKSG79;GPCR17</t>
  </si>
  <si>
    <t>SREB3</t>
  </si>
  <si>
    <t>GPR173</t>
  </si>
  <si>
    <t>Q9NS66</t>
  </si>
  <si>
    <t>GP173</t>
  </si>
  <si>
    <t>H963</t>
  </si>
  <si>
    <t>GPR171</t>
  </si>
  <si>
    <t>O14626</t>
  </si>
  <si>
    <t>GP171</t>
  </si>
  <si>
    <t>GRCA</t>
  </si>
  <si>
    <t>GPR162</t>
  </si>
  <si>
    <t>Q16538</t>
  </si>
  <si>
    <t>GP162</t>
  </si>
  <si>
    <t>GPR161</t>
  </si>
  <si>
    <t>Q8N6U8</t>
  </si>
  <si>
    <t>GP161</t>
  </si>
  <si>
    <t>GPCR150</t>
  </si>
  <si>
    <t>GPR160</t>
  </si>
  <si>
    <t>Q9UJ42</t>
  </si>
  <si>
    <t>GP160</t>
  </si>
  <si>
    <t>PGR1</t>
  </si>
  <si>
    <t>GPR153</t>
  </si>
  <si>
    <t>Q6NV75</t>
  </si>
  <si>
    <t>GP153</t>
  </si>
  <si>
    <t>PGR5</t>
  </si>
  <si>
    <t>GPR152</t>
  </si>
  <si>
    <t>Q8TDT2</t>
  </si>
  <si>
    <t>GP152</t>
  </si>
  <si>
    <t>PGR7</t>
  </si>
  <si>
    <t>GPR151</t>
  </si>
  <si>
    <t>Q8TDV0</t>
  </si>
  <si>
    <t>GP151</t>
  </si>
  <si>
    <t>GPR150</t>
  </si>
  <si>
    <t>Q8NGU9</t>
  </si>
  <si>
    <t>GP150</t>
  </si>
  <si>
    <t>PGR10</t>
  </si>
  <si>
    <t>GPR149</t>
  </si>
  <si>
    <t>Q86SP6</t>
  </si>
  <si>
    <t>GP149</t>
  </si>
  <si>
    <t>BTR;PGR6</t>
  </si>
  <si>
    <t>GPR148</t>
  </si>
  <si>
    <t>Q8TDV2</t>
  </si>
  <si>
    <t>GP148</t>
  </si>
  <si>
    <t>PGR8</t>
  </si>
  <si>
    <t>GPR146</t>
  </si>
  <si>
    <t>Q96CH1</t>
  </si>
  <si>
    <t>GP146</t>
  </si>
  <si>
    <t>PGR2</t>
  </si>
  <si>
    <t>GPR142</t>
  </si>
  <si>
    <t>Q7Z601</t>
  </si>
  <si>
    <t>GP142</t>
  </si>
  <si>
    <t>PGR13</t>
  </si>
  <si>
    <t>GPR141</t>
  </si>
  <si>
    <t>Q7Z602</t>
  </si>
  <si>
    <t>GP141</t>
  </si>
  <si>
    <t>GPR135</t>
  </si>
  <si>
    <t>Q8IZ08</t>
  </si>
  <si>
    <t>GP135</t>
  </si>
  <si>
    <t>12586833|10951580</t>
  </si>
  <si>
    <t>G2A</t>
  </si>
  <si>
    <t>STRG</t>
  </si>
  <si>
    <t>GPR88</t>
  </si>
  <si>
    <t>Q9GZN0</t>
  </si>
  <si>
    <t>GPR95;FKSG78</t>
  </si>
  <si>
    <t>GPR87</t>
  </si>
  <si>
    <t>SREB2</t>
  </si>
  <si>
    <t>GPR85</t>
  </si>
  <si>
    <t>P60893</t>
  </si>
  <si>
    <t>GPR72;KIAA1540</t>
  </si>
  <si>
    <t>GPR83</t>
  </si>
  <si>
    <t>Q9NYM4</t>
  </si>
  <si>
    <t>GPR82</t>
  </si>
  <si>
    <t>Q96P67</t>
  </si>
  <si>
    <t>PSP24B</t>
  </si>
  <si>
    <t>GPR63</t>
  </si>
  <si>
    <t>GPR62</t>
  </si>
  <si>
    <t>Q9BZJ7</t>
  </si>
  <si>
    <t>BALGR</t>
  </si>
  <si>
    <t>GPR61</t>
  </si>
  <si>
    <t>Q9BZJ8</t>
  </si>
  <si>
    <t>Q9Y2T5</t>
  </si>
  <si>
    <t>GPR50</t>
  </si>
  <si>
    <t>Q13585</t>
  </si>
  <si>
    <t>MTR1L</t>
  </si>
  <si>
    <t>GPR45</t>
  </si>
  <si>
    <t>Q9Y5Y3</t>
  </si>
  <si>
    <t>GPR32</t>
  </si>
  <si>
    <t>GPR25</t>
  </si>
  <si>
    <t>O00155</t>
  </si>
  <si>
    <t>GPR21</t>
  </si>
  <si>
    <t>Q99679</t>
  </si>
  <si>
    <t>Q15760</t>
  </si>
  <si>
    <t>GPR15</t>
  </si>
  <si>
    <t>P49685</t>
  </si>
  <si>
    <t>GPR1</t>
  </si>
  <si>
    <t>RCP</t>
  </si>
  <si>
    <t>OPN1LW</t>
  </si>
  <si>
    <t>P04000</t>
  </si>
  <si>
    <t>OPSR</t>
  </si>
  <si>
    <t>GCP</t>
  </si>
  <si>
    <t>OPN1MW</t>
  </si>
  <si>
    <t>P04001</t>
  </si>
  <si>
    <t>OPSG</t>
  </si>
  <si>
    <t>BCP</t>
  </si>
  <si>
    <t>OPN1SW</t>
  </si>
  <si>
    <t>P03999</t>
  </si>
  <si>
    <t>OPSB</t>
  </si>
  <si>
    <t>ECPN</t>
  </si>
  <si>
    <t>OPN3</t>
  </si>
  <si>
    <t>Q9H1Y3</t>
  </si>
  <si>
    <t>OPN2</t>
  </si>
  <si>
    <t>RHO</t>
  </si>
  <si>
    <t>P08100</t>
  </si>
  <si>
    <t>HORK3</t>
  </si>
  <si>
    <t>P2RY12</t>
  </si>
  <si>
    <t>GPR42P</t>
  </si>
  <si>
    <t>GPR42</t>
  </si>
  <si>
    <t>O15529</t>
  </si>
  <si>
    <t>CCR11;CCR6;CKRX;CRAM;HCR</t>
  </si>
  <si>
    <t>CCBP2;CCR11;CCRL1;VSHK1</t>
  </si>
  <si>
    <t>CMKOR1;CXCR7;GPR159;RDC1</t>
  </si>
  <si>
    <t>CCBP2;CCR10;CMKBR9;D6</t>
  </si>
  <si>
    <t>ACKR2</t>
  </si>
  <si>
    <t>O00590</t>
  </si>
  <si>
    <t>DARC;FY;GPD</t>
  </si>
  <si>
    <t>ACKR1</t>
  </si>
  <si>
    <t>Q16570</t>
  </si>
  <si>
    <t>Proteinase-activated receptors</t>
  </si>
  <si>
    <t>F2RL3</t>
  </si>
  <si>
    <t>F2RL2</t>
  </si>
  <si>
    <t>GPR11;PAR2</t>
  </si>
  <si>
    <t>F2RL1</t>
  </si>
  <si>
    <t>P55085</t>
  </si>
  <si>
    <t>CF2R;PAR1;TR</t>
  </si>
  <si>
    <t>F2R</t>
  </si>
  <si>
    <t>Prolactin-releasing peptide receptors</t>
  </si>
  <si>
    <t>GPR10;GR3</t>
  </si>
  <si>
    <t>NPY1RL;Y2B</t>
  </si>
  <si>
    <t>NPY6R</t>
  </si>
  <si>
    <t>Q99463</t>
  </si>
  <si>
    <t>C5L2;GPR77</t>
  </si>
  <si>
    <t>C5AR2</t>
  </si>
  <si>
    <t>21799898|21589858</t>
  </si>
  <si>
    <t>AZ3B;C3R1;HNFAG09</t>
  </si>
  <si>
    <t>C3AR1</t>
  </si>
  <si>
    <t>C3AR</t>
  </si>
  <si>
    <t>Non-
coupling</t>
  </si>
  <si>
    <t>num
prim
pmids</t>
  </si>
  <si>
    <t>secondary_PMID</t>
  </si>
  <si>
    <t>primary_PMID</t>
  </si>
  <si>
    <t>SecondaryEffectors</t>
  </si>
  <si>
    <t>PrimaryEffectors</t>
  </si>
  <si>
    <t>Secondary
Transducer</t>
  </si>
  <si>
    <t>Primary
Transducer</t>
  </si>
  <si>
    <t>Family</t>
  </si>
  <si>
    <t>Ligandtype</t>
  </si>
  <si>
    <t>GeneAlt</t>
  </si>
  <si>
    <t>Gene</t>
  </si>
  <si>
    <t>IUPHAR
TargetID</t>
  </si>
  <si>
    <t>IUPHAR
Name</t>
  </si>
  <si>
    <t>Uniprot</t>
  </si>
  <si>
    <t>1'-2'
Gs</t>
  </si>
  <si>
    <t>1'-2'
Gi/o</t>
  </si>
  <si>
    <t>1'-2'
Gq/11</t>
  </si>
  <si>
    <t>1'-2'
G12/13</t>
  </si>
  <si>
    <t>C/NC
Gs</t>
  </si>
  <si>
    <t>C/NC
Gi/o</t>
  </si>
  <si>
    <t>C/NC
Gq/11</t>
  </si>
  <si>
    <t>C/NC
G12/13</t>
  </si>
  <si>
    <t>GprotDb
GoA</t>
  </si>
  <si>
    <t>GprotDb
Gq</t>
  </si>
  <si>
    <t>GprotDb
GsL</t>
  </si>
  <si>
    <t>GprotDb
G13</t>
  </si>
  <si>
    <t>GtoPdb
1'</t>
  </si>
  <si>
    <t>GtoPdb
2'</t>
  </si>
  <si>
    <t>Comp
with
GtoPdb
all</t>
  </si>
  <si>
    <t>Comp
with
GtoPdb
1'</t>
  </si>
  <si>
    <t>Comp
with
GtoPdb
2'</t>
  </si>
  <si>
    <t>Comp
with
GprotDb</t>
  </si>
  <si>
    <t>Max
BRET
norm
GoA</t>
  </si>
  <si>
    <t>Max
BRET
norm
Gq</t>
  </si>
  <si>
    <t>Max
BRET
norm
G15</t>
  </si>
  <si>
    <t>Max
BRET
norm
GsL</t>
  </si>
  <si>
    <t>Max
BRET
norm
G13</t>
  </si>
  <si>
    <t>Kon
norm
GoA</t>
  </si>
  <si>
    <t>Kon
norm
Gq</t>
  </si>
  <si>
    <t>Kon
norm
G15</t>
  </si>
  <si>
    <t>Kon
norm
GsL</t>
  </si>
  <si>
    <t>Kon
norm
G13</t>
  </si>
  <si>
    <t>Sel
1'</t>
  </si>
  <si>
    <t>Rank</t>
  </si>
  <si>
    <t>G15
coup
-ling</t>
  </si>
  <si>
    <t>Gq
coup
-ling</t>
  </si>
  <si>
    <t>GoA
coup
-ling</t>
  </si>
  <si>
    <t>GsL
coup
-ling</t>
  </si>
  <si>
    <t>G13
coup
-ling</t>
  </si>
  <si>
    <t>Ligand
type</t>
  </si>
  <si>
    <t>Transf
-ection
ratio</t>
  </si>
  <si>
    <t>X-C motif chemokine receptor 1</t>
  </si>
  <si>
    <t>Chemokine</t>
  </si>
  <si>
    <t>vasoactive intestinal peptide receptor 2</t>
  </si>
  <si>
    <t>VIPandPACAP</t>
  </si>
  <si>
    <r>
      <t>VPAC</t>
    </r>
    <r>
      <rPr>
        <vertAlign val="subscript"/>
        <sz val="11"/>
        <color theme="1"/>
        <rFont val="Calibri (Body)"/>
      </rPr>
      <t>2</t>
    </r>
  </si>
  <si>
    <t>VIP1R</t>
  </si>
  <si>
    <t>vasoactive intestinal peptide receptor 1</t>
  </si>
  <si>
    <r>
      <t>VPAC</t>
    </r>
    <r>
      <rPr>
        <vertAlign val="subscript"/>
        <sz val="11"/>
        <color theme="1"/>
        <rFont val="Calibri (Body)"/>
      </rPr>
      <t>1</t>
    </r>
  </si>
  <si>
    <t>arginine vasopressin receptor 1B</t>
  </si>
  <si>
    <t>Vasopressinandoxytocin</t>
  </si>
  <si>
    <r>
      <t>V</t>
    </r>
    <r>
      <rPr>
        <vertAlign val="subscript"/>
        <sz val="11"/>
        <color theme="1"/>
        <rFont val="Calibri (Body)"/>
      </rPr>
      <t>1B</t>
    </r>
  </si>
  <si>
    <t>urotensin 2 receptor</t>
  </si>
  <si>
    <t>Urotensin</t>
  </si>
  <si>
    <t>thyroid stimulating hormone receptor</t>
  </si>
  <si>
    <t>Glycoproteinhormone</t>
  </si>
  <si>
    <t>taste 1 receptor member 3</t>
  </si>
  <si>
    <t>Taste1</t>
  </si>
  <si>
    <t>Sensory</t>
  </si>
  <si>
    <t>taste 1 receptor member 2</t>
  </si>
  <si>
    <t>taste 1 receptor member 1</t>
  </si>
  <si>
    <t>thyrotropin releasing hormone receptor</t>
  </si>
  <si>
    <t>Thyrotropin-releasinghormon</t>
  </si>
  <si>
    <r>
      <t>TRH</t>
    </r>
    <r>
      <rPr>
        <vertAlign val="subscript"/>
        <sz val="11"/>
        <color theme="1"/>
        <rFont val="Calibri (Body)"/>
      </rPr>
      <t>1</t>
    </r>
  </si>
  <si>
    <t>transmembrane protein adipocyte associated 1</t>
  </si>
  <si>
    <t>OtherGPCRorphans</t>
  </si>
  <si>
    <t>O</t>
  </si>
  <si>
    <t>trace amine associated receptor 9</t>
  </si>
  <si>
    <t>ClassAorphans</t>
  </si>
  <si>
    <t>trace amine associated receptor 8</t>
  </si>
  <si>
    <t>trace amine associated receptor 6</t>
  </si>
  <si>
    <t>trace amine associated receptor 5</t>
  </si>
  <si>
    <t>trace amine associated receptor 3, pseudogene</t>
  </si>
  <si>
    <t>trace amine associated receptor 2</t>
  </si>
  <si>
    <t>trace amine associated receptor 1</t>
  </si>
  <si>
    <t>Traceamine</t>
  </si>
  <si>
    <r>
      <t>TA</t>
    </r>
    <r>
      <rPr>
        <vertAlign val="subscript"/>
        <sz val="11"/>
        <color theme="1"/>
        <rFont val="Calibri (Body)"/>
      </rPr>
      <t>1</t>
    </r>
  </si>
  <si>
    <t>taste 2 receptor member 9</t>
  </si>
  <si>
    <t>Taste2</t>
  </si>
  <si>
    <t>T</t>
  </si>
  <si>
    <t>taste 2 receptor member 8</t>
  </si>
  <si>
    <t>taste 2 receptor member 7</t>
  </si>
  <si>
    <t>taste 2 receptor member 5</t>
  </si>
  <si>
    <t>taste 2 receptor member 4</t>
  </si>
  <si>
    <t>taste 2 receptor member 3</t>
  </si>
  <si>
    <t>taste 2 receptor member 1</t>
  </si>
  <si>
    <t>thromboxane A2 receptor</t>
  </si>
  <si>
    <t>Prostanoid</t>
  </si>
  <si>
    <t>taste 2 receptor member 60</t>
  </si>
  <si>
    <t>taste 2 receptor member 50</t>
  </si>
  <si>
    <t>taste 2 receptor member 46</t>
  </si>
  <si>
    <t>taste 2 receptor member 45</t>
  </si>
  <si>
    <t>taste 2 receptor member 43</t>
  </si>
  <si>
    <t>taste 2 receptor member 42</t>
  </si>
  <si>
    <t>taste 2 receptor member 41</t>
  </si>
  <si>
    <t>taste 2 receptor member 40</t>
  </si>
  <si>
    <t>taste 2 receptor member 39</t>
  </si>
  <si>
    <t>taste 2 receptor member 38</t>
  </si>
  <si>
    <t>taste 2 receptor member 31</t>
  </si>
  <si>
    <t>taste 2 receptor member 30</t>
  </si>
  <si>
    <t>taste 2 receptor member 20</t>
  </si>
  <si>
    <t>taste 2 receptor member 19</t>
  </si>
  <si>
    <t>taste 2 receptor member 16</t>
  </si>
  <si>
    <t>taste 2 receptor member 14</t>
  </si>
  <si>
    <t>taste 2 receptor member 13</t>
  </si>
  <si>
    <t>taste 2 receptor member 10</t>
  </si>
  <si>
    <t>succinate receptor 1</t>
  </si>
  <si>
    <t>Alicarboxylicacid</t>
  </si>
  <si>
    <t>somatostatin receptor 5</t>
  </si>
  <si>
    <t>somatostatin receptor 4</t>
  </si>
  <si>
    <t>somatostatin receptor 3</t>
  </si>
  <si>
    <t>somatostatin receptor 1</t>
  </si>
  <si>
    <t>smoothened, frizzled class receptor</t>
  </si>
  <si>
    <t>F</t>
  </si>
  <si>
    <t>Glucagonreceptorfamily</t>
  </si>
  <si>
    <t>sphingosine-1-phosphate receptor 5</t>
  </si>
  <si>
    <t>Lysophospholipid(S1P)</t>
  </si>
  <si>
    <r>
      <t>S1P</t>
    </r>
    <r>
      <rPr>
        <vertAlign val="subscript"/>
        <sz val="11"/>
        <color theme="1"/>
        <rFont val="Calibri (Body)"/>
      </rPr>
      <t>5</t>
    </r>
  </si>
  <si>
    <t>sphingosine-1-phosphate receptor 4</t>
  </si>
  <si>
    <r>
      <t>S1P</t>
    </r>
    <r>
      <rPr>
        <vertAlign val="subscript"/>
        <sz val="11"/>
        <color theme="1"/>
        <rFont val="Calibri (Body)"/>
      </rPr>
      <t>4</t>
    </r>
  </si>
  <si>
    <t>sphingosine-1-phosphate receptor 3</t>
  </si>
  <si>
    <r>
      <t>S1P</t>
    </r>
    <r>
      <rPr>
        <vertAlign val="subscript"/>
        <sz val="11"/>
        <color theme="1"/>
        <rFont val="Calibri (Body)"/>
      </rPr>
      <t>3</t>
    </r>
  </si>
  <si>
    <t>sphingosine-1-phosphate receptor 2</t>
  </si>
  <si>
    <r>
      <t>S1P</t>
    </r>
    <r>
      <rPr>
        <vertAlign val="subscript"/>
        <sz val="11"/>
        <color theme="1"/>
        <rFont val="Calibri (Body)"/>
      </rPr>
      <t>2</t>
    </r>
  </si>
  <si>
    <t>relaxin family peptide receptor 2</t>
  </si>
  <si>
    <t>Relaxinfamilypeptide</t>
  </si>
  <si>
    <t>relaxin family peptide receptor 1</t>
  </si>
  <si>
    <t>relaxin family peptide/INSL5 receptor 4</t>
  </si>
  <si>
    <t>relaxin family peptide receptor 3</t>
  </si>
  <si>
    <t>G protein-coupled receptor class C group 5 member A</t>
  </si>
  <si>
    <t>ClassCOrphans</t>
  </si>
  <si>
    <t>pyroglutamylated RFamide peptide receptor</t>
  </si>
  <si>
    <t>PeptideP518</t>
  </si>
  <si>
    <t>QRFP</t>
  </si>
  <si>
    <t>parathyroid hormone 2 receptor</t>
  </si>
  <si>
    <t>Parathyroidhormone</t>
  </si>
  <si>
    <t>platelet activating factor receptor</t>
  </si>
  <si>
    <t>Platelet-activatingfactor</t>
  </si>
  <si>
    <t>G protein-coupled receptor 65</t>
  </si>
  <si>
    <t>prolactin releasing hormone receptor</t>
  </si>
  <si>
    <t>Prolactin-releasingpeptide</t>
  </si>
  <si>
    <t>prokineticin receptor 2</t>
  </si>
  <si>
    <t>Prokineticin</t>
  </si>
  <si>
    <r>
      <t>PKR</t>
    </r>
    <r>
      <rPr>
        <vertAlign val="subscript"/>
        <sz val="11"/>
        <color theme="1"/>
        <rFont val="Calibri (Body)"/>
      </rPr>
      <t>2</t>
    </r>
  </si>
  <si>
    <t>prokineticin receptor 1</t>
  </si>
  <si>
    <r>
      <t>PKR</t>
    </r>
    <r>
      <rPr>
        <vertAlign val="subscript"/>
        <sz val="11"/>
        <color theme="1"/>
        <rFont val="Calibri (Body)"/>
      </rPr>
      <t>1</t>
    </r>
  </si>
  <si>
    <t>prostaglandin I2 receptor</t>
  </si>
  <si>
    <t>prostaglandin D2 receptor 2</t>
  </si>
  <si>
    <r>
      <t>DP</t>
    </r>
    <r>
      <rPr>
        <vertAlign val="subscript"/>
        <sz val="11"/>
        <color theme="1"/>
        <rFont val="Calibri (Body)"/>
      </rPr>
      <t>2</t>
    </r>
  </si>
  <si>
    <t>prostaglandin D2 receptor</t>
  </si>
  <si>
    <r>
      <t>DP</t>
    </r>
    <r>
      <rPr>
        <vertAlign val="subscript"/>
        <sz val="11"/>
        <color theme="1"/>
        <rFont val="Calibri (Body)"/>
      </rPr>
      <t>1</t>
    </r>
  </si>
  <si>
    <t>F2R like thrombin or trypsin receptor 3</t>
  </si>
  <si>
    <t>Proteinase-activated</t>
  </si>
  <si>
    <t>coagulation factor II thrombin receptor like 2</t>
  </si>
  <si>
    <t>ADCYAP receptor type I</t>
  </si>
  <si>
    <r>
      <t>PAC</t>
    </r>
    <r>
      <rPr>
        <vertAlign val="subscript"/>
        <sz val="11"/>
        <color theme="1"/>
        <rFont val="Calibri (Body)"/>
      </rPr>
      <t>1</t>
    </r>
  </si>
  <si>
    <t>purinergic receptor P2Y14</t>
  </si>
  <si>
    <t>P2Y</t>
  </si>
  <si>
    <r>
      <t>P2Y</t>
    </r>
    <r>
      <rPr>
        <vertAlign val="subscript"/>
        <sz val="11"/>
        <color theme="1"/>
        <rFont val="Calibri (Body)"/>
      </rPr>
      <t>14</t>
    </r>
  </si>
  <si>
    <t>purinergic receptor P2Y13</t>
  </si>
  <si>
    <r>
      <t>P2Y</t>
    </r>
    <r>
      <rPr>
        <vertAlign val="subscript"/>
        <sz val="11"/>
        <color theme="1"/>
        <rFont val="Calibri (Body)"/>
      </rPr>
      <t>13</t>
    </r>
  </si>
  <si>
    <t>purinergic receptor P2Y12</t>
  </si>
  <si>
    <r>
      <t>P2Y</t>
    </r>
    <r>
      <rPr>
        <vertAlign val="subscript"/>
        <sz val="11"/>
        <color theme="1"/>
        <rFont val="Calibri (Body)"/>
      </rPr>
      <t>12</t>
    </r>
  </si>
  <si>
    <t>purinergic receptor P2Y11</t>
  </si>
  <si>
    <r>
      <t>P2Y</t>
    </r>
    <r>
      <rPr>
        <vertAlign val="subscript"/>
        <sz val="11"/>
        <color theme="1"/>
        <rFont val="Calibri (Body)"/>
      </rPr>
      <t>11</t>
    </r>
  </si>
  <si>
    <t>P2Y receptor family member 10</t>
  </si>
  <si>
    <r>
      <t>P2RY</t>
    </r>
    <r>
      <rPr>
        <vertAlign val="subscript"/>
        <sz val="11"/>
        <color theme="1"/>
        <rFont val="Calibri (Body)"/>
      </rPr>
      <t>10</t>
    </r>
  </si>
  <si>
    <t>P2Y receptor family member 8</t>
  </si>
  <si>
    <t>pyrimidinergic receptor P2Y6</t>
  </si>
  <si>
    <r>
      <t>P2Y</t>
    </r>
    <r>
      <rPr>
        <vertAlign val="subscript"/>
        <sz val="11"/>
        <color theme="1"/>
        <rFont val="Calibri (Body)"/>
      </rPr>
      <t>6</t>
    </r>
  </si>
  <si>
    <t>pyrimidinergic receptor P2Y4</t>
  </si>
  <si>
    <r>
      <t>P2Y</t>
    </r>
    <r>
      <rPr>
        <vertAlign val="subscript"/>
        <sz val="11"/>
        <color theme="1"/>
        <rFont val="Calibri (Body)"/>
      </rPr>
      <t>4</t>
    </r>
  </si>
  <si>
    <t>purinergic receptor P2Y1</t>
  </si>
  <si>
    <r>
      <t>P2Y</t>
    </r>
    <r>
      <rPr>
        <vertAlign val="subscript"/>
        <sz val="11"/>
        <color theme="1"/>
        <rFont val="Calibri (Body)"/>
      </rPr>
      <t>1</t>
    </r>
  </si>
  <si>
    <t>oxoglutarate receptor 1</t>
  </si>
  <si>
    <t>oxoeicosanoid receptor 1</t>
  </si>
  <si>
    <t>Leukotriene</t>
  </si>
  <si>
    <t>OXE</t>
  </si>
  <si>
    <t>hypocretin receptor 1</t>
  </si>
  <si>
    <t>Orexin</t>
  </si>
  <si>
    <r>
      <t>OX</t>
    </r>
    <r>
      <rPr>
        <vertAlign val="subscript"/>
        <sz val="11"/>
        <color theme="1"/>
        <rFont val="Calibri (Body)"/>
      </rPr>
      <t>1</t>
    </r>
  </si>
  <si>
    <t>opsin 1, long wave sensitive</t>
  </si>
  <si>
    <t>opsin 1, medium wave sensitive</t>
  </si>
  <si>
    <t>rhodopsin</t>
  </si>
  <si>
    <t>opsin 1, short wave sensitive</t>
  </si>
  <si>
    <t>opsin 5</t>
  </si>
  <si>
    <t>opsin 4</t>
  </si>
  <si>
    <t>opsin 3</t>
  </si>
  <si>
    <t>G protein-coupled receptor 68</t>
  </si>
  <si>
    <t>neurotensin receptor 2</t>
  </si>
  <si>
    <r>
      <t>NTS</t>
    </r>
    <r>
      <rPr>
        <vertAlign val="subscript"/>
        <sz val="11"/>
        <color theme="1"/>
        <rFont val="Calibri (Body)"/>
      </rPr>
      <t>2</t>
    </r>
  </si>
  <si>
    <t>neurotensin receptor 1</t>
  </si>
  <si>
    <r>
      <t>NTS</t>
    </r>
    <r>
      <rPr>
        <vertAlign val="subscript"/>
        <sz val="11"/>
        <color theme="1"/>
        <rFont val="Calibri (Body)"/>
      </rPr>
      <t>1</t>
    </r>
  </si>
  <si>
    <t>neuropeptide Y receptor Y6 (pseudogene)</t>
  </si>
  <si>
    <t>NeuropeptideY</t>
  </si>
  <si>
    <r>
      <t>Y</t>
    </r>
    <r>
      <rPr>
        <vertAlign val="subscript"/>
        <sz val="11"/>
        <color theme="1"/>
        <rFont val="Calibri (Body)"/>
      </rPr>
      <t>6</t>
    </r>
  </si>
  <si>
    <t>neuropeptide Y receptor Y5</t>
  </si>
  <si>
    <r>
      <t>Y</t>
    </r>
    <r>
      <rPr>
        <vertAlign val="subscript"/>
        <sz val="11"/>
        <color theme="1"/>
        <rFont val="Calibri (Body)"/>
      </rPr>
      <t>5</t>
    </r>
  </si>
  <si>
    <t>neuropeptide Y receptor Y4</t>
  </si>
  <si>
    <r>
      <t>Y</t>
    </r>
    <r>
      <rPr>
        <vertAlign val="subscript"/>
        <sz val="11"/>
        <color theme="1"/>
        <rFont val="Calibri (Body)"/>
      </rPr>
      <t>4</t>
    </r>
  </si>
  <si>
    <t>neuropeptide Y receptor Y2</t>
  </si>
  <si>
    <r>
      <t>Y</t>
    </r>
    <r>
      <rPr>
        <vertAlign val="subscript"/>
        <sz val="11"/>
        <color theme="1"/>
        <rFont val="Calibri (Body)"/>
      </rPr>
      <t>2</t>
    </r>
  </si>
  <si>
    <t>neuropeptide Y receptor Y1</t>
  </si>
  <si>
    <r>
      <t>Y</t>
    </r>
    <r>
      <rPr>
        <vertAlign val="subscript"/>
        <sz val="11"/>
        <color theme="1"/>
        <rFont val="Calibri (Body)"/>
      </rPr>
      <t>1</t>
    </r>
  </si>
  <si>
    <t>neuropeptide S receptor 1</t>
  </si>
  <si>
    <t>NeuropeptideS</t>
  </si>
  <si>
    <t>neuropeptides B and W receptor 2</t>
  </si>
  <si>
    <t>NeuropeptideW/neuropeptide</t>
  </si>
  <si>
    <t>neuropeptides B and W receptor 1</t>
  </si>
  <si>
    <t>GPR79P</t>
  </si>
  <si>
    <t>Not in UniProt, pseudogene</t>
  </si>
  <si>
    <t>M3DSHORT</t>
  </si>
  <si>
    <t>Not in UniProt</t>
  </si>
  <si>
    <t>M3D</t>
  </si>
  <si>
    <t>neuromedin U receptor 2</t>
  </si>
  <si>
    <t>NeuromedinU</t>
  </si>
  <si>
    <t>neuromedin U receptor 1</t>
  </si>
  <si>
    <t>neuromedin B receptor</t>
  </si>
  <si>
    <r>
      <t>BB</t>
    </r>
    <r>
      <rPr>
        <vertAlign val="subscript"/>
        <sz val="11"/>
        <color theme="1"/>
        <rFont val="Calibri (Body)"/>
      </rPr>
      <t>1</t>
    </r>
  </si>
  <si>
    <t>tachykinin receptor 3</t>
  </si>
  <si>
    <t>Tachykinin</t>
  </si>
  <si>
    <r>
      <t>NK</t>
    </r>
    <r>
      <rPr>
        <vertAlign val="subscript"/>
        <sz val="11"/>
        <color theme="1"/>
        <rFont val="Calibri (Body)"/>
      </rPr>
      <t>3</t>
    </r>
  </si>
  <si>
    <t>tachykinin receptor 2</t>
  </si>
  <si>
    <r>
      <t>NK</t>
    </r>
    <r>
      <rPr>
        <vertAlign val="subscript"/>
        <sz val="11"/>
        <color theme="1"/>
        <rFont val="Calibri (Body)"/>
      </rPr>
      <t>2</t>
    </r>
  </si>
  <si>
    <t>tachykinin receptor 1</t>
  </si>
  <si>
    <r>
      <t>NK</t>
    </r>
    <r>
      <rPr>
        <vertAlign val="subscript"/>
        <sz val="11"/>
        <color theme="1"/>
        <rFont val="Calibri (Body)"/>
      </rPr>
      <t>1</t>
    </r>
  </si>
  <si>
    <t>G protein-coupled receptor 50</t>
  </si>
  <si>
    <t>Motilin</t>
  </si>
  <si>
    <t>melanocortin 1 receptor</t>
  </si>
  <si>
    <t>Melanocortin</t>
  </si>
  <si>
    <r>
      <t>MC</t>
    </r>
    <r>
      <rPr>
        <vertAlign val="subscript"/>
        <sz val="11"/>
        <color theme="1"/>
        <rFont val="Calibri (Body)"/>
      </rPr>
      <t>1</t>
    </r>
  </si>
  <si>
    <t>MAS related GPR family member X4</t>
  </si>
  <si>
    <t>MAS related GPR family member X3</t>
  </si>
  <si>
    <t>MAS related GPR family member X2</t>
  </si>
  <si>
    <t>MAS related GPR family member X1</t>
  </si>
  <si>
    <t>MAS related GPR family member G</t>
  </si>
  <si>
    <t>MAS related GPR family member F</t>
  </si>
  <si>
    <t>MAS related GPR family member E</t>
  </si>
  <si>
    <t>MAS related GPR family member D</t>
  </si>
  <si>
    <t>melanin concentrating hormone receptor 2</t>
  </si>
  <si>
    <t>Melanin-concentratinghormon</t>
  </si>
  <si>
    <r>
      <t>MCH</t>
    </r>
    <r>
      <rPr>
        <vertAlign val="subscript"/>
        <sz val="11"/>
        <color theme="1"/>
        <rFont val="Calibri (Body)"/>
      </rPr>
      <t>2</t>
    </r>
  </si>
  <si>
    <t>melanin concentrating hormone receptor 1</t>
  </si>
  <si>
    <r>
      <t>MCH</t>
    </r>
    <r>
      <rPr>
        <vertAlign val="subscript"/>
        <sz val="11"/>
        <color theme="1"/>
        <rFont val="Calibri (Body)"/>
      </rPr>
      <t>1</t>
    </r>
  </si>
  <si>
    <t>melanocortin 5 receptor</t>
  </si>
  <si>
    <r>
      <t>MC</t>
    </r>
    <r>
      <rPr>
        <vertAlign val="subscript"/>
        <sz val="11"/>
        <color theme="1"/>
        <rFont val="Calibri (Body)"/>
      </rPr>
      <t>5</t>
    </r>
  </si>
  <si>
    <t>MAS1 proto-oncogene like, G protein-coupled receptor</t>
  </si>
  <si>
    <t>MAS1 proto-oncogene, G protein-coupled receptor</t>
  </si>
  <si>
    <t>luteinizing hormone/choriogonadotropin receptor</t>
  </si>
  <si>
    <t>lysophosphatidic acid receptor 6</t>
  </si>
  <si>
    <t>Lysophospholipid(LPA)</t>
  </si>
  <si>
    <r>
      <t>LPA</t>
    </r>
    <r>
      <rPr>
        <vertAlign val="subscript"/>
        <sz val="11"/>
        <color theme="1"/>
        <rFont val="Calibri (Body)"/>
      </rPr>
      <t>6</t>
    </r>
  </si>
  <si>
    <t>lysophosphatidic acid receptor 5</t>
  </si>
  <si>
    <r>
      <t>LPA</t>
    </r>
    <r>
      <rPr>
        <vertAlign val="subscript"/>
        <sz val="11"/>
        <color theme="1"/>
        <rFont val="Calibri (Body)"/>
      </rPr>
      <t>5</t>
    </r>
  </si>
  <si>
    <t>lysophosphatidic acid receptor 4</t>
  </si>
  <si>
    <r>
      <t>LPA</t>
    </r>
    <r>
      <rPr>
        <vertAlign val="subscript"/>
        <sz val="11"/>
        <color theme="1"/>
        <rFont val="Calibri (Body)"/>
      </rPr>
      <t>4</t>
    </r>
  </si>
  <si>
    <t>lysophosphatidic acid receptor 3</t>
  </si>
  <si>
    <r>
      <t>LPA</t>
    </r>
    <r>
      <rPr>
        <vertAlign val="subscript"/>
        <sz val="11"/>
        <color theme="1"/>
        <rFont val="Calibri (Body)"/>
      </rPr>
      <t>3</t>
    </r>
  </si>
  <si>
    <t>leucine rich repeat containing G protein-coupled receptor 6</t>
  </si>
  <si>
    <t>leucine rich repeat containing G protein-coupled receptor 5</t>
  </si>
  <si>
    <t>leucine rich repeat containing G protein-coupled receptor 4</t>
  </si>
  <si>
    <t>KISS1 receptor</t>
  </si>
  <si>
    <t>histamine receptor H4</t>
  </si>
  <si>
    <r>
      <t>H</t>
    </r>
    <r>
      <rPr>
        <vertAlign val="subscript"/>
        <sz val="11"/>
        <color theme="1"/>
        <rFont val="Calibri (Body)"/>
      </rPr>
      <t>4</t>
    </r>
  </si>
  <si>
    <t>histamine receptor H3</t>
  </si>
  <si>
    <r>
      <t>H</t>
    </r>
    <r>
      <rPr>
        <vertAlign val="subscript"/>
        <sz val="11"/>
        <color theme="1"/>
        <rFont val="Calibri (Body)"/>
      </rPr>
      <t>3</t>
    </r>
  </si>
  <si>
    <t>hydroxycarboxylic acid receptor 3</t>
  </si>
  <si>
    <t>Hydroxycarboxylicacid</t>
  </si>
  <si>
    <r>
      <t>HCA</t>
    </r>
    <r>
      <rPr>
        <vertAlign val="subscript"/>
        <sz val="11"/>
        <color theme="1"/>
        <rFont val="Calibri (Body)"/>
      </rPr>
      <t>3</t>
    </r>
  </si>
  <si>
    <t>GPR109a (hHCAR2)</t>
  </si>
  <si>
    <t>hydroxycarboxylic acid receptor 2</t>
  </si>
  <si>
    <r>
      <t>HCA</t>
    </r>
    <r>
      <rPr>
        <vertAlign val="subscript"/>
        <sz val="11"/>
        <color theme="1"/>
        <rFont val="Calibri (Body)"/>
      </rPr>
      <t>2</t>
    </r>
  </si>
  <si>
    <t>hydroxycarboxylic acid receptor 1</t>
  </si>
  <si>
    <r>
      <t>HCA</t>
    </r>
    <r>
      <rPr>
        <vertAlign val="subscript"/>
        <sz val="11"/>
        <color theme="1"/>
        <rFont val="Calibri (Body)"/>
      </rPr>
      <t>1</t>
    </r>
  </si>
  <si>
    <t>gastrin releasing peptide receptor</t>
  </si>
  <si>
    <r>
      <t>BB</t>
    </r>
    <r>
      <rPr>
        <vertAlign val="subscript"/>
        <sz val="11"/>
        <color theme="1"/>
        <rFont val="Calibri (Body)"/>
      </rPr>
      <t>2</t>
    </r>
  </si>
  <si>
    <t>GRM8 + EAAC/EAAT</t>
  </si>
  <si>
    <t>glutamate metabotropic receptor 8</t>
  </si>
  <si>
    <t>Metabotropicglutamate</t>
  </si>
  <si>
    <t>Aminoacid</t>
  </si>
  <si>
    <r>
      <t>mGlu</t>
    </r>
    <r>
      <rPr>
        <vertAlign val="subscript"/>
        <sz val="11"/>
        <color theme="1"/>
        <rFont val="Calibri (Body)"/>
      </rPr>
      <t>8</t>
    </r>
  </si>
  <si>
    <t>glutamate metabotropic receptor 7</t>
  </si>
  <si>
    <r>
      <t>mGlu</t>
    </r>
    <r>
      <rPr>
        <vertAlign val="subscript"/>
        <sz val="11"/>
        <color theme="1"/>
        <rFont val="Calibri (Body)"/>
      </rPr>
      <t>7</t>
    </r>
  </si>
  <si>
    <t>GRM6+ EAAC/EAAT</t>
  </si>
  <si>
    <t>glutamate metabotropic receptor 6</t>
  </si>
  <si>
    <r>
      <t>mGlu</t>
    </r>
    <r>
      <rPr>
        <vertAlign val="subscript"/>
        <sz val="11"/>
        <color theme="1"/>
        <rFont val="Calibri (Body)"/>
      </rPr>
      <t>6</t>
    </r>
  </si>
  <si>
    <t>GRM5 + EAAC/EAAT</t>
  </si>
  <si>
    <t>glutamate metabotropic receptor 5</t>
  </si>
  <si>
    <r>
      <t>mGlu</t>
    </r>
    <r>
      <rPr>
        <vertAlign val="subscript"/>
        <sz val="11"/>
        <color theme="1"/>
        <rFont val="Calibri (Body)"/>
      </rPr>
      <t>5</t>
    </r>
  </si>
  <si>
    <t>GRM4 + EAAC/EAAT</t>
  </si>
  <si>
    <t>glutamate metabotropic receptor 4</t>
  </si>
  <si>
    <r>
      <t>mGlu</t>
    </r>
    <r>
      <rPr>
        <vertAlign val="subscript"/>
        <sz val="11"/>
        <color theme="1"/>
        <rFont val="Calibri (Body)"/>
      </rPr>
      <t>4</t>
    </r>
  </si>
  <si>
    <t>glutamate metabotropic receptor 3</t>
  </si>
  <si>
    <r>
      <t>mGlu</t>
    </r>
    <r>
      <rPr>
        <vertAlign val="subscript"/>
        <sz val="11"/>
        <color theme="1"/>
        <rFont val="Calibri (Body)"/>
      </rPr>
      <t>3</t>
    </r>
  </si>
  <si>
    <t>GRM2 + EAAC/EAAT</t>
  </si>
  <si>
    <t>glutamate metabotropic receptor 2</t>
  </si>
  <si>
    <r>
      <t>mGlu</t>
    </r>
    <r>
      <rPr>
        <vertAlign val="subscript"/>
        <sz val="11"/>
        <color theme="1"/>
        <rFont val="Calibri (Body)"/>
      </rPr>
      <t>2</t>
    </r>
  </si>
  <si>
    <t>glutamate metabotropic receptor 1</t>
  </si>
  <si>
    <r>
      <t>mGlu</t>
    </r>
    <r>
      <rPr>
        <vertAlign val="subscript"/>
        <sz val="11"/>
        <color theme="1"/>
        <rFont val="Calibri (Body)"/>
      </rPr>
      <t>1</t>
    </r>
  </si>
  <si>
    <t>G protein-coupled receptor 88</t>
  </si>
  <si>
    <t>G protein-coupled receptor 87</t>
  </si>
  <si>
    <t>G protein-coupled receptor 85</t>
  </si>
  <si>
    <t>G protein-coupled receptor 83</t>
  </si>
  <si>
    <t>G protein-coupled receptor 82</t>
  </si>
  <si>
    <t>G protein-coupled receptor 78</t>
  </si>
  <si>
    <t>G protein-coupled receptor 75</t>
  </si>
  <si>
    <t>G protein-coupled receptor 63</t>
  </si>
  <si>
    <t>G protein-coupled receptor 62</t>
  </si>
  <si>
    <t>G protein-coupled receptor 61</t>
  </si>
  <si>
    <t>G protein-coupled receptor 6</t>
  </si>
  <si>
    <t>G protein-coupled receptor 55</t>
  </si>
  <si>
    <t>G protein-coupled receptor 52</t>
  </si>
  <si>
    <t>G protein-coupled receptor 45</t>
  </si>
  <si>
    <t>G protein-coupled receptor 42</t>
  </si>
  <si>
    <t>Freefattyacid</t>
  </si>
  <si>
    <t>G protein-coupled receptor 4</t>
  </si>
  <si>
    <t>G protein-coupled receptor 39</t>
  </si>
  <si>
    <t>G protein-coupled receptor 37</t>
  </si>
  <si>
    <t>G protein-coupled receptor 35</t>
  </si>
  <si>
    <t>G protein-coupled receptor 34</t>
  </si>
  <si>
    <t>G protein-coupled receptor 33</t>
  </si>
  <si>
    <t>G protein-coupled receptor 32</t>
  </si>
  <si>
    <t>G protein-coupled receptor 31</t>
  </si>
  <si>
    <t>G protein-coupled receptor 3</t>
  </si>
  <si>
    <t>G protein-coupled receptor 27</t>
  </si>
  <si>
    <t>G protein-coupled receptor 26</t>
  </si>
  <si>
    <t>G protein-coupled receptor 25</t>
  </si>
  <si>
    <t>G protein-coupled receptor 22</t>
  </si>
  <si>
    <t>G protein-coupled receptor 21</t>
  </si>
  <si>
    <t>G protein-coupled receptor 20</t>
  </si>
  <si>
    <t>G protein-coupled receptor 19</t>
  </si>
  <si>
    <t>G protein-coupled receptor 18</t>
  </si>
  <si>
    <t>G protein-coupled receptor 17</t>
  </si>
  <si>
    <t>G protein-coupled receptor 15</t>
  </si>
  <si>
    <t>G protein-coupled receptor 12</t>
  </si>
  <si>
    <t>G protein-coupled receptor 1</t>
  </si>
  <si>
    <t>G protein-coupled estrogen receptor 1</t>
  </si>
  <si>
    <t>Estrogen(Gprotein-coupled)</t>
  </si>
  <si>
    <t>G protein-coupled receptor class C group 6 member A</t>
  </si>
  <si>
    <t>Calcium-sensing</t>
  </si>
  <si>
    <t>Ion</t>
  </si>
  <si>
    <t>GPRC6</t>
  </si>
  <si>
    <t>G protein-coupled receptor class C group 5 member D</t>
  </si>
  <si>
    <t>G protein-coupled receptor class C group 5 member C</t>
  </si>
  <si>
    <t>G protein-coupled receptor class C group 5 member B</t>
  </si>
  <si>
    <t>TGR5 (GPBAR1)</t>
  </si>
  <si>
    <t>G protein-coupled bile acid receptor 1</t>
  </si>
  <si>
    <t>Bileacid</t>
  </si>
  <si>
    <t>G protein-coupled receptor 182</t>
  </si>
  <si>
    <t>G protein-coupled receptor 179</t>
  </si>
  <si>
    <t>G protein-coupled receptor 176</t>
  </si>
  <si>
    <t>G protein-coupled receptor 174</t>
  </si>
  <si>
    <t>G protein-coupled receptor 173</t>
  </si>
  <si>
    <t>G protein-coupled receptor 171</t>
  </si>
  <si>
    <t>G protein-coupled receptor 162</t>
  </si>
  <si>
    <t>G protein-coupled receptor 161</t>
  </si>
  <si>
    <t>G protein-coupled receptor 160</t>
  </si>
  <si>
    <t>G protein-coupled receptor 158</t>
  </si>
  <si>
    <t>G protein-coupled receptor 157</t>
  </si>
  <si>
    <t>G protein-coupled receptor 156</t>
  </si>
  <si>
    <t>G protein-coupled receptor 153</t>
  </si>
  <si>
    <t>G protein-coupled receptor 152</t>
  </si>
  <si>
    <t>G protein-coupled receptor 151</t>
  </si>
  <si>
    <t>G protein-coupled receptor 150</t>
  </si>
  <si>
    <t>G protein-coupled receptor 149</t>
  </si>
  <si>
    <t>G protein-coupled receptor 148</t>
  </si>
  <si>
    <t>G protein-coupled receptor 146</t>
  </si>
  <si>
    <t>G protein-coupled receptor 143</t>
  </si>
  <si>
    <t>G protein-coupled receptor 142</t>
  </si>
  <si>
    <t>G protein-coupled receptor 141</t>
  </si>
  <si>
    <t>G protein-coupled receptor 139</t>
  </si>
  <si>
    <t>G protein-coupled receptor 135</t>
  </si>
  <si>
    <t>G protein-coupled receptor 132</t>
  </si>
  <si>
    <t>G protein-coupled receptor 119</t>
  </si>
  <si>
    <t>G protein-coupled receptor 107</t>
  </si>
  <si>
    <t>G protein-coupled receptor 101</t>
  </si>
  <si>
    <t>GLP-2R</t>
  </si>
  <si>
    <t>glucagon like peptide 2 receptor</t>
  </si>
  <si>
    <t>GLP-1R</t>
  </si>
  <si>
    <t>glucagon like peptide 1 receptor</t>
  </si>
  <si>
    <t>growth hormone releasing hormone receptor</t>
  </si>
  <si>
    <t>cholecystokinin B receptor</t>
  </si>
  <si>
    <r>
      <t>CCK</t>
    </r>
    <r>
      <rPr>
        <vertAlign val="subscript"/>
        <sz val="11"/>
        <color theme="1"/>
        <rFont val="Calibri (Body)"/>
      </rPr>
      <t>2</t>
    </r>
  </si>
  <si>
    <t>galanin receptor 3</t>
  </si>
  <si>
    <r>
      <t>GAL</t>
    </r>
    <r>
      <rPr>
        <vertAlign val="subscript"/>
        <sz val="11"/>
        <color theme="1"/>
        <rFont val="Calibri (Body)"/>
      </rPr>
      <t>3</t>
    </r>
  </si>
  <si>
    <t>galanin receptor 2</t>
  </si>
  <si>
    <r>
      <t>GAL</t>
    </r>
    <r>
      <rPr>
        <vertAlign val="subscript"/>
        <sz val="11"/>
        <color theme="1"/>
        <rFont val="Calibri (Body)"/>
      </rPr>
      <t>2</t>
    </r>
  </si>
  <si>
    <t>galanin receptor 1</t>
  </si>
  <si>
    <r>
      <t>GAL</t>
    </r>
    <r>
      <rPr>
        <vertAlign val="subscript"/>
        <sz val="11"/>
        <color theme="1"/>
        <rFont val="Calibri (Body)"/>
      </rPr>
      <t>1</t>
    </r>
  </si>
  <si>
    <t>gamma-aminobutyric acid type B receptor subunit 2</t>
  </si>
  <si>
    <t>GABA&lt;sub&gt;B&lt;/sub&gt;</t>
  </si>
  <si>
    <r>
      <t>GABA</t>
    </r>
    <r>
      <rPr>
        <vertAlign val="subscript"/>
        <sz val="11"/>
        <color theme="1"/>
        <rFont val="Calibri (Body)"/>
      </rPr>
      <t>B2</t>
    </r>
  </si>
  <si>
    <t>gamma-aminobutyric acid type B receptor subunit 1</t>
  </si>
  <si>
    <r>
      <t>GABA</t>
    </r>
    <r>
      <rPr>
        <vertAlign val="subscript"/>
        <sz val="11"/>
        <color theme="1"/>
        <rFont val="Calibri (Body)"/>
      </rPr>
      <t>B1</t>
    </r>
  </si>
  <si>
    <t>G protein-coupled receptor 37 like 1</t>
  </si>
  <si>
    <t>G protein-coupled receptor 137</t>
  </si>
  <si>
    <t>frizzled class receptor 9</t>
  </si>
  <si>
    <r>
      <t>FZD</t>
    </r>
    <r>
      <rPr>
        <vertAlign val="subscript"/>
        <sz val="11"/>
        <color theme="1"/>
        <rFont val="Calibri (Body)"/>
      </rPr>
      <t>9</t>
    </r>
  </si>
  <si>
    <t>frizzled class receptor 8</t>
  </si>
  <si>
    <r>
      <t>FZD</t>
    </r>
    <r>
      <rPr>
        <vertAlign val="subscript"/>
        <sz val="11"/>
        <color theme="1"/>
        <rFont val="Calibri (Body)"/>
      </rPr>
      <t>8</t>
    </r>
  </si>
  <si>
    <t>frizzled class receptor 7</t>
  </si>
  <si>
    <r>
      <t>FZD</t>
    </r>
    <r>
      <rPr>
        <vertAlign val="subscript"/>
        <sz val="11"/>
        <color theme="1"/>
        <rFont val="Calibri (Body)"/>
      </rPr>
      <t>7</t>
    </r>
  </si>
  <si>
    <t>frizzled class receptor 6</t>
  </si>
  <si>
    <r>
      <t>FZD</t>
    </r>
    <r>
      <rPr>
        <vertAlign val="subscript"/>
        <sz val="11"/>
        <color theme="1"/>
        <rFont val="Calibri (Body)"/>
      </rPr>
      <t>6</t>
    </r>
  </si>
  <si>
    <t>frizzled class receptor 5</t>
  </si>
  <si>
    <r>
      <t>FZD</t>
    </r>
    <r>
      <rPr>
        <vertAlign val="subscript"/>
        <sz val="11"/>
        <color theme="1"/>
        <rFont val="Calibri (Body)"/>
      </rPr>
      <t>5</t>
    </r>
  </si>
  <si>
    <t>frizzled class receptor 4</t>
  </si>
  <si>
    <r>
      <t>FZD</t>
    </r>
    <r>
      <rPr>
        <vertAlign val="subscript"/>
        <sz val="11"/>
        <color theme="1"/>
        <rFont val="Calibri (Body)"/>
      </rPr>
      <t>4</t>
    </r>
  </si>
  <si>
    <t>frizzled class receptor 3</t>
  </si>
  <si>
    <r>
      <t>FZD</t>
    </r>
    <r>
      <rPr>
        <vertAlign val="subscript"/>
        <sz val="11"/>
        <color theme="1"/>
        <rFont val="Calibri (Body)"/>
      </rPr>
      <t>3</t>
    </r>
  </si>
  <si>
    <t>frizzled class receptor 2</t>
  </si>
  <si>
    <r>
      <t>FZD</t>
    </r>
    <r>
      <rPr>
        <vertAlign val="subscript"/>
        <sz val="11"/>
        <color theme="1"/>
        <rFont val="Calibri (Body)"/>
      </rPr>
      <t>2</t>
    </r>
  </si>
  <si>
    <t>frizzled class receptor 10</t>
  </si>
  <si>
    <r>
      <t>FZD</t>
    </r>
    <r>
      <rPr>
        <vertAlign val="subscript"/>
        <sz val="11"/>
        <color theme="1"/>
        <rFont val="Calibri (Body)"/>
      </rPr>
      <t>10</t>
    </r>
  </si>
  <si>
    <t>frizzled class receptor 1</t>
  </si>
  <si>
    <r>
      <t>FZD</t>
    </r>
    <r>
      <rPr>
        <vertAlign val="subscript"/>
        <sz val="11"/>
        <color theme="1"/>
        <rFont val="Calibri (Body)"/>
      </rPr>
      <t>1</t>
    </r>
  </si>
  <si>
    <t>follicle stimulating hormone receptor</t>
  </si>
  <si>
    <t>formyl peptide receptor 3</t>
  </si>
  <si>
    <t>Formylpeptide</t>
  </si>
  <si>
    <t>formyl peptide receptor 2</t>
  </si>
  <si>
    <t>formyl peptide receptor 1</t>
  </si>
  <si>
    <t>free fatty acid receptor 1</t>
  </si>
  <si>
    <t>endothelin receptor type B</t>
  </si>
  <si>
    <t>Endothelin</t>
  </si>
  <si>
    <r>
      <t>ET</t>
    </r>
    <r>
      <rPr>
        <vertAlign val="subscript"/>
        <sz val="11"/>
        <color theme="1"/>
        <rFont val="Calibri (Body)"/>
      </rPr>
      <t>B</t>
    </r>
  </si>
  <si>
    <t>dopamine receptor D4</t>
  </si>
  <si>
    <r>
      <t>D</t>
    </r>
    <r>
      <rPr>
        <vertAlign val="subscript"/>
        <sz val="11"/>
        <color theme="1"/>
        <rFont val="Calibri (Body)"/>
      </rPr>
      <t>4</t>
    </r>
  </si>
  <si>
    <t>dopamine receptor D3</t>
  </si>
  <si>
    <r>
      <t>D</t>
    </r>
    <r>
      <rPr>
        <vertAlign val="subscript"/>
        <sz val="11"/>
        <color theme="1"/>
        <rFont val="Calibri (Body)"/>
      </rPr>
      <t>3</t>
    </r>
  </si>
  <si>
    <t>C-X-C motif chemokine receptor 6</t>
  </si>
  <si>
    <t>C-X-C motif chemokine receptor 5</t>
  </si>
  <si>
    <t>C-X-C motif chemokine receptor 4</t>
  </si>
  <si>
    <t>C-X-C motif chemokine receptor 3</t>
  </si>
  <si>
    <t>C-X-C motif chemokine receptor 2</t>
  </si>
  <si>
    <t>C-X-C motif chemokine receptor 1</t>
  </si>
  <si>
    <t>C-X3-C motif chemokine receptor 1</t>
  </si>
  <si>
    <t>corticotropin releasing hormone receptor 2</t>
  </si>
  <si>
    <t>Corticotropin-releasingfact</t>
  </si>
  <si>
    <r>
      <t>CRF</t>
    </r>
    <r>
      <rPr>
        <vertAlign val="subscript"/>
        <sz val="11"/>
        <color theme="1"/>
        <rFont val="Calibri (Body)"/>
      </rPr>
      <t>2</t>
    </r>
  </si>
  <si>
    <t>corticotropin releasing hormone receptor 1</t>
  </si>
  <si>
    <r>
      <t>CRF</t>
    </r>
    <r>
      <rPr>
        <vertAlign val="subscript"/>
        <sz val="11"/>
        <color theme="1"/>
        <rFont val="Calibri (Body)"/>
      </rPr>
      <t>1</t>
    </r>
  </si>
  <si>
    <t>P34998</t>
  </si>
  <si>
    <t>chemerin chemokine-like receptor 1</t>
  </si>
  <si>
    <t>Chemerinreceptor</t>
  </si>
  <si>
    <t>Chemerin</t>
  </si>
  <si>
    <t>cadherin EGF LAG seven-pass G-type receptor 3</t>
  </si>
  <si>
    <t>Adhesionclassorphans</t>
  </si>
  <si>
    <t>B2</t>
  </si>
  <si>
    <t>cadherin EGF LAG seven-pass G-type receptor 2</t>
  </si>
  <si>
    <t>cadherin EGF LAG seven-pass G-type receptor 1</t>
  </si>
  <si>
    <t>C-C motif chemokine receptor like 2</t>
  </si>
  <si>
    <t>C-C motif chemokine receptor 9</t>
  </si>
  <si>
    <t>C-C motif chemokine receptor 8</t>
  </si>
  <si>
    <t>C-C motif chemokine receptor 7</t>
  </si>
  <si>
    <t>C-C motif chemokine receptor 6</t>
  </si>
  <si>
    <t>C-C motif chemokine receptor 5</t>
  </si>
  <si>
    <t>C-C motif chemokine receptor 4</t>
  </si>
  <si>
    <t>C-C motif chemokine receptor 3</t>
  </si>
  <si>
    <t>C-C motif chemokine receptor 2</t>
  </si>
  <si>
    <t>C-C motif chemokine receptor 10</t>
  </si>
  <si>
    <t>C-C motif chemokine receptor 1</t>
  </si>
  <si>
    <t>calcium sensing receptor</t>
  </si>
  <si>
    <t>CaS</t>
  </si>
  <si>
    <t>calcitonin receptor like receptor</t>
  </si>
  <si>
    <t>Calcitonin receptor-like</t>
  </si>
  <si>
    <r>
      <t>AMY</t>
    </r>
    <r>
      <rPr>
        <vertAlign val="subscript"/>
        <sz val="11"/>
        <color theme="1"/>
        <rFont val="Calibri (Body)"/>
      </rPr>
      <t>3</t>
    </r>
    <r>
      <rPr>
        <sz val="12"/>
        <color theme="1"/>
        <rFont val="Calibri"/>
        <family val="2"/>
        <scheme val="minor"/>
      </rPr>
      <t/>
    </r>
  </si>
  <si>
    <t>AMY2</t>
  </si>
  <si>
    <r>
      <t>AMY</t>
    </r>
    <r>
      <rPr>
        <vertAlign val="subscript"/>
        <sz val="11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/>
    </r>
  </si>
  <si>
    <t>CALCR+RAMP2</t>
  </si>
  <si>
    <t>AMY1</t>
  </si>
  <si>
    <r>
      <t>AMY</t>
    </r>
    <r>
      <rPr>
        <vertAlign val="subscript"/>
        <sz val="11"/>
        <color theme="1"/>
        <rFont val="Calibri (Body)"/>
      </rPr>
      <t>1</t>
    </r>
  </si>
  <si>
    <t>CALCR+RAMP1</t>
  </si>
  <si>
    <t>CTR (hCALCR)</t>
  </si>
  <si>
    <t>calcitonin receptor</t>
  </si>
  <si>
    <t>complement component 5a receptor 2</t>
  </si>
  <si>
    <t>Complementpeptide</t>
  </si>
  <si>
    <r>
      <t>C5a</t>
    </r>
    <r>
      <rPr>
        <vertAlign val="subscript"/>
        <sz val="11"/>
        <color theme="1"/>
        <rFont val="Calibri (Body)"/>
      </rPr>
      <t>2</t>
    </r>
  </si>
  <si>
    <t>C5aR1</t>
  </si>
  <si>
    <t>complement C5a receptor 1</t>
  </si>
  <si>
    <r>
      <t>C5a</t>
    </r>
    <r>
      <rPr>
        <vertAlign val="subscript"/>
        <sz val="11"/>
        <color theme="1"/>
        <rFont val="Calibri (Body)"/>
      </rPr>
      <t>1</t>
    </r>
  </si>
  <si>
    <t>complement C3a receptor 1</t>
  </si>
  <si>
    <t>bombesin receptor subtype 3</t>
  </si>
  <si>
    <r>
      <t>BB</t>
    </r>
    <r>
      <rPr>
        <vertAlign val="subscript"/>
        <sz val="11"/>
        <color theme="1"/>
        <rFont val="Calibri (Body)"/>
      </rPr>
      <t>3</t>
    </r>
  </si>
  <si>
    <t>angiotensin II receptor type 2</t>
  </si>
  <si>
    <t>Angiotensin</t>
  </si>
  <si>
    <r>
      <t>AT</t>
    </r>
    <r>
      <rPr>
        <vertAlign val="subscript"/>
        <sz val="11"/>
        <color theme="1"/>
        <rFont val="Calibri (Body)"/>
      </rPr>
      <t>2</t>
    </r>
  </si>
  <si>
    <t>adhesion G protein-coupled receptor V1</t>
  </si>
  <si>
    <t>ADGRV1</t>
  </si>
  <si>
    <t>adhesion G protein-coupled receptor L4</t>
  </si>
  <si>
    <t>adhesion G protein-coupled receptor L3</t>
  </si>
  <si>
    <t>adhesion G protein-coupled receptor L2</t>
  </si>
  <si>
    <t>adhesion G protein-coupled receptor L1</t>
  </si>
  <si>
    <t>adhesion G protein-coupled receptor G7</t>
  </si>
  <si>
    <t>adhesion G protein-coupled receptor G6</t>
  </si>
  <si>
    <t>adhesion G protein-coupled receptor G5</t>
  </si>
  <si>
    <t>adhesion G protein-coupled receptor G4</t>
  </si>
  <si>
    <t>adhesion G protein-coupled receptor G3</t>
  </si>
  <si>
    <t>adhesion G protein-coupled receptor G2</t>
  </si>
  <si>
    <t>adhesion G protein-coupled receptor G1</t>
  </si>
  <si>
    <t>adhesion G protein-coupled receptor F5</t>
  </si>
  <si>
    <t>adhesion G protein-coupled receptor F4</t>
  </si>
  <si>
    <t>adhesion G protein-coupled receptor F3</t>
  </si>
  <si>
    <t>adhesion G protein-coupled receptor F2</t>
  </si>
  <si>
    <t>adhesion G protein-coupled receptor F1</t>
  </si>
  <si>
    <t>adhesion G protein-coupled receptor E5</t>
  </si>
  <si>
    <t>ADGRE5</t>
  </si>
  <si>
    <t>adhesion G protein-coupled receptor E4, pseudogene</t>
  </si>
  <si>
    <t>adhesion G protein-coupled receptor E3</t>
  </si>
  <si>
    <t>adhesion G protein-coupled receptor E2</t>
  </si>
  <si>
    <t>adhesion G protein-coupled receptor E1</t>
  </si>
  <si>
    <t>adhesion G protein-coupled receptor D2</t>
  </si>
  <si>
    <t>adhesion G protein-coupled receptor D1</t>
  </si>
  <si>
    <t>adhesion G protein-coupled receptor B3</t>
  </si>
  <si>
    <t>adhesion G protein-coupled receptor B2</t>
  </si>
  <si>
    <t>adhesion G protein-coupled receptor B1</t>
  </si>
  <si>
    <t>adhesion G protein-coupled receptor A3</t>
  </si>
  <si>
    <t>adhesion G protein-coupled receptor A2</t>
  </si>
  <si>
    <t>adhesion G protein-coupled receptor A1</t>
  </si>
  <si>
    <t>adrenoceptor beta 3</t>
  </si>
  <si>
    <r>
      <t>β</t>
    </r>
    <r>
      <rPr>
        <vertAlign val="subscript"/>
        <sz val="11"/>
        <color theme="1"/>
        <rFont val="Calibri (Body)"/>
      </rPr>
      <t>3</t>
    </r>
  </si>
  <si>
    <t>adrenoceptor alpha 1D</t>
  </si>
  <si>
    <r>
      <t>α</t>
    </r>
    <r>
      <rPr>
        <vertAlign val="subscript"/>
        <sz val="11"/>
        <color theme="1"/>
        <rFont val="Calibri (Body)"/>
      </rPr>
      <t>1D</t>
    </r>
  </si>
  <si>
    <t>adrenoceptor alpha 1B</t>
  </si>
  <si>
    <r>
      <t>α</t>
    </r>
    <r>
      <rPr>
        <vertAlign val="subscript"/>
        <sz val="11"/>
        <color theme="1"/>
        <rFont val="Calibri (Body)"/>
      </rPr>
      <t>1B</t>
    </r>
  </si>
  <si>
    <t>melanocortin 2 receptor</t>
  </si>
  <si>
    <r>
      <t>MC</t>
    </r>
    <r>
      <rPr>
        <vertAlign val="subscript"/>
        <sz val="11"/>
        <color theme="1"/>
        <rFont val="Calibri (Body)"/>
      </rPr>
      <t>2</t>
    </r>
  </si>
  <si>
    <t>cholinergic receptor muscarinic 5</t>
  </si>
  <si>
    <t>Acetylcholine(muscarinic)</t>
  </si>
  <si>
    <r>
      <t>M</t>
    </r>
    <r>
      <rPr>
        <vertAlign val="subscript"/>
        <sz val="11"/>
        <color theme="1"/>
        <rFont val="Calibri (Body)"/>
      </rPr>
      <t>5</t>
    </r>
  </si>
  <si>
    <t>atypical chemokine receptor 4</t>
  </si>
  <si>
    <t>atypical chemokine receptor 3</t>
  </si>
  <si>
    <t>atypical chemokine receptor 2</t>
  </si>
  <si>
    <t>atypical chemokine receptor 1 (Duffy blood group)</t>
  </si>
  <si>
    <t>5-hydroxytryptamine receptor 7</t>
  </si>
  <si>
    <t>5-Hydroxytryptamine</t>
  </si>
  <si>
    <r>
      <t>5-HT</t>
    </r>
    <r>
      <rPr>
        <vertAlign val="subscript"/>
        <sz val="11"/>
        <color theme="1"/>
        <rFont val="Calibri (Body)"/>
      </rPr>
      <t>7</t>
    </r>
  </si>
  <si>
    <t>5-hydroxytryptamine receptor 6</t>
  </si>
  <si>
    <r>
      <t>5-HT</t>
    </r>
    <r>
      <rPr>
        <vertAlign val="subscript"/>
        <sz val="11"/>
        <color theme="1"/>
        <rFont val="Calibri (Body)"/>
      </rPr>
      <t>6</t>
    </r>
  </si>
  <si>
    <t>5-hydroxytryptamine receptor 5A</t>
  </si>
  <si>
    <r>
      <t>5-HT</t>
    </r>
    <r>
      <rPr>
        <vertAlign val="subscript"/>
        <sz val="11"/>
        <color theme="1"/>
        <rFont val="Calibri (Body)"/>
      </rPr>
      <t>5A</t>
    </r>
  </si>
  <si>
    <t>5-hydroxytryptamine receptor 4</t>
  </si>
  <si>
    <r>
      <t>5-HT</t>
    </r>
    <r>
      <rPr>
        <vertAlign val="subscript"/>
        <sz val="11"/>
        <color theme="1"/>
        <rFont val="Calibri (Body)"/>
      </rPr>
      <t>4</t>
    </r>
  </si>
  <si>
    <t>5-hydroxytryptamine receptor 1F</t>
  </si>
  <si>
    <r>
      <t>5-HT</t>
    </r>
    <r>
      <rPr>
        <vertAlign val="subscript"/>
        <sz val="11"/>
        <color theme="1"/>
        <rFont val="Calibri (Body)"/>
      </rPr>
      <t>1F</t>
    </r>
  </si>
  <si>
    <t>5-hydroxytryptamine receptor 1E</t>
  </si>
  <si>
    <r>
      <t>5-HT</t>
    </r>
    <r>
      <rPr>
        <vertAlign val="subscript"/>
        <sz val="11"/>
        <color theme="1"/>
        <rFont val="Calibri (Body)"/>
      </rPr>
      <t>1E</t>
    </r>
  </si>
  <si>
    <t>arginine vasopressin receptor 2</t>
  </si>
  <si>
    <r>
      <t>V</t>
    </r>
    <r>
      <rPr>
        <vertAlign val="subscript"/>
        <sz val="11"/>
        <color theme="1"/>
        <rFont val="Calibri (Body)"/>
      </rPr>
      <t>2</t>
    </r>
  </si>
  <si>
    <t>arginine vasopressin receptor 1A</t>
  </si>
  <si>
    <r>
      <t>V</t>
    </r>
    <r>
      <rPr>
        <vertAlign val="subscript"/>
        <sz val="11"/>
        <color theme="1"/>
        <rFont val="Calibri (Body)"/>
      </rPr>
      <t>1A</t>
    </r>
  </si>
  <si>
    <t>SST2A</t>
  </si>
  <si>
    <t>somatostatin receptor 2</t>
  </si>
  <si>
    <t>sphingosine-1-phosphate receptor 1</t>
  </si>
  <si>
    <r>
      <t>S1P</t>
    </r>
    <r>
      <rPr>
        <vertAlign val="subscript"/>
        <sz val="11"/>
        <color theme="1"/>
        <rFont val="Calibri (Body)"/>
      </rPr>
      <t>1</t>
    </r>
  </si>
  <si>
    <t>parathyroid hormone 1 receptor</t>
  </si>
  <si>
    <t>FP (PF2R)</t>
  </si>
  <si>
    <t>prostaglandin F receptor</t>
  </si>
  <si>
    <t>EP4 (PTGER4)</t>
  </si>
  <si>
    <t>prostaglandin E receptor 4</t>
  </si>
  <si>
    <r>
      <t>EP</t>
    </r>
    <r>
      <rPr>
        <vertAlign val="subscript"/>
        <sz val="11"/>
        <color theme="1"/>
        <rFont val="Calibri (Body)"/>
      </rPr>
      <t>4</t>
    </r>
  </si>
  <si>
    <t>EP3 (hPTGER3)</t>
  </si>
  <si>
    <t>prostaglandin E receptor 3</t>
  </si>
  <si>
    <r>
      <t>EP</t>
    </r>
    <r>
      <rPr>
        <vertAlign val="subscript"/>
        <sz val="11"/>
        <color theme="1"/>
        <rFont val="Calibri (Body)"/>
      </rPr>
      <t>3</t>
    </r>
  </si>
  <si>
    <t>EP2R (hTGER2)</t>
  </si>
  <si>
    <t>prostaglandin E receptor 2</t>
  </si>
  <si>
    <r>
      <t>EP</t>
    </r>
    <r>
      <rPr>
        <vertAlign val="subscript"/>
        <sz val="11"/>
        <color theme="1"/>
        <rFont val="Calibri (Body)"/>
      </rPr>
      <t>2</t>
    </r>
  </si>
  <si>
    <t>EP1R (hPTGER1)</t>
  </si>
  <si>
    <t>prostaglandin E receptor 1</t>
  </si>
  <si>
    <r>
      <t>EP</t>
    </r>
    <r>
      <rPr>
        <vertAlign val="subscript"/>
        <sz val="11"/>
        <color theme="1"/>
        <rFont val="Calibri (Body)"/>
      </rPr>
      <t>1</t>
    </r>
  </si>
  <si>
    <t>PAR-2</t>
  </si>
  <si>
    <t>F2R like trypsin receptor 1</t>
  </si>
  <si>
    <t>PAR-1</t>
  </si>
  <si>
    <t>coagulation factor II thrombin receptor</t>
  </si>
  <si>
    <t>P2YR2</t>
  </si>
  <si>
    <t>purinergic receptor P2Y2</t>
  </si>
  <si>
    <r>
      <t>P2Y</t>
    </r>
    <r>
      <rPr>
        <vertAlign val="subscript"/>
        <sz val="11"/>
        <color theme="1"/>
        <rFont val="Calibri (Body)"/>
      </rPr>
      <t>2</t>
    </r>
  </si>
  <si>
    <t>OTR</t>
  </si>
  <si>
    <t>oxytocin receptor</t>
  </si>
  <si>
    <t>CRTR2 (OX2)</t>
  </si>
  <si>
    <t>hypocretin receptor 2</t>
  </si>
  <si>
    <r>
      <t>OX</t>
    </r>
    <r>
      <rPr>
        <vertAlign val="subscript"/>
        <sz val="11"/>
        <color theme="1"/>
        <rFont val="Calibri (Body)"/>
      </rPr>
      <t>2</t>
    </r>
  </si>
  <si>
    <t>opioid related nociceptin receptor 1</t>
  </si>
  <si>
    <t>Opioid</t>
  </si>
  <si>
    <t>opioid receptor mu 1</t>
  </si>
  <si>
    <t>opioid receptor kappa 1</t>
  </si>
  <si>
    <t>opioid receptor delta 1</t>
  </si>
  <si>
    <t>neuropeptide FF receptor 2</t>
  </si>
  <si>
    <t>NeuropeptideFF/neuropeptide</t>
  </si>
  <si>
    <t>neuropeptide FF receptor 1</t>
  </si>
  <si>
    <t>MT2R</t>
  </si>
  <si>
    <t>melatonin receptor 1B</t>
  </si>
  <si>
    <r>
      <t>MT</t>
    </r>
    <r>
      <rPr>
        <vertAlign val="subscript"/>
        <sz val="11"/>
        <color theme="1"/>
        <rFont val="Calibri (Body)"/>
      </rPr>
      <t>2</t>
    </r>
  </si>
  <si>
    <t>MT1R</t>
  </si>
  <si>
    <t>melatonin receptor 1A</t>
  </si>
  <si>
    <r>
      <t>MT</t>
    </r>
    <r>
      <rPr>
        <vertAlign val="subscript"/>
        <sz val="11"/>
        <color theme="1"/>
        <rFont val="Calibri (Body)"/>
      </rPr>
      <t>1</t>
    </r>
  </si>
  <si>
    <t>melanocortin 4 receptor</t>
  </si>
  <si>
    <r>
      <t>MC</t>
    </r>
    <r>
      <rPr>
        <vertAlign val="subscript"/>
        <sz val="11"/>
        <color theme="1"/>
        <rFont val="Calibri (Body)"/>
      </rPr>
      <t>4</t>
    </r>
  </si>
  <si>
    <t>melanocortin 3 receptor</t>
  </si>
  <si>
    <r>
      <t>MC</t>
    </r>
    <r>
      <rPr>
        <vertAlign val="subscript"/>
        <sz val="11"/>
        <color theme="1"/>
        <rFont val="Calibri (Body)"/>
      </rPr>
      <t>3</t>
    </r>
  </si>
  <si>
    <t>BLT2</t>
  </si>
  <si>
    <t>leukotriene B4 receptor 2</t>
  </si>
  <si>
    <r>
      <t>BLT</t>
    </r>
    <r>
      <rPr>
        <vertAlign val="subscript"/>
        <sz val="11"/>
        <color theme="1"/>
        <rFont val="Calibri (Body)"/>
      </rPr>
      <t>2</t>
    </r>
  </si>
  <si>
    <t>BLT1</t>
  </si>
  <si>
    <t>leukotriene B4 receptor</t>
  </si>
  <si>
    <r>
      <t>BLT</t>
    </r>
    <r>
      <rPr>
        <vertAlign val="subscript"/>
        <sz val="11"/>
        <color theme="1"/>
        <rFont val="Calibri (Body)"/>
      </rPr>
      <t>1</t>
    </r>
  </si>
  <si>
    <t>lysophosphatidic acid receptor 2</t>
  </si>
  <si>
    <r>
      <t>LPA</t>
    </r>
    <r>
      <rPr>
        <vertAlign val="subscript"/>
        <sz val="11"/>
        <color theme="1"/>
        <rFont val="Calibri (Body)"/>
      </rPr>
      <t>2</t>
    </r>
  </si>
  <si>
    <t>lysophosphatidic acid receptor 1</t>
  </si>
  <si>
    <r>
      <t>LPA</t>
    </r>
    <r>
      <rPr>
        <vertAlign val="subscript"/>
        <sz val="11"/>
        <color theme="1"/>
        <rFont val="Calibri (Body)"/>
      </rPr>
      <t>1</t>
    </r>
  </si>
  <si>
    <t>H2R</t>
  </si>
  <si>
    <t>histamine receptor H2</t>
  </si>
  <si>
    <r>
      <t>H</t>
    </r>
    <r>
      <rPr>
        <vertAlign val="subscript"/>
        <sz val="11"/>
        <color theme="1"/>
        <rFont val="Calibri (Body)"/>
      </rPr>
      <t>2</t>
    </r>
  </si>
  <si>
    <t>H1R</t>
  </si>
  <si>
    <t>histamine receptor H1</t>
  </si>
  <si>
    <r>
      <t>H</t>
    </r>
    <r>
      <rPr>
        <vertAlign val="subscript"/>
        <sz val="11"/>
        <color theme="1"/>
        <rFont val="Calibri (Body)"/>
      </rPr>
      <t>1</t>
    </r>
  </si>
  <si>
    <t>G protein-coupled receptor 84</t>
  </si>
  <si>
    <t>G protein-coupled receptor 183</t>
  </si>
  <si>
    <t>GnRHR</t>
  </si>
  <si>
    <t>gonadotropin releasing hormone receptor</t>
  </si>
  <si>
    <t>Gonadotrophin-releasinghorm</t>
  </si>
  <si>
    <r>
      <t>GnRH</t>
    </r>
    <r>
      <rPr>
        <vertAlign val="subscript"/>
        <sz val="11"/>
        <color theme="1"/>
        <rFont val="Calibri (Body)"/>
      </rPr>
      <t>1</t>
    </r>
  </si>
  <si>
    <t>gastric inhibitory polypeptide receptor</t>
  </si>
  <si>
    <t>growth hormone secretagogue receptor</t>
  </si>
  <si>
    <t>GPR120s</t>
  </si>
  <si>
    <t>free fatty acid receptor 4</t>
  </si>
  <si>
    <t>GPR41 (FFAR3)</t>
  </si>
  <si>
    <t>free fatty acid receptor 3</t>
  </si>
  <si>
    <t>GPR43 (FFAR2)</t>
  </si>
  <si>
    <t>free fatty acid receptor 2</t>
  </si>
  <si>
    <t>ETAR (Endothelin 1A)</t>
  </si>
  <si>
    <t>endothelin receptor type A</t>
  </si>
  <si>
    <r>
      <t>ET</t>
    </r>
    <r>
      <rPr>
        <vertAlign val="subscript"/>
        <sz val="11"/>
        <color theme="1"/>
        <rFont val="Calibri (Body)"/>
      </rPr>
      <t>A</t>
    </r>
  </si>
  <si>
    <t>D5R</t>
  </si>
  <si>
    <t>dopamine receptor D5</t>
  </si>
  <si>
    <r>
      <t>D</t>
    </r>
    <r>
      <rPr>
        <vertAlign val="subscript"/>
        <sz val="11"/>
        <color theme="1"/>
        <rFont val="Calibri (Body)"/>
      </rPr>
      <t>5</t>
    </r>
  </si>
  <si>
    <t>D2R</t>
  </si>
  <si>
    <t>dopamine receptor D2</t>
  </si>
  <si>
    <r>
      <t>D</t>
    </r>
    <r>
      <rPr>
        <vertAlign val="subscript"/>
        <sz val="11"/>
        <color theme="1"/>
        <rFont val="Calibri (Body)"/>
      </rPr>
      <t>2</t>
    </r>
  </si>
  <si>
    <t>D1R</t>
  </si>
  <si>
    <t>dopamine receptor D1</t>
  </si>
  <si>
    <r>
      <t>D</t>
    </r>
    <r>
      <rPr>
        <vertAlign val="subscript"/>
        <sz val="11"/>
        <color theme="1"/>
        <rFont val="Calibri (Body)"/>
      </rPr>
      <t>1</t>
    </r>
  </si>
  <si>
    <t>CB2</t>
  </si>
  <si>
    <t>cannabinoid receptor 2</t>
  </si>
  <si>
    <t>Cannabinoid</t>
  </si>
  <si>
    <r>
      <t>CB</t>
    </r>
    <r>
      <rPr>
        <vertAlign val="subscript"/>
        <sz val="11"/>
        <color theme="1"/>
        <rFont val="Calibri (Body)"/>
      </rPr>
      <t>2</t>
    </r>
  </si>
  <si>
    <t>CB1</t>
  </si>
  <si>
    <t>cannabinoid receptor 1</t>
  </si>
  <si>
    <r>
      <t>CB</t>
    </r>
    <r>
      <rPr>
        <vertAlign val="subscript"/>
        <sz val="11"/>
        <color theme="1"/>
        <rFont val="Calibri (Body)"/>
      </rPr>
      <t>1</t>
    </r>
  </si>
  <si>
    <t>Cys-LT2R</t>
  </si>
  <si>
    <t>cysteinyl leukotriene receptor 2</t>
  </si>
  <si>
    <r>
      <t>CysLT</t>
    </r>
    <r>
      <rPr>
        <vertAlign val="subscript"/>
        <sz val="11"/>
        <color theme="1"/>
        <rFont val="Calibri (Body)"/>
      </rPr>
      <t>2</t>
    </r>
  </si>
  <si>
    <t>Cys-LT1R</t>
  </si>
  <si>
    <t>cysteinyl leukotriene receptor 1</t>
  </si>
  <si>
    <r>
      <t>CysLT</t>
    </r>
    <r>
      <rPr>
        <vertAlign val="subscript"/>
        <sz val="11"/>
        <color theme="1"/>
        <rFont val="Calibri (Body)"/>
      </rPr>
      <t>1</t>
    </r>
  </si>
  <si>
    <t>CCK1 (CCKA)</t>
  </si>
  <si>
    <t>cholecystokinin A receptor</t>
  </si>
  <si>
    <r>
      <t>CCK</t>
    </r>
    <r>
      <rPr>
        <vertAlign val="subscript"/>
        <sz val="11"/>
        <color theme="1"/>
        <rFont val="Calibri (Body)"/>
      </rPr>
      <t>1</t>
    </r>
  </si>
  <si>
    <t>B2R</t>
  </si>
  <si>
    <t>bradykinin receptor B2</t>
  </si>
  <si>
    <r>
      <t>B</t>
    </r>
    <r>
      <rPr>
        <vertAlign val="subscript"/>
        <sz val="11"/>
        <color theme="1"/>
        <rFont val="Calibri (Body)"/>
      </rPr>
      <t>2</t>
    </r>
  </si>
  <si>
    <t>B1R</t>
  </si>
  <si>
    <t>bradykinin receptor B1</t>
  </si>
  <si>
    <r>
      <t>B</t>
    </r>
    <r>
      <rPr>
        <vertAlign val="subscript"/>
        <sz val="11"/>
        <color theme="1"/>
        <rFont val="Calibri (Body)"/>
      </rPr>
      <t>1</t>
    </r>
  </si>
  <si>
    <t>AT1R</t>
  </si>
  <si>
    <t>angiotensin II receptor type 1</t>
  </si>
  <si>
    <r>
      <t>AT</t>
    </r>
    <r>
      <rPr>
        <vertAlign val="subscript"/>
        <sz val="11"/>
        <color theme="1"/>
        <rFont val="Calibri (Body)"/>
      </rPr>
      <t>1</t>
    </r>
  </si>
  <si>
    <t>β2-AR</t>
  </si>
  <si>
    <t>adrenoceptor beta 2</t>
  </si>
  <si>
    <r>
      <t>β</t>
    </r>
    <r>
      <rPr>
        <vertAlign val="subscript"/>
        <sz val="11"/>
        <color theme="1"/>
        <rFont val="Calibri (Body)"/>
      </rPr>
      <t>2</t>
    </r>
  </si>
  <si>
    <t>β1-AR</t>
  </si>
  <si>
    <t>adrenoceptor beta 1</t>
  </si>
  <si>
    <r>
      <t>β</t>
    </r>
    <r>
      <rPr>
        <vertAlign val="subscript"/>
        <sz val="11"/>
        <color theme="1"/>
        <rFont val="Calibri (Body)"/>
      </rPr>
      <t>1</t>
    </r>
  </si>
  <si>
    <t>α2C-AR</t>
  </si>
  <si>
    <t>adrenoceptor alpha 2C</t>
  </si>
  <si>
    <r>
      <t>α</t>
    </r>
    <r>
      <rPr>
        <vertAlign val="subscript"/>
        <sz val="11"/>
        <color theme="1"/>
        <rFont val="Calibri (Body)"/>
      </rPr>
      <t>2C</t>
    </r>
  </si>
  <si>
    <t>α2B-AR</t>
  </si>
  <si>
    <t>adrenoceptor alpha 2B</t>
  </si>
  <si>
    <r>
      <t>α</t>
    </r>
    <r>
      <rPr>
        <vertAlign val="subscript"/>
        <sz val="11"/>
        <color theme="1"/>
        <rFont val="Calibri (Body)"/>
      </rPr>
      <t>2B</t>
    </r>
  </si>
  <si>
    <t>α2A-AR</t>
  </si>
  <si>
    <t>adrenoceptor alpha 2A</t>
  </si>
  <si>
    <r>
      <t>α</t>
    </r>
    <r>
      <rPr>
        <vertAlign val="subscript"/>
        <sz val="11"/>
        <color theme="1"/>
        <rFont val="Calibri (Body)"/>
      </rPr>
      <t>2A</t>
    </r>
  </si>
  <si>
    <t>α1A-AR</t>
  </si>
  <si>
    <t>adrenoceptor alpha 1A</t>
  </si>
  <si>
    <r>
      <t>α</t>
    </r>
    <r>
      <rPr>
        <vertAlign val="subscript"/>
        <sz val="11"/>
        <color theme="1"/>
        <rFont val="Calibri (Body)"/>
      </rPr>
      <t>1A</t>
    </r>
  </si>
  <si>
    <t>M4R/CHRM4</t>
  </si>
  <si>
    <t>cholinergic receptor muscarinic 4</t>
  </si>
  <si>
    <r>
      <t>M</t>
    </r>
    <r>
      <rPr>
        <vertAlign val="subscript"/>
        <sz val="11"/>
        <color theme="1"/>
        <rFont val="Calibri (Body)"/>
      </rPr>
      <t>4</t>
    </r>
  </si>
  <si>
    <t>M3R/CHRM3</t>
  </si>
  <si>
    <t>cholinergic receptor muscarinic 3</t>
  </si>
  <si>
    <r>
      <t>M</t>
    </r>
    <r>
      <rPr>
        <vertAlign val="subscript"/>
        <sz val="11"/>
        <color theme="1"/>
        <rFont val="Calibri (Body)"/>
      </rPr>
      <t>3</t>
    </r>
  </si>
  <si>
    <t>M2R/CHRM2</t>
  </si>
  <si>
    <t>cholinergic receptor muscarinic 2</t>
  </si>
  <si>
    <r>
      <t>M</t>
    </r>
    <r>
      <rPr>
        <vertAlign val="subscript"/>
        <sz val="11"/>
        <color theme="1"/>
        <rFont val="Calibri (Body)"/>
      </rPr>
      <t>2</t>
    </r>
  </si>
  <si>
    <t>M1R/CHRM1</t>
  </si>
  <si>
    <t>cholinergic receptor muscarinic 1</t>
  </si>
  <si>
    <r>
      <t>M</t>
    </r>
    <r>
      <rPr>
        <vertAlign val="subscript"/>
        <sz val="11"/>
        <color theme="1"/>
        <rFont val="Calibri (Body)"/>
      </rPr>
      <t>1</t>
    </r>
  </si>
  <si>
    <t>A3</t>
  </si>
  <si>
    <t>adenosine A3 receptor</t>
  </si>
  <si>
    <r>
      <t>A</t>
    </r>
    <r>
      <rPr>
        <vertAlign val="subscript"/>
        <sz val="11"/>
        <color theme="1"/>
        <rFont val="Calibri (Body)"/>
      </rPr>
      <t>3</t>
    </r>
  </si>
  <si>
    <t>A2B</t>
  </si>
  <si>
    <t>adenosine A2b receptor</t>
  </si>
  <si>
    <r>
      <t>A</t>
    </r>
    <r>
      <rPr>
        <vertAlign val="subscript"/>
        <sz val="11"/>
        <color theme="1"/>
        <rFont val="Calibri (Body)"/>
      </rPr>
      <t>2B</t>
    </r>
  </si>
  <si>
    <t>adenosine A2a receptor</t>
  </si>
  <si>
    <r>
      <t>A</t>
    </r>
    <r>
      <rPr>
        <vertAlign val="subscript"/>
        <sz val="11"/>
        <color theme="1"/>
        <rFont val="Calibri (Body)"/>
      </rPr>
      <t>2A</t>
    </r>
  </si>
  <si>
    <t>A1</t>
  </si>
  <si>
    <t>adenosine A1 receptor</t>
  </si>
  <si>
    <r>
      <t>A</t>
    </r>
    <r>
      <rPr>
        <vertAlign val="subscript"/>
        <sz val="11"/>
        <color theme="1"/>
        <rFont val="Calibri (Body)"/>
      </rPr>
      <t>1</t>
    </r>
  </si>
  <si>
    <t>5-HT2C</t>
  </si>
  <si>
    <t>5-hydroxytryptamine receptor 2C</t>
  </si>
  <si>
    <r>
      <t>5-HT</t>
    </r>
    <r>
      <rPr>
        <vertAlign val="subscript"/>
        <sz val="11"/>
        <color theme="1"/>
        <rFont val="Calibri (Body)"/>
      </rPr>
      <t>2C</t>
    </r>
  </si>
  <si>
    <t>5-HT2B</t>
  </si>
  <si>
    <t>5-hydroxytryptamine receptor 2B</t>
  </si>
  <si>
    <r>
      <t>5-HT</t>
    </r>
    <r>
      <rPr>
        <vertAlign val="subscript"/>
        <sz val="11"/>
        <color theme="1"/>
        <rFont val="Calibri (Body)"/>
      </rPr>
      <t>2B</t>
    </r>
  </si>
  <si>
    <t>5-HT2A</t>
  </si>
  <si>
    <t>5-hydroxytryptamine receptor 2A</t>
  </si>
  <si>
    <r>
      <t>5-HT</t>
    </r>
    <r>
      <rPr>
        <vertAlign val="subscript"/>
        <sz val="11"/>
        <color theme="1"/>
        <rFont val="Calibri (Body)"/>
      </rPr>
      <t>2A</t>
    </r>
  </si>
  <si>
    <t>5-HT1D</t>
  </si>
  <si>
    <t>5-hydroxytryptamine receptor 1D</t>
  </si>
  <si>
    <r>
      <t>5-HT</t>
    </r>
    <r>
      <rPr>
        <vertAlign val="subscript"/>
        <sz val="11"/>
        <color theme="1"/>
        <rFont val="Calibri (Body)"/>
      </rPr>
      <t>1D</t>
    </r>
  </si>
  <si>
    <t>5-HT1B</t>
  </si>
  <si>
    <t>5-hydroxytryptamine receptor 1B</t>
  </si>
  <si>
    <r>
      <t>5-HT</t>
    </r>
    <r>
      <rPr>
        <vertAlign val="subscript"/>
        <sz val="11"/>
        <color theme="1"/>
        <rFont val="Calibri (Body)"/>
      </rPr>
      <t>1B</t>
    </r>
  </si>
  <si>
    <t>5-HT1A</t>
  </si>
  <si>
    <t>5-hydroxytryptamine receptor 1A</t>
  </si>
  <si>
    <r>
      <t>5-HT</t>
    </r>
    <r>
      <rPr>
        <vertAlign val="subscript"/>
        <sz val="11"/>
        <color theme="1"/>
        <rFont val="Calibri (Body)"/>
      </rPr>
      <t>1A</t>
    </r>
  </si>
  <si>
    <t>HGNC</t>
  </si>
  <si>
    <t>Receptor family</t>
  </si>
  <si>
    <t>Ligand type</t>
  </si>
  <si>
    <t>GtP ID</t>
  </si>
  <si>
    <r>
      <t xml:space="preserve">Receptor
</t>
    </r>
    <r>
      <rPr>
        <sz val="11"/>
        <color theme="1"/>
        <rFont val="Arial"/>
        <family val="2"/>
      </rPr>
      <t>(UniProt)</t>
    </r>
  </si>
  <si>
    <t>Author
IUPHAR
name</t>
  </si>
  <si>
    <t>Max
BRET
mean
GsL</t>
  </si>
  <si>
    <t>Max
BRET
mean
GoA</t>
  </si>
  <si>
    <t>Max
BRET
mean
Gq</t>
  </si>
  <si>
    <t>Max
BRET
mean
G15</t>
  </si>
  <si>
    <t>Max
BRET
mean
G13</t>
  </si>
  <si>
    <t>Bouvier
log(
Emax
/EC50
Gq</t>
  </si>
  <si>
    <t>Inoue
log(
Emax
/EC50
Gq</t>
  </si>
  <si>
    <t>I-Basal
SD
GsL</t>
  </si>
  <si>
    <t>Inoue
Emax
Gq</t>
  </si>
  <si>
    <t>#SDs
Golf</t>
  </si>
  <si>
    <t>#SDs
Gi3</t>
  </si>
  <si>
    <t>Inoue
#SDs
Gq</t>
  </si>
  <si>
    <t>Inoue
pEC50
Gq</t>
  </si>
  <si>
    <t>Iuniq</t>
  </si>
  <si>
    <t>Marte-
myanov
coupling</t>
  </si>
  <si>
    <t>Bouvier
coupling</t>
  </si>
  <si>
    <t>Inoue
Coupling</t>
  </si>
  <si>
    <t>Inoue
uniqu</t>
  </si>
  <si>
    <t>Marte-
myanov
Kon
mean
Gq</t>
  </si>
  <si>
    <t>% of 1' subtype
GsL</t>
  </si>
  <si>
    <t>% of 1' subtype
Gi1</t>
  </si>
  <si>
    <t>% of 1' subtype
Gi2</t>
  </si>
  <si>
    <t>% of 1' subtype
GoA</t>
  </si>
  <si>
    <t>% of 1' subtype
GoB</t>
  </si>
  <si>
    <t>% of 1' subtype
Gz</t>
  </si>
  <si>
    <t>% of 1' subtype
Gq</t>
  </si>
  <si>
    <t>% of 1' subtype
G11</t>
  </si>
  <si>
    <t>% of 1' subtype
G14</t>
  </si>
  <si>
    <t>% of 1' subtype
G15</t>
  </si>
  <si>
    <t>% of 1' subtype
G12</t>
  </si>
  <si>
    <t>% of 1' subtype
G13</t>
  </si>
  <si>
    <t>% of 1'
family
GsFam</t>
  </si>
  <si>
    <t>% of 1'
family
Gi/oFam</t>
  </si>
  <si>
    <t>% of 1'
family
Gq/11Fam</t>
  </si>
  <si>
    <t>% of 1'
family
G12/13Fam</t>
  </si>
  <si>
    <t>% of 1' subtype
GsS</t>
  </si>
  <si>
    <t>% of 1' subtype
Golf</t>
  </si>
  <si>
    <t>% of 1' subtype
Gi3</t>
  </si>
  <si>
    <t>% of 1' subtype
Ggust</t>
  </si>
  <si>
    <t>Primary
(1')
subtype</t>
  </si>
  <si>
    <t>Rank
Gs
fam</t>
  </si>
  <si>
    <t>Rank
Gi/o
fam</t>
  </si>
  <si>
    <t>Rank
Gq/11
fam</t>
  </si>
  <si>
    <t>Rank
G12/13
fam</t>
  </si>
  <si>
    <t>Prostaglandin H2</t>
  </si>
  <si>
    <t>Phys/
Surr</t>
  </si>
  <si>
    <t>Phys</t>
  </si>
  <si>
    <t>Surr</t>
  </si>
  <si>
    <t>Phys/Surr</t>
  </si>
  <si>
    <r>
      <t>Conc.
(</t>
    </r>
    <r>
      <rPr>
        <b/>
        <sz val="11"/>
        <color theme="1" tint="0.499984740745262"/>
        <rFont val="Symbol"/>
        <family val="1"/>
        <charset val="2"/>
      </rPr>
      <t>m</t>
    </r>
    <r>
      <rPr>
        <b/>
        <sz val="11"/>
        <color theme="1" tint="0.499984740745262"/>
        <rFont val="Arial"/>
        <family val="2"/>
      </rPr>
      <t>M)</t>
    </r>
  </si>
  <si>
    <r>
      <t>M</t>
    </r>
    <r>
      <rPr>
        <vertAlign val="subscript"/>
        <sz val="11"/>
        <color theme="1" tint="0.499984740745262"/>
        <rFont val="Arial"/>
        <family val="2"/>
      </rPr>
      <t>1</t>
    </r>
  </si>
  <si>
    <r>
      <t>4.3-4.9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</si>
  <si>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M</t>
    </r>
    <r>
      <rPr>
        <vertAlign val="subscript"/>
        <sz val="11"/>
        <color theme="1" tint="0.499984740745262"/>
        <rFont val="Arial"/>
        <family val="2"/>
      </rPr>
      <t>2</t>
    </r>
  </si>
  <si>
    <r>
      <t>4.3-6.5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</si>
  <si>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M</t>
    </r>
    <r>
      <rPr>
        <vertAlign val="subscript"/>
        <sz val="11"/>
        <color theme="1" tint="0.499984740745262"/>
        <rFont val="Arial"/>
        <family val="2"/>
      </rPr>
      <t>3</t>
    </r>
  </si>
  <si>
    <r>
      <t>4.5-5.4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</si>
  <si>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M</t>
    </r>
    <r>
      <rPr>
        <vertAlign val="subscript"/>
        <sz val="11"/>
        <color theme="1" tint="0.499984740745262"/>
        <rFont val="Arial"/>
        <family val="2"/>
      </rPr>
      <t>4</t>
    </r>
  </si>
  <si>
    <r>
      <t>4.5-5.6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</si>
  <si>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M</t>
    </r>
    <r>
      <rPr>
        <vertAlign val="subscript"/>
        <sz val="11"/>
        <color theme="1" tint="0.499984740745262"/>
        <rFont val="Arial"/>
        <family val="2"/>
      </rPr>
      <t>5</t>
    </r>
  </si>
  <si>
    <r>
      <t>6.1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</si>
  <si>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A</t>
    </r>
    <r>
      <rPr>
        <vertAlign val="subscript"/>
        <sz val="11"/>
        <color theme="1" tint="0.499984740745262"/>
        <rFont val="Arial"/>
        <family val="2"/>
      </rPr>
      <t>1</t>
    </r>
  </si>
  <si>
    <r>
      <t>~7.0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</si>
  <si>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A</t>
    </r>
    <r>
      <rPr>
        <vertAlign val="subscript"/>
        <sz val="11"/>
        <color theme="1" tint="0.499984740745262"/>
        <rFont val="Arial"/>
        <family val="2"/>
      </rPr>
      <t>2A</t>
    </r>
  </si>
  <si>
    <r>
      <t>6.5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</si>
  <si>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A</t>
    </r>
    <r>
      <rPr>
        <vertAlign val="subscript"/>
        <sz val="11"/>
        <color theme="1" tint="0.499984740745262"/>
        <rFont val="Arial"/>
        <family val="2"/>
      </rPr>
      <t>2B</t>
    </r>
  </si>
  <si>
    <r>
      <t>A</t>
    </r>
    <r>
      <rPr>
        <vertAlign val="subscript"/>
        <sz val="11"/>
        <color theme="1" tint="0.499984740745262"/>
        <rFont val="Arial"/>
        <family val="2"/>
      </rPr>
      <t>3</t>
    </r>
  </si>
  <si>
    <r>
      <t>B</t>
    </r>
    <r>
      <rPr>
        <vertAlign val="subscript"/>
        <sz val="11"/>
        <color theme="1" tint="0.499984740745262"/>
        <rFont val="Arial"/>
        <family val="2"/>
      </rPr>
      <t>2</t>
    </r>
  </si>
  <si>
    <r>
      <t>7.0-9.3 (pIC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</si>
  <si>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D</t>
    </r>
    <r>
      <rPr>
        <vertAlign val="subscript"/>
        <sz val="11"/>
        <color theme="1" tint="0.499984740745262"/>
        <rFont val="Arial"/>
        <family val="2"/>
      </rPr>
      <t>1</t>
    </r>
  </si>
  <si>
    <r>
      <t>4.3-5.6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</si>
  <si>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D</t>
    </r>
    <r>
      <rPr>
        <vertAlign val="subscript"/>
        <sz val="11"/>
        <color theme="1" tint="0.499984740745262"/>
        <rFont val="Arial"/>
        <family val="2"/>
      </rPr>
      <t>2</t>
    </r>
  </si>
  <si>
    <r>
      <t>4.7-7.2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</si>
  <si>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D</t>
    </r>
    <r>
      <rPr>
        <vertAlign val="subscript"/>
        <sz val="11"/>
        <color theme="1" tint="0.499984740745262"/>
        <rFont val="Arial"/>
        <family val="2"/>
      </rPr>
      <t>3</t>
    </r>
  </si>
  <si>
    <r>
      <t>6.4-7.3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</si>
  <si>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D</t>
    </r>
    <r>
      <rPr>
        <vertAlign val="subscript"/>
        <sz val="11"/>
        <color theme="1" tint="0.499984740745262"/>
        <rFont val="Arial"/>
        <family val="2"/>
      </rPr>
      <t>4</t>
    </r>
  </si>
  <si>
    <r>
      <t>7.6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</si>
  <si>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D</t>
    </r>
    <r>
      <rPr>
        <vertAlign val="subscript"/>
        <sz val="11"/>
        <color theme="1" tint="0.499984740745262"/>
        <rFont val="Arial"/>
        <family val="2"/>
      </rPr>
      <t>5</t>
    </r>
  </si>
  <si>
    <r>
      <t>6.6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</si>
  <si>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8.3-10.8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</si>
  <si>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GAL</t>
    </r>
    <r>
      <rPr>
        <vertAlign val="subscript"/>
        <sz val="11"/>
        <color theme="1" tint="0.499984740745262"/>
        <rFont val="Arial"/>
        <family val="2"/>
      </rPr>
      <t>1</t>
    </r>
  </si>
  <si>
    <r>
      <t>9.1-10.5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</si>
  <si>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GAL</t>
    </r>
    <r>
      <rPr>
        <vertAlign val="subscript"/>
        <sz val="11"/>
        <color theme="1" tint="0.499984740745262"/>
        <rFont val="Arial"/>
        <family val="2"/>
      </rPr>
      <t>2</t>
    </r>
  </si>
  <si>
    <r>
      <t>8.6-9.1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</si>
  <si>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GAL</t>
    </r>
    <r>
      <rPr>
        <vertAlign val="subscript"/>
        <sz val="11"/>
        <color theme="1" tint="0.499984740745262"/>
        <rFont val="Arial"/>
        <family val="2"/>
      </rPr>
      <t>3</t>
    </r>
  </si>
  <si>
    <r>
      <t>7.2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</si>
  <si>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8.7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</si>
  <si>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H</t>
    </r>
    <r>
      <rPr>
        <vertAlign val="subscript"/>
        <sz val="11"/>
        <color theme="1" tint="0.499984740745262"/>
        <rFont val="Arial"/>
        <family val="2"/>
      </rPr>
      <t>1</t>
    </r>
  </si>
  <si>
    <r>
      <t>4.7-5.9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</si>
  <si>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H</t>
    </r>
    <r>
      <rPr>
        <vertAlign val="subscript"/>
        <sz val="11"/>
        <color theme="1" tint="0.499984740745262"/>
        <rFont val="Arial"/>
        <family val="2"/>
      </rPr>
      <t>2</t>
    </r>
  </si>
  <si>
    <r>
      <t>3.8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</si>
  <si>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H</t>
    </r>
    <r>
      <rPr>
        <vertAlign val="subscript"/>
        <sz val="11"/>
        <color theme="1" tint="0.499984740745262"/>
        <rFont val="Arial"/>
        <family val="2"/>
      </rPr>
      <t>3</t>
    </r>
  </si>
  <si>
    <r>
      <t>7.8-8.3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</si>
  <si>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MT</t>
    </r>
    <r>
      <rPr>
        <vertAlign val="subscript"/>
        <sz val="11"/>
        <color theme="1" tint="0.499984740745262"/>
        <rFont val="Arial"/>
        <family val="2"/>
      </rPr>
      <t>1</t>
    </r>
  </si>
  <si>
    <r>
      <t>9.1-9.7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</si>
  <si>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MT</t>
    </r>
    <r>
      <rPr>
        <vertAlign val="subscript"/>
        <sz val="11"/>
        <color theme="1" tint="0.499984740745262"/>
        <rFont val="Arial"/>
        <family val="2"/>
      </rPr>
      <t>2</t>
    </r>
  </si>
  <si>
    <r>
      <t>9.4-9.8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</si>
  <si>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NK</t>
    </r>
    <r>
      <rPr>
        <vertAlign val="subscript"/>
        <sz val="11"/>
        <color theme="1" tint="0.499984740745262"/>
        <rFont val="Arial"/>
        <family val="2"/>
      </rPr>
      <t>2</t>
    </r>
  </si>
  <si>
    <r>
      <t>8.0-9.1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</si>
  <si>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NK</t>
    </r>
    <r>
      <rPr>
        <vertAlign val="subscript"/>
        <sz val="11"/>
        <color theme="1" tint="0.499984740745262"/>
        <rFont val="Arial"/>
        <family val="2"/>
      </rPr>
      <t>3</t>
    </r>
  </si>
  <si>
    <r>
      <t>7.7-9.2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</si>
  <si>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NPFF</t>
    </r>
    <r>
      <rPr>
        <vertAlign val="subscript"/>
        <sz val="11"/>
        <color theme="1" tint="0.499984740745262"/>
        <rFont val="Arial"/>
        <family val="2"/>
      </rPr>
      <t>1</t>
    </r>
  </si>
  <si>
    <r>
      <t>8.5-9.9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</si>
  <si>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9.7-10.4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</si>
  <si>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8.2-9.6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</si>
  <si>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DP</t>
    </r>
    <r>
      <rPr>
        <vertAlign val="subscript"/>
        <sz val="11"/>
        <color theme="1" tint="0.499984740745262"/>
        <rFont val="Arial"/>
        <family val="2"/>
      </rPr>
      <t>1</t>
    </r>
  </si>
  <si>
    <r>
      <t>7.8-9.2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</si>
  <si>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DP</t>
    </r>
    <r>
      <rPr>
        <vertAlign val="subscript"/>
        <sz val="11"/>
        <color theme="1" tint="0.499984740745262"/>
        <rFont val="Arial"/>
        <family val="2"/>
      </rPr>
      <t>2</t>
    </r>
  </si>
  <si>
    <r>
      <t>7.6-8.6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</si>
  <si>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EP</t>
    </r>
    <r>
      <rPr>
        <vertAlign val="subscript"/>
        <sz val="11"/>
        <color theme="1" tint="0.499984740745262"/>
        <rFont val="Arial"/>
        <family val="2"/>
      </rPr>
      <t>1</t>
    </r>
  </si>
  <si>
    <r>
      <t>7.3-8.0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</si>
  <si>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EP</t>
    </r>
    <r>
      <rPr>
        <vertAlign val="subscript"/>
        <sz val="11"/>
        <color theme="1" tint="0.499984740745262"/>
        <rFont val="Arial"/>
        <family val="2"/>
      </rPr>
      <t>2</t>
    </r>
  </si>
  <si>
    <r>
      <t>7.5-8.3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</si>
  <si>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EP</t>
    </r>
    <r>
      <rPr>
        <vertAlign val="subscript"/>
        <sz val="11"/>
        <color theme="1" tint="0.499984740745262"/>
        <rFont val="Arial"/>
        <family val="2"/>
      </rPr>
      <t>3</t>
    </r>
  </si>
  <si>
    <r>
      <t>8.2-9.1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</si>
  <si>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EP</t>
    </r>
    <r>
      <rPr>
        <vertAlign val="subscript"/>
        <sz val="11"/>
        <color theme="1" tint="0.499984740745262"/>
        <rFont val="Arial"/>
        <family val="2"/>
      </rPr>
      <t>4</t>
    </r>
  </si>
  <si>
    <r>
      <t>8.1-9.1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</si>
  <si>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1A</t>
    </r>
  </si>
  <si>
    <r>
      <t>5-HT</t>
    </r>
    <r>
      <rPr>
        <vertAlign val="subscript"/>
        <sz val="11"/>
        <color theme="1" tint="0.499984740745262"/>
        <rFont val="Arial"/>
        <family val="2"/>
      </rPr>
      <t>1B</t>
    </r>
  </si>
  <si>
    <r>
      <t>7.5-8.4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</si>
  <si>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1D</t>
    </r>
  </si>
  <si>
    <r>
      <t>8.0-9.0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</si>
  <si>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1E</t>
    </r>
  </si>
  <si>
    <r>
      <t>8.0-8.2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</si>
  <si>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1F</t>
    </r>
  </si>
  <si>
    <r>
      <t>8.0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</si>
  <si>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2A</t>
    </r>
  </si>
  <si>
    <r>
      <t>8.9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</si>
  <si>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2B</t>
    </r>
  </si>
  <si>
    <r>
      <t>7.9-8.4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</si>
  <si>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2C</t>
    </r>
  </si>
  <si>
    <r>
      <t>6.7-7.9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</si>
  <si>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4B</t>
    </r>
  </si>
  <si>
    <r>
      <t>8.4-8.8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</si>
  <si>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5A</t>
    </r>
  </si>
  <si>
    <r>
      <t>6.7-6.9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</si>
  <si>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6</t>
    </r>
  </si>
  <si>
    <r>
      <t>6.8-7.5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</si>
  <si>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7A</t>
    </r>
  </si>
  <si>
    <r>
      <t>8.1-9.6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</si>
  <si>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5-HT</t>
    </r>
    <r>
      <rPr>
        <vertAlign val="subscript"/>
        <sz val="11"/>
        <color theme="1" tint="0.499984740745262"/>
        <rFont val="Arial"/>
        <family val="2"/>
      </rPr>
      <t>7B</t>
    </r>
  </si>
  <si>
    <r>
      <t>SST</t>
    </r>
    <r>
      <rPr>
        <vertAlign val="subscript"/>
        <sz val="11"/>
        <color theme="1" tint="0.499984740745262"/>
        <rFont val="Arial"/>
        <family val="2"/>
      </rPr>
      <t>1</t>
    </r>
  </si>
  <si>
    <r>
      <t>SST</t>
    </r>
    <r>
      <rPr>
        <vertAlign val="subscript"/>
        <sz val="11"/>
        <color theme="1" tint="0.499984740745262"/>
        <rFont val="Arial"/>
        <family val="2"/>
      </rPr>
      <t>2</t>
    </r>
  </si>
  <si>
    <r>
      <t>SST</t>
    </r>
    <r>
      <rPr>
        <vertAlign val="subscript"/>
        <sz val="11"/>
        <color theme="1" tint="0.499984740745262"/>
        <rFont val="Arial"/>
        <family val="2"/>
      </rPr>
      <t>3</t>
    </r>
  </si>
  <si>
    <r>
      <t>SST</t>
    </r>
    <r>
      <rPr>
        <vertAlign val="subscript"/>
        <sz val="11"/>
        <color theme="1" tint="0.499984740745262"/>
        <rFont val="Arial"/>
        <family val="2"/>
      </rPr>
      <t>4</t>
    </r>
  </si>
  <si>
    <r>
      <t>SST</t>
    </r>
    <r>
      <rPr>
        <vertAlign val="subscript"/>
        <sz val="11"/>
        <color theme="1" tint="0.499984740745262"/>
        <rFont val="Arial"/>
        <family val="2"/>
      </rPr>
      <t>5</t>
    </r>
  </si>
  <si>
    <r>
      <t>8.4-9.9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</si>
  <si>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NK</t>
    </r>
    <r>
      <rPr>
        <vertAlign val="subscript"/>
        <sz val="11"/>
        <color theme="1" tint="0.499984740745262"/>
        <rFont val="Arial"/>
        <family val="2"/>
      </rPr>
      <t>1</t>
    </r>
  </si>
  <si>
    <r>
      <t>8.5-10.3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</si>
  <si>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V</t>
    </r>
    <r>
      <rPr>
        <vertAlign val="subscript"/>
        <sz val="11"/>
        <color theme="1" tint="0.499984740745262"/>
        <rFont val="Arial"/>
        <family val="2"/>
      </rPr>
      <t>1A</t>
    </r>
  </si>
  <si>
    <r>
      <t>8.5-9.3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</si>
  <si>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V</t>
    </r>
    <r>
      <rPr>
        <vertAlign val="subscript"/>
        <sz val="11"/>
        <color theme="1" tint="0.499984740745262"/>
        <rFont val="Arial"/>
        <family val="2"/>
      </rPr>
      <t>1B</t>
    </r>
  </si>
  <si>
    <r>
      <t>9.0-9.5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</si>
  <si>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V</t>
    </r>
    <r>
      <rPr>
        <vertAlign val="subscript"/>
        <sz val="11"/>
        <color theme="1" tint="0.499984740745262"/>
        <rFont val="Arial"/>
        <family val="2"/>
      </rPr>
      <t>2</t>
    </r>
  </si>
  <si>
    <r>
      <t>7.9-9.1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</si>
  <si>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PAC</t>
    </r>
    <r>
      <rPr>
        <vertAlign val="subscript"/>
        <sz val="11"/>
        <color theme="1" tint="0.499984740745262"/>
        <rFont val="Arial"/>
        <family val="2"/>
      </rPr>
      <t>1</t>
    </r>
  </si>
  <si>
    <r>
      <t>&lt;6.0–8.4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</si>
  <si>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VPAC</t>
    </r>
    <r>
      <rPr>
        <vertAlign val="subscript"/>
        <sz val="11"/>
        <color theme="1" tint="0.499984740745262"/>
        <rFont val="Arial"/>
        <family val="2"/>
      </rPr>
      <t>1</t>
    </r>
  </si>
  <si>
    <r>
      <t>7.9-10.0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</si>
  <si>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VPAC</t>
    </r>
    <r>
      <rPr>
        <vertAlign val="subscript"/>
        <sz val="11"/>
        <color theme="1" tint="0.499984740745262"/>
        <rFont val="Arial"/>
        <family val="2"/>
      </rPr>
      <t>2</t>
    </r>
  </si>
  <si>
    <r>
      <t>7.3-9.3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</si>
  <si>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MC</t>
    </r>
    <r>
      <rPr>
        <vertAlign val="subscript"/>
        <sz val="11"/>
        <color theme="1" tint="0.499984740745262"/>
        <rFont val="Arial"/>
        <family val="2"/>
      </rPr>
      <t>3</t>
    </r>
  </si>
  <si>
    <r>
      <t>8.0-8.4 (p</t>
    </r>
    <r>
      <rPr>
        <i/>
        <sz val="11"/>
        <color theme="1" tint="0.499984740745262"/>
        <rFont val="Arial"/>
        <family val="2"/>
      </rPr>
      <t>K</t>
    </r>
    <r>
      <rPr>
        <sz val="11"/>
        <color theme="1" tint="0.499984740745262"/>
        <rFont val="Arial"/>
        <family val="2"/>
      </rPr>
      <t>i)</t>
    </r>
  </si>
  <si>
    <r>
      <t>MC</t>
    </r>
    <r>
      <rPr>
        <vertAlign val="subscript"/>
        <sz val="11"/>
        <color theme="1" tint="0.499984740745262"/>
        <rFont val="Arial"/>
        <family val="2"/>
      </rPr>
      <t>4</t>
    </r>
  </si>
  <si>
    <r>
      <t>7.4-8.0 (p</t>
    </r>
    <r>
      <rPr>
        <i/>
        <sz val="11"/>
        <color theme="1" tint="0.499984740745262"/>
        <rFont val="Arial"/>
        <family val="2"/>
      </rPr>
      <t>K</t>
    </r>
    <r>
      <rPr>
        <sz val="11"/>
        <color theme="1" tint="0.499984740745262"/>
        <rFont val="Arial"/>
        <family val="2"/>
      </rPr>
      <t>i)</t>
    </r>
  </si>
  <si>
    <r>
      <t>MC</t>
    </r>
    <r>
      <rPr>
        <vertAlign val="subscript"/>
        <sz val="11"/>
        <color theme="1" tint="0.499984740745262"/>
        <rFont val="Arial"/>
        <family val="2"/>
      </rPr>
      <t>5</t>
    </r>
  </si>
  <si>
    <r>
      <t>6.9 (p</t>
    </r>
    <r>
      <rPr>
        <i/>
        <sz val="11"/>
        <color theme="1" tint="0.499984740745262"/>
        <rFont val="Arial"/>
        <family val="2"/>
      </rPr>
      <t>K</t>
    </r>
    <r>
      <rPr>
        <sz val="11"/>
        <color theme="1" tint="0.499984740745262"/>
        <rFont val="Arial"/>
        <family val="2"/>
      </rPr>
      <t>d)</t>
    </r>
  </si>
  <si>
    <r>
      <t>MC</t>
    </r>
    <r>
      <rPr>
        <vertAlign val="subscript"/>
        <sz val="11"/>
        <color theme="1" tint="0.499984740745262"/>
        <rFont val="Arial"/>
        <family val="2"/>
      </rPr>
      <t>1</t>
    </r>
  </si>
  <si>
    <r>
      <t>6.2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</si>
  <si>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BB</t>
    </r>
    <r>
      <rPr>
        <vertAlign val="subscript"/>
        <sz val="11"/>
        <color theme="1" tint="0.499984740745262"/>
        <rFont val="Arial"/>
        <family val="2"/>
      </rPr>
      <t>2</t>
    </r>
  </si>
  <si>
    <r>
      <t>6.3-8.2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</si>
  <si>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9.0-11.2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</si>
  <si>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ET</t>
    </r>
    <r>
      <rPr>
        <vertAlign val="subscript"/>
        <sz val="11"/>
        <color theme="1" tint="0.499984740745262"/>
        <rFont val="Arial"/>
        <family val="2"/>
      </rPr>
      <t>A</t>
    </r>
  </si>
  <si>
    <r>
      <t>8.2 (pIC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</si>
  <si>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ET</t>
    </r>
    <r>
      <rPr>
        <vertAlign val="subscript"/>
        <sz val="11"/>
        <color theme="1" tint="0.499984740745262"/>
        <rFont val="Arial"/>
        <family val="2"/>
      </rPr>
      <t>B</t>
    </r>
  </si>
  <si>
    <r>
      <t>GABA</t>
    </r>
    <r>
      <rPr>
        <vertAlign val="subscript"/>
        <sz val="11"/>
        <color theme="1" tint="0.499984740745262"/>
        <rFont val="Arial"/>
        <family val="2"/>
      </rPr>
      <t>B</t>
    </r>
  </si>
  <si>
    <r>
      <t>4.5-4.6 (pIC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</si>
  <si>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9.0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</si>
  <si>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1</t>
    </r>
  </si>
  <si>
    <r>
      <t>6.4-6.5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</si>
  <si>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2</t>
    </r>
  </si>
  <si>
    <r>
      <t>4.7-5.4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</si>
  <si>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3</t>
    </r>
  </si>
  <si>
    <r>
      <t>7.4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</si>
  <si>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BRET buffer w/o Cl</t>
    </r>
    <r>
      <rPr>
        <vertAlign val="superscript"/>
        <sz val="11"/>
        <color theme="1" tint="0.499984740745262"/>
        <rFont val="Arial"/>
        <family val="2"/>
      </rPr>
      <t>-</t>
    </r>
  </si>
  <si>
    <r>
      <t>mGlu</t>
    </r>
    <r>
      <rPr>
        <vertAlign val="subscript"/>
        <sz val="11"/>
        <color theme="1" tint="0.499984740745262"/>
        <rFont val="Arial"/>
        <family val="2"/>
      </rPr>
      <t>4</t>
    </r>
  </si>
  <si>
    <r>
      <t>4.7-5.5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</si>
  <si>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5</t>
    </r>
  </si>
  <si>
    <r>
      <t>5.0-5.5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</si>
  <si>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6</t>
    </r>
  </si>
  <si>
    <r>
      <t>4.8-5.2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</si>
  <si>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7</t>
    </r>
  </si>
  <si>
    <r>
      <t>3.1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</si>
  <si>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mGlu</t>
    </r>
    <r>
      <rPr>
        <vertAlign val="subscript"/>
        <sz val="11"/>
        <color theme="1" tint="0.499984740745262"/>
        <rFont val="Arial"/>
        <family val="2"/>
      </rPr>
      <t>8</t>
    </r>
  </si>
  <si>
    <r>
      <t>4.9-5.6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</si>
  <si>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Y</t>
    </r>
    <r>
      <rPr>
        <vertAlign val="subscript"/>
        <sz val="11"/>
        <color theme="1" tint="0.499984740745262"/>
        <rFont val="Arial"/>
        <family val="2"/>
      </rPr>
      <t>1</t>
    </r>
  </si>
  <si>
    <r>
      <t>10.5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</si>
  <si>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Y</t>
    </r>
    <r>
      <rPr>
        <vertAlign val="subscript"/>
        <sz val="11"/>
        <color theme="1" tint="0.499984740745262"/>
        <rFont val="Arial"/>
        <family val="2"/>
      </rPr>
      <t>2</t>
    </r>
  </si>
  <si>
    <r>
      <t>9.3-9.5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</si>
  <si>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Y</t>
    </r>
    <r>
      <rPr>
        <vertAlign val="subscript"/>
        <sz val="11"/>
        <color theme="1" tint="0.499984740745262"/>
        <rFont val="Arial"/>
        <family val="2"/>
      </rPr>
      <t>4</t>
    </r>
  </si>
  <si>
    <r>
      <t>8.0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</si>
  <si>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Y</t>
    </r>
    <r>
      <rPr>
        <vertAlign val="subscript"/>
        <sz val="11"/>
        <color theme="1" tint="0.499984740745262"/>
        <rFont val="Arial"/>
        <family val="2"/>
      </rPr>
      <t>5</t>
    </r>
  </si>
  <si>
    <r>
      <t>9.1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</si>
  <si>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NTS</t>
    </r>
    <r>
      <rPr>
        <vertAlign val="subscript"/>
        <sz val="11"/>
        <color theme="1" tint="0.499984740745262"/>
        <rFont val="Arial"/>
        <family val="2"/>
      </rPr>
      <t>1</t>
    </r>
  </si>
  <si>
    <r>
      <t>8.3-9.7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</si>
  <si>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CB</t>
    </r>
    <r>
      <rPr>
        <vertAlign val="subscript"/>
        <sz val="11"/>
        <color theme="1" tint="0.499984740745262"/>
        <rFont val="Arial"/>
        <family val="2"/>
      </rPr>
      <t>1</t>
    </r>
  </si>
  <si>
    <r>
      <t>6.3-7.0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</si>
  <si>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7.9-9.0 (pIC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</si>
  <si>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9.7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</si>
  <si>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BB</t>
    </r>
    <r>
      <rPr>
        <vertAlign val="subscript"/>
        <sz val="11"/>
        <color theme="1" tint="0.499984740745262"/>
        <rFont val="Arial"/>
        <family val="2"/>
      </rPr>
      <t>3</t>
    </r>
  </si>
  <si>
    <r>
      <t>8.0-8.4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</si>
  <si>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rPr>
        <sz val="11"/>
        <color theme="1" tint="0.499984740745262"/>
        <rFont val="Symbol"/>
        <family val="1"/>
        <charset val="2"/>
      </rPr>
      <t>a</t>
    </r>
    <r>
      <rPr>
        <vertAlign val="subscript"/>
        <sz val="11"/>
        <color theme="1" tint="0.499984740745262"/>
        <rFont val="Arial"/>
        <family val="2"/>
      </rPr>
      <t>1A</t>
    </r>
  </si>
  <si>
    <r>
      <t>5.0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</si>
  <si>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rPr>
        <sz val="11"/>
        <color theme="1" tint="0.499984740745262"/>
        <rFont val="Symbol"/>
        <family val="1"/>
        <charset val="2"/>
      </rPr>
      <t>a</t>
    </r>
    <r>
      <rPr>
        <vertAlign val="subscript"/>
        <sz val="11"/>
        <color theme="1" tint="0.499984740745262"/>
        <rFont val="Arial"/>
        <family val="2"/>
      </rPr>
      <t>1B</t>
    </r>
  </si>
  <si>
    <r>
      <rPr>
        <sz val="11"/>
        <color theme="1" tint="0.499984740745262"/>
        <rFont val="Symbol"/>
        <family val="1"/>
        <charset val="2"/>
      </rPr>
      <t>a</t>
    </r>
    <r>
      <rPr>
        <vertAlign val="subscript"/>
        <sz val="11"/>
        <color theme="1" tint="0.499984740745262"/>
        <rFont val="Arial"/>
        <family val="2"/>
      </rPr>
      <t>1D</t>
    </r>
  </si>
  <si>
    <r>
      <rPr>
        <sz val="11"/>
        <color theme="1" tint="0.499984740745262"/>
        <rFont val="Symbol"/>
        <family val="1"/>
        <charset val="2"/>
      </rPr>
      <t>a</t>
    </r>
    <r>
      <rPr>
        <vertAlign val="subscript"/>
        <sz val="11"/>
        <color theme="1" tint="0.499984740745262"/>
        <rFont val="Arial"/>
        <family val="2"/>
      </rPr>
      <t>2A</t>
    </r>
  </si>
  <si>
    <r>
      <t>5.8-7.4 (p</t>
    </r>
    <r>
      <rPr>
        <i/>
        <sz val="11"/>
        <color theme="1" tint="0.499984740745262"/>
        <rFont val="Arial"/>
        <family val="2"/>
      </rPr>
      <t>K</t>
    </r>
    <r>
      <rPr>
        <sz val="11"/>
        <color theme="1" tint="0.499984740745262"/>
        <rFont val="Arial"/>
        <family val="2"/>
      </rPr>
      <t>i)</t>
    </r>
  </si>
  <si>
    <r>
      <rPr>
        <sz val="11"/>
        <color theme="1" tint="0.499984740745262"/>
        <rFont val="Symbol"/>
        <family val="1"/>
        <charset val="2"/>
      </rPr>
      <t>a</t>
    </r>
    <r>
      <rPr>
        <vertAlign val="subscript"/>
        <sz val="11"/>
        <color theme="1" tint="0.499984740745262"/>
        <rFont val="Arial"/>
        <family val="2"/>
      </rPr>
      <t>2B</t>
    </r>
  </si>
  <si>
    <r>
      <t>5.2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</si>
  <si>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rPr>
        <sz val="11"/>
        <color theme="1" tint="0.499984740745262"/>
        <rFont val="Symbol"/>
        <family val="1"/>
        <charset val="2"/>
      </rPr>
      <t>a</t>
    </r>
    <r>
      <rPr>
        <vertAlign val="subscript"/>
        <sz val="11"/>
        <color theme="1" tint="0.499984740745262"/>
        <rFont val="Arial"/>
        <family val="2"/>
      </rPr>
      <t>2C</t>
    </r>
  </si>
  <si>
    <r>
      <t>5.8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</si>
  <si>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rPr>
        <sz val="11"/>
        <color theme="1" tint="0.499984740745262"/>
        <rFont val="Symbol"/>
        <family val="1"/>
        <charset val="2"/>
      </rPr>
      <t>b</t>
    </r>
    <r>
      <rPr>
        <vertAlign val="subscript"/>
        <sz val="11"/>
        <color theme="1" tint="0.499984740745262"/>
        <rFont val="Arial"/>
        <family val="2"/>
      </rPr>
      <t>1</t>
    </r>
  </si>
  <si>
    <r>
      <t>5.4-6.0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</si>
  <si>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rPr>
        <sz val="11"/>
        <color theme="1" tint="0.499984740745262"/>
        <rFont val="Symbol"/>
        <family val="1"/>
        <charset val="2"/>
      </rPr>
      <t>b</t>
    </r>
    <r>
      <rPr>
        <vertAlign val="subscript"/>
        <sz val="11"/>
        <color theme="1" tint="0.499984740745262"/>
        <rFont val="Arial"/>
        <family val="2"/>
      </rPr>
      <t>2</t>
    </r>
  </si>
  <si>
    <r>
      <t>6.0-6.2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</si>
  <si>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rPr>
        <sz val="11"/>
        <color theme="1" tint="0.499984740745262"/>
        <rFont val="Symbol"/>
        <family val="1"/>
        <charset val="2"/>
      </rPr>
      <t>b</t>
    </r>
    <r>
      <rPr>
        <vertAlign val="subscript"/>
        <sz val="11"/>
        <color theme="1" tint="0.499984740745262"/>
        <rFont val="Arial"/>
        <family val="2"/>
      </rPr>
      <t>3</t>
    </r>
  </si>
  <si>
    <r>
      <t>3.9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</si>
  <si>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CCK</t>
    </r>
    <r>
      <rPr>
        <vertAlign val="subscript"/>
        <sz val="11"/>
        <color theme="1" tint="0.499984740745262"/>
        <rFont val="Arial"/>
        <family val="2"/>
      </rPr>
      <t>1</t>
    </r>
  </si>
  <si>
    <r>
      <t>CCK</t>
    </r>
    <r>
      <rPr>
        <vertAlign val="subscript"/>
        <sz val="11"/>
        <color theme="1" tint="0.499984740745262"/>
        <rFont val="Arial"/>
        <family val="2"/>
      </rPr>
      <t>2</t>
    </r>
  </si>
  <si>
    <r>
      <t>CRF</t>
    </r>
    <r>
      <rPr>
        <vertAlign val="subscript"/>
        <sz val="11"/>
        <color theme="1" tint="0.499984740745262"/>
        <rFont val="Arial"/>
        <family val="2"/>
      </rPr>
      <t>1</t>
    </r>
  </si>
  <si>
    <r>
      <t>7.1-9.0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</si>
  <si>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CRF</t>
    </r>
    <r>
      <rPr>
        <vertAlign val="subscript"/>
        <sz val="11"/>
        <color theme="1" tint="0.499984740745262"/>
        <rFont val="Arial"/>
        <family val="2"/>
      </rPr>
      <t>2</t>
    </r>
  </si>
  <si>
    <r>
      <t>6.5-7.4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</si>
  <si>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8.3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</si>
  <si>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8.7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</si>
  <si>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9.2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i</t>
    </r>
    <r>
      <rPr>
        <sz val="11"/>
        <color theme="1" tint="0.499984740745262"/>
        <rFont val="Arial"/>
        <family val="2"/>
      </rPr>
      <t>)</t>
    </r>
  </si>
  <si>
    <r>
      <t>8.5 (pIC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</si>
  <si>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KISS</t>
    </r>
    <r>
      <rPr>
        <vertAlign val="subscript"/>
        <sz val="11"/>
        <color theme="1" tint="0.499984740745262"/>
        <rFont val="Arial"/>
        <family val="2"/>
      </rPr>
      <t>1</t>
    </r>
    <r>
      <rPr>
        <sz val="11"/>
        <color theme="1" tint="0.499984740745262"/>
        <rFont val="Arial"/>
        <family val="2"/>
      </rPr>
      <t>R</t>
    </r>
  </si>
  <si>
    <r>
      <t>OX</t>
    </r>
    <r>
      <rPr>
        <vertAlign val="subscript"/>
        <sz val="11"/>
        <color theme="1" tint="0.499984740745262"/>
        <rFont val="Arial"/>
        <family val="2"/>
      </rPr>
      <t>1</t>
    </r>
  </si>
  <si>
    <r>
      <t>6.5-10.2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</si>
  <si>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OX</t>
    </r>
    <r>
      <rPr>
        <vertAlign val="subscript"/>
        <sz val="11"/>
        <color theme="1" tint="0.499984740745262"/>
        <rFont val="Arial"/>
        <family val="2"/>
      </rPr>
      <t>2</t>
    </r>
  </si>
  <si>
    <r>
      <t>6.5-10.0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</si>
  <si>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PTH</t>
    </r>
    <r>
      <rPr>
        <vertAlign val="subscript"/>
        <sz val="11"/>
        <color theme="1" tint="0.499984740745262"/>
        <rFont val="Arial"/>
        <family val="2"/>
      </rPr>
      <t>1</t>
    </r>
  </si>
  <si>
    <r>
      <t>PTH</t>
    </r>
    <r>
      <rPr>
        <vertAlign val="subscript"/>
        <sz val="11"/>
        <color theme="1" tint="0.499984740745262"/>
        <rFont val="Arial"/>
        <family val="2"/>
      </rPr>
      <t>2</t>
    </r>
  </si>
  <si>
    <r>
      <t>CXCR</t>
    </r>
    <r>
      <rPr>
        <vertAlign val="subscript"/>
        <sz val="11"/>
        <color theme="1" tint="0.499984740745262"/>
        <rFont val="Arial"/>
        <family val="2"/>
      </rPr>
      <t>4</t>
    </r>
  </si>
  <si>
    <r>
      <t>7.7-8.2 (p</t>
    </r>
    <r>
      <rPr>
        <i/>
        <sz val="11"/>
        <color theme="1" tint="0.499984740745262"/>
        <rFont val="Arial"/>
        <family val="2"/>
      </rPr>
      <t>K</t>
    </r>
    <r>
      <rPr>
        <vertAlign val="subscript"/>
        <sz val="11"/>
        <color theme="1" tint="0.499984740745262"/>
        <rFont val="Arial"/>
        <family val="2"/>
      </rPr>
      <t>d</t>
    </r>
    <r>
      <rPr>
        <sz val="11"/>
        <color theme="1" tint="0.499984740745262"/>
        <rFont val="Arial"/>
        <family val="2"/>
      </rPr>
      <t>)</t>
    </r>
  </si>
  <si>
    <r>
      <t>SUCR</t>
    </r>
    <r>
      <rPr>
        <vertAlign val="subscript"/>
        <sz val="11"/>
        <color theme="1" tint="0.499984740745262"/>
        <rFont val="Arial"/>
        <family val="2"/>
      </rPr>
      <t>1</t>
    </r>
    <r>
      <rPr>
        <sz val="11"/>
        <color theme="1" tint="0.499984740745262"/>
        <rFont val="Arial"/>
        <family val="2"/>
      </rPr>
      <t xml:space="preserve"> (GPR91)</t>
    </r>
  </si>
  <si>
    <r>
      <t>3.1-4.7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</si>
  <si>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r>
      <t>P2Y</t>
    </r>
    <r>
      <rPr>
        <vertAlign val="subscript"/>
        <sz val="11"/>
        <color theme="1" tint="0.499984740745262"/>
        <rFont val="Arial"/>
        <family val="2"/>
      </rPr>
      <t>15</t>
    </r>
    <r>
      <rPr>
        <sz val="11"/>
        <color theme="1" tint="0.499984740745262"/>
        <rFont val="Arial"/>
        <family val="2"/>
      </rPr>
      <t xml:space="preserve"> (GPR99)</t>
    </r>
  </si>
  <si>
    <r>
      <t>3.3-4.5 (pEC</t>
    </r>
    <r>
      <rPr>
        <vertAlign val="subscript"/>
        <sz val="11"/>
        <color theme="1" tint="0.499984740745262"/>
        <rFont val="Arial"/>
        <family val="2"/>
      </rPr>
      <t>50</t>
    </r>
    <r>
      <rPr>
        <sz val="11"/>
        <color theme="1" tint="0.499984740745262"/>
        <rFont val="Arial"/>
        <family val="2"/>
      </rPr>
      <t>)</t>
    </r>
  </si>
  <si>
    <t>Ligand
ID
type</t>
  </si>
  <si>
    <t>Ligand
ID</t>
  </si>
  <si>
    <t>5HT7R isoform</t>
  </si>
  <si>
    <t>GABR1/GABR2 dimer</t>
  </si>
  <si>
    <t>Supp
Gs
fam</t>
  </si>
  <si>
    <t>Supp
Gi/o
fam</t>
  </si>
  <si>
    <t>Supp
Gq/11
fam</t>
  </si>
  <si>
    <t>Supp
G12/13
fam</t>
  </si>
  <si>
    <t>#Fam</t>
  </si>
  <si>
    <t>Primary
(1')
fam</t>
  </si>
  <si>
    <t>ogr1</t>
  </si>
  <si>
    <t>H&lt;up&gt;+&lt;/sup&gt;</t>
  </si>
  <si>
    <t>Pyridine-3-carboxylic acid</t>
  </si>
  <si>
    <t>niacin | nicotinate | vitamin B3 | vitamin PP</t>
  </si>
  <si>
    <t>OC(=O)c1cccnc1</t>
  </si>
  <si>
    <t>PVNIIMVLHYAWGP-UHFFFAOYSA-N</t>
  </si>
  <si>
    <t>gpr84</t>
  </si>
  <si>
    <t>Decanoic acid</t>
  </si>
  <si>
    <t>capric acid | decoic acid</t>
  </si>
  <si>
    <t>CCCCCCCCCC(=O)O</t>
  </si>
  <si>
    <t>GHVNFZFCNZKVNT-UHFFFAOYSA-N</t>
  </si>
  <si>
    <t>Hexadecanoic acid</t>
  </si>
  <si>
    <t>C16:0 | cetylic acid | palmitate</t>
  </si>
  <si>
    <t>CCCCCCCCCCCCCCCC(=O)O</t>
  </si>
  <si>
    <t>IPCSVZSSVZVIGE-UHFFFAOYSA-N</t>
  </si>
  <si>
    <t>undecanoate | undecoic acid</t>
  </si>
  <si>
    <t>CCCCCCCCCCC(=O)O</t>
  </si>
  <si>
    <t>ZDPHROOEEOARMN-UHFFFAOYSA-N</t>
  </si>
  <si>
    <t>cml2</t>
  </si>
  <si>
    <t>chemerin receptor 2</t>
  </si>
  <si>
    <t>AZCMZZXDDMAXIT-VJVYQDLKSA-N</t>
  </si>
  <si>
    <t>GKDWRERMBNGKCZ-RNXBIMIWSA-N</t>
  </si>
  <si>
    <t>DKONFPYEAKZHHO-JCVYGFDXSA-N</t>
  </si>
  <si>
    <t>SSBRJDBGIVUNDK-QOGDCIHTSA-N</t>
  </si>
  <si>
    <t>TXSAAXFWNUKYQL-FMGZCOAKSA-N</t>
  </si>
  <si>
    <t>teriparatide</t>
  </si>
  <si>
    <t>OGBMKVWORPGQRR-UMXFMPSGSA-N</t>
  </si>
  <si>
    <t>TFLLR-NH&lt;sub&gt;2&lt;/sub&gt;</t>
  </si>
  <si>
    <t>PEPTIDE1{T.F.L.L.R.[am]}$$$$ | Thr-Phe-Leu-Leu-Arg-amide</t>
  </si>
  <si>
    <t>ANAMCEKSRDPIPX-GFGQVAFXSA-N</t>
  </si>
  <si>
    <t>par2</t>
  </si>
  <si>
    <t>SLIGKV-NH&lt;sub&gt;2&lt;/sub&gt;</t>
  </si>
  <si>
    <t>(2S)-2-[[2-[[(2R)-2-[[(2S)-2-amino-3-(4-hydroxyphenyl)propanoyl]amino]propanoyl]amino]acetyl]-methylamino]-N-(2-hydroxyethyl)-3-phenylpropanamide</t>
  </si>
  <si>
    <t>2-Ala-4-mephe-5-gly-enkephalin | DAGO | glyol</t>
  </si>
  <si>
    <t>HPZJMUBDEAMBFI-WTNAPCKOSA-N</t>
  </si>
  <si>
    <t>QXZBMSIDSOZZHK-DOPDSADYSA-N</t>
  </si>
  <si>
    <t>cortistatin</t>
  </si>
  <si>
    <t>WKYMVm</t>
  </si>
  <si>
    <t>Trp-Lys-Tyr-Met-Val-[D]Met | WKYMVM</t>
  </si>
  <si>
    <t>ABBOTT-43818 | Fensolvi® (leuprolide acetate injectable suspension) | Lupron® | TAP-144</t>
  </si>
  <si>
    <t>GFIJNRVAKGFPGQ-LIJARHBVSA-N</t>
  </si>
  <si>
    <t>Neurotensin(8-13)</t>
  </si>
  <si>
    <t>DQDBCHHEIKQPJD-ODKJCKIQSA-N</t>
  </si>
  <si>
    <t>OC(=O)/C=C\C(=O)O</t>
  </si>
  <si>
    <t>SNC80</t>
  </si>
  <si>
    <t>4-[(R)-[(2S,5R)-2,5-dimethyl-4-prop-2-enylpiperazin-1-yl]-(3-methoxyphenyl)methyl]-N,N-diethylbenzamide</t>
  </si>
  <si>
    <t>C=CCN1C[C@H](C)N(C[C@H]1C)[C@@H](c1cccc(c1)OC)c1ccc(cc1)C(=O)N(CC)CC</t>
  </si>
  <si>
    <t>KQWVAUSXZDRQPZ-UMTXDNHDSA-N</t>
  </si>
  <si>
    <t>(11R)-2-methyl-11-(morpholin-4-ylmethyl)-3-[(naphthalen-1-yl)carbonyl]-9-oxa-1-azatricyclo[6.3.1.0^{4,12}]dodeca-2,4,6,8(12)-tetraene</t>
  </si>
  <si>
    <t>Win 55,212 | Win 55212-2 | Win-55212-2 | WIN55,212-2</t>
  </si>
  <si>
    <t>O=C(c1c(C)n2c3c1cccc3OC[C@H]2CN1CCOCC1)c1cccc2c1cccc2</t>
  </si>
  <si>
    <t>HQVHOQAKMCMIIM-HXUWFJFHSA-N</t>
  </si>
  <si>
    <t>2-{4-[(N-phenylpentanamido)methyl]phenyl}benzoic acid</t>
  </si>
  <si>
    <t>CAY 10583 | CAY-10583 | compound A [PMID:15866883] [1]</t>
  </si>
  <si>
    <t>CCCCC(=O)N(c1ccccc1)Cc1ccc(cc1)c1ccccc1C(=O)O</t>
  </si>
  <si>
    <t>IUJTVDNJFPZYBL-UHFFFAOYSA-N</t>
  </si>
  <si>
    <t>CP55940</t>
  </si>
  <si>
    <t>2-[(1R,2R,5R)-5-hydroxy-2-(3-hydroxypropyl)cyclohexyl]-5-(2-methyloctan-2-yl)phenol</t>
  </si>
  <si>
    <t>CP-55,940 | CP-55940 | CP55,940</t>
  </si>
  <si>
    <t>CCCCCCC(c1ccc(c(c1)O)[C@@H]1C[C@H](O)CC[C@H]1CCCO)(C)C</t>
  </si>
  <si>
    <t>YNZFFALZMRAPHQ-SYYKKAFVSA-N</t>
  </si>
  <si>
    <t>CC(C)C1=NOC(=N1)N2CCC(CC2)COC3=CN=C(C=C3)C4=CC=C(C=C4)S(=O)(=O)C</t>
  </si>
  <si>
    <t>AYJRTVVIBJSSKN-UHFFFAOYSA-N</t>
  </si>
  <si>
    <t>(5E)-5-[(3aS,5R,6aS)-5-hydroxy-4-[(E,3S)-3-hydroxy-4-methyloct-1-en-6-ynyl]-3,3a,4,5,6,6a-hexahydro-1H-pentalen-2-ylidene]pentanoic acid</t>
  </si>
  <si>
    <t>Ventavis</t>
  </si>
  <si>
    <t>CC#CCC([C@@H](/C=C/C1[C@H](O)C[C@H]2[C@@H]1C/C(=C/CCCC(=O)O)/C2)O)C</t>
  </si>
  <si>
    <t>HIFJCPQKFCZDDL-SGSAMSKHSA-N</t>
  </si>
  <si>
    <t>Isoprenaline</t>
  </si>
  <si>
    <t>4-[1-hydroxy-2-(propan-2-ylamino)ethyl]benzene-1,2-diol</t>
  </si>
  <si>
    <t>isoproterenol | Isuprel® | Medihaler-Iso®</t>
  </si>
  <si>
    <t>CC(NCC(c1ccc(c(c1)O)O)O)C</t>
  </si>
  <si>
    <t>JWZZKOKVBUJMES-UHFFFAOYSA-N</t>
  </si>
  <si>
    <t>MDL29951</t>
  </si>
  <si>
    <t>3-(2-carboxyethyl)-4,6-dichloro-1H-indole-2-carboxylic acid</t>
  </si>
  <si>
    <t>C1=C(C=C(C2=C1NC(=C2CCC(=O)O)C(=O)O)Cl)Cl</t>
  </si>
  <si>
    <t>KNBSYZNKEAWABY-UHFFFAOYSA-N</t>
  </si>
  <si>
    <t>ibutamoren</t>
  </si>
  <si>
    <t>2-amino-2-methyl-N-[(2R)-1-(1-methylsulfonylspiro[2H-indole-3,4'-piperidine]-1'-yl)-1-oxo-3-phenylmethoxypropan-2-yl]propanamide</t>
  </si>
  <si>
    <t>ibutamoren mesylate | L-163,191 | MK-0677 | MK677</t>
  </si>
  <si>
    <t>O=C([C@H](NC(=O)C(N)(C)C)COCc1ccccc1)N1CCC2(CC1)CN(c1c2cccc1)S(=O)(=O)C</t>
  </si>
  <si>
    <t>UMUPQWIGCOZEOY-JOCHJYFZSA-N</t>
  </si>
  <si>
    <t>TUG-891</t>
  </si>
  <si>
    <t>3-(4-{[5-fluoro-2-(4-methylphenyl)phenyl]methoxy}phenyl)propanoic acid</t>
  </si>
  <si>
    <t>TUG 891 | TUG891</t>
  </si>
  <si>
    <t>OC(=O)CCc1ccc(cc1)OCc1cc(F)ccc1c1ccc(cc1)C</t>
  </si>
  <si>
    <t>LPGBXHWIQNZEJB-UHFFFAOYSA-N</t>
  </si>
  <si>
    <t>U46619</t>
  </si>
  <si>
    <t>(Z)-7-[(1S,4R,5R,6S)-5-[(E,3S)-3-hydroxyoct-1-enyl]-3-oxabicyclo[2.2.1]heptan-6-yl]hept-5-enoic acid</t>
  </si>
  <si>
    <t>11α,9α-epoxymethano-PGH2 | U 46619 | U-46619</t>
  </si>
  <si>
    <t>CCCCC[C@@H](/C=C/[C@H]1[C@@H]2OC[C@H]([C@@H]1C/C=C\CCCC(=O)O)C2)O</t>
  </si>
  <si>
    <t>LQANGKSBLPMBTJ-BRSNVKEHSA-N</t>
  </si>
  <si>
    <t>5-(2-propoxyphenyl)-2,3-dihydrotriazolo[4,5-e]pyrimidin-7-one</t>
  </si>
  <si>
    <t>M&amp;B-22948</t>
  </si>
  <si>
    <t>CCCOc1ccccc1c1nc(=O)c2c(n1)[nH][nH]n2</t>
  </si>
  <si>
    <t>REZGGXNDEMKIQB-UHFFFAOYSA-N</t>
  </si>
  <si>
    <t>Coupl
/non-
coupl</t>
  </si>
  <si>
    <t>DP</t>
  </si>
  <si>
    <t>EP1</t>
  </si>
  <si>
    <t>EP2</t>
  </si>
  <si>
    <t>EP3</t>
  </si>
  <si>
    <t>EP4</t>
  </si>
  <si>
    <t>Tab</t>
  </si>
  <si>
    <t>Description</t>
  </si>
  <si>
    <t>Bouvier-GEMTA</t>
  </si>
  <si>
    <t>Inoue-NanoBiT-G</t>
  </si>
  <si>
    <t>Inoue-TGFa</t>
  </si>
  <si>
    <t>Roth-TRUPATH</t>
  </si>
  <si>
    <t>Inoue_Cut-off</t>
  </si>
  <si>
    <t>Analysis defining the cut-off used for Inoue-TGFa Gq couplings.</t>
  </si>
  <si>
    <t>As GproteinDb could not yet support multipe receptor isoforms or dimers, these data were not imported.</t>
  </si>
  <si>
    <t>GtoPdb</t>
  </si>
  <si>
    <t>Data imported into GproteinDb. See GproteinDb's documentation or Table 1 in the GproteinDb 2024 article in Nucleic Acids Research.</t>
  </si>
  <si>
    <t>Inoue-TGFa-NotUsed</t>
  </si>
  <si>
    <t>Data not imported into GproteinDb, as chimeric G proteins are excluded.</t>
  </si>
  <si>
    <t>Couplings from the Guide to Pharmacology database. Not imported from this tab, but directly from that database.</t>
  </si>
  <si>
    <t>Gi1</t>
  </si>
  <si>
    <t>G12</t>
  </si>
  <si>
    <t>DOI</t>
  </si>
  <si>
    <t>10.1073/pnas.1905993116</t>
  </si>
  <si>
    <t>Unpublished</t>
  </si>
  <si>
    <t>10.1073/pnas.2003787117</t>
  </si>
  <si>
    <t> angiotensin II</t>
  </si>
  <si>
    <t>amthamine</t>
  </si>
  <si>
    <t>arginine-vasopressin</t>
  </si>
  <si>
    <t>lyso PS 18:1</t>
  </si>
  <si>
    <t>zaprinast</t>
  </si>
  <si>
    <t>serotonin</t>
  </si>
  <si>
    <t>β-D-hydroxybutyric acid</t>
  </si>
  <si>
    <t>nicotinic acid</t>
  </si>
  <si>
    <t>Receptor
(Author)</t>
  </si>
  <si>
    <t>G11</t>
  </si>
  <si>
    <t>Gi2</t>
  </si>
  <si>
    <t>GoB</t>
  </si>
  <si>
    <t>Gz</t>
  </si>
  <si>
    <t>G14</t>
  </si>
  <si>
    <t>β2</t>
  </si>
  <si>
    <t>β2/
GRK2</t>
  </si>
  <si>
    <t>β1/
GRK2</t>
  </si>
  <si>
    <t>GsS</t>
  </si>
  <si>
    <t>Golf</t>
  </si>
  <si>
    <t>Gi3</t>
  </si>
  <si>
    <t>Ggust</t>
  </si>
  <si>
    <t>10.1371/journal.pone.0247743</t>
  </si>
  <si>
    <t>10.1016/j.cell.2019.04.044</t>
  </si>
  <si>
    <t>10.1038/s41589-020-0535-8</t>
  </si>
  <si>
    <t>10.1016/j.celrep.2023.113173</t>
  </si>
  <si>
    <t>10.7554/eLife.74101</t>
  </si>
  <si>
    <t>Gs-fam</t>
  </si>
  <si>
    <t>Gi/o-fam</t>
  </si>
  <si>
    <t>Gq/11-fam</t>
  </si>
  <si>
    <t>G12/13-fam</t>
  </si>
  <si>
    <t>b2AR</t>
  </si>
  <si>
    <t>a2AR</t>
  </si>
  <si>
    <t>A1R</t>
  </si>
  <si>
    <t>M3R</t>
  </si>
  <si>
    <t>M4R</t>
  </si>
  <si>
    <t>ETA</t>
  </si>
  <si>
    <t>ETB</t>
  </si>
  <si>
    <t>TBXA2</t>
  </si>
  <si>
    <t>HCA1</t>
  </si>
  <si>
    <t>HCA2</t>
  </si>
  <si>
    <t>HCA3</t>
  </si>
  <si>
    <t>Physiological</t>
  </si>
  <si>
    <t>Surrogate</t>
  </si>
  <si>
    <t>PGF2a</t>
  </si>
  <si>
    <t>Ligand
(Author)</t>
  </si>
  <si>
    <t>Metadata</t>
  </si>
  <si>
    <t>Metadata for the datasets imported to GproteinDb.</t>
  </si>
  <si>
    <t>Biosensor</t>
  </si>
  <si>
    <t>Parameter</t>
  </si>
  <si>
    <t>Down-
stream
steps</t>
  </si>
  <si>
    <t>GEMTA</t>
  </si>
  <si>
    <t>NanoBiT-G</t>
  </si>
  <si>
    <t>TRUPATH</t>
  </si>
  <si>
    <t>TGF𝛼</t>
  </si>
  <si>
    <t>log(Emax/EC50)</t>
  </si>
  <si>
    <t>Gi1
Emax</t>
  </si>
  <si>
    <t>Gq
Emax</t>
  </si>
  <si>
    <t>G12
Emax</t>
  </si>
  <si>
    <t>G13
Emax</t>
  </si>
  <si>
    <t>Prostaglandin F2-alpha receptor</t>
  </si>
  <si>
    <t>PGF2-1-ethanolamide</t>
  </si>
  <si>
    <t>(5Z)-7-[(1R,2R,3R,5S)-5-hydroxy-2-[(1E,3S)-3-hydroxyoct-1-en-1-yl]-3-methylcyclopentyl]-N-(2-hydroxyethyl)hept-5-enamide</t>
  </si>
  <si>
    <t>prostaglandin F2α ethanolamide | prostamide F2α</t>
  </si>
  <si>
    <t>CCCCCC(C=CC1C(C)CC(C1CC=CCCCC(=O)NCCO)O)O</t>
  </si>
  <si>
    <t>YUKILNRONMAMTM-NKDIASRKSA-N</t>
  </si>
  <si>
    <t>brs3</t>
  </si>
  <si>
    <t>[125I][D-Tyr6,β-Ala11,Phe13,Nle14]bombesin-(6-14)</t>
  </si>
  <si>
    <t>[125I]-[Tyr6,βAla11,Phe13,Nle14] bombasin-6-14 | [125I][D-Tyr6,β-Ala11,Phe13,Nle14]bombesin(6-14)</t>
  </si>
  <si>
    <t>PGH&lt;sub&gt;2&lt;/sub&gt;</t>
  </si>
  <si>
    <t>PGH2</t>
  </si>
  <si>
    <t>(Z)-7-[(1S,2R,3R,4R)-3-[(E,3S)-3-hydroxyoct-1-enyl]-5,6-dioxabicyclo[2.2.1]heptan-2-yl]hept-5-enoic acid</t>
  </si>
  <si>
    <t>prostaglandin H2</t>
  </si>
  <si>
    <t>CCCCCC(C=CC1C2OOC(C1CC=CCCCC(=O)O)C2)O</t>
  </si>
  <si>
    <t>YIBNHAJFJUQSRA-YNNPMVKQSA-N</t>
  </si>
  <si>
    <t>crfr1</t>
  </si>
  <si>
    <t>Corticoliberin</t>
  </si>
  <si>
    <t>CCC(C)C(C(=O)N)NC(=O)C(C(C)CC)NC(=O)C(CCC(=O)O)NC(=O)C(CCSC)NC(=O)C(CC(C)C)NC(=O)C(CCCCN)NC(=O)C(CCCNC(=N)N)NC(=O)C(CC(=O)N)NC(=O)C(CO)NC(=O)C(CC1=CNC=N1)NC(=O)C(C)NC(=O)C(CCC(=O)N)NC(=O)C(CCC(=O)N)NC(=O)C(C)NC(=O)C(CC(C)C)NC(=O)C(CCC(=O)N)NC(=O)C(CCC(=O)O)NC(=O)C(C)NC(=O)C(CCCNC(=N)N)NC(=O)C(C)NC(=O)C(CCSC)NC(=O)C(CCC(=O)O)NC(=O)C(CC(C)C)NC(=O)C(C(C)C)NC(=O)C(CCC(=O)O)NC(=O)C(CCCNC(=N)N)NC(=O)C(CC(C)C)NC(=O)C(CC(C)C)NC(=O)C(CC2=CNC=N2)NC(=O)C(CC3=CC=CC=C3)NC(=O)C(C(C)C)NC(=O)C(CC(C)C)NC(=O)C(CC(=O)O)NC(=O)C(CC(C)C)NC(=O)C(CO)NC(=O)C(C(C)CC)NC(=O)C4CCCN4C(=O)C5CCCN5C(=O)C(CCC(=O)O)NC(=O)C(CCC(=O)O)NC(=O)C(CO)N</t>
  </si>
  <si>
    <t>KLVRDXBAMSPYKH-RKYZNNDCSA-N</t>
  </si>
  <si>
    <t>gpr52</t>
  </si>
  <si>
    <t>Ftbmt</t>
  </si>
  <si>
    <t>CC1=C(C=CC(=C1)N2C(=NC(=N2)CC3=CC(=CC(=C3)F)C(F)(F)F)C)C(=O)N</t>
  </si>
  <si>
    <t>TYXSIXOYTBHZFA-UHFFFAOYSA-N</t>
  </si>
  <si>
    <t>Glucagon-like peptide-I(7-36) amide</t>
  </si>
  <si>
    <t>CCC(C)C(C(=O)NC(C)C(=O)NC(CC1=CNC2=CC=CC=C21)C(=O)NC(CC(C)C)C(=O)NC(C(C)C)C(=O)NC(CCCCN)C(=O)NC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C=N6)N</t>
  </si>
  <si>
    <t>DTHNMHAUYICORS-KTKZVXAJSA-N</t>
  </si>
  <si>
    <t>Glucagon-like peptide 2 (rat)</t>
  </si>
  <si>
    <t>CCC(C)C(C(=O)NC(C(C)O)C(=O)NC(CC(=O)O)C(=O)O)NC(=O)C(CCCCN)NC(=O)C(C(C)O)NC(=O)C(CCC(=O)N)NC(=O)C(C(C)CC)NC(=O)C(CC(C)C)NC(=O)C(CC1=CNC2=CC=CC=C21)NC(=O)C(CC(=O)N)NC(=O)C(C(C)CC)NC(=O)C(CC3=CC=CC=C3)NC(=O)C(CC(=O)O)NC(=O)C(CCCNC(=N)N)NC(=O)C(C(C)O)NC(=O)C(C)NC(=O)C(CC(C)C)NC(=O)C(CC(=O)N)NC(=O)C(CC(=O)O)NC(=O)C(CC(C)C)NC(=O)C(C(C)CC)NC(=O)C(C(C)O)NC(=O)C(CC(=O)N)NC(=O)C(CCSC)NC(=O)C(CCC(=O)O)NC(=O)C(CC(=O)O)NC(=O)C(CO)NC(=O)C(CC4=CC=CC=C4)NC(=O)C(CO)NC(=O)CNC(=O)C(CC(=O)O)NC(=O)C(C)NC(=O)C(CC5=CNC=N5)N</t>
  </si>
  <si>
    <t>JPRUMPQGPCFDGW-CWHSZFSPSA-N</t>
  </si>
  <si>
    <t>Histamine H2 receptor</t>
  </si>
  <si>
    <t>5-(2-aminoethyl)-4-methyl-1,3-thiazol-2-amine</t>
  </si>
  <si>
    <t>NCCc1sc(nc1C)N</t>
  </si>
  <si>
    <t>LHVRFUVVRXGZPV-UHFFFAOYSA-N</t>
  </si>
  <si>
    <t>P2Y purinoceptor 10</t>
  </si>
  <si>
    <t>18:1 Lyso PS</t>
  </si>
  <si>
    <t xml:space="preserve">sodium;2-amino-3-[hydroxy-(2-hydroxy-3-octadec-9-enoyloxypropoxy)phosphoryl]oxypropanoate
</t>
  </si>
  <si>
    <t xml:space="preserve">CCCCCCCCC=CCCCCCCCC(=O)OCC(COP(=O)(O)OCC(C(=O)[O-])N)O.[Na+]
</t>
  </si>
  <si>
    <t xml:space="preserve">ULNYNKJABITZRB-UHFFFAOYSA-M
</t>
  </si>
  <si>
    <t>GPR56</t>
  </si>
  <si>
    <t>GPR64</t>
  </si>
  <si>
    <t>GPR97</t>
  </si>
  <si>
    <t>GPR110</t>
  </si>
  <si>
    <t>GPR111</t>
  </si>
  <si>
    <t>GPR113</t>
  </si>
  <si>
    <t>GPR114</t>
  </si>
  <si>
    <t>GPR115</t>
  </si>
  <si>
    <t>GPR116</t>
  </si>
  <si>
    <t>GPR124</t>
  </si>
  <si>
    <t>GPR125</t>
  </si>
  <si>
    <t>GPR126</t>
  </si>
  <si>
    <t>GPR133</t>
  </si>
  <si>
    <t>GPR144</t>
  </si>
  <si>
    <r>
      <t xml:space="preserve">Receptor
</t>
    </r>
    <r>
      <rPr>
        <sz val="11"/>
        <color theme="1"/>
        <rFont val="Calibri"/>
        <family val="2"/>
        <scheme val="minor"/>
      </rPr>
      <t>(UniProt)</t>
    </r>
  </si>
  <si>
    <t>GsL
Econst</t>
  </si>
  <si>
    <t>Gi1
Econst</t>
  </si>
  <si>
    <t>Gq
Econst</t>
  </si>
  <si>
    <t>G15
Econst</t>
  </si>
  <si>
    <t>G12
Econst</t>
  </si>
  <si>
    <t>G13
Econst</t>
  </si>
  <si>
    <t>GsL
Emax</t>
  </si>
  <si>
    <t>Econstitutive</t>
  </si>
  <si>
    <t>G15
Emax</t>
  </si>
  <si>
    <t>Primary
subtype
Econst</t>
  </si>
  <si>
    <t>MTYFAVLM</t>
  </si>
  <si>
    <t>MTSFGVLL</t>
  </si>
  <si>
    <t>MTFFALL</t>
  </si>
  <si>
    <t>MTSFSILM</t>
  </si>
  <si>
    <t>MTAFSVLM</t>
  </si>
  <si>
    <t>MMSFSILM</t>
  </si>
  <si>
    <t>MGNVAVLM</t>
  </si>
  <si>
    <t>MSNYAVLM</t>
  </si>
  <si>
    <t>MTHFGVLM</t>
  </si>
  <si>
    <t>MTNFAILM</t>
  </si>
  <si>
    <t>MTSFAILL</t>
  </si>
  <si>
    <t>Efficacy</t>
  </si>
  <si>
    <t>RGB-GDP</t>
  </si>
  <si>
    <t>Lambert-RGB-GDP_Efficacy</t>
  </si>
  <si>
    <t>Lambert-RGB-GDP_Econst</t>
  </si>
  <si>
    <t>Lambert-RGB-GDP_wLig</t>
  </si>
  <si>
    <t>Lambert-RGB-GDP_woLig</t>
  </si>
  <si>
    <t>_</t>
  </si>
  <si>
    <r>
      <t>Activation rate (s</t>
    </r>
    <r>
      <rPr>
        <vertAlign val="superscript"/>
        <sz val="12"/>
        <color theme="1"/>
        <rFont val="Calibri (Body)"/>
      </rPr>
      <t>-1</t>
    </r>
    <r>
      <rPr>
        <sz val="12"/>
        <color theme="1"/>
        <rFont val="Calibri"/>
        <family val="2"/>
        <scheme val="minor"/>
      </rPr>
      <t>)</t>
    </r>
  </si>
  <si>
    <t>Marte-
myanov
Gq</t>
  </si>
  <si>
    <t>Act
rate
GsL</t>
  </si>
  <si>
    <t>Act
rate
GoA</t>
  </si>
  <si>
    <t>Act
rate
Gq</t>
  </si>
  <si>
    <t>Act
rate
G15</t>
  </si>
  <si>
    <t>Act
rate
G13</t>
  </si>
  <si>
    <t>Bouvier
Gq</t>
  </si>
  <si>
    <t>Inoue
Gq</t>
  </si>
  <si>
    <t>Inoue
coupling</t>
  </si>
  <si>
    <t>Primary
subtype
Efficacy</t>
  </si>
  <si>
    <r>
      <t xml:space="preserve">Receptor
</t>
    </r>
    <r>
      <rPr>
        <sz val="12"/>
        <color theme="1"/>
        <rFont val="Calibri"/>
        <family val="2"/>
        <scheme val="minor"/>
      </rPr>
      <t>(UniProt)</t>
    </r>
  </si>
  <si>
    <t>Comparison</t>
  </si>
  <si>
    <t>Actually almost "Same" as both Gi1 and G12 have both Econstitutive and Efficacy values of 100 or very close</t>
  </si>
  <si>
    <t>Count</t>
  </si>
  <si>
    <t>Constitutive couplings</t>
  </si>
  <si>
    <t>Constitutive non-couplings</t>
  </si>
  <si>
    <t>Bouvier
Gs
fam</t>
  </si>
  <si>
    <t>Bouvier
Gi/o
fam</t>
  </si>
  <si>
    <t>Bouvier
Gq/11
fam</t>
  </si>
  <si>
    <t>Bouvier
G12/13
fam</t>
  </si>
  <si>
    <t>Bouvier
Primary
subtype</t>
  </si>
  <si>
    <t>Bouvier
Primary
fam</t>
  </si>
  <si>
    <t>Marte-
myanov
Primary
fam</t>
  </si>
  <si>
    <t>Marte
-myanov
Gs
fam</t>
  </si>
  <si>
    <t>Marte
-myanov
Gi/o
fam</t>
  </si>
  <si>
    <t>Marte
-myanov
Gq/11
fam</t>
  </si>
  <si>
    <t>Marte
-myanov
G12/13
fam</t>
  </si>
  <si>
    <t>Marte
-myanov
Primary
subtype</t>
  </si>
  <si>
    <t>GtoPdb
Primary
fam</t>
  </si>
  <si>
    <t>GtoPdb
Gs
fam</t>
  </si>
  <si>
    <t>GtoPdb
Gi/o
fam</t>
  </si>
  <si>
    <t>GtoPdb
Gq/11
fam</t>
  </si>
  <si>
    <t>GtoPdb
G12/13
fam</t>
  </si>
  <si>
    <t>EDNRA-Gq/11</t>
  </si>
  <si>
    <t>GRM5-Gq/11</t>
  </si>
  <si>
    <t>CNR1-Gi/o</t>
  </si>
  <si>
    <t>AA1R-Gi/o</t>
  </si>
  <si>
    <t>MTR1A-Gi/o</t>
  </si>
  <si>
    <t>GRM2-Gi/o</t>
  </si>
  <si>
    <t>APJ-Gi/o</t>
  </si>
  <si>
    <t>MTR1B-Gi/o</t>
  </si>
  <si>
    <t>GRM8-Gi/o</t>
  </si>
  <si>
    <t>5HT1D-Gi/o</t>
  </si>
  <si>
    <t>CXCR4-Gi/o</t>
  </si>
  <si>
    <t>NPY5R-Gi/o</t>
  </si>
  <si>
    <t>GRM4-Gi/o</t>
  </si>
  <si>
    <t>ACM2-Gi/o</t>
  </si>
  <si>
    <t>ACM4-Gi/o</t>
  </si>
  <si>
    <t>5HT1A-Gi/o</t>
  </si>
  <si>
    <t>OPRK-Gi/o</t>
  </si>
  <si>
    <t>5HT1B-Gi/o</t>
  </si>
  <si>
    <t>DRD2-Gi/o</t>
  </si>
  <si>
    <t>GRM6-Gi/o</t>
  </si>
  <si>
    <t>ADA2A-Gi/o</t>
  </si>
  <si>
    <t>OPRX-Gi/o</t>
  </si>
  <si>
    <t>SSR2-Gi/o</t>
  </si>
  <si>
    <t>PE2R3-Gi/o</t>
  </si>
  <si>
    <t>NPFF1-Gi/o</t>
  </si>
  <si>
    <t>OPRD-Gi/o</t>
  </si>
  <si>
    <t>ADA2B-Gi/o</t>
  </si>
  <si>
    <t>OPRM-Gi/o</t>
  </si>
  <si>
    <t>ADA2C-Gi/o</t>
  </si>
  <si>
    <t>NPY1R-Gi/o</t>
  </si>
  <si>
    <t>ACM1-Gq/11</t>
  </si>
  <si>
    <t>V1AR-Gq/11</t>
  </si>
  <si>
    <t>CCKAR-Gq/11</t>
  </si>
  <si>
    <t>BKRB2-Gq/11</t>
  </si>
  <si>
    <t>5HT2A-Gq/11</t>
  </si>
  <si>
    <t>ACM3-Gq/11</t>
  </si>
  <si>
    <t>ADA1A-Gq/11</t>
  </si>
  <si>
    <t>PE2R1-Gq/11</t>
  </si>
  <si>
    <t>HRH1-Gq/11</t>
  </si>
  <si>
    <t>AA3R-Gi/o</t>
  </si>
  <si>
    <t>OX2R-Gq/11</t>
  </si>
  <si>
    <t>OXYR-Gq/11</t>
  </si>
  <si>
    <t>5HT2B-Gq/11</t>
  </si>
  <si>
    <t>AA2BR-Gs</t>
  </si>
  <si>
    <t>5HT2C-Gq/11</t>
  </si>
  <si>
    <t>CRFR1-Gs</t>
  </si>
  <si>
    <t>MC4R-Gs</t>
  </si>
  <si>
    <t>MC3R-Gs</t>
  </si>
  <si>
    <t>DRD5-Gs</t>
  </si>
  <si>
    <t>V2R-Gs</t>
  </si>
  <si>
    <t>ADRB2-Gs</t>
  </si>
  <si>
    <t>CRFR2-Gs</t>
  </si>
  <si>
    <t>ADRB1-Gs</t>
  </si>
  <si>
    <t>HRH2-Gq/11</t>
  </si>
  <si>
    <t>PE2R4-Gs</t>
  </si>
  <si>
    <t>CALCR-Gs</t>
  </si>
  <si>
    <t>DRD1-Gs</t>
  </si>
  <si>
    <t>PTH1R-Gs</t>
  </si>
  <si>
    <t>VIPR1-Gs</t>
  </si>
  <si>
    <t>GLR-Gs</t>
  </si>
  <si>
    <t>GIPR-Gs</t>
  </si>
  <si>
    <t>GLP1R-Gs</t>
  </si>
  <si>
    <t>GLP2R-Gs</t>
  </si>
  <si>
    <t>AA2AR-Gs</t>
  </si>
  <si>
    <t>PE2R2-Gs</t>
  </si>
  <si>
    <t>GPBAR-Gs</t>
  </si>
  <si>
    <t>EDNRA-G12/13</t>
  </si>
  <si>
    <t>CNR1-Gq/11</t>
  </si>
  <si>
    <t>AA1R-Gq/11</t>
  </si>
  <si>
    <t>CCKAR-G12/13</t>
  </si>
  <si>
    <t>AA3R-Gq/11</t>
  </si>
  <si>
    <t>5HT2C-Gi/o</t>
  </si>
  <si>
    <t>CRFR1-G12/13</t>
  </si>
  <si>
    <t>MC4R-Gq/11</t>
  </si>
  <si>
    <t>MC3R-Gq/11</t>
  </si>
  <si>
    <t>HRH2-Gs</t>
  </si>
  <si>
    <t>EDNRA-G12</t>
  </si>
  <si>
    <t>GRM5-G15</t>
  </si>
  <si>
    <t>CNR1-G15</t>
  </si>
  <si>
    <t>AA1R-G15</t>
  </si>
  <si>
    <t>MTR1A-Gi1</t>
  </si>
  <si>
    <t>GRM2-Gi1</t>
  </si>
  <si>
    <t>APJ-Gi1</t>
  </si>
  <si>
    <t>MTR1B-Gi1</t>
  </si>
  <si>
    <t>GRM8-Gi1</t>
  </si>
  <si>
    <t>5HT1D-Gi1</t>
  </si>
  <si>
    <t>CXCR4-Gi2</t>
  </si>
  <si>
    <t>NPY5R-GoA</t>
  </si>
  <si>
    <t>GRM4-GoA</t>
  </si>
  <si>
    <t>ACM2-GoB</t>
  </si>
  <si>
    <t>ACM4-GoB</t>
  </si>
  <si>
    <t>5HT1A-GoB</t>
  </si>
  <si>
    <t>OPRK-GoB</t>
  </si>
  <si>
    <t>5HT1B-GoB</t>
  </si>
  <si>
    <t>DRD2-GoB</t>
  </si>
  <si>
    <t>GRM6-GoB</t>
  </si>
  <si>
    <t>ADA2A-Gz</t>
  </si>
  <si>
    <t>OPRX-Gz</t>
  </si>
  <si>
    <t>SSR2-Gz</t>
  </si>
  <si>
    <t>PE2R3-Gz</t>
  </si>
  <si>
    <t>NPFF1-Gz</t>
  </si>
  <si>
    <t>OPRD-Gz</t>
  </si>
  <si>
    <t>ADA2B-Gz</t>
  </si>
  <si>
    <t>OPRM-Gz</t>
  </si>
  <si>
    <t>ADA2C-Gz</t>
  </si>
  <si>
    <t>NPY1R-Gz</t>
  </si>
  <si>
    <t>ACM1-G11</t>
  </si>
  <si>
    <t>V1AR-G11</t>
  </si>
  <si>
    <t>CCKAR-G12</t>
  </si>
  <si>
    <t>BKRB2-G14</t>
  </si>
  <si>
    <t>5HT2A-G14</t>
  </si>
  <si>
    <t>ACM3-G15</t>
  </si>
  <si>
    <t>ADA1A-G15</t>
  </si>
  <si>
    <t>PE2R1-G15</t>
  </si>
  <si>
    <t>HRH1-G15</t>
  </si>
  <si>
    <t>AA3R-G15</t>
  </si>
  <si>
    <t>OX2R-Gq</t>
  </si>
  <si>
    <t>OXYR-Gq</t>
  </si>
  <si>
    <t>5HT2B-Gq</t>
  </si>
  <si>
    <t>AA2BR-GsL</t>
  </si>
  <si>
    <t>5HT2C-Gz</t>
  </si>
  <si>
    <t>CRFR1-G13</t>
  </si>
  <si>
    <t>MC4R-G15</t>
  </si>
  <si>
    <t>MC3R-G15</t>
  </si>
  <si>
    <t>DRD5-GsL</t>
  </si>
  <si>
    <t>V2R-GsL</t>
  </si>
  <si>
    <t>ADRB2-GsL</t>
  </si>
  <si>
    <t>CRFR2-GsL</t>
  </si>
  <si>
    <t>ADRB1-GsL</t>
  </si>
  <si>
    <t>HRH2-GsL</t>
  </si>
  <si>
    <t>PE2R4-GsL</t>
  </si>
  <si>
    <t>CALCR-GsL</t>
  </si>
  <si>
    <t>DRD1-GsL</t>
  </si>
  <si>
    <t>PTH1R-GsL</t>
  </si>
  <si>
    <t>VIPR1-GsL</t>
  </si>
  <si>
    <t>GLR-GsL</t>
  </si>
  <si>
    <t>GIPR-GsL</t>
  </si>
  <si>
    <t>GLP1R-GsL</t>
  </si>
  <si>
    <t>GLP2R-GsL</t>
  </si>
  <si>
    <t>AA2AR-GsL</t>
  </si>
  <si>
    <t>PE2R2-GsL</t>
  </si>
  <si>
    <t>GPBAR-GsL</t>
  </si>
  <si>
    <t>EDNRA-Gi/o</t>
  </si>
  <si>
    <t>GRM5-Gi/o</t>
  </si>
  <si>
    <t>AA2BR-Gq/11</t>
  </si>
  <si>
    <t>EDNRA-GoA</t>
  </si>
  <si>
    <t>GRM5-GoA</t>
  </si>
  <si>
    <t>CNR1-GoA</t>
  </si>
  <si>
    <t>AA1R-GoA</t>
  </si>
  <si>
    <t>MTR1A-GoA</t>
  </si>
  <si>
    <t>GRM2-GoA</t>
  </si>
  <si>
    <t>APJ-GoA</t>
  </si>
  <si>
    <t>MTR1B-GoA</t>
  </si>
  <si>
    <t>GRM8-GoA</t>
  </si>
  <si>
    <t>5HT1D-GoA</t>
  </si>
  <si>
    <t>CXCR4-GoA</t>
  </si>
  <si>
    <t>ACM2-GoA</t>
  </si>
  <si>
    <t>ACM4-GoA</t>
  </si>
  <si>
    <t>5HT1A-GoA</t>
  </si>
  <si>
    <t>OPRK-GoA</t>
  </si>
  <si>
    <t>5HT1B-GoA</t>
  </si>
  <si>
    <t>DRD2-GoA</t>
  </si>
  <si>
    <t>GRM6-GoA</t>
  </si>
  <si>
    <t>ADA2A-GoA</t>
  </si>
  <si>
    <t>OPRX-GoA</t>
  </si>
  <si>
    <t>SSR2-GoA</t>
  </si>
  <si>
    <t>PE2R3-GoA</t>
  </si>
  <si>
    <t>NPFF1-GoA</t>
  </si>
  <si>
    <t>OPRD-GoA</t>
  </si>
  <si>
    <t>ADA2B-GoA</t>
  </si>
  <si>
    <t>OPRM-GoA</t>
  </si>
  <si>
    <t>ADA2C-GoA</t>
  </si>
  <si>
    <t>NPY1R-GoA</t>
  </si>
  <si>
    <t>ACM1-Gq</t>
  </si>
  <si>
    <t>V1AR-Gq</t>
  </si>
  <si>
    <t>CCKAR-Gq</t>
  </si>
  <si>
    <t>BKRB2-Gq</t>
  </si>
  <si>
    <t>5HT2A-Gq</t>
  </si>
  <si>
    <t>ACM3-Gq</t>
  </si>
  <si>
    <t>ADA1A-Gq</t>
  </si>
  <si>
    <t>PE2R1-Gq</t>
  </si>
  <si>
    <t>HRH1-Gq</t>
  </si>
  <si>
    <t>AA2BR-G15</t>
  </si>
  <si>
    <t>5HT2C-Gq</t>
  </si>
  <si>
    <t>CRFR1-GsL</t>
  </si>
  <si>
    <t>MC4R-GsL</t>
  </si>
  <si>
    <t>MC3R-GsL</t>
  </si>
  <si>
    <t>Fig4a-Gq</t>
  </si>
  <si>
    <t>Fig4b-Econst</t>
  </si>
  <si>
    <t>Fig4c_CouplComp</t>
  </si>
  <si>
    <t>Constitutive vs. agonist-induced coupling agreement on primary transducer (Lambert RGB-GDP dataset). Used for Fig. 4 in the GproteinDb 2024 article in Nucleic Acids Research.</t>
  </si>
  <si>
    <t>Primary transducer agreement across the GtoPdb, Bouvier GEMTA and Martemyanov FREEBG-Nluc datasets. Used for Fig. 4 in the GproteinDb 2024 article in Nucleic Acids Research.</t>
  </si>
  <si>
    <t>Intersection of Gq couplings from the Bouvier GEMTA, Inoue TGFa and Martemyanov FREEBG datasets. Used for Fig. 4 in the GproteinDb 2024 article in Nucleic Acids Research.</t>
  </si>
  <si>
    <t>Receptors
w. Efficacy
data</t>
  </si>
  <si>
    <t>Martemyanov-FreeGby-Nluc</t>
  </si>
  <si>
    <t>Martemyanov-FreeGby-NotUsed</t>
  </si>
  <si>
    <t>Gβγ</t>
  </si>
  <si>
    <t>Martemyanov-FreeGβγ-Nluc</t>
  </si>
  <si>
    <t>FreeGβγ-Nluc</t>
  </si>
  <si>
    <t>n</t>
  </si>
  <si>
    <t>Emax
SEM
Gi1</t>
  </si>
  <si>
    <t>Emax
SEM
Gi2</t>
  </si>
  <si>
    <t>Emax
SEM
Gi3</t>
  </si>
  <si>
    <t>Emax
SEM
Gq</t>
  </si>
  <si>
    <t>Emax
SEM
G12</t>
  </si>
  <si>
    <t>Emax
SEM
G13</t>
  </si>
  <si>
    <t>pEC50
SEM
Gi1</t>
  </si>
  <si>
    <t>pEC50
SEM
Gi2</t>
  </si>
  <si>
    <t>pEC50
SEM
Gi3</t>
  </si>
  <si>
    <t>pEC50
SEM
Gq</t>
  </si>
  <si>
    <t>pEC50
SEM
G12</t>
  </si>
  <si>
    <t>pEC50
SEM
G13</t>
  </si>
  <si>
    <t>Emax
SEM
GsS</t>
  </si>
  <si>
    <t>pEC50
SEM
GsS</t>
  </si>
  <si>
    <t>Emax
SEM
GoA</t>
  </si>
  <si>
    <t>pEC50
SEM
GoA</t>
  </si>
  <si>
    <t>Only the Bouvier-GEMTA data set has arrestin data (columns: β1/GRK, β1, β2/GRK)</t>
  </si>
  <si>
    <t>MGLYR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</si>
</sst>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_);[Red]\(0.000\)"/>
    <numFmt numFmtId="168" formatCode="0.00_);[Red]\(0.00\)"/>
  </numFmts>
  <fonts count="6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  <charset val="12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  <charset val="128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</font>
    <font>
      <sz val="12"/>
      <color rgb="FF9C0006"/>
      <name val="Calibri"/>
      <family val="2"/>
      <scheme val="minor"/>
    </font>
    <font>
      <sz val="12"/>
      <color theme="1"/>
      <name val="Calibri (Body)"/>
    </font>
    <font>
      <sz val="12"/>
      <name val="Calibri (Body)"/>
    </font>
    <font>
      <sz val="12"/>
      <color rgb="FF9C0006"/>
      <name val="Calibri (Body)"/>
    </font>
    <font>
      <sz val="12"/>
      <color rgb="FFFF0000"/>
      <name val="Calibri (Body)"/>
    </font>
    <font>
      <sz val="12"/>
      <color rgb="FFC00000"/>
      <name val="Calibri (Body)"/>
    </font>
    <font>
      <b/>
      <sz val="12"/>
      <color theme="1"/>
      <name val="Calibri (Body)"/>
    </font>
    <font>
      <sz val="12"/>
      <color rgb="FF000000"/>
      <name val="Calibri"/>
      <family val="2"/>
    </font>
    <font>
      <sz val="11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2"/>
      <color theme="1" tint="0.499984740745262"/>
      <name val="Calibri"/>
      <family val="2"/>
      <scheme val="minor"/>
    </font>
    <font>
      <b/>
      <sz val="12"/>
      <color theme="1" tint="0.499984740745262"/>
      <name val="Calibri (Body)"/>
    </font>
    <font>
      <sz val="12"/>
      <color theme="1" tint="0.499984740745262"/>
      <name val="Calibri (Body)"/>
    </font>
    <font>
      <b/>
      <sz val="11"/>
      <color theme="1" tint="0.499984740745262"/>
      <name val="Arial"/>
      <family val="2"/>
    </font>
    <font>
      <sz val="11"/>
      <color theme="1"/>
      <name val="Calibri (Body)"/>
    </font>
    <font>
      <vertAlign val="subscript"/>
      <sz val="11"/>
      <color theme="1"/>
      <name val="Calibri (Body)"/>
    </font>
    <font>
      <b/>
      <sz val="11"/>
      <color theme="1"/>
      <name val="Calibri (Body)"/>
    </font>
    <font>
      <b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  <font>
      <sz val="12"/>
      <color theme="1" tint="0.499984740745262"/>
      <name val="Calibri"/>
      <family val="2"/>
    </font>
    <font>
      <sz val="12"/>
      <color theme="1" tint="0.499984740745262"/>
      <name val="Calibri"/>
      <family val="2"/>
      <scheme val="minor"/>
    </font>
    <font>
      <strike/>
      <sz val="12"/>
      <color theme="1" tint="0.499984740745262"/>
      <name val="Calibri (Body)"/>
    </font>
    <font>
      <b/>
      <sz val="11"/>
      <color theme="1" tint="0.499984740745262"/>
      <name val="Symbol"/>
      <family val="1"/>
      <charset val="2"/>
    </font>
    <font>
      <vertAlign val="subscript"/>
      <sz val="11"/>
      <color theme="1" tint="0.499984740745262"/>
      <name val="Arial"/>
      <family val="2"/>
    </font>
    <font>
      <i/>
      <sz val="11"/>
      <color theme="1" tint="0.499984740745262"/>
      <name val="Arial"/>
      <family val="2"/>
    </font>
    <font>
      <vertAlign val="superscript"/>
      <sz val="11"/>
      <color theme="1" tint="0.499984740745262"/>
      <name val="Arial"/>
      <family val="2"/>
    </font>
    <font>
      <sz val="11"/>
      <color theme="1" tint="0.499984740745262"/>
      <name val="Arial"/>
      <family val="1"/>
      <charset val="2"/>
    </font>
    <font>
      <sz val="11"/>
      <color theme="1" tint="0.499984740745262"/>
      <name val="Symbol"/>
      <family val="1"/>
      <charset val="2"/>
    </font>
    <font>
      <sz val="12"/>
      <color theme="0"/>
      <name val="Calibri"/>
      <family val="2"/>
      <scheme val="minor"/>
    </font>
    <font>
      <b/>
      <sz val="10"/>
      <color theme="1"/>
      <name val="ArialMT"/>
    </font>
    <font>
      <b/>
      <sz val="10"/>
      <color theme="1" tint="0.499984740745262"/>
      <name val="ArialMT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1" tint="0.499984740745262"/>
      <name val="Arial"/>
      <family val="2"/>
      <charset val="2"/>
    </font>
    <font>
      <b/>
      <sz val="12"/>
      <color theme="1" tint="0.499984740745262"/>
      <name val="Arial"/>
      <family val="2"/>
    </font>
    <font>
      <sz val="12"/>
      <color theme="1" tint="0.499984740745262"/>
      <name val="Arial"/>
      <family val="2"/>
    </font>
    <font>
      <sz val="1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vertAlign val="superscript"/>
      <sz val="12"/>
      <color theme="1"/>
      <name val="Calibri (Body)"/>
    </font>
    <font>
      <b/>
      <sz val="12"/>
      <color rgb="FF00B0F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color theme="1"/>
      <name val="ArialMT"/>
    </font>
    <font>
      <sz val="10"/>
      <color theme="1" tint="0.499984740745262"/>
      <name val="ArialMT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5" fillId="0" borderId="0"/>
    <xf numFmtId="0" fontId="2" fillId="0" borderId="0"/>
    <xf numFmtId="0" fontId="4" fillId="0" borderId="0"/>
    <xf numFmtId="0" fontId="11" fillId="0" borderId="0"/>
    <xf numFmtId="0" fontId="5" fillId="0" borderId="0"/>
    <xf numFmtId="0" fontId="15" fillId="3" borderId="0" applyNumberFormat="0" applyBorder="0" applyAlignment="0" applyProtection="0"/>
    <xf numFmtId="0" fontId="8" fillId="0" borderId="0"/>
    <xf numFmtId="0" fontId="2" fillId="0" borderId="0"/>
  </cellStyleXfs>
  <cellXfs count="375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0" fillId="0" borderId="0" xfId="0" quotePrefix="1"/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4" xfId="5" applyFont="1" applyBorder="1"/>
    <xf numFmtId="0" fontId="13" fillId="0" borderId="0" xfId="6" applyFont="1" applyAlignment="1">
      <alignment horizontal="center"/>
    </xf>
    <xf numFmtId="164" fontId="13" fillId="0" borderId="2" xfId="5" applyNumberFormat="1" applyFont="1" applyBorder="1"/>
    <xf numFmtId="164" fontId="13" fillId="0" borderId="0" xfId="5" applyNumberFormat="1" applyFont="1"/>
    <xf numFmtId="1" fontId="13" fillId="0" borderId="2" xfId="5" applyNumberFormat="1" applyFont="1" applyBorder="1"/>
    <xf numFmtId="1" fontId="13" fillId="0" borderId="0" xfId="5" applyNumberFormat="1" applyFont="1"/>
    <xf numFmtId="0" fontId="13" fillId="0" borderId="0" xfId="5" applyFont="1"/>
    <xf numFmtId="1" fontId="0" fillId="0" borderId="0" xfId="0" applyNumberFormat="1"/>
    <xf numFmtId="1" fontId="0" fillId="0" borderId="2" xfId="0" applyNumberFormat="1" applyBorder="1"/>
    <xf numFmtId="164" fontId="0" fillId="0" borderId="0" xfId="0" applyNumberFormat="1"/>
    <xf numFmtId="164" fontId="0" fillId="0" borderId="2" xfId="0" applyNumberFormat="1" applyBorder="1"/>
    <xf numFmtId="0" fontId="16" fillId="0" borderId="0" xfId="2" applyFont="1" applyAlignment="1">
      <alignment horizontal="right"/>
    </xf>
    <xf numFmtId="0" fontId="16" fillId="0" borderId="2" xfId="2" applyFont="1" applyBorder="1" applyAlignment="1">
      <alignment horizontal="right"/>
    </xf>
    <xf numFmtId="1" fontId="16" fillId="0" borderId="0" xfId="2" applyNumberFormat="1" applyFont="1" applyAlignment="1">
      <alignment horizontal="right"/>
    </xf>
    <xf numFmtId="1" fontId="16" fillId="0" borderId="2" xfId="2" applyNumberFormat="1" applyFont="1" applyBorder="1" applyAlignment="1">
      <alignment horizontal="right"/>
    </xf>
    <xf numFmtId="0" fontId="16" fillId="0" borderId="0" xfId="2" applyFont="1" applyAlignment="1">
      <alignment horizontal="center"/>
    </xf>
    <xf numFmtId="0" fontId="16" fillId="0" borderId="0" xfId="2" applyFont="1" applyAlignment="1">
      <alignment horizontal="right" vertical="center"/>
    </xf>
    <xf numFmtId="164" fontId="17" fillId="0" borderId="0" xfId="2" applyNumberFormat="1" applyFont="1" applyAlignment="1">
      <alignment horizontal="right" vertical="center"/>
    </xf>
    <xf numFmtId="164" fontId="17" fillId="0" borderId="2" xfId="2" applyNumberFormat="1" applyFont="1" applyBorder="1" applyAlignment="1">
      <alignment horizontal="right" vertical="center"/>
    </xf>
    <xf numFmtId="1" fontId="16" fillId="0" borderId="0" xfId="2" applyNumberFormat="1" applyFont="1" applyAlignment="1">
      <alignment horizontal="right" vertical="center"/>
    </xf>
    <xf numFmtId="1" fontId="16" fillId="0" borderId="2" xfId="2" applyNumberFormat="1" applyFont="1" applyBorder="1" applyAlignment="1">
      <alignment horizontal="right" vertical="center"/>
    </xf>
    <xf numFmtId="0" fontId="16" fillId="0" borderId="0" xfId="2" applyFont="1" applyAlignment="1">
      <alignment horizontal="center" vertical="center"/>
    </xf>
    <xf numFmtId="164" fontId="17" fillId="4" borderId="0" xfId="2" applyNumberFormat="1" applyFont="1" applyFill="1" applyAlignment="1">
      <alignment horizontal="right" vertical="center"/>
    </xf>
    <xf numFmtId="164" fontId="18" fillId="3" borderId="0" xfId="7" applyNumberFormat="1" applyFont="1" applyAlignment="1">
      <alignment horizontal="right" vertical="center"/>
    </xf>
    <xf numFmtId="164" fontId="17" fillId="4" borderId="2" xfId="2" applyNumberFormat="1" applyFont="1" applyFill="1" applyBorder="1" applyAlignment="1">
      <alignment horizontal="right" vertical="center"/>
    </xf>
    <xf numFmtId="164" fontId="19" fillId="2" borderId="0" xfId="2" applyNumberFormat="1" applyFont="1" applyFill="1" applyAlignment="1">
      <alignment horizontal="right" vertical="center"/>
    </xf>
    <xf numFmtId="164" fontId="18" fillId="3" borderId="0" xfId="7" applyNumberFormat="1" applyFont="1" applyBorder="1" applyAlignment="1">
      <alignment horizontal="right" vertical="center"/>
    </xf>
    <xf numFmtId="164" fontId="20" fillId="5" borderId="0" xfId="2" applyNumberFormat="1" applyFont="1" applyFill="1" applyAlignment="1">
      <alignment horizontal="right" vertical="center"/>
    </xf>
    <xf numFmtId="164" fontId="20" fillId="0" borderId="0" xfId="2" applyNumberFormat="1" applyFont="1" applyAlignment="1">
      <alignment horizontal="right" vertical="center"/>
    </xf>
    <xf numFmtId="164" fontId="20" fillId="2" borderId="0" xfId="2" applyNumberFormat="1" applyFont="1" applyFill="1" applyAlignment="1">
      <alignment horizontal="right" vertical="center"/>
    </xf>
    <xf numFmtId="0" fontId="13" fillId="0" borderId="0" xfId="2" applyFont="1"/>
    <xf numFmtId="164" fontId="22" fillId="0" borderId="2" xfId="2" applyNumberFormat="1" applyFont="1" applyBorder="1" applyAlignment="1">
      <alignment horizontal="right" vertical="center"/>
    </xf>
    <xf numFmtId="164" fontId="22" fillId="0" borderId="0" xfId="2" applyNumberFormat="1" applyFont="1" applyAlignment="1">
      <alignment horizontal="right" vertical="center"/>
    </xf>
    <xf numFmtId="1" fontId="22" fillId="0" borderId="0" xfId="2" applyNumberFormat="1" applyFont="1" applyAlignment="1">
      <alignment horizontal="right" vertical="center"/>
    </xf>
    <xf numFmtId="1" fontId="22" fillId="0" borderId="2" xfId="2" applyNumberFormat="1" applyFont="1" applyBorder="1" applyAlignment="1">
      <alignment horizontal="right" vertical="center"/>
    </xf>
    <xf numFmtId="1" fontId="22" fillId="0" borderId="0" xfId="2" applyNumberFormat="1" applyFont="1" applyAlignment="1">
      <alignment horizontal="right" vertical="center" wrapText="1"/>
    </xf>
    <xf numFmtId="1" fontId="22" fillId="0" borderId="2" xfId="2" applyNumberFormat="1" applyFont="1" applyBorder="1" applyAlignment="1">
      <alignment horizontal="right" vertical="center" wrapText="1"/>
    </xf>
    <xf numFmtId="0" fontId="8" fillId="0" borderId="0" xfId="8" applyAlignment="1">
      <alignment vertical="center"/>
    </xf>
    <xf numFmtId="0" fontId="23" fillId="0" borderId="0" xfId="8" applyFont="1" applyAlignment="1">
      <alignment horizontal="center" vertical="center"/>
    </xf>
    <xf numFmtId="0" fontId="8" fillId="0" borderId="0" xfId="8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0" xfId="8" applyFont="1" applyAlignment="1">
      <alignment horizontal="center" vertical="center"/>
    </xf>
    <xf numFmtId="0" fontId="5" fillId="0" borderId="0" xfId="2"/>
    <xf numFmtId="0" fontId="5" fillId="0" borderId="2" xfId="2" applyBorder="1"/>
    <xf numFmtId="0" fontId="5" fillId="0" borderId="0" xfId="2" applyAlignment="1">
      <alignment horizontal="center"/>
    </xf>
    <xf numFmtId="0" fontId="5" fillId="0" borderId="2" xfId="2" applyBorder="1" applyAlignment="1">
      <alignment horizontal="center"/>
    </xf>
    <xf numFmtId="1" fontId="5" fillId="0" borderId="0" xfId="2" applyNumberFormat="1"/>
    <xf numFmtId="20" fontId="5" fillId="0" borderId="0" xfId="2" applyNumberFormat="1"/>
    <xf numFmtId="1" fontId="25" fillId="0" borderId="0" xfId="2" applyNumberFormat="1" applyFont="1" applyAlignment="1">
      <alignment horizontal="right" vertical="center"/>
    </xf>
    <xf numFmtId="1" fontId="26" fillId="0" borderId="0" xfId="2" applyNumberFormat="1" applyFont="1"/>
    <xf numFmtId="0" fontId="6" fillId="0" borderId="0" xfId="2" applyFont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1" fontId="27" fillId="0" borderId="0" xfId="2" applyNumberFormat="1" applyFont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164" fontId="30" fillId="0" borderId="2" xfId="2" applyNumberFormat="1" applyFont="1" applyBorder="1" applyAlignment="1">
      <alignment horizontal="right" vertical="center"/>
    </xf>
    <xf numFmtId="164" fontId="30" fillId="0" borderId="0" xfId="2" applyNumberFormat="1" applyFont="1" applyAlignment="1">
      <alignment horizontal="right" vertical="center"/>
    </xf>
    <xf numFmtId="0" fontId="30" fillId="0" borderId="2" xfId="2" applyFont="1" applyBorder="1" applyAlignment="1">
      <alignment horizontal="right"/>
    </xf>
    <xf numFmtId="0" fontId="30" fillId="0" borderId="0" xfId="2" applyFont="1" applyAlignment="1">
      <alignment horizontal="right"/>
    </xf>
    <xf numFmtId="164" fontId="30" fillId="0" borderId="2" xfId="2" applyNumberFormat="1" applyFont="1" applyBorder="1" applyAlignment="1">
      <alignment horizontal="right"/>
    </xf>
    <xf numFmtId="164" fontId="30" fillId="0" borderId="0" xfId="2" applyNumberFormat="1" applyFont="1" applyAlignment="1">
      <alignment horizontal="right"/>
    </xf>
    <xf numFmtId="165" fontId="8" fillId="0" borderId="2" xfId="8" applyNumberFormat="1" applyBorder="1" applyAlignment="1">
      <alignment horizontal="right" vertical="center"/>
    </xf>
    <xf numFmtId="0" fontId="24" fillId="0" borderId="2" xfId="8" applyFont="1" applyBorder="1" applyAlignment="1">
      <alignment horizontal="center" vertical="center"/>
    </xf>
    <xf numFmtId="0" fontId="24" fillId="0" borderId="2" xfId="8" applyFont="1" applyBorder="1" applyAlignment="1">
      <alignment vertical="center"/>
    </xf>
    <xf numFmtId="0" fontId="7" fillId="0" borderId="0" xfId="8" applyFont="1" applyAlignment="1">
      <alignment horizontal="center" vertical="center"/>
    </xf>
    <xf numFmtId="165" fontId="7" fillId="0" borderId="2" xfId="8" applyNumberFormat="1" applyFont="1" applyBorder="1" applyAlignment="1">
      <alignment horizontal="center" vertical="center" wrapText="1"/>
    </xf>
    <xf numFmtId="0" fontId="31" fillId="0" borderId="2" xfId="8" applyFont="1" applyBorder="1" applyAlignment="1">
      <alignment horizontal="center" vertical="center"/>
    </xf>
    <xf numFmtId="0" fontId="31" fillId="0" borderId="0" xfId="8" applyFont="1" applyAlignment="1">
      <alignment horizontal="center" vertical="center" wrapText="1"/>
    </xf>
    <xf numFmtId="0" fontId="31" fillId="0" borderId="0" xfId="8" applyFont="1" applyAlignment="1">
      <alignment horizontal="center" vertical="center"/>
    </xf>
    <xf numFmtId="0" fontId="31" fillId="0" borderId="2" xfId="8" applyFont="1" applyBorder="1" applyAlignment="1">
      <alignment horizontal="center" vertical="center" wrapText="1"/>
    </xf>
    <xf numFmtId="0" fontId="32" fillId="0" borderId="0" xfId="2" applyFont="1" applyAlignment="1">
      <alignment horizontal="center"/>
    </xf>
    <xf numFmtId="0" fontId="32" fillId="0" borderId="0" xfId="1" applyFont="1" applyAlignment="1">
      <alignment horizontal="center"/>
    </xf>
    <xf numFmtId="0" fontId="32" fillId="0" borderId="0" xfId="9" applyFont="1" applyAlignment="1">
      <alignment horizontal="center"/>
    </xf>
    <xf numFmtId="1" fontId="35" fillId="0" borderId="2" xfId="8" applyNumberFormat="1" applyFont="1" applyBorder="1" applyAlignment="1">
      <alignment horizontal="center" vertical="center" wrapText="1"/>
    </xf>
    <xf numFmtId="1" fontId="35" fillId="0" borderId="0" xfId="8" applyNumberFormat="1" applyFont="1" applyAlignment="1">
      <alignment horizontal="center" vertical="center" wrapText="1"/>
    </xf>
    <xf numFmtId="1" fontId="36" fillId="0" borderId="2" xfId="8" applyNumberFormat="1" applyFont="1" applyBorder="1" applyAlignment="1">
      <alignment horizontal="right" vertical="center"/>
    </xf>
    <xf numFmtId="1" fontId="36" fillId="0" borderId="0" xfId="8" applyNumberFormat="1" applyFont="1" applyAlignment="1">
      <alignment horizontal="right" vertical="center"/>
    </xf>
    <xf numFmtId="0" fontId="8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8" applyNumberFormat="1" applyAlignment="1">
      <alignment horizontal="right" vertical="center"/>
    </xf>
    <xf numFmtId="164" fontId="7" fillId="0" borderId="0" xfId="8" applyNumberFormat="1" applyFont="1" applyAlignment="1">
      <alignment horizontal="center" vertical="center" wrapText="1"/>
    </xf>
    <xf numFmtId="164" fontId="8" fillId="0" borderId="0" xfId="8" applyNumberFormat="1" applyAlignment="1">
      <alignment horizontal="right" vertical="center"/>
    </xf>
    <xf numFmtId="164" fontId="7" fillId="0" borderId="2" xfId="8" applyNumberFormat="1" applyFont="1" applyBorder="1" applyAlignment="1">
      <alignment horizontal="center" vertical="center" wrapText="1"/>
    </xf>
    <xf numFmtId="164" fontId="8" fillId="0" borderId="2" xfId="8" applyNumberFormat="1" applyBorder="1" applyAlignment="1">
      <alignment horizontal="right" vertical="center"/>
    </xf>
    <xf numFmtId="1" fontId="8" fillId="0" borderId="2" xfId="8" applyNumberFormat="1" applyBorder="1" applyAlignment="1">
      <alignment horizontal="right" vertical="center"/>
    </xf>
    <xf numFmtId="1" fontId="8" fillId="0" borderId="0" xfId="8" applyNumberFormat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164" fontId="37" fillId="0" borderId="2" xfId="5" applyNumberFormat="1" applyFont="1" applyBorder="1"/>
    <xf numFmtId="164" fontId="37" fillId="0" borderId="0" xfId="5" applyNumberFormat="1" applyFont="1"/>
    <xf numFmtId="164" fontId="8" fillId="0" borderId="2" xfId="8" applyNumberFormat="1" applyBorder="1" applyAlignment="1">
      <alignment horizontal="right" vertical="center" wrapText="1"/>
    </xf>
    <xf numFmtId="164" fontId="8" fillId="0" borderId="0" xfId="8" applyNumberFormat="1" applyAlignment="1">
      <alignment horizontal="right" vertical="center" wrapText="1"/>
    </xf>
    <xf numFmtId="165" fontId="8" fillId="0" borderId="0" xfId="8" applyNumberFormat="1" applyAlignment="1">
      <alignment horizontal="center" vertical="center"/>
    </xf>
    <xf numFmtId="0" fontId="21" fillId="0" borderId="5" xfId="5" applyFont="1" applyBorder="1" applyAlignment="1">
      <alignment horizontal="center" vertical="center"/>
    </xf>
    <xf numFmtId="0" fontId="21" fillId="0" borderId="1" xfId="5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4" fontId="21" fillId="0" borderId="3" xfId="0" applyNumberFormat="1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" fontId="21" fillId="0" borderId="3" xfId="5" applyNumberFormat="1" applyFont="1" applyBorder="1" applyAlignment="1">
      <alignment horizontal="center" vertical="center" wrapText="1"/>
    </xf>
    <xf numFmtId="1" fontId="21" fillId="0" borderId="1" xfId="5" applyNumberFormat="1" applyFont="1" applyBorder="1" applyAlignment="1">
      <alignment horizontal="center" vertical="center" wrapText="1"/>
    </xf>
    <xf numFmtId="164" fontId="29" fillId="0" borderId="3" xfId="5" applyNumberFormat="1" applyFont="1" applyBorder="1" applyAlignment="1">
      <alignment horizontal="center" vertical="center" wrapText="1"/>
    </xf>
    <xf numFmtId="164" fontId="29" fillId="0" borderId="1" xfId="5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4" fillId="0" borderId="0" xfId="2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9" fillId="0" borderId="2" xfId="2" applyFont="1" applyBorder="1" applyAlignment="1">
      <alignment horizontal="center" vertical="center" wrapText="1"/>
    </xf>
    <xf numFmtId="0" fontId="29" fillId="0" borderId="0" xfId="2" applyFont="1" applyAlignment="1">
      <alignment horizontal="center" vertical="center" wrapText="1"/>
    </xf>
    <xf numFmtId="164" fontId="28" fillId="0" borderId="3" xfId="0" applyNumberFormat="1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164" fontId="28" fillId="0" borderId="0" xfId="0" applyNumberFormat="1" applyFont="1" applyAlignment="1">
      <alignment horizontal="center" vertical="center" wrapText="1"/>
    </xf>
    <xf numFmtId="1" fontId="30" fillId="4" borderId="2" xfId="2" applyNumberFormat="1" applyFont="1" applyFill="1" applyBorder="1" applyAlignment="1">
      <alignment horizontal="right" vertical="center"/>
    </xf>
    <xf numFmtId="1" fontId="30" fillId="4" borderId="0" xfId="2" applyNumberFormat="1" applyFont="1" applyFill="1" applyAlignment="1">
      <alignment horizontal="right" vertical="center"/>
    </xf>
    <xf numFmtId="1" fontId="30" fillId="0" borderId="2" xfId="2" applyNumberFormat="1" applyFont="1" applyBorder="1" applyAlignment="1">
      <alignment horizontal="right" vertical="center"/>
    </xf>
    <xf numFmtId="1" fontId="30" fillId="0" borderId="0" xfId="2" applyNumberFormat="1" applyFont="1" applyAlignment="1">
      <alignment horizontal="right" vertical="center"/>
    </xf>
    <xf numFmtId="165" fontId="31" fillId="0" borderId="2" xfId="8" applyNumberFormat="1" applyFont="1" applyBorder="1" applyAlignment="1">
      <alignment horizontal="center" vertical="center" wrapText="1"/>
    </xf>
    <xf numFmtId="165" fontId="31" fillId="0" borderId="0" xfId="8" applyNumberFormat="1" applyFont="1" applyAlignment="1">
      <alignment horizontal="center" vertical="center" wrapText="1"/>
    </xf>
    <xf numFmtId="1" fontId="31" fillId="0" borderId="2" xfId="8" applyNumberFormat="1" applyFont="1" applyBorder="1" applyAlignment="1">
      <alignment horizontal="center" vertical="center" wrapText="1"/>
    </xf>
    <xf numFmtId="1" fontId="31" fillId="0" borderId="0" xfId="8" applyNumberFormat="1" applyFont="1" applyAlignment="1">
      <alignment horizontal="center" vertical="center" wrapText="1"/>
    </xf>
    <xf numFmtId="165" fontId="24" fillId="0" borderId="2" xfId="8" applyNumberFormat="1" applyFont="1" applyBorder="1" applyAlignment="1">
      <alignment horizontal="right" vertical="center"/>
    </xf>
    <xf numFmtId="165" fontId="24" fillId="0" borderId="0" xfId="8" applyNumberFormat="1" applyFont="1" applyAlignment="1">
      <alignment horizontal="right" vertical="center"/>
    </xf>
    <xf numFmtId="165" fontId="24" fillId="4" borderId="2" xfId="8" applyNumberFormat="1" applyFont="1" applyFill="1" applyBorder="1" applyAlignment="1">
      <alignment horizontal="right" vertical="center"/>
    </xf>
    <xf numFmtId="165" fontId="24" fillId="4" borderId="0" xfId="8" applyNumberFormat="1" applyFont="1" applyFill="1" applyAlignment="1">
      <alignment horizontal="right" vertical="center"/>
    </xf>
    <xf numFmtId="1" fontId="24" fillId="0" borderId="2" xfId="8" applyNumberFormat="1" applyFont="1" applyBorder="1" applyAlignment="1">
      <alignment horizontal="right" vertical="center"/>
    </xf>
    <xf numFmtId="1" fontId="24" fillId="0" borderId="0" xfId="8" applyNumberFormat="1" applyFont="1" applyAlignment="1">
      <alignment horizontal="right" vertical="center"/>
    </xf>
    <xf numFmtId="164" fontId="1" fillId="2" borderId="7" xfId="0" applyNumberFormat="1" applyFon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1" fontId="1" fillId="7" borderId="1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7" fillId="2" borderId="2" xfId="8" applyNumberFormat="1" applyFont="1" applyFill="1" applyBorder="1" applyAlignment="1">
      <alignment horizontal="center" vertical="center" wrapText="1"/>
    </xf>
    <xf numFmtId="165" fontId="7" fillId="2" borderId="0" xfId="8" applyNumberFormat="1" applyFont="1" applyFill="1" applyAlignment="1">
      <alignment horizontal="center" vertical="center" wrapText="1"/>
    </xf>
    <xf numFmtId="1" fontId="7" fillId="2" borderId="2" xfId="8" applyNumberFormat="1" applyFont="1" applyFill="1" applyBorder="1" applyAlignment="1">
      <alignment horizontal="center" vertical="center" wrapText="1"/>
    </xf>
    <xf numFmtId="1" fontId="7" fillId="2" borderId="0" xfId="8" applyNumberFormat="1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1" fillId="6" borderId="7" xfId="0" applyNumberFormat="1" applyFont="1" applyFill="1" applyBorder="1" applyAlignment="1">
      <alignment horizontal="center" vertical="center" wrapText="1"/>
    </xf>
    <xf numFmtId="164" fontId="1" fillId="6" borderId="3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" fontId="1" fillId="6" borderId="3" xfId="0" applyNumberFormat="1" applyFont="1" applyFill="1" applyBorder="1" applyAlignment="1">
      <alignment horizontal="center" vertical="center" wrapText="1"/>
    </xf>
    <xf numFmtId="1" fontId="1" fillId="6" borderId="0" xfId="0" applyNumberFormat="1" applyFont="1" applyFill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38" fillId="0" borderId="2" xfId="0" applyFont="1" applyBorder="1"/>
    <xf numFmtId="0" fontId="38" fillId="0" borderId="0" xfId="0" applyFont="1"/>
    <xf numFmtId="0" fontId="30" fillId="4" borderId="2" xfId="2" applyFont="1" applyFill="1" applyBorder="1" applyAlignment="1">
      <alignment horizontal="right" vertical="center"/>
    </xf>
    <xf numFmtId="0" fontId="30" fillId="0" borderId="2" xfId="2" applyFont="1" applyBorder="1" applyAlignment="1">
      <alignment horizontal="right" vertical="center"/>
    </xf>
    <xf numFmtId="1" fontId="30" fillId="3" borderId="0" xfId="7" applyNumberFormat="1" applyFont="1" applyBorder="1" applyAlignment="1">
      <alignment horizontal="right" vertical="center"/>
    </xf>
    <xf numFmtId="1" fontId="30" fillId="2" borderId="0" xfId="2" applyNumberFormat="1" applyFont="1" applyFill="1" applyAlignment="1">
      <alignment horizontal="right" vertical="center"/>
    </xf>
    <xf numFmtId="0" fontId="30" fillId="4" borderId="0" xfId="2" applyFont="1" applyFill="1" applyAlignment="1">
      <alignment horizontal="right" vertical="center"/>
    </xf>
    <xf numFmtId="1" fontId="39" fillId="2" borderId="0" xfId="2" applyNumberFormat="1" applyFont="1" applyFill="1" applyAlignment="1">
      <alignment horizontal="right" vertical="center"/>
    </xf>
    <xf numFmtId="1" fontId="30" fillId="5" borderId="0" xfId="2" applyNumberFormat="1" applyFont="1" applyFill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4" fillId="0" borderId="0" xfId="8" applyFont="1" applyAlignment="1">
      <alignment horizontal="left" vertical="center"/>
    </xf>
    <xf numFmtId="0" fontId="24" fillId="0" borderId="0" xfId="8" applyFont="1" applyAlignment="1">
      <alignment horizontal="left" vertical="center" wrapText="1"/>
    </xf>
    <xf numFmtId="0" fontId="24" fillId="0" borderId="0" xfId="8" quotePrefix="1" applyFont="1" applyAlignment="1">
      <alignment horizontal="left" vertical="center"/>
    </xf>
    <xf numFmtId="49" fontId="24" fillId="0" borderId="0" xfId="8" quotePrefix="1" applyNumberFormat="1" applyFont="1" applyAlignment="1">
      <alignment horizontal="left" vertical="center" wrapText="1"/>
    </xf>
    <xf numFmtId="0" fontId="44" fillId="0" borderId="0" xfId="8" applyFont="1" applyAlignment="1">
      <alignment horizontal="left" vertical="center"/>
    </xf>
    <xf numFmtId="3" fontId="24" fillId="0" borderId="0" xfId="8" applyNumberFormat="1" applyFont="1" applyAlignment="1">
      <alignment horizontal="left" vertical="center"/>
    </xf>
    <xf numFmtId="0" fontId="29" fillId="0" borderId="3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8" fillId="8" borderId="0" xfId="8" applyFill="1" applyAlignment="1">
      <alignment horizontal="center" vertical="center"/>
    </xf>
    <xf numFmtId="1" fontId="0" fillId="0" borderId="6" xfId="0" applyNumberForma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2" xfId="0" applyFont="1" applyBorder="1"/>
    <xf numFmtId="49" fontId="8" fillId="0" borderId="0" xfId="0" applyNumberFormat="1" applyFont="1" applyAlignment="1">
      <alignment horizontal="center"/>
    </xf>
    <xf numFmtId="164" fontId="7" fillId="2" borderId="0" xfId="8" applyNumberFormat="1" applyFont="1" applyFill="1" applyAlignment="1">
      <alignment horizontal="center" vertical="center" wrapText="1"/>
    </xf>
    <xf numFmtId="165" fontId="7" fillId="0" borderId="0" xfId="8" applyNumberFormat="1" applyFont="1" applyAlignment="1">
      <alignment horizontal="center" vertical="center" wrapText="1"/>
    </xf>
    <xf numFmtId="2" fontId="8" fillId="0" borderId="0" xfId="8" applyNumberFormat="1" applyAlignment="1">
      <alignment horizontal="right" vertical="center" wrapText="1"/>
    </xf>
    <xf numFmtId="165" fontId="8" fillId="2" borderId="0" xfId="8" applyNumberFormat="1" applyFill="1" applyAlignment="1">
      <alignment horizontal="right" vertical="center"/>
    </xf>
    <xf numFmtId="0" fontId="7" fillId="0" borderId="2" xfId="8" applyFont="1" applyBorder="1" applyAlignment="1">
      <alignment horizontal="center" vertical="center"/>
    </xf>
    <xf numFmtId="0" fontId="8" fillId="0" borderId="2" xfId="8" applyBorder="1" applyAlignment="1">
      <alignment vertical="center"/>
    </xf>
    <xf numFmtId="0" fontId="7" fillId="0" borderId="2" xfId="8" applyFont="1" applyBorder="1" applyAlignment="1">
      <alignment horizontal="center" vertical="center" wrapText="1"/>
    </xf>
    <xf numFmtId="165" fontId="8" fillId="0" borderId="2" xfId="8" applyNumberFormat="1" applyBorder="1" applyAlignment="1">
      <alignment vertical="center"/>
    </xf>
    <xf numFmtId="0" fontId="0" fillId="9" borderId="0" xfId="0" applyFill="1"/>
    <xf numFmtId="0" fontId="46" fillId="10" borderId="0" xfId="0" applyFont="1" applyFill="1"/>
    <xf numFmtId="0" fontId="0" fillId="11" borderId="0" xfId="0" applyFill="1"/>
    <xf numFmtId="0" fontId="16" fillId="0" borderId="0" xfId="2" applyFont="1" applyAlignment="1">
      <alignment horizontal="left" vertical="center"/>
    </xf>
    <xf numFmtId="0" fontId="30" fillId="0" borderId="0" xfId="2" applyFont="1" applyAlignment="1">
      <alignment horizontal="left" vertical="center"/>
    </xf>
    <xf numFmtId="0" fontId="5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4" fontId="1" fillId="12" borderId="3" xfId="0" applyNumberFormat="1" applyFont="1" applyFill="1" applyBorder="1" applyAlignment="1">
      <alignment horizontal="center" vertical="center" wrapText="1"/>
    </xf>
    <xf numFmtId="164" fontId="1" fillId="12" borderId="1" xfId="0" applyNumberFormat="1" applyFont="1" applyFill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 wrapText="1"/>
    </xf>
    <xf numFmtId="0" fontId="38" fillId="0" borderId="2" xfId="2" applyFont="1" applyBorder="1" applyAlignment="1">
      <alignment horizontal="center" vertical="center"/>
    </xf>
    <xf numFmtId="0" fontId="38" fillId="0" borderId="2" xfId="2" applyFont="1" applyBorder="1" applyAlignment="1">
      <alignment horizontal="center"/>
    </xf>
    <xf numFmtId="1" fontId="12" fillId="0" borderId="2" xfId="0" applyNumberFormat="1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21" fillId="7" borderId="0" xfId="2" applyFont="1" applyFill="1" applyAlignment="1">
      <alignment horizontal="center" vertical="center"/>
    </xf>
    <xf numFmtId="166" fontId="53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30" fillId="0" borderId="0" xfId="2" applyFont="1" applyAlignment="1">
      <alignment horizontal="center"/>
    </xf>
    <xf numFmtId="2" fontId="49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center" vertical="center" wrapText="1"/>
    </xf>
    <xf numFmtId="1" fontId="54" fillId="0" borderId="6" xfId="0" applyNumberFormat="1" applyFont="1" applyBorder="1"/>
    <xf numFmtId="164" fontId="54" fillId="0" borderId="6" xfId="0" applyNumberFormat="1" applyFont="1" applyBorder="1" applyAlignment="1">
      <alignment horizontal="center"/>
    </xf>
    <xf numFmtId="1" fontId="54" fillId="0" borderId="2" xfId="0" applyNumberFormat="1" applyFont="1" applyBorder="1"/>
    <xf numFmtId="1" fontId="54" fillId="0" borderId="0" xfId="0" applyNumberFormat="1" applyFont="1"/>
    <xf numFmtId="165" fontId="8" fillId="0" borderId="2" xfId="8" applyNumberFormat="1" applyBorder="1" applyAlignment="1">
      <alignment horizontal="center" vertical="center"/>
    </xf>
    <xf numFmtId="165" fontId="8" fillId="0" borderId="3" xfId="8" applyNumberFormat="1" applyBorder="1" applyAlignment="1">
      <alignment horizontal="right" vertical="center"/>
    </xf>
    <xf numFmtId="164" fontId="8" fillId="0" borderId="1" xfId="8" applyNumberFormat="1" applyBorder="1" applyAlignment="1">
      <alignment horizontal="right" vertical="center"/>
    </xf>
    <xf numFmtId="165" fontId="8" fillId="0" borderId="1" xfId="8" applyNumberFormat="1" applyBorder="1" applyAlignment="1">
      <alignment horizontal="right" vertical="center"/>
    </xf>
    <xf numFmtId="165" fontId="8" fillId="2" borderId="1" xfId="8" applyNumberFormat="1" applyFill="1" applyBorder="1" applyAlignment="1">
      <alignment horizontal="right" vertical="center"/>
    </xf>
    <xf numFmtId="165" fontId="8" fillId="0" borderId="1" xfId="8" applyNumberFormat="1" applyBorder="1" applyAlignment="1">
      <alignment horizontal="center" vertical="center"/>
    </xf>
    <xf numFmtId="164" fontId="8" fillId="0" borderId="3" xfId="8" applyNumberFormat="1" applyBorder="1" applyAlignment="1">
      <alignment horizontal="right" vertical="center" wrapText="1"/>
    </xf>
    <xf numFmtId="164" fontId="8" fillId="0" borderId="1" xfId="8" applyNumberFormat="1" applyBorder="1" applyAlignment="1">
      <alignment horizontal="right" vertical="center" wrapText="1"/>
    </xf>
    <xf numFmtId="0" fontId="8" fillId="0" borderId="1" xfId="8" applyBorder="1" applyAlignment="1">
      <alignment vertical="center"/>
    </xf>
    <xf numFmtId="0" fontId="8" fillId="0" borderId="1" xfId="8" applyBorder="1" applyAlignment="1">
      <alignment horizontal="center" vertical="center"/>
    </xf>
    <xf numFmtId="1" fontId="3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wrapText="1"/>
    </xf>
    <xf numFmtId="0" fontId="6" fillId="7" borderId="1" xfId="0" applyFont="1" applyFill="1" applyBorder="1" applyAlignment="1">
      <alignment horizontal="center" vertical="center" wrapText="1"/>
    </xf>
    <xf numFmtId="164" fontId="6" fillId="6" borderId="3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6" fillId="6" borderId="7" xfId="0" applyNumberFormat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0" xfId="0" applyNumberFormat="1" applyFont="1" applyFill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6" fillId="2" borderId="7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/>
    <xf numFmtId="1" fontId="5" fillId="0" borderId="0" xfId="0" applyNumberFormat="1" applyFont="1"/>
    <xf numFmtId="1" fontId="5" fillId="0" borderId="6" xfId="0" applyNumberFormat="1" applyFont="1" applyBorder="1"/>
    <xf numFmtId="164" fontId="5" fillId="0" borderId="6" xfId="0" applyNumberFormat="1" applyFont="1" applyBorder="1" applyAlignment="1">
      <alignment horizontal="center"/>
    </xf>
    <xf numFmtId="0" fontId="5" fillId="0" borderId="0" xfId="2" applyAlignment="1">
      <alignment horizontal="left" vertical="center"/>
    </xf>
    <xf numFmtId="0" fontId="5" fillId="0" borderId="0" xfId="2" applyAlignment="1">
      <alignment horizontal="right"/>
    </xf>
    <xf numFmtId="0" fontId="5" fillId="0" borderId="2" xfId="0" applyFont="1" applyBorder="1"/>
    <xf numFmtId="0" fontId="5" fillId="0" borderId="0" xfId="0" applyFont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6" fillId="7" borderId="0" xfId="2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1" fontId="55" fillId="0" borderId="0" xfId="0" applyNumberFormat="1" applyFont="1" applyAlignment="1">
      <alignment horizontal="center" vertical="center" wrapText="1"/>
    </xf>
    <xf numFmtId="0" fontId="55" fillId="0" borderId="0" xfId="2" applyFont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/>
    </xf>
    <xf numFmtId="0" fontId="55" fillId="0" borderId="0" xfId="8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5" fillId="0" borderId="0" xfId="2" applyAlignment="1">
      <alignment horizontal="center" vertical="center"/>
    </xf>
    <xf numFmtId="1" fontId="5" fillId="0" borderId="2" xfId="2" applyNumberFormat="1" applyBorder="1" applyAlignment="1">
      <alignment horizontal="right" vertical="center"/>
    </xf>
    <xf numFmtId="1" fontId="5" fillId="0" borderId="0" xfId="2" applyNumberFormat="1" applyAlignment="1">
      <alignment horizontal="right" vertical="center"/>
    </xf>
    <xf numFmtId="1" fontId="5" fillId="0" borderId="2" xfId="8" applyNumberFormat="1" applyFont="1" applyBorder="1" applyAlignment="1">
      <alignment horizontal="right" vertical="center"/>
    </xf>
    <xf numFmtId="2" fontId="56" fillId="0" borderId="0" xfId="0" applyNumberFormat="1" applyFont="1" applyAlignment="1">
      <alignment vertical="center"/>
    </xf>
    <xf numFmtId="0" fontId="56" fillId="0" borderId="0" xfId="0" applyFont="1" applyAlignment="1">
      <alignment horizontal="center"/>
    </xf>
    <xf numFmtId="0" fontId="5" fillId="0" borderId="0" xfId="2" applyAlignment="1">
      <alignment horizontal="right" vertical="center"/>
    </xf>
    <xf numFmtId="0" fontId="5" fillId="0" borderId="0" xfId="8" applyFont="1" applyAlignment="1">
      <alignment horizontal="center" vertical="center"/>
    </xf>
    <xf numFmtId="0" fontId="56" fillId="0" borderId="0" xfId="8" applyFont="1" applyAlignment="1">
      <alignment vertical="center"/>
    </xf>
    <xf numFmtId="1" fontId="5" fillId="0" borderId="2" xfId="2" applyNumberFormat="1" applyBorder="1" applyAlignment="1">
      <alignment horizontal="right"/>
    </xf>
    <xf numFmtId="1" fontId="5" fillId="0" borderId="0" xfId="2" applyNumberFormat="1" applyAlignment="1">
      <alignment horizontal="right"/>
    </xf>
    <xf numFmtId="0" fontId="56" fillId="0" borderId="0" xfId="2" applyFont="1" applyAlignment="1">
      <alignment horizontal="right"/>
    </xf>
    <xf numFmtId="0" fontId="56" fillId="0" borderId="0" xfId="2" applyFont="1" applyAlignment="1">
      <alignment horizontal="center"/>
    </xf>
    <xf numFmtId="2" fontId="56" fillId="0" borderId="0" xfId="2" applyNumberFormat="1" applyFont="1" applyAlignment="1">
      <alignment horizontal="right"/>
    </xf>
    <xf numFmtId="1" fontId="5" fillId="0" borderId="0" xfId="8" applyNumberFormat="1" applyFont="1" applyAlignment="1">
      <alignment horizontal="right" vertical="center"/>
    </xf>
    <xf numFmtId="1" fontId="56" fillId="0" borderId="0" xfId="8" applyNumberFormat="1" applyFont="1" applyAlignment="1">
      <alignment horizontal="center" vertical="center"/>
    </xf>
    <xf numFmtId="165" fontId="56" fillId="0" borderId="0" xfId="2" applyNumberFormat="1" applyFont="1" applyAlignment="1">
      <alignment horizontal="right"/>
    </xf>
    <xf numFmtId="164" fontId="6" fillId="2" borderId="0" xfId="0" applyNumberFormat="1" applyFont="1" applyFill="1" applyAlignment="1">
      <alignment horizontal="center" vertical="center" wrapText="1"/>
    </xf>
    <xf numFmtId="165" fontId="52" fillId="0" borderId="0" xfId="0" applyNumberFormat="1" applyFont="1" applyAlignment="1">
      <alignment horizontal="center" vertical="center" wrapText="1"/>
    </xf>
    <xf numFmtId="165" fontId="30" fillId="0" borderId="0" xfId="2" applyNumberFormat="1" applyFont="1" applyAlignment="1">
      <alignment horizontal="right"/>
    </xf>
    <xf numFmtId="165" fontId="5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" fontId="55" fillId="0" borderId="2" xfId="0" applyNumberFormat="1" applyFont="1" applyBorder="1" applyAlignment="1">
      <alignment horizontal="center" vertical="center" wrapText="1"/>
    </xf>
    <xf numFmtId="2" fontId="56" fillId="0" borderId="2" xfId="0" applyNumberFormat="1" applyFont="1" applyBorder="1" applyAlignment="1">
      <alignment vertical="center"/>
    </xf>
    <xf numFmtId="0" fontId="56" fillId="0" borderId="2" xfId="2" applyFont="1" applyBorder="1" applyAlignment="1">
      <alignment horizontal="right"/>
    </xf>
    <xf numFmtId="2" fontId="56" fillId="0" borderId="2" xfId="2" applyNumberFormat="1" applyFont="1" applyBorder="1" applyAlignment="1">
      <alignment horizontal="right"/>
    </xf>
    <xf numFmtId="2" fontId="6" fillId="6" borderId="3" xfId="0" applyNumberFormat="1" applyFont="1" applyFill="1" applyBorder="1" applyAlignment="1">
      <alignment horizontal="center" vertical="center" wrapText="1"/>
    </xf>
    <xf numFmtId="2" fontId="6" fillId="6" borderId="0" xfId="0" applyNumberFormat="1" applyFont="1" applyFill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Border="1"/>
    <xf numFmtId="2" fontId="5" fillId="0" borderId="0" xfId="0" applyNumberFormat="1" applyFont="1"/>
    <xf numFmtId="2" fontId="49" fillId="2" borderId="2" xfId="0" applyNumberFormat="1" applyFont="1" applyFill="1" applyBorder="1" applyAlignment="1">
      <alignment horizontal="center" vertical="center"/>
    </xf>
    <xf numFmtId="2" fontId="49" fillId="2" borderId="0" xfId="0" applyNumberFormat="1" applyFont="1" applyFill="1" applyAlignment="1">
      <alignment horizontal="center" vertical="center"/>
    </xf>
    <xf numFmtId="2" fontId="8" fillId="0" borderId="2" xfId="8" applyNumberFormat="1" applyBorder="1" applyAlignment="1">
      <alignment horizontal="right" vertical="center"/>
    </xf>
    <xf numFmtId="2" fontId="8" fillId="0" borderId="0" xfId="8" applyNumberFormat="1" applyAlignment="1">
      <alignment horizontal="right" vertical="center"/>
    </xf>
    <xf numFmtId="2" fontId="5" fillId="0" borderId="2" xfId="8" applyNumberFormat="1" applyFont="1" applyBorder="1" applyAlignment="1">
      <alignment horizontal="right" vertical="center"/>
    </xf>
    <xf numFmtId="2" fontId="5" fillId="0" borderId="0" xfId="8" applyNumberFormat="1" applyFont="1" applyAlignment="1">
      <alignment horizontal="right" vertical="center"/>
    </xf>
    <xf numFmtId="2" fontId="1" fillId="6" borderId="3" xfId="0" applyNumberFormat="1" applyFont="1" applyFill="1" applyBorder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0" fillId="0" borderId="2" xfId="0" applyNumberFormat="1" applyBorder="1"/>
    <xf numFmtId="2" fontId="0" fillId="0" borderId="0" xfId="0" applyNumberFormat="1"/>
    <xf numFmtId="2" fontId="5" fillId="0" borderId="0" xfId="0" applyNumberFormat="1" applyFont="1" applyAlignment="1">
      <alignment horizontal="center"/>
    </xf>
    <xf numFmtId="2" fontId="5" fillId="0" borderId="0" xfId="2" applyNumberFormat="1" applyAlignment="1">
      <alignment horizontal="right"/>
    </xf>
    <xf numFmtId="0" fontId="57" fillId="0" borderId="0" xfId="0" applyFont="1" applyAlignment="1">
      <alignment horizontal="center"/>
    </xf>
    <xf numFmtId="2" fontId="7" fillId="0" borderId="2" xfId="8" applyNumberFormat="1" applyFont="1" applyBorder="1" applyAlignment="1">
      <alignment horizontal="center" vertical="center" wrapText="1"/>
    </xf>
    <xf numFmtId="2" fontId="7" fillId="0" borderId="0" xfId="8" applyNumberFormat="1" applyFont="1" applyAlignment="1">
      <alignment horizontal="center" vertical="center" wrapText="1"/>
    </xf>
    <xf numFmtId="2" fontId="8" fillId="0" borderId="2" xfId="0" applyNumberFormat="1" applyFont="1" applyBorder="1"/>
    <xf numFmtId="0" fontId="21" fillId="7" borderId="5" xfId="5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/>
    </xf>
    <xf numFmtId="0" fontId="38" fillId="0" borderId="0" xfId="0" applyFont="1" applyAlignment="1">
      <alignment horizontal="left"/>
    </xf>
    <xf numFmtId="164" fontId="8" fillId="0" borderId="0" xfId="8" applyNumberFormat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0" fillId="0" borderId="2" xfId="2" applyFont="1" applyBorder="1" applyAlignment="1">
      <alignment horizontal="right" vertical="center"/>
    </xf>
    <xf numFmtId="0" fontId="0" fillId="0" borderId="2" xfId="2" applyFont="1" applyBorder="1" applyAlignment="1">
      <alignment horizontal="right"/>
    </xf>
    <xf numFmtId="0" fontId="1" fillId="0" borderId="0" xfId="2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horizontal="center"/>
    </xf>
    <xf numFmtId="164" fontId="1" fillId="4" borderId="3" xfId="0" applyNumberFormat="1" applyFont="1" applyFill="1" applyBorder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12" borderId="0" xfId="0" applyNumberFormat="1" applyFont="1" applyFill="1" applyAlignment="1">
      <alignment horizontal="center" vertical="center" wrapText="1"/>
    </xf>
    <xf numFmtId="164" fontId="59" fillId="12" borderId="7" xfId="0" applyNumberFormat="1" applyFont="1" applyFill="1" applyBorder="1" applyAlignment="1">
      <alignment horizontal="center" vertical="center" wrapText="1"/>
    </xf>
    <xf numFmtId="164" fontId="60" fillId="12" borderId="7" xfId="0" applyNumberFormat="1" applyFont="1" applyFill="1" applyBorder="1" applyAlignment="1">
      <alignment horizontal="center" vertical="center" wrapText="1"/>
    </xf>
    <xf numFmtId="164" fontId="60" fillId="4" borderId="7" xfId="0" applyNumberFormat="1" applyFont="1" applyFill="1" applyBorder="1" applyAlignment="1">
      <alignment horizontal="center" vertical="center" wrapText="1"/>
    </xf>
    <xf numFmtId="164" fontId="60" fillId="4" borderId="3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164" fontId="59" fillId="4" borderId="5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46" fillId="13" borderId="0" xfId="0" applyFont="1" applyFill="1"/>
    <xf numFmtId="2" fontId="47" fillId="0" borderId="2" xfId="0" applyNumberFormat="1" applyFont="1" applyBorder="1" applyAlignment="1">
      <alignment horizontal="center" vertical="center" wrapText="1"/>
    </xf>
    <xf numFmtId="2" fontId="47" fillId="0" borderId="0" xfId="0" applyNumberFormat="1" applyFont="1" applyAlignment="1">
      <alignment horizontal="center" vertical="center" wrapText="1"/>
    </xf>
    <xf numFmtId="2" fontId="16" fillId="0" borderId="0" xfId="2" applyNumberFormat="1" applyFont="1" applyAlignment="1">
      <alignment horizontal="right" vertical="center"/>
    </xf>
    <xf numFmtId="2" fontId="16" fillId="0" borderId="0" xfId="2" applyNumberFormat="1" applyFont="1" applyAlignment="1">
      <alignment horizontal="right"/>
    </xf>
    <xf numFmtId="167" fontId="61" fillId="0" borderId="2" xfId="0" applyNumberFormat="1" applyFont="1" applyBorder="1" applyAlignment="1">
      <alignment horizontal="center" vertical="center"/>
    </xf>
    <xf numFmtId="167" fontId="61" fillId="0" borderId="0" xfId="0" applyNumberFormat="1" applyFont="1" applyAlignment="1">
      <alignment horizontal="center" vertical="center"/>
    </xf>
    <xf numFmtId="168" fontId="61" fillId="0" borderId="2" xfId="0" applyNumberFormat="1" applyFont="1" applyBorder="1" applyAlignment="1">
      <alignment horizontal="center" vertical="center"/>
    </xf>
    <xf numFmtId="168" fontId="61" fillId="0" borderId="0" xfId="0" applyNumberFormat="1" applyFont="1" applyAlignment="1">
      <alignment horizontal="center" vertical="center"/>
    </xf>
    <xf numFmtId="2" fontId="48" fillId="0" borderId="2" xfId="0" applyNumberFormat="1" applyFont="1" applyBorder="1" applyAlignment="1">
      <alignment horizontal="center" vertical="center" wrapText="1"/>
    </xf>
    <xf numFmtId="2" fontId="48" fillId="0" borderId="0" xfId="0" applyNumberFormat="1" applyFont="1" applyAlignment="1">
      <alignment horizontal="center" vertical="center" wrapText="1"/>
    </xf>
    <xf numFmtId="2" fontId="48" fillId="0" borderId="2" xfId="0" applyNumberFormat="1" applyFont="1" applyBorder="1" applyAlignment="1">
      <alignment horizontal="center" vertical="center"/>
    </xf>
    <xf numFmtId="2" fontId="48" fillId="0" borderId="0" xfId="0" applyNumberFormat="1" applyFont="1" applyAlignment="1">
      <alignment horizontal="center" vertical="center"/>
    </xf>
    <xf numFmtId="167" fontId="62" fillId="0" borderId="2" xfId="0" applyNumberFormat="1" applyFont="1" applyBorder="1" applyAlignment="1">
      <alignment horizontal="center" vertical="center"/>
    </xf>
    <xf numFmtId="167" fontId="62" fillId="0" borderId="0" xfId="0" applyNumberFormat="1" applyFont="1" applyAlignment="1">
      <alignment horizontal="center" vertical="center"/>
    </xf>
    <xf numFmtId="168" fontId="62" fillId="0" borderId="2" xfId="0" applyNumberFormat="1" applyFont="1" applyBorder="1" applyAlignment="1">
      <alignment horizontal="center" vertical="center"/>
    </xf>
    <xf numFmtId="168" fontId="62" fillId="0" borderId="0" xfId="0" applyNumberFormat="1" applyFont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2" fontId="30" fillId="0" borderId="0" xfId="2" applyNumberFormat="1" applyFont="1" applyAlignment="1">
      <alignment horizontal="right"/>
    </xf>
    <xf numFmtId="2" fontId="30" fillId="0" borderId="2" xfId="2" applyNumberFormat="1" applyFont="1" applyBorder="1" applyAlignment="1">
      <alignment horizontal="right"/>
    </xf>
    <xf numFmtId="2" fontId="16" fillId="0" borderId="2" xfId="2" applyNumberFormat="1" applyFont="1" applyBorder="1" applyAlignment="1">
      <alignment horizontal="right"/>
    </xf>
    <xf numFmtId="2" fontId="47" fillId="2" borderId="2" xfId="0" applyNumberFormat="1" applyFont="1" applyFill="1" applyBorder="1" applyAlignment="1">
      <alignment horizontal="center" vertical="center" wrapText="1"/>
    </xf>
    <xf numFmtId="2" fontId="47" fillId="2" borderId="0" xfId="0" applyNumberFormat="1" applyFont="1" applyFill="1" applyAlignment="1">
      <alignment horizontal="center" vertical="center" wrapText="1"/>
    </xf>
    <xf numFmtId="2" fontId="16" fillId="0" borderId="2" xfId="2" applyNumberFormat="1" applyFont="1" applyBorder="1" applyAlignment="1">
      <alignment horizontal="right" vertical="center"/>
    </xf>
    <xf numFmtId="164" fontId="1" fillId="8" borderId="0" xfId="0" applyNumberFormat="1" applyFont="1" applyFill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</cellXfs>
  <cellStyles count="10">
    <cellStyle name="Bad" xfId="7" builtinId="27"/>
    <cellStyle name="Normal" xfId="0" builtinId="0"/>
    <cellStyle name="Normal 10" xfId="2" xr:uid="{57572F80-6C03-CC4E-92FF-116D1456DFD9}"/>
    <cellStyle name="Normal 2" xfId="1" xr:uid="{CFAB0F52-A465-D947-86CD-9DDDA7862C45}"/>
    <cellStyle name="Normal 2 2" xfId="3" xr:uid="{1FF9E536-A097-CC4D-AD88-59816EF365AE}"/>
    <cellStyle name="Normal 2 2 2" xfId="9" xr:uid="{A78BC075-847F-DE4A-A881-AD2B26E6DBF7}"/>
    <cellStyle name="Normal 2 3" xfId="6" xr:uid="{D666D185-5FA4-484D-8AE8-59494E80CCA1}"/>
    <cellStyle name="Normal 3" xfId="5" xr:uid="{E1EDBF77-738B-A140-9066-42E490DE046C}"/>
    <cellStyle name="Normal 4" xfId="8" xr:uid="{F84E6DA6-3B07-E246-8357-CE59B07119E3}"/>
    <cellStyle name="標準 4" xfId="4" xr:uid="{8A9E591A-708E-2445-AE50-096B7D1055B2}"/>
  </cellStyles>
  <dxfs count="1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E-0545-A678-D3D9D0C76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E-0545-A678-D3D9D0C761D5}"/>
              </c:ext>
            </c:extLst>
          </c:dPt>
          <c:cat>
            <c:strRef>
              <c:f>'Fig4b-Econst'!$F$30:$F$31</c:f>
              <c:strCache>
                <c:ptCount val="2"/>
                <c:pt idx="0">
                  <c:v>Constitutive non-couplings</c:v>
                </c:pt>
                <c:pt idx="1">
                  <c:v>Constitutive couplings</c:v>
                </c:pt>
              </c:strCache>
            </c:strRef>
          </c:cat>
          <c:val>
            <c:numRef>
              <c:f>'Fig4b-Econst'!$G$30:$G$31</c:f>
              <c:numCache>
                <c:formatCode>General</c:formatCode>
                <c:ptCount val="2"/>
                <c:pt idx="0">
                  <c:v>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A-CA4F-B918-BF1F46BB7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591438</xdr:colOff>
      <xdr:row>33</xdr:row>
      <xdr:rowOff>60984</xdr:rowOff>
    </xdr:from>
    <xdr:to>
      <xdr:col>9</xdr:col>
      <xdr:colOff>0</xdr:colOff>
      <xdr:row>46</xdr:row>
      <xdr:rowOff>172155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F2C10-7AEC-32CB-3B63-7DDD691A4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File" connectionId="1" xr16:uid="{6D3761AF-E7AB-194C-9EF7-F55A4DB11CA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15CD-2768-8F4E-AC74-1E0DE456311C}">
  <sheetPr>
    <tabColor rgb="FFFF0000"/>
  </sheetPr>
  <dimension ref="A1:B18"/>
  <sheetViews>
    <sheetView zoomScale="265" workbookViewId="0">
      <selection activeCell="B19" sqref="B19"/>
    </sheetView>
  </sheetViews>
  <sheetFormatPr baseColWidth="10" defaultRowHeight="16"/>
  <cols>
    <col min="1" max="1" width="20" bestFit="1" customWidth="1"/>
    <col min="2" max="2" width="27" bestFit="1" customWidth="1"/>
  </cols>
  <sheetData>
    <row r="1" spans="1:2" s="242" customFormat="1">
      <c r="A1" s="242" t="s">
        <v>5514</v>
      </c>
      <c r="B1" s="242" t="s">
        <v>5515</v>
      </c>
    </row>
    <row r="2" spans="1:2">
      <c r="A2" t="s">
        <v>5579</v>
      </c>
      <c r="B2" t="s">
        <v>5580</v>
      </c>
    </row>
    <row r="3" spans="1:2">
      <c r="A3" s="203" t="s">
        <v>5516</v>
      </c>
      <c r="B3" t="s">
        <v>5524</v>
      </c>
    </row>
    <row r="4" spans="1:2">
      <c r="A4" s="203" t="s">
        <v>5517</v>
      </c>
      <c r="B4" t="s">
        <v>5524</v>
      </c>
    </row>
    <row r="5" spans="1:2">
      <c r="A5" s="203" t="s">
        <v>5518</v>
      </c>
      <c r="B5" t="s">
        <v>5524</v>
      </c>
    </row>
    <row r="6" spans="1:2">
      <c r="A6" s="203" t="s">
        <v>5671</v>
      </c>
      <c r="B6" t="s">
        <v>5524</v>
      </c>
    </row>
    <row r="7" spans="1:2">
      <c r="A7" s="203" t="s">
        <v>5672</v>
      </c>
      <c r="B7" t="s">
        <v>5524</v>
      </c>
    </row>
    <row r="8" spans="1:2">
      <c r="A8" s="203" t="s">
        <v>5902</v>
      </c>
      <c r="B8" t="s">
        <v>5524</v>
      </c>
    </row>
    <row r="9" spans="1:2">
      <c r="A9" s="203" t="s">
        <v>5519</v>
      </c>
      <c r="B9" t="s">
        <v>5524</v>
      </c>
    </row>
    <row r="10" spans="1:2">
      <c r="A10" s="202" t="s">
        <v>5895</v>
      </c>
      <c r="B10" t="s">
        <v>5900</v>
      </c>
    </row>
    <row r="11" spans="1:2">
      <c r="A11" s="202" t="s">
        <v>5896</v>
      </c>
      <c r="B11" t="s">
        <v>5898</v>
      </c>
    </row>
    <row r="12" spans="1:2">
      <c r="A12" s="202" t="s">
        <v>5897</v>
      </c>
      <c r="B12" t="s">
        <v>5899</v>
      </c>
    </row>
    <row r="13" spans="1:2">
      <c r="A13" s="348" t="s">
        <v>5520</v>
      </c>
      <c r="B13" t="s">
        <v>5521</v>
      </c>
    </row>
    <row r="14" spans="1:2">
      <c r="A14" s="204" t="s">
        <v>5903</v>
      </c>
      <c r="B14" t="s">
        <v>5522</v>
      </c>
    </row>
    <row r="15" spans="1:2">
      <c r="A15" s="204" t="s">
        <v>5525</v>
      </c>
      <c r="B15" t="s">
        <v>5526</v>
      </c>
    </row>
    <row r="16" spans="1:2">
      <c r="A16" s="204" t="s">
        <v>5523</v>
      </c>
      <c r="B16" t="s">
        <v>5527</v>
      </c>
    </row>
    <row r="18" spans="1:1">
      <c r="A18" t="s">
        <v>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1D1C-5E9B-744F-9D98-130C091E1D9B}">
  <dimension ref="A1:E11"/>
  <sheetViews>
    <sheetView zoomScale="257" workbookViewId="0">
      <selection activeCell="C7" sqref="C7"/>
    </sheetView>
  </sheetViews>
  <sheetFormatPr baseColWidth="10" defaultRowHeight="16"/>
  <cols>
    <col min="1" max="1" width="24.1640625" bestFit="1" customWidth="1"/>
    <col min="2" max="2" width="11.1640625" bestFit="1" customWidth="1"/>
    <col min="3" max="3" width="18.1640625" bestFit="1" customWidth="1"/>
    <col min="4" max="4" width="7" bestFit="1" customWidth="1"/>
    <col min="5" max="5" width="2.1640625" bestFit="1" customWidth="1"/>
  </cols>
  <sheetData>
    <row r="1" spans="1:5" s="240" customFormat="1" ht="51">
      <c r="A1" s="240" t="s">
        <v>5514</v>
      </c>
      <c r="B1" s="240" t="s">
        <v>5581</v>
      </c>
      <c r="C1" s="240" t="s">
        <v>5582</v>
      </c>
      <c r="D1" s="241" t="s">
        <v>5583</v>
      </c>
      <c r="E1" s="319" t="s">
        <v>5673</v>
      </c>
    </row>
    <row r="2" spans="1:5">
      <c r="A2" t="s">
        <v>5516</v>
      </c>
      <c r="B2" t="s">
        <v>5584</v>
      </c>
      <c r="C2" t="s">
        <v>5588</v>
      </c>
      <c r="D2">
        <v>3</v>
      </c>
    </row>
    <row r="3" spans="1:5">
      <c r="A3" t="s">
        <v>5517</v>
      </c>
      <c r="B3" t="s">
        <v>5585</v>
      </c>
      <c r="C3" t="s">
        <v>5588</v>
      </c>
      <c r="D3">
        <v>1</v>
      </c>
    </row>
    <row r="4" spans="1:5">
      <c r="A4" t="s">
        <v>5518</v>
      </c>
      <c r="B4" t="s">
        <v>5587</v>
      </c>
      <c r="C4" t="s">
        <v>5588</v>
      </c>
      <c r="D4">
        <v>5</v>
      </c>
    </row>
    <row r="5" spans="1:5">
      <c r="A5" t="s">
        <v>5669</v>
      </c>
      <c r="B5" t="s">
        <v>5668</v>
      </c>
      <c r="C5" t="s">
        <v>5667</v>
      </c>
      <c r="D5">
        <v>0</v>
      </c>
    </row>
    <row r="6" spans="1:5">
      <c r="A6" t="s">
        <v>5670</v>
      </c>
      <c r="B6" t="s">
        <v>5668</v>
      </c>
      <c r="C6" t="s">
        <v>5653</v>
      </c>
      <c r="D6">
        <v>0</v>
      </c>
    </row>
    <row r="7" spans="1:5" ht="19">
      <c r="A7" t="s">
        <v>5905</v>
      </c>
      <c r="B7" t="s">
        <v>5906</v>
      </c>
      <c r="C7" t="s">
        <v>5674</v>
      </c>
      <c r="D7">
        <v>2</v>
      </c>
    </row>
    <row r="8" spans="1:5">
      <c r="A8" t="s">
        <v>5519</v>
      </c>
      <c r="B8" t="s">
        <v>5586</v>
      </c>
      <c r="C8" t="s">
        <v>5588</v>
      </c>
      <c r="D8">
        <v>1</v>
      </c>
    </row>
    <row r="11" spans="1:5">
      <c r="B11" t="s">
        <v>5904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E386-830B-0C40-92B4-A6C8322B55FC}">
  <sheetPr>
    <tabColor rgb="FF0070C0"/>
  </sheetPr>
  <dimension ref="A1:DX106"/>
  <sheetViews>
    <sheetView tabSelected="1" zoomScale="120" zoomScaleNormal="120" workbookViewId="0">
      <pane xSplit="1" ySplit="1" topLeftCell="B50" activePane="bottomRight" state="frozen"/>
      <selection activeCell="J2" sqref="J2"/>
      <selection pane="topRight" activeCell="J2" sqref="J2"/>
      <selection pane="bottomLeft" activeCell="J2" sqref="J2"/>
      <selection pane="bottomRight" sqref="A1:A1048576"/>
    </sheetView>
  </sheetViews>
  <sheetFormatPr baseColWidth="10" defaultRowHeight="16"/>
  <cols>
    <col min="1" max="1" width="13.33203125" style="27" bestFit="1" customWidth="1"/>
    <col min="2" max="2" width="4.33203125" style="23" bestFit="1" customWidth="1"/>
    <col min="3" max="3" width="11.6640625" customWidth="1"/>
    <col min="4" max="4" width="6.33203125" style="19" customWidth="1"/>
    <col min="5" max="5" width="5.83203125" bestFit="1" customWidth="1"/>
    <col min="6" max="6" width="5.33203125" style="1" bestFit="1" customWidth="1"/>
    <col min="7" max="7" width="5.33203125" bestFit="1" customWidth="1"/>
    <col min="8" max="8" width="6.33203125" bestFit="1" customWidth="1"/>
    <col min="9" max="9" width="7.33203125" bestFit="1" customWidth="1"/>
    <col min="10" max="10" width="7.33203125" style="148" customWidth="1"/>
    <col min="11" max="11" width="7.6640625" style="148" bestFit="1" customWidth="1"/>
    <col min="12" max="12" width="5.33203125" style="1" bestFit="1" customWidth="1"/>
    <col min="13" max="13" width="5.33203125" bestFit="1" customWidth="1"/>
    <col min="14" max="14" width="6.33203125" bestFit="1" customWidth="1"/>
    <col min="15" max="15" width="7.33203125" bestFit="1" customWidth="1"/>
    <col min="16" max="16" width="10" style="20" bestFit="1" customWidth="1"/>
    <col min="17" max="18" width="10" style="19" bestFit="1" customWidth="1"/>
    <col min="19" max="19" width="11" style="19" bestFit="1" customWidth="1"/>
    <col min="20" max="20" width="4.83203125" style="1" bestFit="1" customWidth="1"/>
    <col min="21" max="21" width="4.83203125" bestFit="1" customWidth="1"/>
    <col min="22" max="22" width="6.33203125" bestFit="1" customWidth="1"/>
    <col min="23" max="23" width="7.33203125" bestFit="1" customWidth="1"/>
    <col min="24" max="24" width="7.6640625" style="149" bestFit="1" customWidth="1"/>
    <col min="25" max="25" width="7.83203125" style="26" bestFit="1" customWidth="1"/>
    <col min="26" max="36" width="7.83203125" style="25" bestFit="1" customWidth="1"/>
    <col min="37" max="37" width="4.6640625" style="22" bestFit="1" customWidth="1"/>
    <col min="38" max="49" width="4.6640625" style="21" bestFit="1" customWidth="1"/>
    <col min="50" max="51" width="5.83203125" style="21" bestFit="1" customWidth="1"/>
    <col min="52" max="52" width="5.83203125" style="26" bestFit="1" customWidth="1"/>
    <col min="53" max="64" width="5.83203125" style="25" bestFit="1" customWidth="1"/>
    <col min="65" max="66" width="8.6640625" style="25" bestFit="1" customWidth="1"/>
    <col min="67" max="67" width="5.83203125" style="68" bestFit="1" customWidth="1"/>
    <col min="68" max="78" width="5.83203125" style="69" bestFit="1" customWidth="1"/>
    <col min="79" max="79" width="6.6640625" style="69" bestFit="1" customWidth="1"/>
    <col min="80" max="80" width="5.83203125" style="69" bestFit="1" customWidth="1"/>
    <col min="81" max="81" width="6.6640625" style="69" bestFit="1" customWidth="1"/>
    <col min="82" max="82" width="6.1640625" style="24" bestFit="1" customWidth="1"/>
    <col min="83" max="94" width="6.1640625" style="23" bestFit="1" customWidth="1"/>
    <col min="95" max="96" width="8.6640625" style="23" bestFit="1" customWidth="1"/>
    <col min="97" max="97" width="9.5" style="168" customWidth="1"/>
    <col min="98" max="98" width="14" style="169" customWidth="1"/>
    <col min="99" max="99" width="5.6640625" style="68" bestFit="1" customWidth="1"/>
    <col min="100" max="110" width="5.6640625" style="69" bestFit="1" customWidth="1"/>
    <col min="111" max="111" width="6.6640625" style="69" bestFit="1" customWidth="1"/>
    <col min="112" max="112" width="5.6640625" style="69" bestFit="1" customWidth="1"/>
    <col min="113" max="113" width="6.6640625" style="69" bestFit="1" customWidth="1"/>
    <col min="114" max="114" width="5.33203125" style="70" bestFit="1" customWidth="1"/>
    <col min="115" max="118" width="5.83203125" style="71" bestFit="1" customWidth="1"/>
    <col min="119" max="119" width="5.33203125" style="71" bestFit="1" customWidth="1"/>
    <col min="120" max="123" width="5.83203125" style="71" bestFit="1" customWidth="1"/>
    <col min="124" max="124" width="5.33203125" style="71" bestFit="1" customWidth="1"/>
    <col min="125" max="125" width="5.83203125" style="71" bestFit="1" customWidth="1"/>
    <col min="126" max="126" width="6.83203125" style="71" bestFit="1" customWidth="1"/>
    <col min="127" max="128" width="8.6640625" style="71" bestFit="1" customWidth="1"/>
    <col min="129" max="16384" width="10.83203125" style="23"/>
  </cols>
  <sheetData>
    <row r="1" spans="1:128" s="126" customFormat="1" ht="66" customHeight="1">
      <c r="A1" s="158" t="s">
        <v>3</v>
      </c>
      <c r="B1" s="218" t="s">
        <v>5530</v>
      </c>
      <c r="C1" s="158" t="s">
        <v>5403</v>
      </c>
      <c r="D1" s="150" t="s">
        <v>5404</v>
      </c>
      <c r="E1" s="158" t="s">
        <v>5199</v>
      </c>
      <c r="F1" s="161" t="s">
        <v>5407</v>
      </c>
      <c r="G1" s="166" t="s">
        <v>5408</v>
      </c>
      <c r="H1" s="166" t="s">
        <v>5409</v>
      </c>
      <c r="I1" s="162" t="s">
        <v>5410</v>
      </c>
      <c r="J1" s="160" t="s">
        <v>5411</v>
      </c>
      <c r="K1" s="160" t="s">
        <v>5412</v>
      </c>
      <c r="L1" s="161" t="s">
        <v>5194</v>
      </c>
      <c r="M1" s="166" t="s">
        <v>5195</v>
      </c>
      <c r="N1" s="162" t="s">
        <v>5196</v>
      </c>
      <c r="O1" s="162" t="s">
        <v>5197</v>
      </c>
      <c r="P1" s="163" t="s">
        <v>5185</v>
      </c>
      <c r="Q1" s="164" t="s">
        <v>5186</v>
      </c>
      <c r="R1" s="165" t="s">
        <v>5187</v>
      </c>
      <c r="S1" s="165" t="s">
        <v>5188</v>
      </c>
      <c r="T1" s="161" t="s">
        <v>5560</v>
      </c>
      <c r="U1" s="166" t="s">
        <v>5561</v>
      </c>
      <c r="V1" s="166" t="s">
        <v>5562</v>
      </c>
      <c r="W1" s="162" t="s">
        <v>5563</v>
      </c>
      <c r="X1" s="146" t="s">
        <v>5193</v>
      </c>
      <c r="Y1" s="151" t="s">
        <v>5173</v>
      </c>
      <c r="Z1" s="151" t="s">
        <v>5174</v>
      </c>
      <c r="AA1" s="152" t="s">
        <v>5175</v>
      </c>
      <c r="AB1" s="152" t="s">
        <v>5176</v>
      </c>
      <c r="AC1" s="152" t="s">
        <v>5177</v>
      </c>
      <c r="AD1" s="152" t="s">
        <v>5178</v>
      </c>
      <c r="AE1" s="151" t="s">
        <v>5179</v>
      </c>
      <c r="AF1" s="152" t="s">
        <v>5180</v>
      </c>
      <c r="AG1" s="152" t="s">
        <v>5181</v>
      </c>
      <c r="AH1" s="152" t="s">
        <v>5182</v>
      </c>
      <c r="AI1" s="151" t="s">
        <v>5183</v>
      </c>
      <c r="AJ1" s="152" t="s">
        <v>5184</v>
      </c>
      <c r="AK1" s="224" t="s">
        <v>3264</v>
      </c>
      <c r="AL1" s="151" t="s">
        <v>5528</v>
      </c>
      <c r="AM1" s="152" t="s">
        <v>5544</v>
      </c>
      <c r="AN1" s="152" t="s">
        <v>3263</v>
      </c>
      <c r="AO1" s="152" t="s">
        <v>5545</v>
      </c>
      <c r="AP1" s="152" t="s">
        <v>5546</v>
      </c>
      <c r="AQ1" s="151" t="s">
        <v>2853</v>
      </c>
      <c r="AR1" s="152" t="s">
        <v>5543</v>
      </c>
      <c r="AS1" s="152" t="s">
        <v>5547</v>
      </c>
      <c r="AT1" s="152" t="s">
        <v>2852</v>
      </c>
      <c r="AU1" s="151" t="s">
        <v>5529</v>
      </c>
      <c r="AV1" s="152" t="s">
        <v>3265</v>
      </c>
      <c r="AW1" s="373" t="s">
        <v>5550</v>
      </c>
      <c r="AX1" s="374" t="s">
        <v>5548</v>
      </c>
      <c r="AY1" s="152" t="s">
        <v>5549</v>
      </c>
      <c r="AZ1" s="124" t="s">
        <v>2777</v>
      </c>
      <c r="BA1" s="124" t="s">
        <v>2779</v>
      </c>
      <c r="BB1" s="125" t="s">
        <v>2780</v>
      </c>
      <c r="BC1" s="125" t="s">
        <v>2782</v>
      </c>
      <c r="BD1" s="125" t="s">
        <v>2783</v>
      </c>
      <c r="BE1" s="125" t="s">
        <v>2784</v>
      </c>
      <c r="BF1" s="124" t="s">
        <v>2786</v>
      </c>
      <c r="BG1" s="125" t="s">
        <v>2787</v>
      </c>
      <c r="BH1" s="125" t="s">
        <v>2808</v>
      </c>
      <c r="BI1" s="125" t="s">
        <v>2788</v>
      </c>
      <c r="BJ1" s="124" t="s">
        <v>2789</v>
      </c>
      <c r="BK1" s="125" t="s">
        <v>2790</v>
      </c>
      <c r="BL1" s="373" t="s">
        <v>2840</v>
      </c>
      <c r="BM1" s="374" t="s">
        <v>2839</v>
      </c>
      <c r="BN1" s="125" t="s">
        <v>2841</v>
      </c>
      <c r="BO1" s="127" t="s">
        <v>2777</v>
      </c>
      <c r="BP1" s="128" t="s">
        <v>2779</v>
      </c>
      <c r="BQ1" s="128" t="s">
        <v>2780</v>
      </c>
      <c r="BR1" s="128" t="s">
        <v>2782</v>
      </c>
      <c r="BS1" s="128" t="s">
        <v>2782</v>
      </c>
      <c r="BT1" s="128" t="s">
        <v>2784</v>
      </c>
      <c r="BU1" s="128" t="s">
        <v>2786</v>
      </c>
      <c r="BV1" s="128" t="s">
        <v>2787</v>
      </c>
      <c r="BW1" s="128" t="s">
        <v>2808</v>
      </c>
      <c r="BX1" s="128" t="s">
        <v>2788</v>
      </c>
      <c r="BY1" s="128" t="s">
        <v>2789</v>
      </c>
      <c r="BZ1" s="128" t="s">
        <v>2790</v>
      </c>
      <c r="CA1" s="128" t="s">
        <v>2820</v>
      </c>
      <c r="CB1" s="128" t="s">
        <v>2821</v>
      </c>
      <c r="CC1" s="128" t="s">
        <v>2822</v>
      </c>
      <c r="CD1" s="124" t="s">
        <v>2792</v>
      </c>
      <c r="CE1" s="124" t="s">
        <v>2794</v>
      </c>
      <c r="CF1" s="125" t="s">
        <v>2795</v>
      </c>
      <c r="CG1" s="125" t="s">
        <v>2797</v>
      </c>
      <c r="CH1" s="125" t="s">
        <v>2798</v>
      </c>
      <c r="CI1" s="125" t="s">
        <v>2799</v>
      </c>
      <c r="CJ1" s="124" t="s">
        <v>2801</v>
      </c>
      <c r="CK1" s="125" t="s">
        <v>2802</v>
      </c>
      <c r="CL1" s="125" t="s">
        <v>2806</v>
      </c>
      <c r="CM1" s="125" t="s">
        <v>2803</v>
      </c>
      <c r="CN1" s="124" t="s">
        <v>2804</v>
      </c>
      <c r="CO1" s="125" t="s">
        <v>2805</v>
      </c>
      <c r="CP1" s="373" t="s">
        <v>2843</v>
      </c>
      <c r="CQ1" s="374" t="s">
        <v>2842</v>
      </c>
      <c r="CR1" s="125" t="s">
        <v>2844</v>
      </c>
      <c r="CS1" s="167" t="s">
        <v>580</v>
      </c>
      <c r="CT1" s="167" t="s">
        <v>581</v>
      </c>
      <c r="CU1" s="127" t="s">
        <v>2823</v>
      </c>
      <c r="CV1" s="128" t="s">
        <v>2824</v>
      </c>
      <c r="CW1" s="128" t="s">
        <v>2825</v>
      </c>
      <c r="CX1" s="128" t="s">
        <v>2826</v>
      </c>
      <c r="CY1" s="128" t="s">
        <v>2827</v>
      </c>
      <c r="CZ1" s="128" t="s">
        <v>2828</v>
      </c>
      <c r="DA1" s="128" t="s">
        <v>2829</v>
      </c>
      <c r="DB1" s="128" t="s">
        <v>2830</v>
      </c>
      <c r="DC1" s="128" t="s">
        <v>2831</v>
      </c>
      <c r="DD1" s="128" t="s">
        <v>2832</v>
      </c>
      <c r="DE1" s="128" t="s">
        <v>2833</v>
      </c>
      <c r="DF1" s="128" t="s">
        <v>2834</v>
      </c>
      <c r="DG1" s="128" t="s">
        <v>2835</v>
      </c>
      <c r="DH1" s="128" t="s">
        <v>2836</v>
      </c>
      <c r="DI1" s="128" t="s">
        <v>2837</v>
      </c>
      <c r="DJ1" s="129" t="s">
        <v>2838</v>
      </c>
      <c r="DK1" s="129" t="s">
        <v>2809</v>
      </c>
      <c r="DL1" s="130" t="s">
        <v>2810</v>
      </c>
      <c r="DM1" s="130" t="s">
        <v>2811</v>
      </c>
      <c r="DN1" s="130" t="s">
        <v>2812</v>
      </c>
      <c r="DO1" s="130" t="s">
        <v>2813</v>
      </c>
      <c r="DP1" s="129" t="s">
        <v>2814</v>
      </c>
      <c r="DQ1" s="130" t="s">
        <v>2815</v>
      </c>
      <c r="DR1" s="130" t="s">
        <v>2816</v>
      </c>
      <c r="DS1" s="130" t="s">
        <v>2817</v>
      </c>
      <c r="DT1" s="129" t="s">
        <v>2818</v>
      </c>
      <c r="DU1" s="130" t="s">
        <v>2819</v>
      </c>
      <c r="DV1" s="129" t="s">
        <v>2845</v>
      </c>
      <c r="DW1" s="131" t="s">
        <v>2846</v>
      </c>
      <c r="DX1" s="130" t="s">
        <v>2847</v>
      </c>
    </row>
    <row r="2" spans="1:128" s="28" customFormat="1">
      <c r="A2" s="33" t="s">
        <v>28</v>
      </c>
      <c r="B2" s="205" t="s">
        <v>5559</v>
      </c>
      <c r="C2" t="str">
        <f>IF(VLOOKUP($A2,'B-Ligands'!$A:$G,5,FALSE)="","",VLOOKUP($A2,'B-Ligands'!$A:$G,5,FALSE))</f>
        <v>Guide To Pharmacology</v>
      </c>
      <c r="D2" s="19">
        <f>IF(VLOOKUP($A2,'B-Ligands'!$A:$G,6,FALSE)="","",VLOOKUP($A2,'B-Ligands'!$A:$G,6,FALSE))</f>
        <v>294</v>
      </c>
      <c r="E2" t="str">
        <f>IF(VLOOKUP($A2,'B-Ligands'!$A:$G,7,FALSE)="","",VLOOKUP($A2,'B-Ligands'!$A:$G,7,FALSE))</f>
        <v>Phys</v>
      </c>
      <c r="F2" s="20" t="str">
        <f>IF(T2&gt;0,1,"")</f>
        <v/>
      </c>
      <c r="G2" s="19">
        <f t="shared" ref="G2:I2" si="0">IF(U2&gt;0,1,"")</f>
        <v>1</v>
      </c>
      <c r="H2" s="19">
        <f t="shared" si="0"/>
        <v>1</v>
      </c>
      <c r="I2" s="19" t="str">
        <f t="shared" si="0"/>
        <v/>
      </c>
      <c r="J2" s="189">
        <f>COUNTIF(L2:O2,"&gt;0")</f>
        <v>2</v>
      </c>
      <c r="K2" s="147" t="str">
        <f>SUBSTITUTE(INDEX(T$1:W$1,1,MATCH(MAX(T2:W2),T2:W2,0)),"-fam","")</f>
        <v>Gq/11</v>
      </c>
      <c r="L2" s="20">
        <f>IF(T2=0,0,_xlfn.RANK.EQ(T2,$T2:$W2,0))</f>
        <v>0</v>
      </c>
      <c r="M2" s="19">
        <f t="shared" ref="M2:O2" si="1">IF(U2=0,0,_xlfn.RANK.EQ(U2,$T2:$W2,0))</f>
        <v>2</v>
      </c>
      <c r="N2" s="19">
        <f t="shared" si="1"/>
        <v>1</v>
      </c>
      <c r="O2" s="19">
        <f t="shared" si="1"/>
        <v>0</v>
      </c>
      <c r="P2" s="20">
        <f>T2/MAX($T2:$W2)*100</f>
        <v>0</v>
      </c>
      <c r="Q2" s="19">
        <f t="shared" ref="Q2:R2" si="2">U2/MAX($T2:$W2)*100</f>
        <v>71.863004047763653</v>
      </c>
      <c r="R2" s="19">
        <f t="shared" si="2"/>
        <v>100</v>
      </c>
      <c r="S2" s="19">
        <f>W2/MAX($T2:$W2)*100</f>
        <v>0</v>
      </c>
      <c r="T2" s="20">
        <f>AK2</f>
        <v>0</v>
      </c>
      <c r="U2" s="21">
        <f>MAX(AL2:AP2)</f>
        <v>5.4328431060109335</v>
      </c>
      <c r="V2" s="21">
        <f>MAX(AQ2:AT2)</f>
        <v>7.5600000000000014</v>
      </c>
      <c r="W2" s="21">
        <f>MAX(AU2:AV2)</f>
        <v>0</v>
      </c>
      <c r="X2" s="147" t="str">
        <f>INDEX(AK$1:AV$1,1,MATCH(MAX(AK2:AV2),AK2:AV2,0))</f>
        <v>G15</v>
      </c>
      <c r="Y2" s="32">
        <f>AK2/MAX($AK2:$AV2)*100</f>
        <v>0</v>
      </c>
      <c r="Z2" s="31">
        <f t="shared" ref="Z2:AI2" si="3">AL2/MAX($AK2:$AV2)*100</f>
        <v>71.863004047763653</v>
      </c>
      <c r="AA2" s="31">
        <f t="shared" si="3"/>
        <v>65.307422509926823</v>
      </c>
      <c r="AB2" s="31">
        <f t="shared" si="3"/>
        <v>66.618228298498664</v>
      </c>
      <c r="AC2" s="31">
        <f t="shared" si="3"/>
        <v>68.81458763476644</v>
      </c>
      <c r="AD2" s="31">
        <f t="shared" si="3"/>
        <v>67.265198649850248</v>
      </c>
      <c r="AE2" s="31">
        <f t="shared" si="3"/>
        <v>93.767712975740992</v>
      </c>
      <c r="AF2" s="31">
        <f t="shared" si="3"/>
        <v>97.379297038914984</v>
      </c>
      <c r="AG2" s="31">
        <f t="shared" si="3"/>
        <v>96.607864428832684</v>
      </c>
      <c r="AH2" s="31">
        <f t="shared" si="3"/>
        <v>100</v>
      </c>
      <c r="AI2" s="31">
        <f t="shared" si="3"/>
        <v>0</v>
      </c>
      <c r="AJ2" s="31">
        <f>AV2/MAX($AK2:$AV2)*100</f>
        <v>0</v>
      </c>
      <c r="AK2" s="7" cm="1">
        <f t="array" ref="AK2">_xlfn.IFS(AZ2=0,0,AZ2&gt;0,(LOG(0.01*AZ2/10^-CD2)))</f>
        <v>0</v>
      </c>
      <c r="AL2" s="8" cm="1">
        <f t="array" ref="AL2">_xlfn.IFS(BA2=0,0,BA2&gt;0,(LOG(0.01*BA2/10^-CE2)))</f>
        <v>5.4328431060109335</v>
      </c>
      <c r="AM2" s="8" cm="1">
        <f t="array" ref="AM2">_xlfn.IFS(BB2=0,0,BB2&gt;0,(LOG(0.01*BB2/10^-CF2)))</f>
        <v>4.9372411417504694</v>
      </c>
      <c r="AN2" s="8" cm="1">
        <f t="array" ref="AN2">_xlfn.IFS(BC2=0,0,BC2&gt;0,(LOG(0.01*BC2/10^-CG2)))</f>
        <v>5.0363380593664999</v>
      </c>
      <c r="AO2" s="8" cm="1">
        <f t="array" ref="AO2">_xlfn.IFS(BD2=0,0,BD2&gt;0,(LOG(0.01*BD2/10^-CH2)))</f>
        <v>5.2023828251883435</v>
      </c>
      <c r="AP2" s="8" cm="1">
        <f t="array" ref="AP2">_xlfn.IFS(BE2=0,0,BE2&gt;0,(LOG(0.01*BE2/10^-CI2)))</f>
        <v>5.0852490179286791</v>
      </c>
      <c r="AQ2" s="8" cm="1">
        <f t="array" ref="AQ2">_xlfn.IFS(BF2=0,0,BF2&gt;0,(LOG(0.01*BF2/10^-CJ2)))</f>
        <v>7.0888391009660205</v>
      </c>
      <c r="AR2" s="8" cm="1">
        <f t="array" ref="AR2">_xlfn.IFS(BG2=0,0,BG2&gt;0,(LOG(0.01*BG2/10^-CK2)))</f>
        <v>7.3618748561419736</v>
      </c>
      <c r="AS2" s="8" cm="1">
        <f t="array" ref="AS2">_xlfn.IFS(BH2=0,0,BH2&gt;0,(LOG(0.01*BH2/10^-CL2)))</f>
        <v>7.3035545508197517</v>
      </c>
      <c r="AT2" s="8" cm="1">
        <f t="array" ref="AT2">_xlfn.IFS(BI2=0,0,BI2&gt;0,(LOG(0.01*BI2/10^-CM2)))</f>
        <v>7.5600000000000014</v>
      </c>
      <c r="AU2" s="8" cm="1">
        <f t="array" ref="AU2">_xlfn.IFS(BJ2=0,0,BJ2&gt;0,(LOG(0.01*BJ2/10^-CN2)))</f>
        <v>0</v>
      </c>
      <c r="AV2" s="8" cm="1">
        <f t="array" ref="AV2">_xlfn.IFS(BK2=0,0,BK2&gt;0,(LOG(0.01*BK2/10^-CO2)))</f>
        <v>0</v>
      </c>
      <c r="AW2" s="8" cm="1">
        <f t="array" ref="AW2">_xlfn.IFS(BL2=0,0,BL2&gt;0,(LOG(0.01*BL2/10^-CP2)))</f>
        <v>4.4459029551181972</v>
      </c>
      <c r="AX2" s="8" cm="1">
        <f t="array" ref="AX2">_xlfn.IFS(BM2=0,0,BM2&gt;0,(LOG(0.01*BM2/10^-CQ2)))</f>
        <v>3.7665321667014511</v>
      </c>
      <c r="AY2" s="8" cm="1">
        <f t="array" ref="AY2">_xlfn.IFS(BN2=0,0,BN2&gt;0,(LOG(0.01*BN2/10^-CR2)))</f>
        <v>4.741789317701766</v>
      </c>
      <c r="AZ2" s="32">
        <f>IF(BO2="",0,100*BO2/MAX(BO:BO))</f>
        <v>0</v>
      </c>
      <c r="BA2" s="31">
        <f>IF(BP2="",0,100*BP2/MAX($BP:$BT))</f>
        <v>36.294691224268689</v>
      </c>
      <c r="BB2" s="31">
        <f t="shared" ref="BB2:BE2" si="4">IF(BQ2="",0,100*BQ2/MAX($BP:$BT))</f>
        <v>12.654387865655471</v>
      </c>
      <c r="BC2" s="31">
        <f t="shared" si="4"/>
        <v>12.004333694474539</v>
      </c>
      <c r="BD2" s="31">
        <f t="shared" si="4"/>
        <v>17.963163596966414</v>
      </c>
      <c r="BE2" s="31">
        <f t="shared" si="4"/>
        <v>12.860238353196099</v>
      </c>
      <c r="BF2" s="31">
        <f>IF(BU2="",0,100*BU2/MAX($BU:$BX))</f>
        <v>57.788191190253045</v>
      </c>
      <c r="BG2" s="31">
        <f t="shared" ref="BG2:BI2" si="5">IF(BV2="",0,100*BV2/MAX($BU:$BX))</f>
        <v>72.089971883786319</v>
      </c>
      <c r="BH2" s="31">
        <f t="shared" si="5"/>
        <v>86.607310215557632</v>
      </c>
      <c r="BI2" s="31">
        <f t="shared" si="5"/>
        <v>100</v>
      </c>
      <c r="BJ2" s="31">
        <f>IF(BY2="",0,100*BY2/MAX($BY:$BZ))</f>
        <v>0</v>
      </c>
      <c r="BK2" s="31">
        <f>IF(BZ2="",0,100*BZ2/MAX($BY:$BZ))</f>
        <v>0</v>
      </c>
      <c r="BL2" s="31">
        <f>IF(CA2="",0,100*CA2/MAX($CA:$CC))</f>
        <v>1.2047667002349782</v>
      </c>
      <c r="BM2" s="31">
        <f t="shared" ref="BM2:BN2" si="6">IF(CB2="",0,100*CB2/MAX($CA:$CC))</f>
        <v>2.1554212823094994</v>
      </c>
      <c r="BN2" s="31">
        <f t="shared" si="6"/>
        <v>7.2910372608257807</v>
      </c>
      <c r="BO2" s="132"/>
      <c r="BP2" s="133">
        <v>335</v>
      </c>
      <c r="BQ2" s="133">
        <v>116.8</v>
      </c>
      <c r="BR2" s="133">
        <v>110.8</v>
      </c>
      <c r="BS2" s="133">
        <v>165.8</v>
      </c>
      <c r="BT2" s="133">
        <v>118.7</v>
      </c>
      <c r="BU2" s="133">
        <v>616.6</v>
      </c>
      <c r="BV2" s="133">
        <v>769.2</v>
      </c>
      <c r="BW2" s="133">
        <v>924.1</v>
      </c>
      <c r="BX2" s="133">
        <v>1067</v>
      </c>
      <c r="BY2" s="133"/>
      <c r="BZ2" s="133"/>
      <c r="CA2" s="133">
        <v>35.89</v>
      </c>
      <c r="CB2" s="133">
        <v>64.209999999999994</v>
      </c>
      <c r="CC2" s="133">
        <v>217.2</v>
      </c>
      <c r="CD2" s="36"/>
      <c r="CE2" s="34">
        <v>5.8730000000000002</v>
      </c>
      <c r="CF2" s="34">
        <v>5.835</v>
      </c>
      <c r="CG2" s="34">
        <v>5.9569999999999999</v>
      </c>
      <c r="CH2" s="34">
        <v>5.9480000000000004</v>
      </c>
      <c r="CI2" s="34">
        <v>5.976</v>
      </c>
      <c r="CJ2" s="34">
        <v>7.327</v>
      </c>
      <c r="CK2" s="34">
        <v>7.5039999999999996</v>
      </c>
      <c r="CL2" s="34">
        <v>7.3659999999999997</v>
      </c>
      <c r="CM2" s="34">
        <v>7.56</v>
      </c>
      <c r="CN2" s="34"/>
      <c r="CO2" s="34"/>
      <c r="CP2" s="34">
        <v>6.3650000000000002</v>
      </c>
      <c r="CQ2" s="34">
        <v>5.4329999999999998</v>
      </c>
      <c r="CR2" s="34">
        <v>5.8789999999999996</v>
      </c>
      <c r="CS2" s="168" t="str">
        <f>IF(VLOOKUP($A2,'B-Ligands'!$A:$G,3,FALSE)="","",VLOOKUP($A2,'B-Ligands'!$A:$G,3,FALSE))</f>
        <v/>
      </c>
      <c r="CT2" s="169" t="str">
        <f>IF(VLOOKUP($A2,'B-Ligands'!$A:$G,4,FALSE)="","",VLOOKUP($A2,'B-Ligands'!$A:$G,4,FALSE))</f>
        <v>Acetylcholine</v>
      </c>
      <c r="CU2" s="132">
        <v>19.695659026411022</v>
      </c>
      <c r="CV2" s="133">
        <v>8.5807006782955497</v>
      </c>
      <c r="CW2" s="133">
        <v>7.7895008147573188</v>
      </c>
      <c r="CX2" s="133">
        <v>8.9642109905096437</v>
      </c>
      <c r="CY2" s="133">
        <v>7.923367350083268</v>
      </c>
      <c r="CZ2" s="133">
        <v>6.6408931200672958</v>
      </c>
      <c r="DA2" s="133">
        <v>11.893188148333994</v>
      </c>
      <c r="DB2" s="133">
        <v>8.7721912732901686</v>
      </c>
      <c r="DC2" s="133">
        <v>11.108602525695382</v>
      </c>
      <c r="DD2" s="133">
        <v>16.947393953099727</v>
      </c>
      <c r="DE2" s="133">
        <v>11.49113694550115</v>
      </c>
      <c r="DF2" s="133">
        <v>2.7470645076289548</v>
      </c>
      <c r="DG2" s="133">
        <v>9.7321937111285504</v>
      </c>
      <c r="DH2" s="133">
        <v>8.4345413554699586</v>
      </c>
      <c r="DI2" s="133">
        <v>2.7535126525670659</v>
      </c>
      <c r="DJ2" s="66">
        <f t="shared" ref="DJ2:DJ33" si="7">IF(BO2="",0,BO2/CU2)</f>
        <v>0</v>
      </c>
      <c r="DK2" s="67">
        <f t="shared" ref="DK2:DK33" si="8">IF(BP2="",0,BP2/CV2)</f>
        <v>39.04110078648538</v>
      </c>
      <c r="DL2" s="67">
        <f t="shared" ref="DL2:DL33" si="9">IF(BQ2="",0,BQ2/CW2)</f>
        <v>14.994542368969364</v>
      </c>
      <c r="DM2" s="67">
        <f t="shared" ref="DM2:DM33" si="10">IF(BR2="",0,BR2/CX2)</f>
        <v>12.360262394236736</v>
      </c>
      <c r="DN2" s="67">
        <f t="shared" ref="DN2:DN33" si="11">IF(BS2="",0,BS2/CY2)</f>
        <v>20.925446552501139</v>
      </c>
      <c r="DO2" s="67">
        <f t="shared" ref="DO2:DO33" si="12">IF(BT2="",0,BT2/CZ2)</f>
        <v>17.874101849541159</v>
      </c>
      <c r="DP2" s="67">
        <f t="shared" ref="DP2:DP33" si="13">IF(BU2="",0,BU2/DA2)</f>
        <v>51.84480328652446</v>
      </c>
      <c r="DQ2" s="67">
        <f t="shared" ref="DQ2:DQ33" si="14">IF(BV2="",0,BV2/DB2)</f>
        <v>87.686186499613086</v>
      </c>
      <c r="DR2" s="67">
        <f t="shared" ref="DR2:DR33" si="15">IF(BW2="",0,BW2/DC2)</f>
        <v>83.187781528995956</v>
      </c>
      <c r="DS2" s="67">
        <f t="shared" ref="DS2:DS33" si="16">IF(BX2="",0,BX2/DD2)</f>
        <v>62.959532477549011</v>
      </c>
      <c r="DT2" s="67">
        <f t="shared" ref="DT2:DT33" si="17">IF(BY2="",0,BY2/DE2)</f>
        <v>0</v>
      </c>
      <c r="DU2" s="67">
        <f t="shared" ref="DU2:DU33" si="18">IF(BZ2="",0,BZ2/DF2)</f>
        <v>0</v>
      </c>
      <c r="DV2" s="67">
        <f t="shared" ref="DV2:DV33" si="19">IF(CA2="",0,CA2/DG2)</f>
        <v>3.6877605466237866</v>
      </c>
      <c r="DW2" s="67">
        <f t="shared" ref="DW2:DW33" si="20">IF(CB2="",0,CB2/DH2)</f>
        <v>7.6127435143060387</v>
      </c>
      <c r="DX2" s="67">
        <f t="shared" ref="DX2:DX33" si="21">IF(CC2="",0,CC2/DI2)</f>
        <v>78.881061177440785</v>
      </c>
    </row>
    <row r="3" spans="1:128" s="28" customFormat="1">
      <c r="A3" s="33" t="s">
        <v>54</v>
      </c>
      <c r="B3" s="205" t="s">
        <v>5559</v>
      </c>
      <c r="C3" t="str">
        <f>IF(VLOOKUP($A3,'B-Ligands'!$A:$G,5,FALSE)="","",VLOOKUP($A3,'B-Ligands'!$A:$G,5,FALSE))</f>
        <v>Guide To Pharmacology</v>
      </c>
      <c r="D3" s="19">
        <f>IF(VLOOKUP($A3,'B-Ligands'!$A:$G,6,FALSE)="","",VLOOKUP($A3,'B-Ligands'!$A:$G,6,FALSE))</f>
        <v>650</v>
      </c>
      <c r="E3" t="str">
        <f>IF(VLOOKUP($A3,'B-Ligands'!$A:$G,7,FALSE)="","",VLOOKUP($A3,'B-Ligands'!$A:$G,7,FALSE))</f>
        <v>Phys</v>
      </c>
      <c r="F3" s="20" t="str">
        <f t="shared" ref="F3:F5" si="22">IF(T3&gt;0,1,"")</f>
        <v/>
      </c>
      <c r="G3" s="19">
        <f t="shared" ref="G3:G5" si="23">IF(U3&gt;0,1,"")</f>
        <v>1</v>
      </c>
      <c r="H3" s="19">
        <f t="shared" ref="H3:H5" si="24">IF(V3&gt;0,1,"")</f>
        <v>1</v>
      </c>
      <c r="I3" s="19">
        <f t="shared" ref="I3:I5" si="25">IF(W3&gt;0,1,"")</f>
        <v>1</v>
      </c>
      <c r="J3" s="189">
        <f t="shared" ref="J3:J66" si="26">COUNTIF(L3:O3,"&gt;0")</f>
        <v>3</v>
      </c>
      <c r="K3" s="147" t="str">
        <f t="shared" ref="K3:K66" si="27">SUBSTITUTE(INDEX(T$1:W$1,1,MATCH(MAX(T3:W3),T3:W3,0)),"-fam","")</f>
        <v>Gq/11</v>
      </c>
      <c r="L3" s="20">
        <f t="shared" ref="L3:L66" si="28">IF(T3=0,0,_xlfn.RANK.EQ(T3,$T3:$W3,0))</f>
        <v>0</v>
      </c>
      <c r="M3" s="19">
        <f t="shared" ref="M3:M66" si="29">IF(U3=0,0,_xlfn.RANK.EQ(U3,$T3:$W3,0))</f>
        <v>3</v>
      </c>
      <c r="N3" s="19">
        <f t="shared" ref="N3:N66" si="30">IF(V3=0,0,_xlfn.RANK.EQ(V3,$T3:$W3,0))</f>
        <v>1</v>
      </c>
      <c r="O3" s="19">
        <f t="shared" ref="O3:O66" si="31">IF(W3=0,0,_xlfn.RANK.EQ(W3,$T3:$W3,0))</f>
        <v>2</v>
      </c>
      <c r="P3" s="20">
        <f t="shared" ref="P3:P66" si="32">T3/MAX($T3:$W3)*100</f>
        <v>0</v>
      </c>
      <c r="Q3" s="19">
        <f t="shared" ref="Q3:Q66" si="33">U3/MAX($T3:$W3)*100</f>
        <v>84.611568897029642</v>
      </c>
      <c r="R3" s="19">
        <f t="shared" ref="R3:R66" si="34">V3/MAX($T3:$W3)*100</f>
        <v>100</v>
      </c>
      <c r="S3" s="19">
        <f t="shared" ref="S3:S66" si="35">W3/MAX($T3:$W3)*100</f>
        <v>97.715006793194519</v>
      </c>
      <c r="T3" s="20">
        <f t="shared" ref="T3:T66" si="36">AK3</f>
        <v>0</v>
      </c>
      <c r="U3" s="21">
        <f t="shared" ref="U3:U66" si="37">MAX(AL3:AP3)</f>
        <v>7.9932155247522276</v>
      </c>
      <c r="V3" s="21">
        <f t="shared" ref="V3:V66" si="38">MAX(AQ3:AT3)</f>
        <v>9.4469534473232493</v>
      </c>
      <c r="W3" s="21">
        <f t="shared" ref="W3:W66" si="39">MAX(AU3:AV3)</f>
        <v>9.2310912028018368</v>
      </c>
      <c r="X3" s="147" t="str">
        <f t="shared" ref="X3:X66" si="40">INDEX(AK$1:AV$1,1,MATCH(MAX(AK3:AV3),AK3:AV3,0))</f>
        <v>G14</v>
      </c>
      <c r="Y3" s="32">
        <f t="shared" ref="Y3:Y66" si="41">AK3/MAX($AK3:$AV3)*100</f>
        <v>0</v>
      </c>
      <c r="Z3" s="31">
        <f t="shared" ref="Z3:Z66" si="42">AL3/MAX($AK3:$AV3)*100</f>
        <v>83.172064299867131</v>
      </c>
      <c r="AA3" s="31">
        <f t="shared" ref="AA3:AA66" si="43">AM3/MAX($AK3:$AV3)*100</f>
        <v>77.44368916414264</v>
      </c>
      <c r="AB3" s="31">
        <f t="shared" ref="AB3:AB66" si="44">AN3/MAX($AK3:$AV3)*100</f>
        <v>74.528714849560458</v>
      </c>
      <c r="AC3" s="31">
        <f t="shared" ref="AC3:AC66" si="45">AO3/MAX($AK3:$AV3)*100</f>
        <v>81.798461315443433</v>
      </c>
      <c r="AD3" s="31">
        <f t="shared" ref="AD3:AD66" si="46">AP3/MAX($AK3:$AV3)*100</f>
        <v>84.611568897029642</v>
      </c>
      <c r="AE3" s="31">
        <f t="shared" ref="AE3:AE66" si="47">AQ3/MAX($AK3:$AV3)*100</f>
        <v>99.99343712738029</v>
      </c>
      <c r="AF3" s="31">
        <f t="shared" ref="AF3:AF66" si="48">AR3/MAX($AK3:$AV3)*100</f>
        <v>99.690753847571528</v>
      </c>
      <c r="AG3" s="31">
        <f t="shared" ref="AG3:AG66" si="49">AS3/MAX($AK3:$AV3)*100</f>
        <v>100</v>
      </c>
      <c r="AH3" s="31">
        <f t="shared" ref="AH3:AH66" si="50">AT3/MAX($AK3:$AV3)*100</f>
        <v>92.586579552240721</v>
      </c>
      <c r="AI3" s="31">
        <f t="shared" ref="AI3:AI66" si="51">AU3/MAX($AK3:$AV3)*100</f>
        <v>97.715006793194519</v>
      </c>
      <c r="AJ3" s="31">
        <f t="shared" ref="AJ3:AJ66" si="52">AV3/MAX($AK3:$AV3)*100</f>
        <v>95.204424352971898</v>
      </c>
      <c r="AK3" s="7" cm="1">
        <f t="array" ref="AK3">_xlfn.IFS(AZ3=0,0,AZ3&gt;0,(LOG(0.01*AZ3/10^-CD3)))</f>
        <v>0</v>
      </c>
      <c r="AL3" s="8" cm="1">
        <f t="array" ref="AL3">_xlfn.IFS(BA3=0,0,BA3&gt;0,(LOG(0.01*BA3/10^-CE3)))</f>
        <v>7.8572261955862075</v>
      </c>
      <c r="AM3" s="8" cm="1">
        <f t="array" ref="AM3">_xlfn.IFS(BB3=0,0,BB3&gt;0,(LOG(0.01*BB3/10^-CF3)))</f>
        <v>7.3160692632262743</v>
      </c>
      <c r="AN3" s="8" cm="1">
        <f t="array" ref="AN3">_xlfn.IFS(BC3=0,0,BC3&gt;0,(LOG(0.01*BC3/10^-CG3)))</f>
        <v>7.040692996726265</v>
      </c>
      <c r="AO3" s="8" cm="1">
        <f t="array" ref="AO3">_xlfn.IFS(BD3=0,0,BD3&gt;0,(LOG(0.01*BD3/10^-CH3)))</f>
        <v>7.7274625610966572</v>
      </c>
      <c r="AP3" s="8" cm="1">
        <f t="array" ref="AP3">_xlfn.IFS(BE3=0,0,BE3&gt;0,(LOG(0.01*BE3/10^-CI3)))</f>
        <v>7.9932155247522276</v>
      </c>
      <c r="AQ3" s="8" cm="1">
        <f t="array" ref="AQ3">_xlfn.IFS(BF3=0,0,BF3&gt;0,(LOG(0.01*BF3/10^-CJ3)))</f>
        <v>9.4463334558020584</v>
      </c>
      <c r="AR3" s="8" cm="1">
        <f t="array" ref="AR3">_xlfn.IFS(BG3=0,0,BG3&gt;0,(LOG(0.01*BG3/10^-CK3)))</f>
        <v>9.4177391072656942</v>
      </c>
      <c r="AS3" s="8" cm="1">
        <f t="array" ref="AS3">_xlfn.IFS(BH3=0,0,BH3&gt;0,(LOG(0.01*BH3/10^-CL3)))</f>
        <v>9.4469534473232493</v>
      </c>
      <c r="AT3" s="8" cm="1">
        <f t="array" ref="AT3">_xlfn.IFS(BI3=0,0,BI3&gt;0,(LOG(0.01*BI3/10^-CM3)))</f>
        <v>8.7466110687690879</v>
      </c>
      <c r="AU3" s="8" cm="1">
        <f t="array" ref="AU3">_xlfn.IFS(BJ3=0,0,BJ3&gt;0,(LOG(0.01*BJ3/10^-CN3)))</f>
        <v>9.2310912028018368</v>
      </c>
      <c r="AV3" s="8" cm="1">
        <f t="array" ref="AV3">_xlfn.IFS(BK3=0,0,BK3&gt;0,(LOG(0.01*BK3/10^-CO3)))</f>
        <v>8.9939176484173338</v>
      </c>
      <c r="AW3" s="8" cm="1">
        <f t="array" ref="AW3">_xlfn.IFS(BL3=0,0,BL3&gt;0,(LOG(0.01*BL3/10^-CP3)))</f>
        <v>8.3877293152320558</v>
      </c>
      <c r="AX3" s="8" cm="1">
        <f t="array" ref="AX3">_xlfn.IFS(BM3=0,0,BM3&gt;0,(LOG(0.01*BM3/10^-CQ3)))</f>
        <v>8.0096846769532277</v>
      </c>
      <c r="AY3" s="8" cm="1">
        <f t="array" ref="AY3">_xlfn.IFS(BN3=0,0,BN3&gt;0,(LOG(0.01*BN3/10^-CR3)))</f>
        <v>8.1178115040910814</v>
      </c>
      <c r="AZ3" s="32">
        <f t="shared" ref="AZ3:AZ33" si="53">IF(BO3="",0,100*BO3/MAX(BO:BO))</f>
        <v>0</v>
      </c>
      <c r="BA3" s="31">
        <f t="shared" ref="BA3:BA66" si="54">IF(BP3="",0,100*BP3/MAX($BP:$BT))</f>
        <v>51.787648970747561</v>
      </c>
      <c r="BB3" s="31">
        <f t="shared" ref="BB3:BB66" si="55">IF(BQ3="",0,100*BQ3/MAX($BP:$BT))</f>
        <v>27.865655471289273</v>
      </c>
      <c r="BC3" s="31">
        <f t="shared" ref="BC3:BC66" si="56">IF(BR3="",0,100*BR3/MAX($BP:$BT))</f>
        <v>16.132177681473458</v>
      </c>
      <c r="BD3" s="31">
        <f t="shared" ref="BD3:BD66" si="57">IF(BS3="",0,100*BS3/MAX($BP:$BT))</f>
        <v>39.035752979414951</v>
      </c>
      <c r="BE3" s="31">
        <f t="shared" ref="BE3:BE66" si="58">IF(BT3="",0,100*BT3/MAX($BP:$BT))</f>
        <v>22.091007583965329</v>
      </c>
      <c r="BF3" s="31">
        <f t="shared" ref="BF3:BF66" si="59">IF(BU3="",0,100*BU3/MAX($BU:$BX))</f>
        <v>53.992502343017804</v>
      </c>
      <c r="BG3" s="31">
        <f t="shared" ref="BG3:BG66" si="60">IF(BV3="",0,100*BV3/MAX($BU:$BX))</f>
        <v>75.117150890346764</v>
      </c>
      <c r="BH3" s="31">
        <f t="shared" ref="BH3:BH66" si="61">IF(BW3="",0,100*BW3/MAX($BU:$BX))</f>
        <v>81.649484536082468</v>
      </c>
      <c r="BI3" s="31">
        <f t="shared" ref="BI3:BI66" si="62">IF(BX3="",0,100*BX3/MAX($BU:$BX))</f>
        <v>98.313027179006554</v>
      </c>
      <c r="BJ3" s="31">
        <f t="shared" ref="BJ3:BJ66" si="63">IF(BY3="",0,100*BY3/MAX($BY:$BZ))</f>
        <v>11.778532993486264</v>
      </c>
      <c r="BK3" s="31">
        <f t="shared" ref="BK3:BK66" si="64">IF(BZ3="",0,100*BZ3/MAX($BY:$BZ))</f>
        <v>68.535825545171335</v>
      </c>
      <c r="BL3" s="31">
        <f t="shared" ref="BL3:BL66" si="65">IF(CA3="",0,100*CA3/MAX($CA:$CC))</f>
        <v>58.308157099697887</v>
      </c>
      <c r="BM3" s="31">
        <f t="shared" ref="BM3:BM66" si="66">IF(CB3="",0,100*CB3/MAX($CA:$CC))</f>
        <v>29.832158442430345</v>
      </c>
      <c r="BN3" s="31">
        <f t="shared" ref="BN3:BN66" si="67">IF(CC3="",0,100*CC3/MAX($CA:$CC))</f>
        <v>39.610607586438405</v>
      </c>
      <c r="BO3" s="132"/>
      <c r="BP3" s="133">
        <v>478</v>
      </c>
      <c r="BQ3" s="133">
        <v>257.2</v>
      </c>
      <c r="BR3" s="133">
        <v>148.9</v>
      </c>
      <c r="BS3" s="133">
        <v>360.3</v>
      </c>
      <c r="BT3" s="133">
        <v>203.9</v>
      </c>
      <c r="BU3" s="133">
        <v>576.1</v>
      </c>
      <c r="BV3" s="133">
        <v>801.5</v>
      </c>
      <c r="BW3" s="133">
        <v>871.2</v>
      </c>
      <c r="BX3" s="133">
        <v>1049</v>
      </c>
      <c r="BY3" s="133">
        <v>83.18</v>
      </c>
      <c r="BZ3" s="133">
        <v>484</v>
      </c>
      <c r="CA3" s="133">
        <v>1737</v>
      </c>
      <c r="CB3" s="133">
        <v>888.7</v>
      </c>
      <c r="CC3" s="133">
        <v>1180</v>
      </c>
      <c r="CD3" s="36"/>
      <c r="CE3" s="34">
        <v>8.1430000000000007</v>
      </c>
      <c r="CF3" s="34">
        <v>7.8710000000000004</v>
      </c>
      <c r="CG3" s="34">
        <v>7.8330000000000002</v>
      </c>
      <c r="CH3" s="34">
        <v>8.1359999999999992</v>
      </c>
      <c r="CI3" s="34">
        <v>8.6489999999999991</v>
      </c>
      <c r="CJ3" s="34">
        <v>9.7140000000000004</v>
      </c>
      <c r="CK3" s="34">
        <v>9.5419999999999998</v>
      </c>
      <c r="CL3" s="34">
        <v>9.5350000000000001</v>
      </c>
      <c r="CM3" s="34">
        <v>8.7539999999999996</v>
      </c>
      <c r="CN3" s="34">
        <v>10.16</v>
      </c>
      <c r="CO3" s="34">
        <v>9.1579999999999995</v>
      </c>
      <c r="CP3" s="34">
        <v>8.6219999999999999</v>
      </c>
      <c r="CQ3" s="34">
        <v>8.5350000000000001</v>
      </c>
      <c r="CR3" s="34">
        <v>8.52</v>
      </c>
      <c r="CS3" s="168" t="str">
        <f>IF(VLOOKUP($A3,'B-Ligands'!$A:$G,3,FALSE)="","",VLOOKUP($A3,'B-Ligands'!$A:$G,3,FALSE))</f>
        <v/>
      </c>
      <c r="CT3" s="169" t="str">
        <f>IF(VLOOKUP($A3,'B-Ligands'!$A:$G,4,FALSE)="","",VLOOKUP($A3,'B-Ligands'!$A:$G,4,FALSE))</f>
        <v>Kallidin</v>
      </c>
      <c r="CU3" s="132">
        <v>19.117169221884605</v>
      </c>
      <c r="CV3" s="133">
        <v>32.154339849868073</v>
      </c>
      <c r="CW3" s="133">
        <v>28.669607657556401</v>
      </c>
      <c r="CX3" s="133">
        <v>26.284110215730404</v>
      </c>
      <c r="CY3" s="133">
        <v>26.746391890811974</v>
      </c>
      <c r="CZ3" s="133">
        <v>18.744433216357898</v>
      </c>
      <c r="DA3" s="133">
        <v>4.4375050388241677</v>
      </c>
      <c r="DB3" s="133">
        <v>21.933325979669966</v>
      </c>
      <c r="DC3" s="133">
        <v>12.624712640686703</v>
      </c>
      <c r="DD3" s="133">
        <v>12.184549510242119</v>
      </c>
      <c r="DE3" s="133">
        <v>8.9232861271764961</v>
      </c>
      <c r="DF3" s="133">
        <v>10.584936948020859</v>
      </c>
      <c r="DG3" s="133">
        <v>23.230597422266939</v>
      </c>
      <c r="DH3" s="133">
        <v>13.492496884831645</v>
      </c>
      <c r="DI3" s="133">
        <v>21.537564344397573</v>
      </c>
      <c r="DJ3" s="66">
        <f t="shared" si="7"/>
        <v>0</v>
      </c>
      <c r="DK3" s="67">
        <f t="shared" si="8"/>
        <v>14.865800455920764</v>
      </c>
      <c r="DL3" s="67">
        <f t="shared" si="9"/>
        <v>8.9711726463829091</v>
      </c>
      <c r="DM3" s="67">
        <f t="shared" si="10"/>
        <v>5.6650196174754646</v>
      </c>
      <c r="DN3" s="67">
        <f t="shared" si="11"/>
        <v>13.470975878573427</v>
      </c>
      <c r="DO3" s="67">
        <f t="shared" si="12"/>
        <v>10.877896261064885</v>
      </c>
      <c r="DP3" s="67">
        <f t="shared" si="13"/>
        <v>129.82520469490052</v>
      </c>
      <c r="DQ3" s="67">
        <f t="shared" si="14"/>
        <v>36.542565443239731</v>
      </c>
      <c r="DR3" s="67">
        <f t="shared" si="15"/>
        <v>69.007511283251858</v>
      </c>
      <c r="DS3" s="67">
        <f t="shared" si="16"/>
        <v>86.092637164650938</v>
      </c>
      <c r="DT3" s="67">
        <f t="shared" si="17"/>
        <v>9.3216780023078556</v>
      </c>
      <c r="DU3" s="67">
        <f t="shared" si="18"/>
        <v>45.725355037707324</v>
      </c>
      <c r="DV3" s="67">
        <f t="shared" si="19"/>
        <v>74.772076172912136</v>
      </c>
      <c r="DW3" s="67">
        <f t="shared" si="20"/>
        <v>65.866237182465653</v>
      </c>
      <c r="DX3" s="67">
        <f t="shared" si="21"/>
        <v>54.787996503743273</v>
      </c>
    </row>
    <row r="4" spans="1:128" s="28" customFormat="1">
      <c r="A4" s="33" t="s">
        <v>34</v>
      </c>
      <c r="B4" s="205" t="s">
        <v>5559</v>
      </c>
      <c r="C4" t="str">
        <f>IF(VLOOKUP($A4,'B-Ligands'!$A:$G,5,FALSE)="","",VLOOKUP($A4,'B-Ligands'!$A:$G,5,FALSE))</f>
        <v>Guide To Pharmacology</v>
      </c>
      <c r="D4" s="19">
        <f>IF(VLOOKUP($A4,'B-Ligands'!$A:$G,6,FALSE)="","",VLOOKUP($A4,'B-Ligands'!$A:$G,6,FALSE))</f>
        <v>484</v>
      </c>
      <c r="E4" t="str">
        <f>IF(VLOOKUP($A4,'B-Ligands'!$A:$G,7,FALSE)="","",VLOOKUP($A4,'B-Ligands'!$A:$G,7,FALSE))</f>
        <v>Phys</v>
      </c>
      <c r="F4" s="20">
        <f t="shared" si="22"/>
        <v>1</v>
      </c>
      <c r="G4" s="19">
        <f t="shared" si="23"/>
        <v>1</v>
      </c>
      <c r="H4" s="19">
        <f t="shared" si="24"/>
        <v>1</v>
      </c>
      <c r="I4" s="19" t="str">
        <f t="shared" si="25"/>
        <v/>
      </c>
      <c r="J4" s="189">
        <f t="shared" si="26"/>
        <v>3</v>
      </c>
      <c r="K4" s="147" t="str">
        <f t="shared" si="27"/>
        <v>Gq/11</v>
      </c>
      <c r="L4" s="20">
        <f t="shared" si="28"/>
        <v>2</v>
      </c>
      <c r="M4" s="19">
        <f t="shared" si="29"/>
        <v>3</v>
      </c>
      <c r="N4" s="19">
        <f t="shared" si="30"/>
        <v>1</v>
      </c>
      <c r="O4" s="19">
        <f t="shared" si="31"/>
        <v>0</v>
      </c>
      <c r="P4" s="20">
        <f t="shared" si="32"/>
        <v>84.643002367406481</v>
      </c>
      <c r="Q4" s="19">
        <f t="shared" si="33"/>
        <v>77.877047432523028</v>
      </c>
      <c r="R4" s="19">
        <f t="shared" si="34"/>
        <v>100</v>
      </c>
      <c r="S4" s="19">
        <f t="shared" si="35"/>
        <v>0</v>
      </c>
      <c r="T4" s="20">
        <f t="shared" si="36"/>
        <v>6.5774967638172681</v>
      </c>
      <c r="U4" s="21">
        <f t="shared" si="37"/>
        <v>6.0517232746497074</v>
      </c>
      <c r="V4" s="21">
        <f t="shared" si="38"/>
        <v>7.7708689198743111</v>
      </c>
      <c r="W4" s="21">
        <f t="shared" si="39"/>
        <v>0</v>
      </c>
      <c r="X4" s="147" t="str">
        <f t="shared" si="40"/>
        <v>G15</v>
      </c>
      <c r="Y4" s="32">
        <f t="shared" si="41"/>
        <v>84.643002367406481</v>
      </c>
      <c r="Z4" s="31">
        <f t="shared" si="42"/>
        <v>75.908978521727931</v>
      </c>
      <c r="AA4" s="31">
        <f t="shared" si="43"/>
        <v>0</v>
      </c>
      <c r="AB4" s="31">
        <f t="shared" si="44"/>
        <v>77.877047432523028</v>
      </c>
      <c r="AC4" s="31">
        <f t="shared" si="45"/>
        <v>0</v>
      </c>
      <c r="AD4" s="31">
        <f t="shared" si="46"/>
        <v>0</v>
      </c>
      <c r="AE4" s="31">
        <f t="shared" si="47"/>
        <v>97.195587171922753</v>
      </c>
      <c r="AF4" s="31">
        <f t="shared" si="48"/>
        <v>96.785805005393229</v>
      </c>
      <c r="AG4" s="31">
        <f t="shared" si="49"/>
        <v>84.966091322642995</v>
      </c>
      <c r="AH4" s="31">
        <f t="shared" si="50"/>
        <v>100</v>
      </c>
      <c r="AI4" s="31">
        <f t="shared" si="51"/>
        <v>0</v>
      </c>
      <c r="AJ4" s="31">
        <f t="shared" si="52"/>
        <v>0</v>
      </c>
      <c r="AK4" s="7" cm="1">
        <f t="array" ref="AK4">_xlfn.IFS(AZ4=0,0,AZ4&gt;0,(LOG(0.01*AZ4/10^-CD4)))</f>
        <v>6.5774967638172681</v>
      </c>
      <c r="AL4" s="8" cm="1">
        <f t="array" ref="AL4">_xlfn.IFS(BA4=0,0,BA4&gt;0,(LOG(0.01*BA4/10^-CE4)))</f>
        <v>5.8987872193390221</v>
      </c>
      <c r="AM4" s="8" cm="1">
        <f t="array" ref="AM4">_xlfn.IFS(BB4=0,0,BB4&gt;0,(LOG(0.01*BB4/10^-CF4)))</f>
        <v>0</v>
      </c>
      <c r="AN4" s="8" cm="1">
        <f t="array" ref="AN4">_xlfn.IFS(BC4=0,0,BC4&gt;0,(LOG(0.01*BC4/10^-CG4)))</f>
        <v>6.0517232746497074</v>
      </c>
      <c r="AO4" s="8" cm="1">
        <f t="array" ref="AO4">_xlfn.IFS(BD4=0,0,BD4&gt;0,(LOG(0.01*BD4/10^-CH4)))</f>
        <v>0</v>
      </c>
      <c r="AP4" s="8" cm="1">
        <f t="array" ref="AP4">_xlfn.IFS(BE4=0,0,BE4&gt;0,(LOG(0.01*BE4/10^-CI4)))</f>
        <v>0</v>
      </c>
      <c r="AQ4" s="8" cm="1">
        <f t="array" ref="AQ4">_xlfn.IFS(BF4=0,0,BF4&gt;0,(LOG(0.01*BF4/10^-CJ4)))</f>
        <v>7.5529416750322884</v>
      </c>
      <c r="AR4" s="8" cm="1">
        <f t="array" ref="AR4">_xlfn.IFS(BG4=0,0,BG4&gt;0,(LOG(0.01*BG4/10^-CK4)))</f>
        <v>7.521098040014258</v>
      </c>
      <c r="AS4" s="8" cm="1">
        <f t="array" ref="AS4">_xlfn.IFS(BH4=0,0,BH4&gt;0,(LOG(0.01*BH4/10^-CL4)))</f>
        <v>6.6026035830232876</v>
      </c>
      <c r="AT4" s="8" cm="1">
        <f t="array" ref="AT4">_xlfn.IFS(BI4=0,0,BI4&gt;0,(LOG(0.01*BI4/10^-CM4)))</f>
        <v>7.7708689198743111</v>
      </c>
      <c r="AU4" s="8" cm="1">
        <f t="array" ref="AU4">_xlfn.IFS(BJ4=0,0,BJ4&gt;0,(LOG(0.01*BJ4/10^-CN4)))</f>
        <v>0</v>
      </c>
      <c r="AV4" s="8" cm="1">
        <f t="array" ref="AV4">_xlfn.IFS(BK4=0,0,BK4&gt;0,(LOG(0.01*BK4/10^-CO4)))</f>
        <v>0</v>
      </c>
      <c r="AW4" s="8" cm="1">
        <f t="array" ref="AW4">_xlfn.IFS(BL4=0,0,BL4&gt;0,(LOG(0.01*BL4/10^-CP4)))</f>
        <v>0</v>
      </c>
      <c r="AX4" s="8" cm="1">
        <f t="array" ref="AX4">_xlfn.IFS(BM4=0,0,BM4&gt;0,(LOG(0.01*BM4/10^-CQ4)))</f>
        <v>0</v>
      </c>
      <c r="AY4" s="8" cm="1">
        <f t="array" ref="AY4">_xlfn.IFS(BN4=0,0,BN4&gt;0,(LOG(0.01*BN4/10^-CR4)))</f>
        <v>4.8046830977377857</v>
      </c>
      <c r="AZ4" s="32">
        <f t="shared" si="53"/>
        <v>56.950398040416424</v>
      </c>
      <c r="BA4" s="31">
        <f t="shared" si="54"/>
        <v>4.5059588299024922</v>
      </c>
      <c r="BB4" s="31">
        <f t="shared" si="55"/>
        <v>0</v>
      </c>
      <c r="BC4" s="31">
        <f t="shared" si="56"/>
        <v>4.1278439869989167</v>
      </c>
      <c r="BD4" s="31">
        <f t="shared" si="57"/>
        <v>0</v>
      </c>
      <c r="BE4" s="31">
        <f t="shared" si="58"/>
        <v>0</v>
      </c>
      <c r="BF4" s="31">
        <f t="shared" si="59"/>
        <v>64.854732895970002</v>
      </c>
      <c r="BG4" s="31">
        <f t="shared" si="60"/>
        <v>70</v>
      </c>
      <c r="BH4" s="31">
        <f t="shared" si="61"/>
        <v>77.553889409559517</v>
      </c>
      <c r="BI4" s="31">
        <f t="shared" si="62"/>
        <v>97.469540768509844</v>
      </c>
      <c r="BJ4" s="31">
        <f t="shared" si="63"/>
        <v>0</v>
      </c>
      <c r="BK4" s="31">
        <f t="shared" si="64"/>
        <v>0</v>
      </c>
      <c r="BL4" s="31">
        <f t="shared" si="65"/>
        <v>0</v>
      </c>
      <c r="BM4" s="31">
        <f t="shared" si="66"/>
        <v>0</v>
      </c>
      <c r="BN4" s="31">
        <f t="shared" si="67"/>
        <v>0.63779791876468617</v>
      </c>
      <c r="BO4" s="132">
        <v>37.200000000000003</v>
      </c>
      <c r="BP4" s="172">
        <v>41.59</v>
      </c>
      <c r="BQ4" s="173"/>
      <c r="BR4" s="172">
        <v>38.1</v>
      </c>
      <c r="BS4" s="173"/>
      <c r="BT4" s="173"/>
      <c r="BU4" s="133">
        <v>692</v>
      </c>
      <c r="BV4" s="133">
        <v>746.9</v>
      </c>
      <c r="BW4" s="133">
        <v>827.5</v>
      </c>
      <c r="BX4" s="133">
        <v>1040</v>
      </c>
      <c r="BY4" s="133"/>
      <c r="BZ4" s="133"/>
      <c r="CA4" s="133"/>
      <c r="CB4" s="133"/>
      <c r="CC4" s="172">
        <v>19</v>
      </c>
      <c r="CD4" s="36">
        <v>6.8220000000000001</v>
      </c>
      <c r="CE4" s="38">
        <v>7.2450000000000001</v>
      </c>
      <c r="CF4" s="41"/>
      <c r="CG4" s="38">
        <v>7.4359999999999999</v>
      </c>
      <c r="CH4" s="41"/>
      <c r="CI4" s="41"/>
      <c r="CJ4" s="34">
        <v>7.7409999999999997</v>
      </c>
      <c r="CK4" s="34">
        <v>7.6760000000000002</v>
      </c>
      <c r="CL4" s="34">
        <v>6.7130000000000001</v>
      </c>
      <c r="CM4" s="34">
        <v>7.782</v>
      </c>
      <c r="CN4" s="34"/>
      <c r="CO4" s="34"/>
      <c r="CP4" s="34"/>
      <c r="CQ4" s="34"/>
      <c r="CR4" s="38">
        <v>7</v>
      </c>
      <c r="CS4" s="168" t="str">
        <f>IF(VLOOKUP($A4,'B-Ligands'!$A:$G,3,FALSE)="","",VLOOKUP($A4,'B-Ligands'!$A:$G,3,FALSE))</f>
        <v/>
      </c>
      <c r="CT4" s="169" t="str">
        <f>IF(VLOOKUP($A4,'B-Ligands'!$A:$G,4,FALSE)="","",VLOOKUP($A4,'B-Ligands'!$A:$G,4,FALSE))</f>
        <v>Noradrenaline</v>
      </c>
      <c r="CU4" s="132">
        <v>13.356204077439971</v>
      </c>
      <c r="CV4" s="133">
        <v>26.030223264476934</v>
      </c>
      <c r="CW4" s="133">
        <v>22.377924996977512</v>
      </c>
      <c r="CX4" s="133">
        <v>20.763890013390974</v>
      </c>
      <c r="CY4" s="133">
        <v>5.8149318661993608</v>
      </c>
      <c r="CZ4" s="133">
        <v>43.144067484934354</v>
      </c>
      <c r="DA4" s="133">
        <v>24.579985006877074</v>
      </c>
      <c r="DB4" s="133">
        <v>24.593236331029292</v>
      </c>
      <c r="DC4" s="133">
        <v>27.979712244929122</v>
      </c>
      <c r="DD4" s="133">
        <v>12.609480580342098</v>
      </c>
      <c r="DE4" s="133">
        <v>23.131809843884533</v>
      </c>
      <c r="DF4" s="133">
        <v>29.783521919596833</v>
      </c>
      <c r="DG4" s="133">
        <v>47.249447489529921</v>
      </c>
      <c r="DH4" s="133">
        <v>50.450375133671855</v>
      </c>
      <c r="DI4" s="133">
        <v>15.540808377726327</v>
      </c>
      <c r="DJ4" s="66">
        <f t="shared" si="7"/>
        <v>2.7852224916834496</v>
      </c>
      <c r="DK4" s="67">
        <f t="shared" si="8"/>
        <v>1.5977580974788361</v>
      </c>
      <c r="DL4" s="67">
        <f t="shared" si="9"/>
        <v>0</v>
      </c>
      <c r="DM4" s="67">
        <f t="shared" si="10"/>
        <v>1.8349162885869983</v>
      </c>
      <c r="DN4" s="67">
        <f t="shared" si="11"/>
        <v>0</v>
      </c>
      <c r="DO4" s="67">
        <f t="shared" si="12"/>
        <v>0</v>
      </c>
      <c r="DP4" s="67">
        <f t="shared" si="13"/>
        <v>28.152987066769562</v>
      </c>
      <c r="DQ4" s="67">
        <f t="shared" si="14"/>
        <v>30.370138762812445</v>
      </c>
      <c r="DR4" s="67">
        <f t="shared" si="15"/>
        <v>29.575000370133228</v>
      </c>
      <c r="DS4" s="67">
        <f t="shared" si="16"/>
        <v>82.477624147447997</v>
      </c>
      <c r="DT4" s="67">
        <f t="shared" si="17"/>
        <v>0</v>
      </c>
      <c r="DU4" s="67">
        <f t="shared" si="18"/>
        <v>0</v>
      </c>
      <c r="DV4" s="67">
        <f t="shared" si="19"/>
        <v>0</v>
      </c>
      <c r="DW4" s="67">
        <f t="shared" si="20"/>
        <v>0</v>
      </c>
      <c r="DX4" s="67">
        <f t="shared" si="21"/>
        <v>1.2225876246715401</v>
      </c>
    </row>
    <row r="5" spans="1:128" s="28" customFormat="1">
      <c r="A5" s="33" t="s">
        <v>27</v>
      </c>
      <c r="B5" s="205" t="s">
        <v>5559</v>
      </c>
      <c r="C5" t="str">
        <f>IF(VLOOKUP($A5,'B-Ligands'!$A:$G,5,FALSE)="","",VLOOKUP($A5,'B-Ligands'!$A:$G,5,FALSE))</f>
        <v>Guide To Pharmacology</v>
      </c>
      <c r="D5" s="19">
        <f>IF(VLOOKUP($A5,'B-Ligands'!$A:$G,6,FALSE)="","",VLOOKUP($A5,'B-Ligands'!$A:$G,6,FALSE))</f>
        <v>294</v>
      </c>
      <c r="E5" t="str">
        <f>IF(VLOOKUP($A5,'B-Ligands'!$A:$G,7,FALSE)="","",VLOOKUP($A5,'B-Ligands'!$A:$G,7,FALSE))</f>
        <v>Phys</v>
      </c>
      <c r="F5" s="20">
        <f t="shared" si="22"/>
        <v>1</v>
      </c>
      <c r="G5" s="19">
        <f t="shared" si="23"/>
        <v>1</v>
      </c>
      <c r="H5" s="19">
        <f t="shared" si="24"/>
        <v>1</v>
      </c>
      <c r="I5" s="19" t="str">
        <f t="shared" si="25"/>
        <v/>
      </c>
      <c r="J5" s="189">
        <f t="shared" si="26"/>
        <v>3</v>
      </c>
      <c r="K5" s="147" t="str">
        <f t="shared" si="27"/>
        <v>Gi/o</v>
      </c>
      <c r="L5" s="20">
        <f t="shared" si="28"/>
        <v>3</v>
      </c>
      <c r="M5" s="19">
        <f t="shared" si="29"/>
        <v>1</v>
      </c>
      <c r="N5" s="19">
        <f t="shared" si="30"/>
        <v>2</v>
      </c>
      <c r="O5" s="19">
        <f t="shared" si="31"/>
        <v>0</v>
      </c>
      <c r="P5" s="20">
        <f t="shared" si="32"/>
        <v>65.080576391487156</v>
      </c>
      <c r="Q5" s="19">
        <f t="shared" si="33"/>
        <v>100</v>
      </c>
      <c r="R5" s="19">
        <f t="shared" si="34"/>
        <v>86.322501435808178</v>
      </c>
      <c r="S5" s="19">
        <f t="shared" si="35"/>
        <v>0</v>
      </c>
      <c r="T5" s="20">
        <f t="shared" si="36"/>
        <v>5.6068425470068091</v>
      </c>
      <c r="U5" s="21">
        <f t="shared" si="37"/>
        <v>8.6152318524029088</v>
      </c>
      <c r="V5" s="21">
        <f t="shared" si="38"/>
        <v>7.4368836394887037</v>
      </c>
      <c r="W5" s="21">
        <f t="shared" si="39"/>
        <v>0</v>
      </c>
      <c r="X5" s="147" t="str">
        <f t="shared" si="40"/>
        <v>GoB</v>
      </c>
      <c r="Y5" s="32">
        <f t="shared" si="41"/>
        <v>65.080576391487156</v>
      </c>
      <c r="Z5" s="31">
        <f t="shared" si="42"/>
        <v>92.032275230278387</v>
      </c>
      <c r="AA5" s="31">
        <f t="shared" si="43"/>
        <v>87.88281311148927</v>
      </c>
      <c r="AB5" s="31">
        <f t="shared" si="44"/>
        <v>93.510984536833277</v>
      </c>
      <c r="AC5" s="31">
        <f t="shared" si="45"/>
        <v>100</v>
      </c>
      <c r="AD5" s="31">
        <f t="shared" si="46"/>
        <v>92.48858327372298</v>
      </c>
      <c r="AE5" s="31">
        <f t="shared" si="47"/>
        <v>0</v>
      </c>
      <c r="AF5" s="31">
        <f t="shared" si="48"/>
        <v>0</v>
      </c>
      <c r="AG5" s="31">
        <f t="shared" si="49"/>
        <v>52.152012895276755</v>
      </c>
      <c r="AH5" s="31">
        <f t="shared" si="50"/>
        <v>86.322501435808178</v>
      </c>
      <c r="AI5" s="31">
        <f t="shared" si="51"/>
        <v>0</v>
      </c>
      <c r="AJ5" s="31">
        <f t="shared" si="52"/>
        <v>0</v>
      </c>
      <c r="AK5" s="7" cm="1">
        <f t="array" ref="AK5">_xlfn.IFS(AZ5=0,0,AZ5&gt;0,(LOG(0.01*AZ5/10^-CD5)))</f>
        <v>5.6068425470068091</v>
      </c>
      <c r="AL5" s="8" cm="1">
        <f t="array" ref="AL5">_xlfn.IFS(BA5=0,0,BA5&gt;0,(LOG(0.01*BA5/10^-CE5)))</f>
        <v>7.9287938901300565</v>
      </c>
      <c r="AM5" s="8" cm="1">
        <f t="array" ref="AM5">_xlfn.IFS(BB5=0,0,BB5&gt;0,(LOG(0.01*BB5/10^-CF5)))</f>
        <v>7.5713081079687434</v>
      </c>
      <c r="AN5" s="8" cm="1">
        <f t="array" ref="AN5">_xlfn.IFS(BC5=0,0,BC5&gt;0,(LOG(0.01*BC5/10^-CG5)))</f>
        <v>8.0561881253128185</v>
      </c>
      <c r="AO5" s="8" cm="1">
        <f t="array" ref="AO5">_xlfn.IFS(BD5=0,0,BD5&gt;0,(LOG(0.01*BD5/10^-CH5)))</f>
        <v>8.6152318524029088</v>
      </c>
      <c r="AP5" s="8" cm="1">
        <f t="array" ref="AP5">_xlfn.IFS(BE5=0,0,BE5&gt;0,(LOG(0.01*BE5/10^-CI5)))</f>
        <v>7.9681058860339711</v>
      </c>
      <c r="AQ5" s="8" cm="1">
        <f t="array" ref="AQ5">_xlfn.IFS(BF5=0,0,BF5&gt;0,(LOG(0.01*BF5/10^-CJ5)))</f>
        <v>0</v>
      </c>
      <c r="AR5" s="8" cm="1">
        <f t="array" ref="AR5">_xlfn.IFS(BG5=0,0,BG5&gt;0,(LOG(0.01*BG5/10^-CK5)))</f>
        <v>0</v>
      </c>
      <c r="AS5" s="8" cm="1">
        <f t="array" ref="AS5">_xlfn.IFS(BH5=0,0,BH5&gt;0,(LOG(0.01*BH5/10^-CL5)))</f>
        <v>4.4930168266231556</v>
      </c>
      <c r="AT5" s="8" cm="1">
        <f t="array" ref="AT5">_xlfn.IFS(BI5=0,0,BI5&gt;0,(LOG(0.01*BI5/10^-CM5)))</f>
        <v>7.4368836394887037</v>
      </c>
      <c r="AU5" s="8" cm="1">
        <f t="array" ref="AU5">_xlfn.IFS(BJ5=0,0,BJ5&gt;0,(LOG(0.01*BJ5/10^-CN5)))</f>
        <v>0</v>
      </c>
      <c r="AV5" s="8" cm="1">
        <f t="array" ref="AV5">_xlfn.IFS(BK5=0,0,BK5&gt;0,(LOG(0.01*BK5/10^-CO5)))</f>
        <v>0</v>
      </c>
      <c r="AW5" s="8" cm="1">
        <f t="array" ref="AW5">_xlfn.IFS(BL5=0,0,BL5&gt;0,(LOG(0.01*BL5/10^-CP5)))</f>
        <v>7.0239902907215619</v>
      </c>
      <c r="AX5" s="8" cm="1">
        <f t="array" ref="AX5">_xlfn.IFS(BM5=0,0,BM5&gt;0,(LOG(0.01*BM5/10^-CQ5)))</f>
        <v>5.2788013143250074</v>
      </c>
      <c r="AY5" s="8" cm="1">
        <f t="array" ref="AY5">_xlfn.IFS(BN5=0,0,BN5&gt;0,(LOG(0.01*BN5/10^-CR5)))</f>
        <v>7.2072554221469947</v>
      </c>
      <c r="AZ5" s="32">
        <f t="shared" si="53"/>
        <v>34.185548071034908</v>
      </c>
      <c r="BA5" s="31">
        <f t="shared" si="54"/>
        <v>72.24268689057422</v>
      </c>
      <c r="BB5" s="31">
        <f t="shared" si="55"/>
        <v>42.296858071505959</v>
      </c>
      <c r="BC5" s="31">
        <f t="shared" si="56"/>
        <v>26.435536294691225</v>
      </c>
      <c r="BD5" s="31">
        <f t="shared" si="57"/>
        <v>36.327193932827733</v>
      </c>
      <c r="BE5" s="31">
        <f t="shared" si="58"/>
        <v>28.255687973997833</v>
      </c>
      <c r="BF5" s="31">
        <f t="shared" si="59"/>
        <v>0</v>
      </c>
      <c r="BG5" s="31">
        <f t="shared" si="60"/>
        <v>0</v>
      </c>
      <c r="BH5" s="31">
        <f t="shared" si="61"/>
        <v>11.246485473289598</v>
      </c>
      <c r="BI5" s="31">
        <f t="shared" si="62"/>
        <v>89.718837863167764</v>
      </c>
      <c r="BJ5" s="31">
        <f t="shared" si="63"/>
        <v>0</v>
      </c>
      <c r="BK5" s="31">
        <f t="shared" si="64"/>
        <v>0</v>
      </c>
      <c r="BL5" s="31">
        <f t="shared" si="65"/>
        <v>48.304800268546494</v>
      </c>
      <c r="BM5" s="31">
        <f t="shared" si="66"/>
        <v>27.593152064451157</v>
      </c>
      <c r="BN5" s="31">
        <f t="shared" si="67"/>
        <v>39.107082913729442</v>
      </c>
      <c r="BO5" s="134">
        <v>22.33</v>
      </c>
      <c r="BP5" s="135">
        <v>666.8</v>
      </c>
      <c r="BQ5" s="135">
        <v>390.4</v>
      </c>
      <c r="BR5" s="135">
        <v>244</v>
      </c>
      <c r="BS5" s="135">
        <v>335.3</v>
      </c>
      <c r="BT5" s="135">
        <v>260.8</v>
      </c>
      <c r="BU5" s="173"/>
      <c r="BV5" s="173"/>
      <c r="BW5" s="135">
        <v>120</v>
      </c>
      <c r="BX5" s="135">
        <v>957.3</v>
      </c>
      <c r="BY5" s="135"/>
      <c r="BZ5" s="135"/>
      <c r="CA5" s="135">
        <v>1439</v>
      </c>
      <c r="CB5" s="135">
        <v>822</v>
      </c>
      <c r="CC5" s="135">
        <v>1165</v>
      </c>
      <c r="CD5" s="30">
        <v>6.0730000000000004</v>
      </c>
      <c r="CE5" s="29">
        <v>8.07</v>
      </c>
      <c r="CF5" s="29">
        <v>7.9450000000000003</v>
      </c>
      <c r="CG5" s="29">
        <v>8.6340000000000003</v>
      </c>
      <c r="CH5" s="29">
        <v>9.0549999999999997</v>
      </c>
      <c r="CI5" s="29">
        <v>8.5169999999999995</v>
      </c>
      <c r="CJ5" s="37"/>
      <c r="CK5" s="37"/>
      <c r="CL5" s="29">
        <v>5.4420000000000002</v>
      </c>
      <c r="CM5" s="29">
        <v>7.484</v>
      </c>
      <c r="CN5" s="29"/>
      <c r="CO5" s="29"/>
      <c r="CP5" s="29">
        <v>7.34</v>
      </c>
      <c r="CQ5" s="29">
        <v>5.8380000000000001</v>
      </c>
      <c r="CR5" s="29">
        <v>7.6150000000000002</v>
      </c>
      <c r="CS5" s="168" t="str">
        <f>IF(VLOOKUP($A5,'B-Ligands'!$A:$G,3,FALSE)="","",VLOOKUP($A5,'B-Ligands'!$A:$G,3,FALSE))</f>
        <v/>
      </c>
      <c r="CT5" s="169" t="str">
        <f>IF(VLOOKUP($A5,'B-Ligands'!$A:$G,4,FALSE)="","",VLOOKUP($A5,'B-Ligands'!$A:$G,4,FALSE))</f>
        <v>Acetylcholine</v>
      </c>
      <c r="CU5" s="134">
        <v>7.7106114212276964</v>
      </c>
      <c r="CV5" s="135">
        <v>6.4708386547466965</v>
      </c>
      <c r="CW5" s="135">
        <v>6.0484320285927931</v>
      </c>
      <c r="CX5" s="135">
        <v>8.6429457019180038</v>
      </c>
      <c r="CY5" s="135">
        <v>5.2789548633021761</v>
      </c>
      <c r="CZ5" s="135">
        <v>12.340906755586955</v>
      </c>
      <c r="DA5" s="135">
        <v>6.2282611999873927</v>
      </c>
      <c r="DB5" s="135">
        <v>5.9777928197983208</v>
      </c>
      <c r="DC5" s="135">
        <v>0.9899432213456586</v>
      </c>
      <c r="DD5" s="135">
        <v>6.2440639255093462</v>
      </c>
      <c r="DE5" s="135">
        <v>4.2230856928580565</v>
      </c>
      <c r="DF5" s="135">
        <v>15.182255161864745</v>
      </c>
      <c r="DG5" s="135">
        <v>9.4496451244609414</v>
      </c>
      <c r="DH5" s="135">
        <v>7.1145557830228841</v>
      </c>
      <c r="DI5" s="135">
        <v>11.288350948703709</v>
      </c>
      <c r="DJ5" s="66">
        <f t="shared" si="7"/>
        <v>2.8960089907428612</v>
      </c>
      <c r="DK5" s="67">
        <f t="shared" si="8"/>
        <v>103.04692105263165</v>
      </c>
      <c r="DL5" s="67">
        <f t="shared" si="9"/>
        <v>64.545653841269839</v>
      </c>
      <c r="DM5" s="67">
        <f t="shared" si="10"/>
        <v>28.231115688468645</v>
      </c>
      <c r="DN5" s="67">
        <f t="shared" si="11"/>
        <v>63.516360469552829</v>
      </c>
      <c r="DO5" s="67">
        <f t="shared" si="12"/>
        <v>21.132969008288718</v>
      </c>
      <c r="DP5" s="67">
        <f t="shared" si="13"/>
        <v>0</v>
      </c>
      <c r="DQ5" s="67">
        <f t="shared" si="14"/>
        <v>0</v>
      </c>
      <c r="DR5" s="67">
        <f t="shared" si="15"/>
        <v>121.21907338976523</v>
      </c>
      <c r="DS5" s="67">
        <f t="shared" si="16"/>
        <v>153.313612964318</v>
      </c>
      <c r="DT5" s="67">
        <f t="shared" si="17"/>
        <v>0</v>
      </c>
      <c r="DU5" s="67">
        <f t="shared" si="18"/>
        <v>0</v>
      </c>
      <c r="DV5" s="67">
        <f t="shared" si="19"/>
        <v>152.28085087291447</v>
      </c>
      <c r="DW5" s="67">
        <f t="shared" si="20"/>
        <v>115.53778269073359</v>
      </c>
      <c r="DX5" s="67">
        <f t="shared" si="21"/>
        <v>103.20373678086099</v>
      </c>
    </row>
    <row r="6" spans="1:128" s="28" customFormat="1">
      <c r="A6" s="33" t="s">
        <v>26</v>
      </c>
      <c r="B6" s="205" t="s">
        <v>5559</v>
      </c>
      <c r="C6" t="str">
        <f>IF(VLOOKUP($A6,'B-Ligands'!$A:$G,5,FALSE)="","",VLOOKUP($A6,'B-Ligands'!$A:$G,5,FALSE))</f>
        <v>Guide To Pharmacology</v>
      </c>
      <c r="D6" s="19">
        <f>IF(VLOOKUP($A6,'B-Ligands'!$A:$G,6,FALSE)="","",VLOOKUP($A6,'B-Ligands'!$A:$G,6,FALSE))</f>
        <v>294</v>
      </c>
      <c r="E6" t="str">
        <f>IF(VLOOKUP($A6,'B-Ligands'!$A:$G,7,FALSE)="","",VLOOKUP($A6,'B-Ligands'!$A:$G,7,FALSE))</f>
        <v>Phys</v>
      </c>
      <c r="F6" s="20">
        <f t="shared" ref="F6:F69" si="68">IF(T6&gt;0,1,"")</f>
        <v>1</v>
      </c>
      <c r="G6" s="19">
        <f t="shared" ref="G6:G69" si="69">IF(U6&gt;0,1,"")</f>
        <v>1</v>
      </c>
      <c r="H6" s="19">
        <f t="shared" ref="H6:H69" si="70">IF(V6&gt;0,1,"")</f>
        <v>1</v>
      </c>
      <c r="I6" s="19" t="str">
        <f t="shared" ref="I6:I69" si="71">IF(W6&gt;0,1,"")</f>
        <v/>
      </c>
      <c r="J6" s="189">
        <f t="shared" si="26"/>
        <v>3</v>
      </c>
      <c r="K6" s="147" t="str">
        <f t="shared" si="27"/>
        <v>Gq/11</v>
      </c>
      <c r="L6" s="20">
        <f t="shared" si="28"/>
        <v>2</v>
      </c>
      <c r="M6" s="19">
        <f t="shared" si="29"/>
        <v>3</v>
      </c>
      <c r="N6" s="19">
        <f t="shared" si="30"/>
        <v>1</v>
      </c>
      <c r="O6" s="19">
        <f t="shared" si="31"/>
        <v>0</v>
      </c>
      <c r="P6" s="20">
        <f t="shared" si="32"/>
        <v>75.142840253154034</v>
      </c>
      <c r="Q6" s="19">
        <f t="shared" si="33"/>
        <v>67.872973140881001</v>
      </c>
      <c r="R6" s="19">
        <f t="shared" si="34"/>
        <v>100</v>
      </c>
      <c r="S6" s="19">
        <f t="shared" si="35"/>
        <v>0</v>
      </c>
      <c r="T6" s="20">
        <f t="shared" si="36"/>
        <v>5.8309946371865307</v>
      </c>
      <c r="U6" s="21">
        <f t="shared" si="37"/>
        <v>5.2668616339368501</v>
      </c>
      <c r="V6" s="21">
        <f t="shared" si="38"/>
        <v>7.7598805389070744</v>
      </c>
      <c r="W6" s="21">
        <f t="shared" si="39"/>
        <v>0</v>
      </c>
      <c r="X6" s="147" t="str">
        <f t="shared" si="40"/>
        <v>G11</v>
      </c>
      <c r="Y6" s="32">
        <f t="shared" si="41"/>
        <v>75.142840253154034</v>
      </c>
      <c r="Z6" s="31">
        <f t="shared" si="42"/>
        <v>63.523304189507733</v>
      </c>
      <c r="AA6" s="31">
        <f t="shared" si="43"/>
        <v>59.059811586824893</v>
      </c>
      <c r="AB6" s="31">
        <f t="shared" si="44"/>
        <v>56.637426874592613</v>
      </c>
      <c r="AC6" s="31">
        <f t="shared" si="45"/>
        <v>61.49901040812501</v>
      </c>
      <c r="AD6" s="31">
        <f t="shared" si="46"/>
        <v>67.872973140881001</v>
      </c>
      <c r="AE6" s="31">
        <f t="shared" si="47"/>
        <v>97.012771617631927</v>
      </c>
      <c r="AF6" s="31">
        <f t="shared" si="48"/>
        <v>100</v>
      </c>
      <c r="AG6" s="31">
        <f t="shared" si="49"/>
        <v>98.270862058543841</v>
      </c>
      <c r="AH6" s="31">
        <f t="shared" si="50"/>
        <v>98.50360435213625</v>
      </c>
      <c r="AI6" s="31">
        <f t="shared" si="51"/>
        <v>0</v>
      </c>
      <c r="AJ6" s="31">
        <f t="shared" si="52"/>
        <v>0</v>
      </c>
      <c r="AK6" s="7" cm="1">
        <f t="array" ref="AK6">_xlfn.IFS(AZ6=0,0,AZ6&gt;0,(LOG(0.01*AZ6/10^-CD6)))</f>
        <v>5.8309946371865307</v>
      </c>
      <c r="AL6" s="8" cm="1">
        <f t="array" ref="AL6">_xlfn.IFS(BA6=0,0,BA6&gt;0,(LOG(0.01*BA6/10^-CE6)))</f>
        <v>4.9293325194723527</v>
      </c>
      <c r="AM6" s="8" cm="1">
        <f t="array" ref="AM6">_xlfn.IFS(BB6=0,0,BB6&gt;0,(LOG(0.01*BB6/10^-CF6)))</f>
        <v>4.5829708256412101</v>
      </c>
      <c r="AN6" s="8" cm="1">
        <f t="array" ref="AN6">_xlfn.IFS(BC6=0,0,BC6&gt;0,(LOG(0.01*BC6/10^-CG6)))</f>
        <v>4.394996665779237</v>
      </c>
      <c r="AO6" s="8" cm="1">
        <f t="array" ref="AO6">_xlfn.IFS(BD6=0,0,BD6&gt;0,(LOG(0.01*BD6/10^-CH6)))</f>
        <v>4.7722497402805288</v>
      </c>
      <c r="AP6" s="8" cm="1">
        <f t="array" ref="AP6">_xlfn.IFS(BE6=0,0,BE6&gt;0,(LOG(0.01*BE6/10^-CI6)))</f>
        <v>5.2668616339368501</v>
      </c>
      <c r="AQ6" s="8" cm="1">
        <f t="array" ref="AQ6">_xlfn.IFS(BF6=0,0,BF6&gt;0,(LOG(0.01*BF6/10^-CJ6)))</f>
        <v>7.5280751850109855</v>
      </c>
      <c r="AR6" s="8" cm="1">
        <f t="array" ref="AR6">_xlfn.IFS(BG6=0,0,BG6&gt;0,(LOG(0.01*BG6/10^-CK6)))</f>
        <v>7.7598805389070744</v>
      </c>
      <c r="AS6" s="8" cm="1">
        <f t="array" ref="AS6">_xlfn.IFS(BH6=0,0,BH6&gt;0,(LOG(0.01*BH6/10^-CL6)))</f>
        <v>7.6257015002971595</v>
      </c>
      <c r="AT6" s="8" cm="1">
        <f t="array" ref="AT6">_xlfn.IFS(BI6=0,0,BI6&gt;0,(LOG(0.01*BI6/10^-CM6)))</f>
        <v>7.6437620242434434</v>
      </c>
      <c r="AU6" s="8" cm="1">
        <f t="array" ref="AU6">_xlfn.IFS(BJ6=0,0,BJ6&gt;0,(LOG(0.01*BJ6/10^-CN6)))</f>
        <v>0</v>
      </c>
      <c r="AV6" s="8" cm="1">
        <f t="array" ref="AV6">_xlfn.IFS(BK6=0,0,BK6&gt;0,(LOG(0.01*BK6/10^-CO6)))</f>
        <v>0</v>
      </c>
      <c r="AW6" s="8" cm="1">
        <f t="array" ref="AW6">_xlfn.IFS(BL6=0,0,BL6&gt;0,(LOG(0.01*BL6/10^-CP6)))</f>
        <v>0</v>
      </c>
      <c r="AX6" s="8" cm="1">
        <f t="array" ref="AX6">_xlfn.IFS(BM6=0,0,BM6&gt;0,(LOG(0.01*BM6/10^-CQ6)))</f>
        <v>3.7070298183045769</v>
      </c>
      <c r="AY6" s="8" cm="1">
        <f t="array" ref="AY6">_xlfn.IFS(BN6=0,0,BN6&gt;0,(LOG(0.01*BN6/10^-CR6)))</f>
        <v>3.9485596642108556</v>
      </c>
      <c r="AZ6" s="32">
        <f t="shared" si="53"/>
        <v>52.480097979179433</v>
      </c>
      <c r="BA6" s="31">
        <f t="shared" si="54"/>
        <v>28.862405200433365</v>
      </c>
      <c r="BB6" s="31">
        <f t="shared" si="55"/>
        <v>17.497291440953411</v>
      </c>
      <c r="BC6" s="31">
        <f t="shared" si="56"/>
        <v>13.304442036836402</v>
      </c>
      <c r="BD6" s="31">
        <f t="shared" si="57"/>
        <v>23.672806067172264</v>
      </c>
      <c r="BE6" s="31">
        <f t="shared" si="58"/>
        <v>22.535211267605632</v>
      </c>
      <c r="BF6" s="31">
        <f t="shared" si="59"/>
        <v>50.824742268041227</v>
      </c>
      <c r="BG6" s="31">
        <f t="shared" si="60"/>
        <v>57.132146204311155</v>
      </c>
      <c r="BH6" s="31">
        <f t="shared" si="61"/>
        <v>71.565135895032796</v>
      </c>
      <c r="BI6" s="31">
        <f t="shared" si="62"/>
        <v>83.514526710403004</v>
      </c>
      <c r="BJ6" s="31">
        <f t="shared" si="63"/>
        <v>0</v>
      </c>
      <c r="BK6" s="31">
        <f t="shared" si="64"/>
        <v>0</v>
      </c>
      <c r="BL6" s="31">
        <f t="shared" si="65"/>
        <v>0</v>
      </c>
      <c r="BM6" s="31">
        <f t="shared" si="66"/>
        <v>3.4676065793890567</v>
      </c>
      <c r="BN6" s="31">
        <f t="shared" si="67"/>
        <v>6.8479355488418934</v>
      </c>
      <c r="BO6" s="132">
        <v>34.28</v>
      </c>
      <c r="BP6" s="133">
        <v>266.39999999999998</v>
      </c>
      <c r="BQ6" s="133">
        <v>161.5</v>
      </c>
      <c r="BR6" s="133">
        <v>122.8</v>
      </c>
      <c r="BS6" s="133">
        <v>218.5</v>
      </c>
      <c r="BT6" s="133">
        <v>208</v>
      </c>
      <c r="BU6" s="133">
        <v>542.29999999999995</v>
      </c>
      <c r="BV6" s="133">
        <v>609.6</v>
      </c>
      <c r="BW6" s="133">
        <v>763.6</v>
      </c>
      <c r="BX6" s="133">
        <v>891.1</v>
      </c>
      <c r="BY6" s="133"/>
      <c r="BZ6" s="133"/>
      <c r="CA6" s="133"/>
      <c r="CB6" s="133">
        <v>103.3</v>
      </c>
      <c r="CC6" s="133">
        <v>204</v>
      </c>
      <c r="CD6" s="36">
        <v>6.1109999999999998</v>
      </c>
      <c r="CE6" s="34">
        <v>5.4690000000000003</v>
      </c>
      <c r="CF6" s="34">
        <v>5.34</v>
      </c>
      <c r="CG6" s="34">
        <v>5.2709999999999999</v>
      </c>
      <c r="CH6" s="34">
        <v>5.3979999999999997</v>
      </c>
      <c r="CI6" s="34">
        <v>5.9139999999999997</v>
      </c>
      <c r="CJ6" s="34">
        <v>7.8220000000000001</v>
      </c>
      <c r="CK6" s="34">
        <v>8.0030000000000001</v>
      </c>
      <c r="CL6" s="34">
        <v>7.7709999999999999</v>
      </c>
      <c r="CM6" s="34">
        <v>7.7220000000000004</v>
      </c>
      <c r="CN6" s="34"/>
      <c r="CO6" s="34"/>
      <c r="CP6" s="34"/>
      <c r="CQ6" s="34">
        <v>5.1669999999999998</v>
      </c>
      <c r="CR6" s="34">
        <v>5.1130000000000004</v>
      </c>
      <c r="CS6" s="168" t="str">
        <f>IF(VLOOKUP($A6,'B-Ligands'!$A:$G,3,FALSE)="","",VLOOKUP($A6,'B-Ligands'!$A:$G,3,FALSE))</f>
        <v/>
      </c>
      <c r="CT6" s="169" t="str">
        <f>IF(VLOOKUP($A6,'B-Ligands'!$A:$G,4,FALSE)="","",VLOOKUP($A6,'B-Ligands'!$A:$G,4,FALSE))</f>
        <v>Acetylcholine</v>
      </c>
      <c r="CU6" s="132">
        <v>6.7165547366629816</v>
      </c>
      <c r="CV6" s="133">
        <v>23.939752660518156</v>
      </c>
      <c r="CW6" s="133">
        <v>11.225933815573795</v>
      </c>
      <c r="CX6" s="133">
        <v>22.316416974618608</v>
      </c>
      <c r="CY6" s="133">
        <v>22.17445895804271</v>
      </c>
      <c r="CZ6" s="133">
        <v>14.225690187467862</v>
      </c>
      <c r="DA6" s="133">
        <v>15.575205234154883</v>
      </c>
      <c r="DB6" s="133">
        <v>9.5457190162445631</v>
      </c>
      <c r="DC6" s="133">
        <v>6.1994609164420496</v>
      </c>
      <c r="DD6" s="133">
        <v>12.330701850187289</v>
      </c>
      <c r="DE6" s="133">
        <v>2.8282415229750639</v>
      </c>
      <c r="DF6" s="133">
        <v>8.1478211323058289</v>
      </c>
      <c r="DG6" s="133">
        <v>11.279803144653206</v>
      </c>
      <c r="DH6" s="133">
        <v>3.8602426560169558</v>
      </c>
      <c r="DI6" s="133">
        <v>11.22690825018765</v>
      </c>
      <c r="DJ6" s="66">
        <f t="shared" si="7"/>
        <v>5.1038071368463971</v>
      </c>
      <c r="DK6" s="67">
        <f t="shared" si="8"/>
        <v>11.12793451869498</v>
      </c>
      <c r="DL6" s="67">
        <f t="shared" si="9"/>
        <v>14.386331030737972</v>
      </c>
      <c r="DM6" s="67">
        <f t="shared" si="10"/>
        <v>5.5026754581465998</v>
      </c>
      <c r="DN6" s="67">
        <f t="shared" si="11"/>
        <v>9.8536789742394024</v>
      </c>
      <c r="DO6" s="67">
        <f t="shared" si="12"/>
        <v>14.621434690264648</v>
      </c>
      <c r="DP6" s="67">
        <f t="shared" si="13"/>
        <v>34.818160778439683</v>
      </c>
      <c r="DQ6" s="67">
        <f t="shared" si="14"/>
        <v>63.861087777945755</v>
      </c>
      <c r="DR6" s="67">
        <f t="shared" si="15"/>
        <v>123.17199999999998</v>
      </c>
      <c r="DS6" s="67">
        <f t="shared" si="16"/>
        <v>72.266770442305784</v>
      </c>
      <c r="DT6" s="67">
        <f t="shared" si="17"/>
        <v>0</v>
      </c>
      <c r="DU6" s="67">
        <f t="shared" si="18"/>
        <v>0</v>
      </c>
      <c r="DV6" s="67">
        <f t="shared" si="19"/>
        <v>0</v>
      </c>
      <c r="DW6" s="67">
        <f t="shared" si="20"/>
        <v>26.759975785197444</v>
      </c>
      <c r="DX6" s="67">
        <f t="shared" si="21"/>
        <v>18.170630368925504</v>
      </c>
    </row>
    <row r="7" spans="1:128" s="28" customFormat="1">
      <c r="A7" s="33" t="s">
        <v>37</v>
      </c>
      <c r="B7" s="205" t="s">
        <v>5559</v>
      </c>
      <c r="C7" t="str">
        <f>IF(VLOOKUP($A7,'B-Ligands'!$A:$G,5,FALSE)="","",VLOOKUP($A7,'B-Ligands'!$A:$G,5,FALSE))</f>
        <v>Guide To Pharmacology</v>
      </c>
      <c r="D7" s="19">
        <f>IF(VLOOKUP($A7,'B-Ligands'!$A:$G,6,FALSE)="","",VLOOKUP($A7,'B-Ligands'!$A:$G,6,FALSE))</f>
        <v>484</v>
      </c>
      <c r="E7" t="str">
        <f>IF(VLOOKUP($A7,'B-Ligands'!$A:$G,7,FALSE)="","",VLOOKUP($A7,'B-Ligands'!$A:$G,7,FALSE))</f>
        <v>Phys</v>
      </c>
      <c r="F7" s="20">
        <f t="shared" si="68"/>
        <v>1</v>
      </c>
      <c r="G7" s="19">
        <f t="shared" si="69"/>
        <v>1</v>
      </c>
      <c r="H7" s="19">
        <f t="shared" si="70"/>
        <v>1</v>
      </c>
      <c r="I7" s="19">
        <f t="shared" si="71"/>
        <v>1</v>
      </c>
      <c r="J7" s="189">
        <f t="shared" si="26"/>
        <v>4</v>
      </c>
      <c r="K7" s="147" t="str">
        <f t="shared" si="27"/>
        <v>Gi/o</v>
      </c>
      <c r="L7" s="20">
        <f t="shared" si="28"/>
        <v>4</v>
      </c>
      <c r="M7" s="19">
        <f t="shared" si="29"/>
        <v>1</v>
      </c>
      <c r="N7" s="19">
        <f t="shared" si="30"/>
        <v>2</v>
      </c>
      <c r="O7" s="19">
        <f t="shared" si="31"/>
        <v>3</v>
      </c>
      <c r="P7" s="20">
        <f t="shared" si="32"/>
        <v>58.189345308866692</v>
      </c>
      <c r="Q7" s="19">
        <f t="shared" si="33"/>
        <v>100</v>
      </c>
      <c r="R7" s="19">
        <f t="shared" si="34"/>
        <v>68.381500380899894</v>
      </c>
      <c r="S7" s="19">
        <f t="shared" si="35"/>
        <v>59.928670387206218</v>
      </c>
      <c r="T7" s="20">
        <f t="shared" si="36"/>
        <v>5.3027086105784145</v>
      </c>
      <c r="U7" s="21">
        <f t="shared" si="37"/>
        <v>9.1128514720896963</v>
      </c>
      <c r="V7" s="21">
        <f t="shared" si="38"/>
        <v>6.2315045640978575</v>
      </c>
      <c r="W7" s="21">
        <f t="shared" si="39"/>
        <v>5.4612107215843038</v>
      </c>
      <c r="X7" s="147" t="str">
        <f t="shared" si="40"/>
        <v>Gz</v>
      </c>
      <c r="Y7" s="32">
        <f t="shared" si="41"/>
        <v>58.189345308866692</v>
      </c>
      <c r="Z7" s="31">
        <f t="shared" si="42"/>
        <v>93.131138438047884</v>
      </c>
      <c r="AA7" s="31">
        <f t="shared" si="43"/>
        <v>91.020071439248284</v>
      </c>
      <c r="AB7" s="31">
        <f t="shared" si="44"/>
        <v>90.753072914013941</v>
      </c>
      <c r="AC7" s="31">
        <f t="shared" si="45"/>
        <v>96.239792220600123</v>
      </c>
      <c r="AD7" s="31">
        <f t="shared" si="46"/>
        <v>100</v>
      </c>
      <c r="AE7" s="31">
        <f t="shared" si="47"/>
        <v>50.138397286048864</v>
      </c>
      <c r="AF7" s="31">
        <f t="shared" si="48"/>
        <v>48.571168372274137</v>
      </c>
      <c r="AG7" s="31">
        <f t="shared" si="49"/>
        <v>48.694687267369893</v>
      </c>
      <c r="AH7" s="31">
        <f t="shared" si="50"/>
        <v>68.381500380899894</v>
      </c>
      <c r="AI7" s="31">
        <f t="shared" si="51"/>
        <v>56.795186131473507</v>
      </c>
      <c r="AJ7" s="31">
        <f t="shared" si="52"/>
        <v>59.928670387206218</v>
      </c>
      <c r="AK7" s="7" cm="1">
        <f t="array" ref="AK7">_xlfn.IFS(AZ7=0,0,AZ7&gt;0,(LOG(0.01*AZ7/10^-CD7)))</f>
        <v>5.3027086105784145</v>
      </c>
      <c r="AL7" s="8" cm="1">
        <f t="array" ref="AL7">_xlfn.IFS(BA7=0,0,BA7&gt;0,(LOG(0.01*BA7/10^-CE7)))</f>
        <v>8.4869023201255391</v>
      </c>
      <c r="AM7" s="8" cm="1">
        <f t="array" ref="AM7">_xlfn.IFS(BB7=0,0,BB7&gt;0,(LOG(0.01*BB7/10^-CF7)))</f>
        <v>8.2945239200486309</v>
      </c>
      <c r="AN7" s="8" cm="1">
        <f t="array" ref="AN7">_xlfn.IFS(BC7=0,0,BC7&gt;0,(LOG(0.01*BC7/10^-CG7)))</f>
        <v>8.2701927410113552</v>
      </c>
      <c r="AO7" s="8" cm="1">
        <f t="array" ref="AO7">_xlfn.IFS(BD7=0,0,BD7&gt;0,(LOG(0.01*BD7/10^-CH7)))</f>
        <v>8.7701893221110225</v>
      </c>
      <c r="AP7" s="8" cm="1">
        <f t="array" ref="AP7">_xlfn.IFS(BE7=0,0,BE7&gt;0,(LOG(0.01*BE7/10^-CI7)))</f>
        <v>9.1128514720896963</v>
      </c>
      <c r="AQ7" s="8" cm="1">
        <f t="array" ref="AQ7">_xlfn.IFS(BF7=0,0,BF7&gt;0,(LOG(0.01*BF7/10^-CJ7)))</f>
        <v>4.5690376751638837</v>
      </c>
      <c r="AR7" s="8" cm="1">
        <f t="array" ref="AR7">_xlfn.IFS(BG7=0,0,BG7&gt;0,(LOG(0.01*BG7/10^-CK7)))</f>
        <v>4.4262184320239486</v>
      </c>
      <c r="AS7" s="8" cm="1">
        <f t="array" ref="AS7">_xlfn.IFS(BH7=0,0,BH7&gt;0,(LOG(0.01*BH7/10^-CL7)))</f>
        <v>4.4374745254739913</v>
      </c>
      <c r="AT7" s="8" cm="1">
        <f t="array" ref="AT7">_xlfn.IFS(BI7=0,0,BI7&gt;0,(LOG(0.01*BI7/10^-CM7)))</f>
        <v>6.2315045640978575</v>
      </c>
      <c r="AU7" s="8" cm="1">
        <f t="array" ref="AU7">_xlfn.IFS(BJ7=0,0,BJ7&gt;0,(LOG(0.01*BJ7/10^-CN7)))</f>
        <v>5.1756609554580661</v>
      </c>
      <c r="AV7" s="8" cm="1">
        <f t="array" ref="AV7">_xlfn.IFS(BK7=0,0,BK7&gt;0,(LOG(0.01*BK7/10^-CO7)))</f>
        <v>5.4612107215843038</v>
      </c>
      <c r="AW7" s="8" cm="1">
        <f t="array" ref="AW7">_xlfn.IFS(BL7=0,0,BL7&gt;0,(LOG(0.01*BL7/10^-CP7)))</f>
        <v>5.5708149113789673</v>
      </c>
      <c r="AX7" s="8" cm="1">
        <f t="array" ref="AX7">_xlfn.IFS(BM7=0,0,BM7&gt;0,(LOG(0.01*BM7/10^-CQ7)))</f>
        <v>5.096935683846751</v>
      </c>
      <c r="AY7" s="8" cm="1">
        <f t="array" ref="AY7">_xlfn.IFS(BN7=0,0,BN7&gt;0,(LOG(0.01*BN7/10^-CR7)))</f>
        <v>5.6965993100530943</v>
      </c>
      <c r="AZ7" s="32">
        <f t="shared" si="53"/>
        <v>27.587262706674835</v>
      </c>
      <c r="BA7" s="31">
        <f t="shared" si="54"/>
        <v>93.304442036836406</v>
      </c>
      <c r="BB7" s="31">
        <f t="shared" si="55"/>
        <v>52.66522210184182</v>
      </c>
      <c r="BC7" s="31">
        <f t="shared" si="56"/>
        <v>25.774647887323944</v>
      </c>
      <c r="BD7" s="31">
        <f t="shared" si="57"/>
        <v>42.091007583965329</v>
      </c>
      <c r="BE7" s="31">
        <f t="shared" si="58"/>
        <v>12.101841820151678</v>
      </c>
      <c r="BF7" s="31">
        <f t="shared" si="59"/>
        <v>5.2849109653233368</v>
      </c>
      <c r="BG7" s="31">
        <f t="shared" si="60"/>
        <v>2.7366447985004685</v>
      </c>
      <c r="BH7" s="31">
        <f t="shared" si="61"/>
        <v>6.1443298969072169</v>
      </c>
      <c r="BI7" s="31">
        <f t="shared" si="62"/>
        <v>81.565135895032796</v>
      </c>
      <c r="BJ7" s="31">
        <f t="shared" si="63"/>
        <v>9.5865193996035103</v>
      </c>
      <c r="BK7" s="31">
        <f t="shared" si="64"/>
        <v>64.00453129425091</v>
      </c>
      <c r="BL7" s="31">
        <f t="shared" si="65"/>
        <v>22.12151728768043</v>
      </c>
      <c r="BM7" s="31">
        <f t="shared" si="66"/>
        <v>12.272574689493119</v>
      </c>
      <c r="BN7" s="31">
        <f t="shared" si="67"/>
        <v>22.366565961732125</v>
      </c>
      <c r="BO7" s="134">
        <v>18.02</v>
      </c>
      <c r="BP7" s="135">
        <v>861.2</v>
      </c>
      <c r="BQ7" s="135">
        <v>486.1</v>
      </c>
      <c r="BR7" s="135">
        <v>237.9</v>
      </c>
      <c r="BS7" s="135">
        <v>388.5</v>
      </c>
      <c r="BT7" s="135">
        <v>111.7</v>
      </c>
      <c r="BU7" s="135">
        <v>56.39</v>
      </c>
      <c r="BV7" s="135">
        <v>29.2</v>
      </c>
      <c r="BW7" s="135">
        <v>65.56</v>
      </c>
      <c r="BX7" s="135">
        <v>870.3</v>
      </c>
      <c r="BY7" s="135">
        <v>67.7</v>
      </c>
      <c r="BZ7" s="135">
        <v>452</v>
      </c>
      <c r="CA7" s="135">
        <v>659</v>
      </c>
      <c r="CB7" s="135">
        <v>365.6</v>
      </c>
      <c r="CC7" s="135">
        <v>666.3</v>
      </c>
      <c r="CD7" s="30">
        <v>5.8620000000000001</v>
      </c>
      <c r="CE7" s="29">
        <v>8.5169999999999995</v>
      </c>
      <c r="CF7" s="29">
        <v>8.5730000000000004</v>
      </c>
      <c r="CG7" s="29">
        <v>8.859</v>
      </c>
      <c r="CH7" s="29">
        <v>9.1460000000000008</v>
      </c>
      <c r="CI7" s="29">
        <v>10.029999999999999</v>
      </c>
      <c r="CJ7" s="29">
        <v>5.8460000000000001</v>
      </c>
      <c r="CK7" s="29">
        <v>5.9889999999999999</v>
      </c>
      <c r="CL7" s="29">
        <v>5.649</v>
      </c>
      <c r="CM7" s="29">
        <v>6.32</v>
      </c>
      <c r="CN7" s="29">
        <v>6.194</v>
      </c>
      <c r="CO7" s="29">
        <v>5.6550000000000002</v>
      </c>
      <c r="CP7" s="29">
        <v>6.226</v>
      </c>
      <c r="CQ7" s="29">
        <v>6.008</v>
      </c>
      <c r="CR7" s="29">
        <v>6.3470000000000004</v>
      </c>
      <c r="CS7" s="168" t="str">
        <f>IF(VLOOKUP($A7,'B-Ligands'!$A:$G,3,FALSE)="","",VLOOKUP($A7,'B-Ligands'!$A:$G,3,FALSE))</f>
        <v/>
      </c>
      <c r="CT7" s="169" t="str">
        <f>IF(VLOOKUP($A7,'B-Ligands'!$A:$G,4,FALSE)="","",VLOOKUP($A7,'B-Ligands'!$A:$G,4,FALSE))</f>
        <v>Noradrenaline</v>
      </c>
      <c r="CU7" s="134">
        <v>5.8215552042855823</v>
      </c>
      <c r="CV7" s="135">
        <v>37.09926197814719</v>
      </c>
      <c r="CW7" s="135">
        <v>59.735645811463293</v>
      </c>
      <c r="CX7" s="135">
        <v>51.443379561763614</v>
      </c>
      <c r="CY7" s="135">
        <v>50.365174969252223</v>
      </c>
      <c r="CZ7" s="135">
        <v>3.7113203789756444</v>
      </c>
      <c r="DA7" s="135">
        <v>21.956161784808241</v>
      </c>
      <c r="DB7" s="135">
        <v>6.351530352662567</v>
      </c>
      <c r="DC7" s="135">
        <v>23.78425151256662</v>
      </c>
      <c r="DD7" s="135">
        <v>20.014695361535605</v>
      </c>
      <c r="DE7" s="135">
        <v>11.481139393915365</v>
      </c>
      <c r="DF7" s="135">
        <v>2.9700791832819231</v>
      </c>
      <c r="DG7" s="135">
        <v>29.800984516462577</v>
      </c>
      <c r="DH7" s="135">
        <v>20.369690968933707</v>
      </c>
      <c r="DI7" s="135">
        <v>27.077819907907543</v>
      </c>
      <c r="DJ7" s="66">
        <f t="shared" si="7"/>
        <v>3.0953927889809307</v>
      </c>
      <c r="DK7" s="67">
        <f t="shared" si="8"/>
        <v>23.213399784267356</v>
      </c>
      <c r="DL7" s="67">
        <f t="shared" si="9"/>
        <v>8.1375197906827896</v>
      </c>
      <c r="DM7" s="67">
        <f t="shared" si="10"/>
        <v>4.6245017731460285</v>
      </c>
      <c r="DN7" s="67">
        <f t="shared" si="11"/>
        <v>7.7136632650869972</v>
      </c>
      <c r="DO7" s="67">
        <f t="shared" si="12"/>
        <v>30.09710523315967</v>
      </c>
      <c r="DP7" s="67">
        <f t="shared" si="13"/>
        <v>2.5682995303403615</v>
      </c>
      <c r="DQ7" s="67">
        <f t="shared" si="14"/>
        <v>4.5973172414675361</v>
      </c>
      <c r="DR7" s="67">
        <f t="shared" si="15"/>
        <v>2.7564457920973799</v>
      </c>
      <c r="DS7" s="67">
        <f t="shared" si="16"/>
        <v>43.483050042947404</v>
      </c>
      <c r="DT7" s="67">
        <f t="shared" si="17"/>
        <v>5.8966273012832531</v>
      </c>
      <c r="DU7" s="67">
        <f t="shared" si="18"/>
        <v>152.18449479200154</v>
      </c>
      <c r="DV7" s="67">
        <f t="shared" si="19"/>
        <v>22.113363390258368</v>
      </c>
      <c r="DW7" s="67">
        <f t="shared" si="20"/>
        <v>17.948234980961917</v>
      </c>
      <c r="DX7" s="67">
        <f t="shared" si="21"/>
        <v>24.606855436150536</v>
      </c>
    </row>
    <row r="8" spans="1:128" s="28" customFormat="1">
      <c r="A8" s="33" t="s">
        <v>29</v>
      </c>
      <c r="B8" s="205" t="s">
        <v>5559</v>
      </c>
      <c r="C8" t="str">
        <f>IF(VLOOKUP($A8,'B-Ligands'!$A:$G,5,FALSE)="","",VLOOKUP($A8,'B-Ligands'!$A:$G,5,FALSE))</f>
        <v>Guide To Pharmacology</v>
      </c>
      <c r="D8" s="19">
        <f>IF(VLOOKUP($A8,'B-Ligands'!$A:$G,6,FALSE)="","",VLOOKUP($A8,'B-Ligands'!$A:$G,6,FALSE))</f>
        <v>294</v>
      </c>
      <c r="E8" t="str">
        <f>IF(VLOOKUP($A8,'B-Ligands'!$A:$G,7,FALSE)="","",VLOOKUP($A8,'B-Ligands'!$A:$G,7,FALSE))</f>
        <v>Phys</v>
      </c>
      <c r="F8" s="20" t="str">
        <f t="shared" si="68"/>
        <v/>
      </c>
      <c r="G8" s="19">
        <f t="shared" si="69"/>
        <v>1</v>
      </c>
      <c r="H8" s="19">
        <f t="shared" si="70"/>
        <v>1</v>
      </c>
      <c r="I8" s="19" t="str">
        <f t="shared" si="71"/>
        <v/>
      </c>
      <c r="J8" s="189">
        <f t="shared" si="26"/>
        <v>2</v>
      </c>
      <c r="K8" s="147" t="str">
        <f t="shared" si="27"/>
        <v>Gi/o</v>
      </c>
      <c r="L8" s="20">
        <f t="shared" si="28"/>
        <v>0</v>
      </c>
      <c r="M8" s="19">
        <f t="shared" si="29"/>
        <v>1</v>
      </c>
      <c r="N8" s="19">
        <f t="shared" si="30"/>
        <v>2</v>
      </c>
      <c r="O8" s="19">
        <f t="shared" si="31"/>
        <v>0</v>
      </c>
      <c r="P8" s="20">
        <f t="shared" si="32"/>
        <v>0</v>
      </c>
      <c r="Q8" s="19">
        <f t="shared" si="33"/>
        <v>100</v>
      </c>
      <c r="R8" s="19">
        <f t="shared" si="34"/>
        <v>78.439877795953834</v>
      </c>
      <c r="S8" s="19">
        <f t="shared" si="35"/>
        <v>0</v>
      </c>
      <c r="T8" s="20">
        <f t="shared" si="36"/>
        <v>0</v>
      </c>
      <c r="U8" s="21">
        <f t="shared" si="37"/>
        <v>8.7404588748025329</v>
      </c>
      <c r="V8" s="21">
        <f t="shared" si="38"/>
        <v>6.8560052602007087</v>
      </c>
      <c r="W8" s="21">
        <f t="shared" si="39"/>
        <v>0</v>
      </c>
      <c r="X8" s="147" t="str">
        <f t="shared" si="40"/>
        <v>GoB</v>
      </c>
      <c r="Y8" s="32">
        <f t="shared" si="41"/>
        <v>0</v>
      </c>
      <c r="Z8" s="31">
        <f t="shared" si="42"/>
        <v>92.840133885768992</v>
      </c>
      <c r="AA8" s="31">
        <f t="shared" si="43"/>
        <v>94.034546823586922</v>
      </c>
      <c r="AB8" s="31">
        <f t="shared" si="44"/>
        <v>91.982018220170573</v>
      </c>
      <c r="AC8" s="31">
        <f t="shared" si="45"/>
        <v>100</v>
      </c>
      <c r="AD8" s="31">
        <f t="shared" si="46"/>
        <v>90.293395087325706</v>
      </c>
      <c r="AE8" s="31">
        <f t="shared" si="47"/>
        <v>52.153615392693318</v>
      </c>
      <c r="AF8" s="31">
        <f t="shared" si="48"/>
        <v>0</v>
      </c>
      <c r="AG8" s="31">
        <f t="shared" si="49"/>
        <v>55.660737533576622</v>
      </c>
      <c r="AH8" s="31">
        <f t="shared" si="50"/>
        <v>78.439877795953834</v>
      </c>
      <c r="AI8" s="31">
        <f t="shared" si="51"/>
        <v>0</v>
      </c>
      <c r="AJ8" s="31">
        <f t="shared" si="52"/>
        <v>0</v>
      </c>
      <c r="AK8" s="7" cm="1">
        <f t="array" ref="AK8">_xlfn.IFS(AZ8=0,0,AZ8&gt;0,(LOG(0.01*AZ8/10^-CD8)))</f>
        <v>0</v>
      </c>
      <c r="AL8" s="8" cm="1">
        <f t="array" ref="AL8">_xlfn.IFS(BA8=0,0,BA8&gt;0,(LOG(0.01*BA8/10^-CE8)))</f>
        <v>8.1146537215972501</v>
      </c>
      <c r="AM8" s="8" cm="1">
        <f t="array" ref="AM8">_xlfn.IFS(BB8=0,0,BB8&gt;0,(LOG(0.01*BB8/10^-CF8)))</f>
        <v>8.2190508932225459</v>
      </c>
      <c r="AN8" s="8" cm="1">
        <f t="array" ref="AN8">_xlfn.IFS(BC8=0,0,BC8&gt;0,(LOG(0.01*BC8/10^-CG8)))</f>
        <v>8.0396504747473809</v>
      </c>
      <c r="AO8" s="8" cm="1">
        <f t="array" ref="AO8">_xlfn.IFS(BD8=0,0,BD8&gt;0,(LOG(0.01*BD8/10^-CH8)))</f>
        <v>8.7404588748025329</v>
      </c>
      <c r="AP8" s="8" cm="1">
        <f t="array" ref="AP8">_xlfn.IFS(BE8=0,0,BE8&gt;0,(LOG(0.01*BE8/10^-CI8)))</f>
        <v>7.8920570642706744</v>
      </c>
      <c r="AQ8" s="8" cm="1">
        <f t="array" ref="AQ8">_xlfn.IFS(BF8=0,0,BF8&gt;0,(LOG(0.01*BF8/10^-CJ8)))</f>
        <v>4.5584653051210431</v>
      </c>
      <c r="AR8" s="8" cm="1">
        <f t="array" ref="AR8">_xlfn.IFS(BG8=0,0,BG8&gt;0,(LOG(0.01*BG8/10^-CK8)))</f>
        <v>0</v>
      </c>
      <c r="AS8" s="8" cm="1">
        <f t="array" ref="AS8">_xlfn.IFS(BH8=0,0,BH8&gt;0,(LOG(0.01*BH8/10^-CL8)))</f>
        <v>4.8650038735340422</v>
      </c>
      <c r="AT8" s="8" cm="1">
        <f t="array" ref="AT8">_xlfn.IFS(BI8=0,0,BI8&gt;0,(LOG(0.01*BI8/10^-CM8)))</f>
        <v>6.8560052602007087</v>
      </c>
      <c r="AU8" s="8" cm="1">
        <f t="array" ref="AU8">_xlfn.IFS(BJ8=0,0,BJ8&gt;0,(LOG(0.01*BJ8/10^-CN8)))</f>
        <v>0</v>
      </c>
      <c r="AV8" s="8" cm="1">
        <f t="array" ref="AV8">_xlfn.IFS(BK8=0,0,BK8&gt;0,(LOG(0.01*BK8/10^-CO8)))</f>
        <v>0</v>
      </c>
      <c r="AW8" s="8" cm="1">
        <f t="array" ref="AW8">_xlfn.IFS(BL8=0,0,BL8&gt;0,(LOG(0.01*BL8/10^-CP8)))</f>
        <v>5.8906394940833335</v>
      </c>
      <c r="AX8" s="8" cm="1">
        <f t="array" ref="AX8">_xlfn.IFS(BM8=0,0,BM8&gt;0,(LOG(0.01*BM8/10^-CQ8)))</f>
        <v>4.9287587703679243</v>
      </c>
      <c r="AY8" s="8" cm="1">
        <f t="array" ref="AY8">_xlfn.IFS(BN8=0,0,BN8&gt;0,(LOG(0.01*BN8/10^-CR8)))</f>
        <v>6.3744094904218134</v>
      </c>
      <c r="AZ8" s="32">
        <f t="shared" si="53"/>
        <v>0</v>
      </c>
      <c r="BA8" s="31">
        <f t="shared" si="54"/>
        <v>75.622968580715053</v>
      </c>
      <c r="BB8" s="31">
        <f t="shared" si="55"/>
        <v>65.471289274106169</v>
      </c>
      <c r="BC8" s="31">
        <f t="shared" si="56"/>
        <v>29.967497291440957</v>
      </c>
      <c r="BD8" s="31">
        <f t="shared" si="57"/>
        <v>37.107258938244854</v>
      </c>
      <c r="BE8" s="31">
        <f t="shared" si="58"/>
        <v>16.598049837486457</v>
      </c>
      <c r="BF8" s="31">
        <f t="shared" si="59"/>
        <v>6.8622305529522025</v>
      </c>
      <c r="BG8" s="31">
        <f t="shared" si="60"/>
        <v>0</v>
      </c>
      <c r="BH8" s="31">
        <f t="shared" si="61"/>
        <v>13.552014995313964</v>
      </c>
      <c r="BI8" s="31">
        <f t="shared" si="62"/>
        <v>81.471415182755393</v>
      </c>
      <c r="BJ8" s="31">
        <f t="shared" si="63"/>
        <v>0</v>
      </c>
      <c r="BK8" s="31">
        <f t="shared" si="64"/>
        <v>0</v>
      </c>
      <c r="BL8" s="31">
        <f t="shared" si="65"/>
        <v>22.265861027190333</v>
      </c>
      <c r="BM8" s="31">
        <f t="shared" si="66"/>
        <v>7.5293722725746894</v>
      </c>
      <c r="BN8" s="31">
        <f t="shared" si="67"/>
        <v>23.900637797918765</v>
      </c>
      <c r="BO8" s="134"/>
      <c r="BP8" s="135">
        <v>698</v>
      </c>
      <c r="BQ8" s="135">
        <v>604.29999999999995</v>
      </c>
      <c r="BR8" s="135">
        <v>276.60000000000002</v>
      </c>
      <c r="BS8" s="135">
        <v>342.5</v>
      </c>
      <c r="BT8" s="135">
        <v>153.19999999999999</v>
      </c>
      <c r="BU8" s="135">
        <v>73.22</v>
      </c>
      <c r="BV8" s="173"/>
      <c r="BW8" s="135">
        <v>144.6</v>
      </c>
      <c r="BX8" s="135">
        <v>869.3</v>
      </c>
      <c r="BY8" s="135"/>
      <c r="BZ8" s="135"/>
      <c r="CA8" s="135">
        <v>663.3</v>
      </c>
      <c r="CB8" s="135">
        <v>224.3</v>
      </c>
      <c r="CC8" s="135">
        <v>712</v>
      </c>
      <c r="CD8" s="30"/>
      <c r="CE8" s="29">
        <v>8.2360000000000007</v>
      </c>
      <c r="CF8" s="29">
        <v>8.4030000000000005</v>
      </c>
      <c r="CG8" s="29">
        <v>8.5630000000000006</v>
      </c>
      <c r="CH8" s="29">
        <v>9.1709999999999994</v>
      </c>
      <c r="CI8" s="29">
        <v>8.6720000000000006</v>
      </c>
      <c r="CJ8" s="29">
        <v>5.7220000000000004</v>
      </c>
      <c r="CK8" s="37"/>
      <c r="CL8" s="29">
        <v>5.7329999999999997</v>
      </c>
      <c r="CM8" s="29">
        <v>6.9450000000000003</v>
      </c>
      <c r="CN8" s="29"/>
      <c r="CO8" s="29"/>
      <c r="CP8" s="29">
        <v>6.5430000000000001</v>
      </c>
      <c r="CQ8" s="29">
        <v>6.0519999999999996</v>
      </c>
      <c r="CR8" s="29">
        <v>6.9960000000000004</v>
      </c>
      <c r="CS8" s="168" t="str">
        <f>IF(VLOOKUP($A8,'B-Ligands'!$A:$G,3,FALSE)="","",VLOOKUP($A8,'B-Ligands'!$A:$G,3,FALSE))</f>
        <v/>
      </c>
      <c r="CT8" s="169" t="str">
        <f>IF(VLOOKUP($A8,'B-Ligands'!$A:$G,4,FALSE)="","",VLOOKUP($A8,'B-Ligands'!$A:$G,4,FALSE))</f>
        <v>Acetylcholine</v>
      </c>
      <c r="CU8" s="134">
        <v>17.264791757906341</v>
      </c>
      <c r="CV8" s="135">
        <v>14.56499017726442</v>
      </c>
      <c r="CW8" s="135">
        <v>8.8483520122864281</v>
      </c>
      <c r="CX8" s="135">
        <v>20.135300244095891</v>
      </c>
      <c r="CY8" s="135">
        <v>17.597669670707415</v>
      </c>
      <c r="CZ8" s="135">
        <v>17.030246986003249</v>
      </c>
      <c r="DA8" s="135">
        <v>7.8726424500964267</v>
      </c>
      <c r="DB8" s="135">
        <v>26.242508240880444</v>
      </c>
      <c r="DC8" s="135">
        <v>8.3534807422827413</v>
      </c>
      <c r="DD8" s="135">
        <v>10.570512585950416</v>
      </c>
      <c r="DE8" s="135">
        <v>9.930764041321293</v>
      </c>
      <c r="DF8" s="135">
        <v>10.971176643199291</v>
      </c>
      <c r="DG8" s="135">
        <v>29.972768706032593</v>
      </c>
      <c r="DH8" s="135">
        <v>8.4031973647457878</v>
      </c>
      <c r="DI8" s="135">
        <v>3.6730103636895404</v>
      </c>
      <c r="DJ8" s="66">
        <f t="shared" si="7"/>
        <v>0</v>
      </c>
      <c r="DK8" s="67">
        <f t="shared" si="8"/>
        <v>47.923135649590776</v>
      </c>
      <c r="DL8" s="67">
        <f t="shared" si="9"/>
        <v>68.29520335096251</v>
      </c>
      <c r="DM8" s="67">
        <f t="shared" si="10"/>
        <v>13.737068563509759</v>
      </c>
      <c r="DN8" s="67">
        <f t="shared" si="11"/>
        <v>19.46280424675296</v>
      </c>
      <c r="DO8" s="67">
        <f t="shared" si="12"/>
        <v>8.9957591411276301</v>
      </c>
      <c r="DP8" s="67">
        <f t="shared" si="13"/>
        <v>9.3005621002263581</v>
      </c>
      <c r="DQ8" s="67">
        <f t="shared" si="14"/>
        <v>0</v>
      </c>
      <c r="DR8" s="67">
        <f t="shared" si="15"/>
        <v>17.31014944082883</v>
      </c>
      <c r="DS8" s="67">
        <f t="shared" si="16"/>
        <v>82.238206797597741</v>
      </c>
      <c r="DT8" s="67">
        <f t="shared" si="17"/>
        <v>0</v>
      </c>
      <c r="DU8" s="67">
        <f t="shared" si="18"/>
        <v>0</v>
      </c>
      <c r="DV8" s="67">
        <f t="shared" si="19"/>
        <v>22.130087697453796</v>
      </c>
      <c r="DW8" s="67">
        <f t="shared" si="20"/>
        <v>26.692220861194244</v>
      </c>
      <c r="DX8" s="67">
        <f t="shared" si="21"/>
        <v>193.84644460539874</v>
      </c>
    </row>
    <row r="9" spans="1:128" s="28" customFormat="1">
      <c r="A9" s="33" t="s">
        <v>228</v>
      </c>
      <c r="B9" s="205" t="s">
        <v>5559</v>
      </c>
      <c r="C9" t="str">
        <f>IF(VLOOKUP($A9,'B-Ligands'!$A:$G,5,FALSE)="","",VLOOKUP($A9,'B-Ligands'!$A:$G,5,FALSE))</f>
        <v>Guide To Pharmacology</v>
      </c>
      <c r="D9" s="19">
        <f>IF(VLOOKUP($A9,'B-Ligands'!$A:$G,6,FALSE)="","",VLOOKUP($A9,'B-Ligands'!$A:$G,6,FALSE))</f>
        <v>2168</v>
      </c>
      <c r="E9" t="str">
        <f>IF(VLOOKUP($A9,'B-Ligands'!$A:$G,7,FALSE)="","",VLOOKUP($A9,'B-Ligands'!$A:$G,7,FALSE))</f>
        <v>Phys</v>
      </c>
      <c r="F9" s="20" t="str">
        <f t="shared" si="68"/>
        <v/>
      </c>
      <c r="G9" s="19">
        <f t="shared" si="69"/>
        <v>1</v>
      </c>
      <c r="H9" s="19">
        <f t="shared" si="70"/>
        <v>1</v>
      </c>
      <c r="I9" s="19" t="str">
        <f t="shared" si="71"/>
        <v/>
      </c>
      <c r="J9" s="189">
        <f t="shared" si="26"/>
        <v>2</v>
      </c>
      <c r="K9" s="147" t="str">
        <f t="shared" si="27"/>
        <v>Gq/11</v>
      </c>
      <c r="L9" s="20">
        <f t="shared" si="28"/>
        <v>0</v>
      </c>
      <c r="M9" s="19">
        <f t="shared" si="29"/>
        <v>2</v>
      </c>
      <c r="N9" s="19">
        <f t="shared" si="30"/>
        <v>1</v>
      </c>
      <c r="O9" s="19">
        <f t="shared" si="31"/>
        <v>0</v>
      </c>
      <c r="P9" s="20">
        <f t="shared" si="32"/>
        <v>0</v>
      </c>
      <c r="Q9" s="19">
        <f t="shared" si="33"/>
        <v>80.355086327806745</v>
      </c>
      <c r="R9" s="19">
        <f t="shared" si="34"/>
        <v>100</v>
      </c>
      <c r="S9" s="19">
        <f t="shared" si="35"/>
        <v>0</v>
      </c>
      <c r="T9" s="20">
        <f t="shared" si="36"/>
        <v>0</v>
      </c>
      <c r="U9" s="21">
        <f t="shared" si="37"/>
        <v>6.9991878408211576</v>
      </c>
      <c r="V9" s="21">
        <f t="shared" si="38"/>
        <v>8.7103233419078538</v>
      </c>
      <c r="W9" s="21">
        <f t="shared" si="39"/>
        <v>0</v>
      </c>
      <c r="X9" s="147" t="str">
        <f t="shared" si="40"/>
        <v>G11</v>
      </c>
      <c r="Y9" s="32">
        <f t="shared" si="41"/>
        <v>0</v>
      </c>
      <c r="Z9" s="31">
        <f t="shared" si="42"/>
        <v>78.418354767502024</v>
      </c>
      <c r="AA9" s="31">
        <f t="shared" si="43"/>
        <v>77.00252351133318</v>
      </c>
      <c r="AB9" s="31">
        <f t="shared" si="44"/>
        <v>79.471288261118104</v>
      </c>
      <c r="AC9" s="31">
        <f t="shared" si="45"/>
        <v>78.1539411888362</v>
      </c>
      <c r="AD9" s="31">
        <f t="shared" si="46"/>
        <v>80.355086327806745</v>
      </c>
      <c r="AE9" s="31">
        <f t="shared" si="47"/>
        <v>98.046121326471848</v>
      </c>
      <c r="AF9" s="31">
        <f t="shared" si="48"/>
        <v>100</v>
      </c>
      <c r="AG9" s="31">
        <f t="shared" si="49"/>
        <v>92.750339792034694</v>
      </c>
      <c r="AH9" s="31">
        <f t="shared" si="50"/>
        <v>90.833806087328625</v>
      </c>
      <c r="AI9" s="31">
        <f t="shared" si="51"/>
        <v>0</v>
      </c>
      <c r="AJ9" s="31">
        <f t="shared" si="52"/>
        <v>0</v>
      </c>
      <c r="AK9" s="7" cm="1">
        <f t="array" ref="AK9">_xlfn.IFS(AZ9=0,0,AZ9&gt;0,(LOG(0.01*AZ9/10^-CD9)))</f>
        <v>0</v>
      </c>
      <c r="AL9" s="8" cm="1">
        <f t="array" ref="AL9">_xlfn.IFS(BA9=0,0,BA9&gt;0,(LOG(0.01*BA9/10^-CE9)))</f>
        <v>6.8304922596538393</v>
      </c>
      <c r="AM9" s="8" cm="1">
        <f t="array" ref="AM9">_xlfn.IFS(BB9=0,0,BB9&gt;0,(LOG(0.01*BB9/10^-CF9)))</f>
        <v>6.7071687792657366</v>
      </c>
      <c r="AN9" s="8" cm="1">
        <f t="array" ref="AN9">_xlfn.IFS(BC9=0,0,BC9&gt;0,(LOG(0.01*BC9/10^-CG9)))</f>
        <v>6.9222061715230465</v>
      </c>
      <c r="AO9" s="8" cm="1">
        <f t="array" ref="AO9">_xlfn.IFS(BD9=0,0,BD9&gt;0,(LOG(0.01*BD9/10^-CH9)))</f>
        <v>6.8074609819921363</v>
      </c>
      <c r="AP9" s="8" cm="1">
        <f t="array" ref="AP9">_xlfn.IFS(BE9=0,0,BE9&gt;0,(LOG(0.01*BE9/10^-CI9)))</f>
        <v>6.9991878408211576</v>
      </c>
      <c r="AQ9" s="8" cm="1">
        <f t="array" ref="AQ9">_xlfn.IFS(BF9=0,0,BF9&gt;0,(LOG(0.01*BF9/10^-CJ9)))</f>
        <v>8.5401341917349711</v>
      </c>
      <c r="AR9" s="8" cm="1">
        <f t="array" ref="AR9">_xlfn.IFS(BG9=0,0,BG9&gt;0,(LOG(0.01*BG9/10^-CK9)))</f>
        <v>8.7103233419078538</v>
      </c>
      <c r="AS9" s="8" cm="1">
        <f t="array" ref="AS9">_xlfn.IFS(BH9=0,0,BH9&gt;0,(LOG(0.01*BH9/10^-CL9)))</f>
        <v>8.0788544966044462</v>
      </c>
      <c r="AT9" s="8" cm="1">
        <f t="array" ref="AT9">_xlfn.IFS(BI9=0,0,BI9&gt;0,(LOG(0.01*BI9/10^-CM9)))</f>
        <v>7.9119182139679021</v>
      </c>
      <c r="AU9" s="8" cm="1">
        <f t="array" ref="AU9">_xlfn.IFS(BJ9=0,0,BJ9&gt;0,(LOG(0.01*BJ9/10^-CN9)))</f>
        <v>0</v>
      </c>
      <c r="AV9" s="8" cm="1">
        <f t="array" ref="AV9">_xlfn.IFS(BK9=0,0,BK9&gt;0,(LOG(0.01*BK9/10^-CO9)))</f>
        <v>0</v>
      </c>
      <c r="AW9" s="8" cm="1">
        <f t="array" ref="AW9">_xlfn.IFS(BL9=0,0,BL9&gt;0,(LOG(0.01*BL9/10^-CP9)))</f>
        <v>7.2183682978214616</v>
      </c>
      <c r="AX9" s="8" cm="1">
        <f t="array" ref="AX9">_xlfn.IFS(BM9=0,0,BM9&gt;0,(LOG(0.01*BM9/10^-CQ9)))</f>
        <v>7.1996299677455236</v>
      </c>
      <c r="AY9" s="8" cm="1">
        <f t="array" ref="AY9">_xlfn.IFS(BN9=0,0,BN9&gt;0,(LOG(0.01*BN9/10^-CR9)))</f>
        <v>7.320601739474677</v>
      </c>
      <c r="AZ9" s="32">
        <f t="shared" si="53"/>
        <v>0</v>
      </c>
      <c r="BA9" s="31">
        <f t="shared" si="54"/>
        <v>10.604550379198267</v>
      </c>
      <c r="BB9" s="31">
        <f t="shared" si="55"/>
        <v>6.3120260021668475</v>
      </c>
      <c r="BC9" s="31">
        <f t="shared" si="56"/>
        <v>6.183098591549296</v>
      </c>
      <c r="BD9" s="31">
        <f t="shared" si="57"/>
        <v>5.6814734561213438</v>
      </c>
      <c r="BE9" s="31">
        <f t="shared" si="58"/>
        <v>10.073672806067172</v>
      </c>
      <c r="BF9" s="31">
        <f t="shared" si="59"/>
        <v>57.694470477975635</v>
      </c>
      <c r="BG9" s="31">
        <f t="shared" si="60"/>
        <v>76.616682286785377</v>
      </c>
      <c r="BH9" s="31">
        <f t="shared" si="61"/>
        <v>77.956888472352389</v>
      </c>
      <c r="BI9" s="31">
        <f t="shared" si="62"/>
        <v>79.784442361761947</v>
      </c>
      <c r="BJ9" s="31">
        <f t="shared" si="63"/>
        <v>0</v>
      </c>
      <c r="BK9" s="31">
        <f t="shared" si="64"/>
        <v>0</v>
      </c>
      <c r="BL9" s="31">
        <f t="shared" si="65"/>
        <v>29.879154078549849</v>
      </c>
      <c r="BM9" s="31">
        <f t="shared" si="66"/>
        <v>22.836522322927156</v>
      </c>
      <c r="BN9" s="31">
        <f t="shared" si="67"/>
        <v>31.376300772071165</v>
      </c>
      <c r="BO9" s="134"/>
      <c r="BP9" s="135">
        <v>97.88</v>
      </c>
      <c r="BQ9" s="135">
        <v>58.26</v>
      </c>
      <c r="BR9" s="135">
        <v>57.07</v>
      </c>
      <c r="BS9" s="135">
        <v>52.44</v>
      </c>
      <c r="BT9" s="135">
        <v>92.98</v>
      </c>
      <c r="BU9" s="135">
        <v>615.6</v>
      </c>
      <c r="BV9" s="135">
        <v>817.5</v>
      </c>
      <c r="BW9" s="135">
        <v>831.8</v>
      </c>
      <c r="BX9" s="135">
        <v>851.3</v>
      </c>
      <c r="BY9" s="135"/>
      <c r="BZ9" s="135"/>
      <c r="CA9" s="135">
        <v>890.1</v>
      </c>
      <c r="CB9" s="135">
        <v>680.3</v>
      </c>
      <c r="CC9" s="135">
        <v>934.7</v>
      </c>
      <c r="CD9" s="30"/>
      <c r="CE9" s="29">
        <v>7.8049999999999997</v>
      </c>
      <c r="CF9" s="29">
        <v>7.907</v>
      </c>
      <c r="CG9" s="29">
        <v>8.1310000000000002</v>
      </c>
      <c r="CH9" s="29">
        <v>8.0530000000000008</v>
      </c>
      <c r="CI9" s="29">
        <v>7.9960000000000004</v>
      </c>
      <c r="CJ9" s="29">
        <v>8.7789999999999999</v>
      </c>
      <c r="CK9" s="29">
        <v>8.8260000000000005</v>
      </c>
      <c r="CL9" s="29">
        <v>8.1869999999999994</v>
      </c>
      <c r="CM9" s="29">
        <v>8.01</v>
      </c>
      <c r="CN9" s="29"/>
      <c r="CO9" s="29"/>
      <c r="CP9" s="29">
        <v>7.7430000000000003</v>
      </c>
      <c r="CQ9" s="29">
        <v>7.8410000000000002</v>
      </c>
      <c r="CR9" s="29">
        <v>7.8239999999999998</v>
      </c>
      <c r="CS9" s="168" t="str">
        <f>IF(VLOOKUP($A9,'B-Ligands'!$A:$G,3,FALSE)="","",VLOOKUP($A9,'B-Ligands'!$A:$G,3,FALSE))</f>
        <v>AVP</v>
      </c>
      <c r="CT9" s="169" t="str">
        <f>IF(VLOOKUP($A9,'B-Ligands'!$A:$G,4,FALSE)="","",VLOOKUP($A9,'B-Ligands'!$A:$G,4,FALSE))</f>
        <v>Vasopressin</v>
      </c>
      <c r="CU9" s="134">
        <v>9.6057439053672198</v>
      </c>
      <c r="CV9" s="135">
        <v>2.9288446558022723</v>
      </c>
      <c r="CW9" s="135">
        <v>8.1434844224241587</v>
      </c>
      <c r="CX9" s="135">
        <v>6.0507239285647278</v>
      </c>
      <c r="CY9" s="135">
        <v>3.9350629692104322</v>
      </c>
      <c r="CZ9" s="135">
        <v>1.0479131938618993</v>
      </c>
      <c r="DA9" s="135">
        <v>8.5510395021570371</v>
      </c>
      <c r="DB9" s="135">
        <v>4.1177830420362316</v>
      </c>
      <c r="DC9" s="135">
        <v>6.1085796309559495</v>
      </c>
      <c r="DD9" s="135">
        <v>5.6743723440698499</v>
      </c>
      <c r="DE9" s="135">
        <v>17.86762818716301</v>
      </c>
      <c r="DF9" s="135">
        <v>12.702030801876456</v>
      </c>
      <c r="DG9" s="135">
        <v>9.0882481206327785</v>
      </c>
      <c r="DH9" s="135">
        <v>3.8338979417510246</v>
      </c>
      <c r="DI9" s="135">
        <v>5.6784865793183545</v>
      </c>
      <c r="DJ9" s="66">
        <f t="shared" si="7"/>
        <v>0</v>
      </c>
      <c r="DK9" s="67">
        <f t="shared" si="8"/>
        <v>33.419321098540337</v>
      </c>
      <c r="DL9" s="67">
        <f t="shared" si="9"/>
        <v>7.1541857241813345</v>
      </c>
      <c r="DM9" s="67">
        <f t="shared" si="10"/>
        <v>9.4319292490902633</v>
      </c>
      <c r="DN9" s="67">
        <f t="shared" si="11"/>
        <v>13.32634329115248</v>
      </c>
      <c r="DO9" s="67">
        <f t="shared" si="12"/>
        <v>88.728723471205285</v>
      </c>
      <c r="DP9" s="67">
        <f t="shared" si="13"/>
        <v>71.991247361763712</v>
      </c>
      <c r="DQ9" s="67">
        <f t="shared" si="14"/>
        <v>198.52915796062646</v>
      </c>
      <c r="DR9" s="67">
        <f t="shared" si="15"/>
        <v>136.16913427546316</v>
      </c>
      <c r="DS9" s="67">
        <f t="shared" si="16"/>
        <v>150.02540340689364</v>
      </c>
      <c r="DT9" s="67">
        <f t="shared" si="17"/>
        <v>0</v>
      </c>
      <c r="DU9" s="67">
        <f t="shared" si="18"/>
        <v>0</v>
      </c>
      <c r="DV9" s="67">
        <f t="shared" si="19"/>
        <v>97.939667599879073</v>
      </c>
      <c r="DW9" s="67">
        <f t="shared" si="20"/>
        <v>177.44342972502082</v>
      </c>
      <c r="DX9" s="67">
        <f t="shared" si="21"/>
        <v>164.60371737150453</v>
      </c>
    </row>
    <row r="10" spans="1:128" s="28" customFormat="1">
      <c r="A10" s="33" t="s">
        <v>80</v>
      </c>
      <c r="B10" s="205" t="s">
        <v>5559</v>
      </c>
      <c r="C10" t="str">
        <f>IF(VLOOKUP($A10,'B-Ligands'!$A:$G,5,FALSE)="","",VLOOKUP($A10,'B-Ligands'!$A:$G,5,FALSE))</f>
        <v>Guide To Pharmacology</v>
      </c>
      <c r="D10" s="19">
        <f>IF(VLOOKUP($A10,'B-Ligands'!$A:$G,6,FALSE)="","",VLOOKUP($A10,'B-Ligands'!$A:$G,6,FALSE))</f>
        <v>864</v>
      </c>
      <c r="E10" t="str">
        <f>IF(VLOOKUP($A10,'B-Ligands'!$A:$G,7,FALSE)="","",VLOOKUP($A10,'B-Ligands'!$A:$G,7,FALSE))</f>
        <v>Phys</v>
      </c>
      <c r="F10" s="20">
        <f t="shared" si="68"/>
        <v>1</v>
      </c>
      <c r="G10" s="19">
        <f t="shared" si="69"/>
        <v>1</v>
      </c>
      <c r="H10" s="19">
        <f t="shared" si="70"/>
        <v>1</v>
      </c>
      <c r="I10" s="19">
        <f t="shared" si="71"/>
        <v>1</v>
      </c>
      <c r="J10" s="189">
        <f t="shared" si="26"/>
        <v>4</v>
      </c>
      <c r="K10" s="147" t="str">
        <f t="shared" si="27"/>
        <v>G12/13</v>
      </c>
      <c r="L10" s="20">
        <f t="shared" si="28"/>
        <v>4</v>
      </c>
      <c r="M10" s="19">
        <f t="shared" si="29"/>
        <v>3</v>
      </c>
      <c r="N10" s="19">
        <f t="shared" si="30"/>
        <v>2</v>
      </c>
      <c r="O10" s="19">
        <f t="shared" si="31"/>
        <v>1</v>
      </c>
      <c r="P10" s="20">
        <f t="shared" si="32"/>
        <v>82.897919211522435</v>
      </c>
      <c r="Q10" s="19">
        <f t="shared" si="33"/>
        <v>87.589303525417733</v>
      </c>
      <c r="R10" s="19">
        <f t="shared" si="34"/>
        <v>99.292359759346638</v>
      </c>
      <c r="S10" s="19">
        <f t="shared" si="35"/>
        <v>100</v>
      </c>
      <c r="T10" s="20">
        <f t="shared" si="36"/>
        <v>8.0784279030355908</v>
      </c>
      <c r="U10" s="21">
        <f t="shared" si="37"/>
        <v>8.5356047574815044</v>
      </c>
      <c r="V10" s="21">
        <f t="shared" si="38"/>
        <v>9.6760712122513954</v>
      </c>
      <c r="W10" s="21">
        <f t="shared" si="39"/>
        <v>9.7450309728796256</v>
      </c>
      <c r="X10" s="147" t="str">
        <f t="shared" si="40"/>
        <v>G12</v>
      </c>
      <c r="Y10" s="32">
        <f t="shared" si="41"/>
        <v>82.897919211522435</v>
      </c>
      <c r="Z10" s="31">
        <f t="shared" si="42"/>
        <v>86.51077702658057</v>
      </c>
      <c r="AA10" s="31">
        <f t="shared" si="43"/>
        <v>84.477597638643957</v>
      </c>
      <c r="AB10" s="31">
        <f t="shared" si="44"/>
        <v>87.589303525417733</v>
      </c>
      <c r="AC10" s="31">
        <f t="shared" si="45"/>
        <v>86.751016012274761</v>
      </c>
      <c r="AD10" s="31">
        <f t="shared" si="46"/>
        <v>79.98066304590283</v>
      </c>
      <c r="AE10" s="31">
        <f t="shared" si="47"/>
        <v>96.057640328861481</v>
      </c>
      <c r="AF10" s="31">
        <f t="shared" si="48"/>
        <v>98.476207081510111</v>
      </c>
      <c r="AG10" s="31">
        <f t="shared" si="49"/>
        <v>99.292359759346638</v>
      </c>
      <c r="AH10" s="31">
        <f t="shared" si="50"/>
        <v>90.419786914400163</v>
      </c>
      <c r="AI10" s="31">
        <f t="shared" si="51"/>
        <v>100</v>
      </c>
      <c r="AJ10" s="31">
        <f t="shared" si="52"/>
        <v>94.283948666455359</v>
      </c>
      <c r="AK10" s="7" cm="1">
        <f t="array" ref="AK10">_xlfn.IFS(AZ10=0,0,AZ10&gt;0,(LOG(0.01*AZ10/10^-CD10)))</f>
        <v>8.0784279030355908</v>
      </c>
      <c r="AL10" s="8" cm="1">
        <f t="array" ref="AL10">_xlfn.IFS(BA10=0,0,BA10&gt;0,(LOG(0.01*BA10/10^-CE10)))</f>
        <v>8.4305020161191084</v>
      </c>
      <c r="AM10" s="8" cm="1">
        <f t="array" ref="AM10">_xlfn.IFS(BB10=0,0,BB10&gt;0,(LOG(0.01*BB10/10^-CF10)))</f>
        <v>8.2323680550304807</v>
      </c>
      <c r="AN10" s="8" cm="1">
        <f t="array" ref="AN10">_xlfn.IFS(BC10=0,0,BC10&gt;0,(LOG(0.01*BC10/10^-CG10)))</f>
        <v>8.5356047574815044</v>
      </c>
      <c r="AO10" s="8" cm="1">
        <f t="array" ref="AO10">_xlfn.IFS(BD10=0,0,BD10&gt;0,(LOG(0.01*BD10/10^-CH10)))</f>
        <v>8.4539133796839394</v>
      </c>
      <c r="AP10" s="8" cm="1">
        <f t="array" ref="AP10">_xlfn.IFS(BE10=0,0,BE10&gt;0,(LOG(0.01*BE10/10^-CI10)))</f>
        <v>7.7941403861377196</v>
      </c>
      <c r="AQ10" s="8" cm="1">
        <f t="array" ref="AQ10">_xlfn.IFS(BF10=0,0,BF10&gt;0,(LOG(0.01*BF10/10^-CJ10)))</f>
        <v>9.3608468018648612</v>
      </c>
      <c r="AR10" s="8" cm="1">
        <f t="array" ref="AR10">_xlfn.IFS(BG10=0,0,BG10&gt;0,(LOG(0.01*BG10/10^-CK10)))</f>
        <v>9.5965368810102394</v>
      </c>
      <c r="AS10" s="8" cm="1">
        <f t="array" ref="AS10">_xlfn.IFS(BH10=0,0,BH10&gt;0,(LOG(0.01*BH10/10^-CL10)))</f>
        <v>9.6760712122513954</v>
      </c>
      <c r="AT10" s="8" cm="1">
        <f t="array" ref="AT10">_xlfn.IFS(BI10=0,0,BI10&gt;0,(LOG(0.01*BI10/10^-CM10)))</f>
        <v>8.8114362404200541</v>
      </c>
      <c r="AU10" s="8" cm="1">
        <f t="array" ref="AU10">_xlfn.IFS(BJ10=0,0,BJ10&gt;0,(LOG(0.01*BJ10/10^-CN10)))</f>
        <v>9.7450309728796256</v>
      </c>
      <c r="AV10" s="8" cm="1">
        <f t="array" ref="AV10">_xlfn.IFS(BK10=0,0,BK10&gt;0,(LOG(0.01*BK10/10^-CO10)))</f>
        <v>9.1880000000000006</v>
      </c>
      <c r="AW10" s="8" cm="1">
        <f t="array" ref="AW10">_xlfn.IFS(BL10=0,0,BL10&gt;0,(LOG(0.01*BL10/10^-CP10)))</f>
        <v>7.9929162295084906</v>
      </c>
      <c r="AX10" s="8" cm="1">
        <f t="array" ref="AX10">_xlfn.IFS(BM10=0,0,BM10&gt;0,(LOG(0.01*BM10/10^-CQ10)))</f>
        <v>7.3598013143250078</v>
      </c>
      <c r="AY10" s="8" cm="1">
        <f t="array" ref="AY10">_xlfn.IFS(BN10=0,0,BN10&gt;0,(LOG(0.01*BN10/10^-CR10)))</f>
        <v>8.4287730847297304</v>
      </c>
      <c r="AZ10" s="32">
        <f t="shared" si="53"/>
        <v>39.941824862216784</v>
      </c>
      <c r="BA10" s="31">
        <f t="shared" si="54"/>
        <v>54.387865655471288</v>
      </c>
      <c r="BB10" s="31">
        <f t="shared" si="55"/>
        <v>24.008667388949078</v>
      </c>
      <c r="BC10" s="31">
        <f t="shared" si="56"/>
        <v>25.503791982665224</v>
      </c>
      <c r="BD10" s="31">
        <f t="shared" si="57"/>
        <v>26.056338028169016</v>
      </c>
      <c r="BE10" s="31">
        <f t="shared" si="58"/>
        <v>18.244853737811486</v>
      </c>
      <c r="BF10" s="31">
        <f t="shared" si="59"/>
        <v>42.839737582005625</v>
      </c>
      <c r="BG10" s="31">
        <f t="shared" si="60"/>
        <v>51.34957825679475</v>
      </c>
      <c r="BH10" s="31">
        <f t="shared" si="61"/>
        <v>56.373008434864104</v>
      </c>
      <c r="BI10" s="31">
        <f t="shared" si="62"/>
        <v>79.512652296157455</v>
      </c>
      <c r="BJ10" s="31">
        <f t="shared" si="63"/>
        <v>13.336165392240158</v>
      </c>
      <c r="BK10" s="31">
        <f t="shared" si="64"/>
        <v>100</v>
      </c>
      <c r="BL10" s="31">
        <f t="shared" si="65"/>
        <v>46.12286002014099</v>
      </c>
      <c r="BM10" s="31">
        <f t="shared" si="66"/>
        <v>27.593152064451157</v>
      </c>
      <c r="BN10" s="31">
        <f t="shared" si="67"/>
        <v>51.023833501174892</v>
      </c>
      <c r="BO10" s="132">
        <v>26.09</v>
      </c>
      <c r="BP10" s="133">
        <v>502</v>
      </c>
      <c r="BQ10" s="133">
        <v>221.6</v>
      </c>
      <c r="BR10" s="133">
        <v>235.4</v>
      </c>
      <c r="BS10" s="133">
        <v>240.5</v>
      </c>
      <c r="BT10" s="133">
        <v>168.4</v>
      </c>
      <c r="BU10" s="133">
        <v>457.1</v>
      </c>
      <c r="BV10" s="133">
        <v>547.9</v>
      </c>
      <c r="BW10" s="133">
        <v>601.5</v>
      </c>
      <c r="BX10" s="133">
        <v>848.4</v>
      </c>
      <c r="BY10" s="133">
        <v>94.18</v>
      </c>
      <c r="BZ10" s="133">
        <v>706.2</v>
      </c>
      <c r="CA10" s="133">
        <v>1374</v>
      </c>
      <c r="CB10" s="133">
        <v>822</v>
      </c>
      <c r="CC10" s="133">
        <v>1520</v>
      </c>
      <c r="CD10" s="36">
        <v>8.4770000000000003</v>
      </c>
      <c r="CE10" s="34">
        <v>8.6950000000000003</v>
      </c>
      <c r="CF10" s="34">
        <v>8.8520000000000003</v>
      </c>
      <c r="CG10" s="34">
        <v>9.1289999999999996</v>
      </c>
      <c r="CH10" s="34">
        <v>9.0380000000000003</v>
      </c>
      <c r="CI10" s="34">
        <v>8.5329999999999995</v>
      </c>
      <c r="CJ10" s="34">
        <v>9.7289999999999992</v>
      </c>
      <c r="CK10" s="34">
        <v>9.8859999999999992</v>
      </c>
      <c r="CL10" s="34">
        <v>9.9250000000000007</v>
      </c>
      <c r="CM10" s="34">
        <v>8.9109999999999996</v>
      </c>
      <c r="CN10" s="34">
        <v>10.62</v>
      </c>
      <c r="CO10" s="34">
        <v>9.1880000000000006</v>
      </c>
      <c r="CP10" s="34">
        <v>8.3290000000000006</v>
      </c>
      <c r="CQ10" s="34">
        <v>7.9189999999999996</v>
      </c>
      <c r="CR10" s="34">
        <v>8.7210000000000001</v>
      </c>
      <c r="CS10" s="168" t="str">
        <f>IF(VLOOKUP($A10,'B-Ligands'!$A:$G,3,FALSE)="","",VLOOKUP($A10,'B-Ligands'!$A:$G,3,FALSE))</f>
        <v>CCK-8</v>
      </c>
      <c r="CT10" s="169" t="str">
        <f>IF(VLOOKUP($A10,'B-Ligands'!$A:$G,4,FALSE)="","",VLOOKUP($A10,'B-Ligands'!$A:$G,4,FALSE))</f>
        <v>Cholecystokinin 8</v>
      </c>
      <c r="CU10" s="132">
        <v>6.1193555963332029</v>
      </c>
      <c r="CV10" s="133">
        <v>10.562020983550074</v>
      </c>
      <c r="CW10" s="133">
        <v>2.2564256184441609</v>
      </c>
      <c r="CX10" s="133">
        <v>24.717210699488298</v>
      </c>
      <c r="CY10" s="133">
        <v>17.499667380897804</v>
      </c>
      <c r="CZ10" s="133">
        <v>2.3220149113418698</v>
      </c>
      <c r="DA10" s="133">
        <v>2.8129304078378552</v>
      </c>
      <c r="DB10" s="133">
        <v>2.6731684440875036</v>
      </c>
      <c r="DC10" s="133">
        <v>4.6772703478902411</v>
      </c>
      <c r="DD10" s="133">
        <v>3.389912753965282</v>
      </c>
      <c r="DE10" s="133">
        <v>13.779841877104488</v>
      </c>
      <c r="DF10" s="133">
        <v>15.914174332733351</v>
      </c>
      <c r="DG10" s="133">
        <v>19.05783449680002</v>
      </c>
      <c r="DH10" s="133">
        <v>1.9496294547150848</v>
      </c>
      <c r="DI10" s="133">
        <v>10.099420940200659</v>
      </c>
      <c r="DJ10" s="66">
        <f t="shared" si="7"/>
        <v>4.2635208216423095</v>
      </c>
      <c r="DK10" s="67">
        <f t="shared" si="8"/>
        <v>47.52878268106501</v>
      </c>
      <c r="DL10" s="67">
        <f t="shared" si="9"/>
        <v>98.208422289052237</v>
      </c>
      <c r="DM10" s="67">
        <f t="shared" si="10"/>
        <v>9.523728339010086</v>
      </c>
      <c r="DN10" s="67">
        <f t="shared" si="11"/>
        <v>13.743118355639361</v>
      </c>
      <c r="DO10" s="67">
        <f t="shared" si="12"/>
        <v>72.523220749983594</v>
      </c>
      <c r="DP10" s="67">
        <f t="shared" si="13"/>
        <v>162.49957650084477</v>
      </c>
      <c r="DQ10" s="67">
        <f t="shared" si="14"/>
        <v>204.96276664190077</v>
      </c>
      <c r="DR10" s="67">
        <f t="shared" si="15"/>
        <v>128.6006485110095</v>
      </c>
      <c r="DS10" s="67">
        <f t="shared" si="16"/>
        <v>250.27192779743407</v>
      </c>
      <c r="DT10" s="67">
        <f t="shared" si="17"/>
        <v>6.8346212416618624</v>
      </c>
      <c r="DU10" s="67">
        <f t="shared" si="18"/>
        <v>44.375534993822463</v>
      </c>
      <c r="DV10" s="67">
        <f t="shared" si="19"/>
        <v>72.096333937137871</v>
      </c>
      <c r="DW10" s="67">
        <f t="shared" si="20"/>
        <v>421.61857885970727</v>
      </c>
      <c r="DX10" s="67">
        <f t="shared" si="21"/>
        <v>150.50367828017278</v>
      </c>
    </row>
    <row r="11" spans="1:128" s="28" customFormat="1">
      <c r="A11" s="33" t="s">
        <v>14</v>
      </c>
      <c r="B11" s="205" t="s">
        <v>5559</v>
      </c>
      <c r="C11" t="str">
        <f>IF(VLOOKUP($A11,'B-Ligands'!$A:$G,5,FALSE)="","",VLOOKUP($A11,'B-Ligands'!$A:$G,5,FALSE))</f>
        <v>Guide To Pharmacology</v>
      </c>
      <c r="D11" s="19">
        <f>IF(VLOOKUP($A11,'B-Ligands'!$A:$G,6,FALSE)="","",VLOOKUP($A11,'B-Ligands'!$A:$G,6,FALSE))</f>
        <v>5</v>
      </c>
      <c r="E11" t="str">
        <f>IF(VLOOKUP($A11,'B-Ligands'!$A:$G,7,FALSE)="","",VLOOKUP($A11,'B-Ligands'!$A:$G,7,FALSE))</f>
        <v>Phys</v>
      </c>
      <c r="F11" s="20" t="str">
        <f t="shared" si="68"/>
        <v/>
      </c>
      <c r="G11" s="19">
        <f t="shared" si="69"/>
        <v>1</v>
      </c>
      <c r="H11" s="19">
        <f t="shared" si="70"/>
        <v>1</v>
      </c>
      <c r="I11" s="19" t="str">
        <f t="shared" si="71"/>
        <v/>
      </c>
      <c r="J11" s="189">
        <f t="shared" si="26"/>
        <v>2</v>
      </c>
      <c r="K11" s="147" t="str">
        <f t="shared" si="27"/>
        <v>Gi/o</v>
      </c>
      <c r="L11" s="20">
        <f t="shared" si="28"/>
        <v>0</v>
      </c>
      <c r="M11" s="19">
        <f t="shared" si="29"/>
        <v>1</v>
      </c>
      <c r="N11" s="19">
        <f t="shared" si="30"/>
        <v>2</v>
      </c>
      <c r="O11" s="19">
        <f t="shared" si="31"/>
        <v>0</v>
      </c>
      <c r="P11" s="20">
        <f t="shared" si="32"/>
        <v>0</v>
      </c>
      <c r="Q11" s="19">
        <f t="shared" si="33"/>
        <v>100</v>
      </c>
      <c r="R11" s="19">
        <f t="shared" si="34"/>
        <v>81.193692611219632</v>
      </c>
      <c r="S11" s="19">
        <f t="shared" si="35"/>
        <v>0</v>
      </c>
      <c r="T11" s="20">
        <f t="shared" si="36"/>
        <v>0</v>
      </c>
      <c r="U11" s="21">
        <f t="shared" si="37"/>
        <v>8.2691545056288813</v>
      </c>
      <c r="V11" s="21">
        <f t="shared" si="38"/>
        <v>6.7140318908471324</v>
      </c>
      <c r="W11" s="21">
        <f t="shared" si="39"/>
        <v>0</v>
      </c>
      <c r="X11" s="147" t="str">
        <f t="shared" si="40"/>
        <v>GoB</v>
      </c>
      <c r="Y11" s="32">
        <f t="shared" si="41"/>
        <v>0</v>
      </c>
      <c r="Z11" s="31">
        <f t="shared" si="42"/>
        <v>92.144272551677247</v>
      </c>
      <c r="AA11" s="31">
        <f t="shared" si="43"/>
        <v>85.084649668688201</v>
      </c>
      <c r="AB11" s="31">
        <f t="shared" si="44"/>
        <v>96.602892210764054</v>
      </c>
      <c r="AC11" s="31">
        <f t="shared" si="45"/>
        <v>100</v>
      </c>
      <c r="AD11" s="31">
        <f t="shared" si="46"/>
        <v>95.66883000300453</v>
      </c>
      <c r="AE11" s="31">
        <f t="shared" si="47"/>
        <v>0</v>
      </c>
      <c r="AF11" s="31">
        <f t="shared" si="48"/>
        <v>0</v>
      </c>
      <c r="AG11" s="31">
        <f t="shared" si="49"/>
        <v>64.787647098018525</v>
      </c>
      <c r="AH11" s="31">
        <f t="shared" si="50"/>
        <v>81.193692611219632</v>
      </c>
      <c r="AI11" s="31">
        <f t="shared" si="51"/>
        <v>0</v>
      </c>
      <c r="AJ11" s="31">
        <f t="shared" si="52"/>
        <v>0</v>
      </c>
      <c r="AK11" s="7" cm="1">
        <f t="array" ref="AK11">_xlfn.IFS(AZ11=0,0,AZ11&gt;0,(LOG(0.01*AZ11/10^-CD11)))</f>
        <v>0</v>
      </c>
      <c r="AL11" s="8" cm="1">
        <f t="array" ref="AL11">_xlfn.IFS(BA11=0,0,BA11&gt;0,(LOG(0.01*BA11/10^-CE11)))</f>
        <v>7.6195522653859751</v>
      </c>
      <c r="AM11" s="8" cm="1">
        <f t="array" ref="AM11">_xlfn.IFS(BB11=0,0,BB11&gt;0,(LOG(0.01*BB11/10^-CF11)))</f>
        <v>7.0357811416768792</v>
      </c>
      <c r="AN11" s="8" cm="1">
        <f t="array" ref="AN11">_xlfn.IFS(BC11=0,0,BC11&gt;0,(LOG(0.01*BC11/10^-CG11)))</f>
        <v>7.9882424138142074</v>
      </c>
      <c r="AO11" s="8" cm="1">
        <f t="array" ref="AO11">_xlfn.IFS(BD11=0,0,BD11&gt;0,(LOG(0.01*BD11/10^-CH11)))</f>
        <v>8.2691545056288813</v>
      </c>
      <c r="AP11" s="8" cm="1">
        <f t="array" ref="AP11">_xlfn.IFS(BE11=0,0,BE11&gt;0,(LOG(0.01*BE11/10^-CI11)))</f>
        <v>7.9110033666758843</v>
      </c>
      <c r="AQ11" s="8" cm="1">
        <f t="array" ref="AQ11">_xlfn.IFS(BF11=0,0,BF11&gt;0,(LOG(0.01*BF11/10^-CJ11)))</f>
        <v>0</v>
      </c>
      <c r="AR11" s="8" cm="1">
        <f t="array" ref="AR11">_xlfn.IFS(BG11=0,0,BG11&gt;0,(LOG(0.01*BG11/10^-CK11)))</f>
        <v>0</v>
      </c>
      <c r="AS11" s="8" cm="1">
        <f t="array" ref="AS11">_xlfn.IFS(BH11=0,0,BH11&gt;0,(LOG(0.01*BH11/10^-CL11)))</f>
        <v>5.3573906390967387</v>
      </c>
      <c r="AT11" s="8" cm="1">
        <f t="array" ref="AT11">_xlfn.IFS(BI11=0,0,BI11&gt;0,(LOG(0.01*BI11/10^-CM11)))</f>
        <v>6.7140318908471324</v>
      </c>
      <c r="AU11" s="8" cm="1">
        <f t="array" ref="AU11">_xlfn.IFS(BJ11=0,0,BJ11&gt;0,(LOG(0.01*BJ11/10^-CN11)))</f>
        <v>0</v>
      </c>
      <c r="AV11" s="8" cm="1">
        <f t="array" ref="AV11">_xlfn.IFS(BK11=0,0,BK11&gt;0,(LOG(0.01*BK11/10^-CO11)))</f>
        <v>0</v>
      </c>
      <c r="AW11" s="8" cm="1">
        <f t="array" ref="AW11">_xlfn.IFS(BL11=0,0,BL11&gt;0,(LOG(0.01*BL11/10^-CP11)))</f>
        <v>5.082927306743696</v>
      </c>
      <c r="AX11" s="8" cm="1">
        <f t="array" ref="AX11">_xlfn.IFS(BM11=0,0,BM11&gt;0,(LOG(0.01*BM11/10^-CQ11)))</f>
        <v>4.9770725966871723</v>
      </c>
      <c r="AY11" s="8" cm="1">
        <f t="array" ref="AY11">_xlfn.IFS(BN11=0,0,BN11&gt;0,(LOG(0.01*BN11/10^-CR11)))</f>
        <v>5.4232844240929907</v>
      </c>
      <c r="AZ11" s="32">
        <f t="shared" si="53"/>
        <v>0</v>
      </c>
      <c r="BA11" s="31">
        <f t="shared" si="54"/>
        <v>68.320693391115924</v>
      </c>
      <c r="BB11" s="31">
        <f t="shared" si="55"/>
        <v>41.094257854821237</v>
      </c>
      <c r="BC11" s="31">
        <f t="shared" si="56"/>
        <v>23.72697724810401</v>
      </c>
      <c r="BD11" s="31">
        <f t="shared" si="57"/>
        <v>36.153846153846153</v>
      </c>
      <c r="BE11" s="31">
        <f t="shared" si="58"/>
        <v>20.845070422535212</v>
      </c>
      <c r="BF11" s="31">
        <f t="shared" si="59"/>
        <v>0</v>
      </c>
      <c r="BG11" s="31">
        <f t="shared" si="60"/>
        <v>0</v>
      </c>
      <c r="BH11" s="31">
        <f t="shared" si="61"/>
        <v>13.880037488284911</v>
      </c>
      <c r="BI11" s="31">
        <f t="shared" si="62"/>
        <v>75.688847235238981</v>
      </c>
      <c r="BJ11" s="31">
        <f t="shared" si="63"/>
        <v>0</v>
      </c>
      <c r="BK11" s="31">
        <f t="shared" si="64"/>
        <v>0</v>
      </c>
      <c r="BL11" s="31">
        <f t="shared" si="65"/>
        <v>3.1910036925142666</v>
      </c>
      <c r="BM11" s="31">
        <f t="shared" si="66"/>
        <v>3.1628063108425648</v>
      </c>
      <c r="BN11" s="31">
        <f t="shared" si="67"/>
        <v>6.0993622020812355</v>
      </c>
      <c r="BO11" s="170"/>
      <c r="BP11" s="133">
        <v>630.6</v>
      </c>
      <c r="BQ11" s="133">
        <v>379.3</v>
      </c>
      <c r="BR11" s="133">
        <v>219</v>
      </c>
      <c r="BS11" s="133">
        <v>333.7</v>
      </c>
      <c r="BT11" s="133">
        <v>192.4</v>
      </c>
      <c r="BU11" s="174"/>
      <c r="BV11" s="174"/>
      <c r="BW11" s="133">
        <v>148.1</v>
      </c>
      <c r="BX11" s="133">
        <v>807.6</v>
      </c>
      <c r="BY11" s="174"/>
      <c r="BZ11" s="174"/>
      <c r="CA11" s="133">
        <v>95.06</v>
      </c>
      <c r="CB11" s="133">
        <v>94.22</v>
      </c>
      <c r="CC11" s="133">
        <v>181.7</v>
      </c>
      <c r="CD11" s="36"/>
      <c r="CE11" s="34">
        <v>7.7850000000000001</v>
      </c>
      <c r="CF11" s="34">
        <v>7.4219999999999997</v>
      </c>
      <c r="CG11" s="34">
        <v>8.6129999999999995</v>
      </c>
      <c r="CH11" s="34">
        <v>8.7110000000000003</v>
      </c>
      <c r="CI11" s="34">
        <v>8.5920000000000005</v>
      </c>
      <c r="CJ11" s="34"/>
      <c r="CK11" s="34"/>
      <c r="CL11" s="34">
        <v>6.2149999999999999</v>
      </c>
      <c r="CM11" s="34">
        <v>6.835</v>
      </c>
      <c r="CN11" s="34"/>
      <c r="CO11" s="34"/>
      <c r="CP11" s="34">
        <v>6.5789999999999997</v>
      </c>
      <c r="CQ11" s="34">
        <v>6.4770000000000003</v>
      </c>
      <c r="CR11" s="34">
        <v>6.6379999999999999</v>
      </c>
      <c r="CS11" s="168" t="str">
        <f>IF(VLOOKUP($A11,'B-Ligands'!$A:$G,3,FALSE)="","",VLOOKUP($A11,'B-Ligands'!$A:$G,3,FALSE))</f>
        <v/>
      </c>
      <c r="CT11" s="169" t="str">
        <f>IF(VLOOKUP($A11,'B-Ligands'!$A:$G,4,FALSE)="","",VLOOKUP($A11,'B-Ligands'!$A:$G,4,FALSE))</f>
        <v>Serotonin</v>
      </c>
      <c r="CU11" s="132">
        <v>12.5066115531178</v>
      </c>
      <c r="CV11" s="133">
        <v>26.682920313949822</v>
      </c>
      <c r="CW11" s="133">
        <v>12.127682517886596</v>
      </c>
      <c r="CX11" s="133">
        <v>4.0158106893948551</v>
      </c>
      <c r="CY11" s="133">
        <v>18.473650767196933</v>
      </c>
      <c r="CZ11" s="133">
        <v>30.179715844925823</v>
      </c>
      <c r="DA11" s="133">
        <v>30.407166003683614</v>
      </c>
      <c r="DB11" s="133">
        <v>18.759059047344156</v>
      </c>
      <c r="DC11" s="133">
        <v>8.5027386565085337</v>
      </c>
      <c r="DD11" s="133">
        <v>22.391839801186975</v>
      </c>
      <c r="DE11" s="133">
        <v>3.9936235755561507</v>
      </c>
      <c r="DF11" s="133">
        <v>0.60011221877725207</v>
      </c>
      <c r="DG11" s="133">
        <v>14.510347453193814</v>
      </c>
      <c r="DH11" s="133">
        <v>44.336219894795363</v>
      </c>
      <c r="DI11" s="133">
        <v>51.685651092618777</v>
      </c>
      <c r="DJ11" s="66">
        <f t="shared" si="7"/>
        <v>0</v>
      </c>
      <c r="DK11" s="67">
        <f t="shared" si="8"/>
        <v>23.633095350148857</v>
      </c>
      <c r="DL11" s="67">
        <f t="shared" si="9"/>
        <v>31.275554867188088</v>
      </c>
      <c r="DM11" s="67">
        <f t="shared" si="10"/>
        <v>54.534443214254516</v>
      </c>
      <c r="DN11" s="67">
        <f t="shared" si="11"/>
        <v>18.063565464414882</v>
      </c>
      <c r="DO11" s="67">
        <f t="shared" si="12"/>
        <v>6.3751428604768856</v>
      </c>
      <c r="DP11" s="67">
        <f t="shared" si="13"/>
        <v>0</v>
      </c>
      <c r="DQ11" s="67">
        <f t="shared" si="14"/>
        <v>0</v>
      </c>
      <c r="DR11" s="67">
        <f t="shared" si="15"/>
        <v>17.417917447884264</v>
      </c>
      <c r="DS11" s="67">
        <f t="shared" si="16"/>
        <v>36.066710336021146</v>
      </c>
      <c r="DT11" s="67">
        <f t="shared" si="17"/>
        <v>0</v>
      </c>
      <c r="DU11" s="67">
        <f t="shared" si="18"/>
        <v>0</v>
      </c>
      <c r="DV11" s="67">
        <f t="shared" si="19"/>
        <v>6.5511870275082025</v>
      </c>
      <c r="DW11" s="67">
        <f t="shared" si="20"/>
        <v>2.1251247901506485</v>
      </c>
      <c r="DX11" s="67">
        <f t="shared" si="21"/>
        <v>3.5154824629063937</v>
      </c>
    </row>
    <row r="12" spans="1:128" s="28" customFormat="1">
      <c r="A12" s="33" t="s">
        <v>203</v>
      </c>
      <c r="B12" s="205" t="s">
        <v>5559</v>
      </c>
      <c r="C12" t="str">
        <f>IF(VLOOKUP($A12,'B-Ligands'!$A:$G,5,FALSE)="","",VLOOKUP($A12,'B-Ligands'!$A:$G,5,FALSE))</f>
        <v>Guide To Pharmacology</v>
      </c>
      <c r="D12" s="19">
        <f>IF(VLOOKUP($A12,'B-Ligands'!$A:$G,6,FALSE)="","",VLOOKUP($A12,'B-Ligands'!$A:$G,6,FALSE))</f>
        <v>1883</v>
      </c>
      <c r="E12" t="str">
        <f>IF(VLOOKUP($A12,'B-Ligands'!$A:$G,7,FALSE)="","",VLOOKUP($A12,'B-Ligands'!$A:$G,7,FALSE))</f>
        <v>Phys</v>
      </c>
      <c r="F12" s="20" t="str">
        <f t="shared" si="68"/>
        <v/>
      </c>
      <c r="G12" s="19">
        <f t="shared" si="69"/>
        <v>1</v>
      </c>
      <c r="H12" s="19">
        <f t="shared" si="70"/>
        <v>1</v>
      </c>
      <c r="I12" s="19">
        <f t="shared" si="71"/>
        <v>1</v>
      </c>
      <c r="J12" s="189">
        <f t="shared" si="26"/>
        <v>3</v>
      </c>
      <c r="K12" s="147" t="str">
        <f t="shared" si="27"/>
        <v>Gq/11</v>
      </c>
      <c r="L12" s="20">
        <f t="shared" si="28"/>
        <v>0</v>
      </c>
      <c r="M12" s="19">
        <f t="shared" si="29"/>
        <v>3</v>
      </c>
      <c r="N12" s="19">
        <f t="shared" si="30"/>
        <v>1</v>
      </c>
      <c r="O12" s="19">
        <f t="shared" si="31"/>
        <v>2</v>
      </c>
      <c r="P12" s="20">
        <f t="shared" si="32"/>
        <v>0</v>
      </c>
      <c r="Q12" s="19">
        <f t="shared" si="33"/>
        <v>72.731777214520335</v>
      </c>
      <c r="R12" s="19">
        <f t="shared" si="34"/>
        <v>100</v>
      </c>
      <c r="S12" s="19">
        <f t="shared" si="35"/>
        <v>93.498725428568306</v>
      </c>
      <c r="T12" s="20">
        <f t="shared" si="36"/>
        <v>0</v>
      </c>
      <c r="U12" s="21">
        <f t="shared" si="37"/>
        <v>6.6700809369723002</v>
      </c>
      <c r="V12" s="21">
        <f t="shared" si="38"/>
        <v>9.1707932796679561</v>
      </c>
      <c r="W12" s="21">
        <f t="shared" si="39"/>
        <v>8.5745748281783367</v>
      </c>
      <c r="X12" s="147" t="str">
        <f t="shared" si="40"/>
        <v>G15</v>
      </c>
      <c r="Y12" s="32">
        <f t="shared" si="41"/>
        <v>0</v>
      </c>
      <c r="Z12" s="31">
        <f t="shared" si="42"/>
        <v>56.831498338252594</v>
      </c>
      <c r="AA12" s="31">
        <f t="shared" si="43"/>
        <v>64.139463107818685</v>
      </c>
      <c r="AB12" s="31">
        <f t="shared" si="44"/>
        <v>72.731777214520335</v>
      </c>
      <c r="AC12" s="31">
        <f t="shared" si="45"/>
        <v>67.454852317125713</v>
      </c>
      <c r="AD12" s="31">
        <f t="shared" si="46"/>
        <v>0</v>
      </c>
      <c r="AE12" s="31">
        <f t="shared" si="47"/>
        <v>83.662376641063929</v>
      </c>
      <c r="AF12" s="31">
        <f t="shared" si="48"/>
        <v>84.579908788096333</v>
      </c>
      <c r="AG12" s="31">
        <f t="shared" si="49"/>
        <v>77.581514397151267</v>
      </c>
      <c r="AH12" s="31">
        <f t="shared" si="50"/>
        <v>100</v>
      </c>
      <c r="AI12" s="31">
        <f t="shared" si="51"/>
        <v>93.498725428568306</v>
      </c>
      <c r="AJ12" s="31">
        <f t="shared" si="52"/>
        <v>76.100183148389405</v>
      </c>
      <c r="AK12" s="7" cm="1">
        <f t="array" ref="AK12">_xlfn.IFS(AZ12=0,0,AZ12&gt;0,(LOG(0.01*AZ12/10^-CD12)))</f>
        <v>0</v>
      </c>
      <c r="AL12" s="8" cm="1">
        <f t="array" ref="AL12">_xlfn.IFS(BA12=0,0,BA12&gt;0,(LOG(0.01*BA12/10^-CE12)))</f>
        <v>5.2118992303390748</v>
      </c>
      <c r="AM12" s="8" cm="1">
        <f t="array" ref="AM12">_xlfn.IFS(BB12=0,0,BB12&gt;0,(LOG(0.01*BB12/10^-CF12)))</f>
        <v>5.882097572306944</v>
      </c>
      <c r="AN12" s="8" cm="1">
        <f t="array" ref="AN12">_xlfn.IFS(BC12=0,0,BC12&gt;0,(LOG(0.01*BC12/10^-CG12)))</f>
        <v>6.6700809369723002</v>
      </c>
      <c r="AO12" s="8" cm="1">
        <f t="array" ref="AO12">_xlfn.IFS(BD12=0,0,BD12&gt;0,(LOG(0.01*BD12/10^-CH12)))</f>
        <v>6.1861450631089099</v>
      </c>
      <c r="AP12" s="8" cm="1">
        <f t="array" ref="AP12">_xlfn.IFS(BE12=0,0,BE12&gt;0,(LOG(0.01*BE12/10^-CI12)))</f>
        <v>0</v>
      </c>
      <c r="AQ12" s="8" cm="1">
        <f t="array" ref="AQ12">_xlfn.IFS(BF12=0,0,BF12&gt;0,(LOG(0.01*BF12/10^-CJ12)))</f>
        <v>7.6725036146091847</v>
      </c>
      <c r="AR12" s="8" cm="1">
        <f t="array" ref="AR12">_xlfn.IFS(BG12=0,0,BG12&gt;0,(LOG(0.01*BG12/10^-CK12)))</f>
        <v>7.7566485910880258</v>
      </c>
      <c r="AS12" s="8" cm="1">
        <f t="array" ref="AS12">_xlfn.IFS(BH12=0,0,BH12&gt;0,(LOG(0.01*BH12/10^-CL12)))</f>
        <v>7.1148403085985761</v>
      </c>
      <c r="AT12" s="8" cm="1">
        <f t="array" ref="AT12">_xlfn.IFS(BI12=0,0,BI12&gt;0,(LOG(0.01*BI12/10^-CM12)))</f>
        <v>9.1707932796679561</v>
      </c>
      <c r="AU12" s="8" cm="1">
        <f t="array" ref="AU12">_xlfn.IFS(BJ12=0,0,BJ12&gt;0,(LOG(0.01*BJ12/10^-CN12)))</f>
        <v>8.5745748281783367</v>
      </c>
      <c r="AV12" s="8" cm="1">
        <f t="array" ref="AV12">_xlfn.IFS(BK12=0,0,BK12&gt;0,(LOG(0.01*BK12/10^-CO12)))</f>
        <v>6.978990481987501</v>
      </c>
      <c r="AW12" s="8" cm="1">
        <f t="array" ref="AW12">_xlfn.IFS(BL12=0,0,BL12&gt;0,(LOG(0.01*BL12/10^-CP12)))</f>
        <v>0</v>
      </c>
      <c r="AX12" s="8" cm="1">
        <f t="array" ref="AX12">_xlfn.IFS(BM12=0,0,BM12&gt;0,(LOG(0.01*BM12/10^-CQ12)))</f>
        <v>5.4547211464240801</v>
      </c>
      <c r="AY12" s="8" cm="1">
        <f t="array" ref="AY12">_xlfn.IFS(BN12=0,0,BN12&gt;0,(LOG(0.01*BN12/10^-CR12)))</f>
        <v>0</v>
      </c>
      <c r="AZ12" s="32">
        <f t="shared" si="53"/>
        <v>0</v>
      </c>
      <c r="BA12" s="31">
        <f t="shared" si="54"/>
        <v>6.0520043336944749</v>
      </c>
      <c r="BB12" s="31">
        <f t="shared" si="55"/>
        <v>3.2816901408450705</v>
      </c>
      <c r="BC12" s="31">
        <f t="shared" si="56"/>
        <v>4.6782231852654386</v>
      </c>
      <c r="BD12" s="31">
        <f t="shared" si="57"/>
        <v>5.3228602383531962</v>
      </c>
      <c r="BE12" s="31">
        <f t="shared" si="58"/>
        <v>0</v>
      </c>
      <c r="BF12" s="31">
        <f t="shared" si="59"/>
        <v>22.464854732895969</v>
      </c>
      <c r="BG12" s="31">
        <f t="shared" si="60"/>
        <v>30.384254920337394</v>
      </c>
      <c r="BH12" s="31">
        <f t="shared" si="61"/>
        <v>14.751640112464855</v>
      </c>
      <c r="BI12" s="31">
        <f t="shared" si="62"/>
        <v>75.473289597000942</v>
      </c>
      <c r="BJ12" s="31">
        <f t="shared" si="63"/>
        <v>11.49674313225715</v>
      </c>
      <c r="BK12" s="31">
        <f t="shared" si="64"/>
        <v>8.7496459926366459</v>
      </c>
      <c r="BL12" s="31">
        <f t="shared" si="65"/>
        <v>0</v>
      </c>
      <c r="BM12" s="31">
        <f t="shared" si="66"/>
        <v>1.1161463578382007</v>
      </c>
      <c r="BN12" s="31">
        <f t="shared" si="67"/>
        <v>0</v>
      </c>
      <c r="BO12" s="134"/>
      <c r="BP12" s="135">
        <v>55.86</v>
      </c>
      <c r="BQ12" s="135">
        <v>30.29</v>
      </c>
      <c r="BR12" s="135">
        <v>43.18</v>
      </c>
      <c r="BS12" s="135">
        <v>49.13</v>
      </c>
      <c r="BT12" s="135"/>
      <c r="BU12" s="135">
        <v>239.7</v>
      </c>
      <c r="BV12" s="135">
        <v>324.2</v>
      </c>
      <c r="BW12" s="135">
        <v>157.4</v>
      </c>
      <c r="BX12" s="135">
        <v>805.3</v>
      </c>
      <c r="BY12" s="135">
        <v>81.19</v>
      </c>
      <c r="BZ12" s="135">
        <v>61.79</v>
      </c>
      <c r="CA12" s="135"/>
      <c r="CB12" s="135">
        <v>33.25</v>
      </c>
      <c r="CC12" s="135"/>
      <c r="CD12" s="30"/>
      <c r="CE12" s="29">
        <v>6.43</v>
      </c>
      <c r="CF12" s="29">
        <v>7.3659999999999997</v>
      </c>
      <c r="CG12" s="29">
        <v>8</v>
      </c>
      <c r="CH12" s="29">
        <v>7.46</v>
      </c>
      <c r="CI12" s="29"/>
      <c r="CJ12" s="29">
        <v>8.3209999999999997</v>
      </c>
      <c r="CK12" s="29">
        <v>8.2739999999999991</v>
      </c>
      <c r="CL12" s="29">
        <v>7.9459999999999997</v>
      </c>
      <c r="CM12" s="29">
        <v>9.2929999999999993</v>
      </c>
      <c r="CN12" s="29">
        <v>9.5139999999999993</v>
      </c>
      <c r="CO12" s="29">
        <v>8.0370000000000008</v>
      </c>
      <c r="CP12" s="29"/>
      <c r="CQ12" s="29">
        <v>7.407</v>
      </c>
      <c r="CR12" s="29"/>
      <c r="CS12" s="168" t="str">
        <f>IF(VLOOKUP($A12,'B-Ligands'!$A:$G,3,FALSE)="","",VLOOKUP($A12,'B-Ligands'!$A:$G,3,FALSE))</f>
        <v>PGE2</v>
      </c>
      <c r="CT12" s="169" t="str">
        <f>IF(VLOOKUP($A12,'B-Ligands'!$A:$G,4,FALSE)="","",VLOOKUP($A12,'B-Ligands'!$A:$G,4,FALSE))</f>
        <v>Prostaglandin E2</v>
      </c>
      <c r="CU12" s="134">
        <v>12.993481544667182</v>
      </c>
      <c r="CV12" s="135">
        <v>25.430387779014051</v>
      </c>
      <c r="CW12" s="135">
        <v>7.8388754682445958</v>
      </c>
      <c r="CX12" s="135">
        <v>13.473909896107168</v>
      </c>
      <c r="CY12" s="135">
        <v>15.692677361006886</v>
      </c>
      <c r="CZ12" s="135">
        <v>3.8814959416743093</v>
      </c>
      <c r="DA12" s="135">
        <v>13.783701369718582</v>
      </c>
      <c r="DB12" s="135">
        <v>15.561458638763167</v>
      </c>
      <c r="DC12" s="135">
        <v>14.230644419162982</v>
      </c>
      <c r="DD12" s="135">
        <v>11.137743962057618</v>
      </c>
      <c r="DE12" s="135">
        <v>22.311710399558699</v>
      </c>
      <c r="DF12" s="135">
        <v>18.872757948895934</v>
      </c>
      <c r="DG12" s="135">
        <v>11.45574829171146</v>
      </c>
      <c r="DH12" s="135">
        <v>10.679613028747035</v>
      </c>
      <c r="DI12" s="135">
        <v>20.386430738207537</v>
      </c>
      <c r="DJ12" s="66">
        <f t="shared" si="7"/>
        <v>0</v>
      </c>
      <c r="DK12" s="67">
        <f t="shared" si="8"/>
        <v>2.19658467206298</v>
      </c>
      <c r="DL12" s="67">
        <f t="shared" si="9"/>
        <v>3.8640746523790628</v>
      </c>
      <c r="DM12" s="67">
        <f t="shared" si="10"/>
        <v>3.204711945748977</v>
      </c>
      <c r="DN12" s="67">
        <f t="shared" si="11"/>
        <v>3.1307595810309632</v>
      </c>
      <c r="DO12" s="67">
        <f t="shared" si="12"/>
        <v>0</v>
      </c>
      <c r="DP12" s="67">
        <f t="shared" si="13"/>
        <v>17.390103976468687</v>
      </c>
      <c r="DQ12" s="67">
        <f t="shared" si="14"/>
        <v>20.833522584600566</v>
      </c>
      <c r="DR12" s="67">
        <f t="shared" si="15"/>
        <v>11.06063754836325</v>
      </c>
      <c r="DS12" s="67">
        <f t="shared" si="16"/>
        <v>72.30369119126587</v>
      </c>
      <c r="DT12" s="67">
        <f t="shared" si="17"/>
        <v>3.6388962811925816</v>
      </c>
      <c r="DU12" s="67">
        <f t="shared" si="18"/>
        <v>3.2740312871768031</v>
      </c>
      <c r="DV12" s="67">
        <f t="shared" si="19"/>
        <v>0</v>
      </c>
      <c r="DW12" s="67">
        <f t="shared" si="20"/>
        <v>3.1134086891068744</v>
      </c>
      <c r="DX12" s="67">
        <f t="shared" si="21"/>
        <v>0</v>
      </c>
    </row>
    <row r="13" spans="1:128" s="28" customFormat="1">
      <c r="A13" s="33" t="s">
        <v>20</v>
      </c>
      <c r="B13" s="205" t="s">
        <v>5559</v>
      </c>
      <c r="C13" t="str">
        <f>IF(VLOOKUP($A13,'B-Ligands'!$A:$G,5,FALSE)="","",VLOOKUP($A13,'B-Ligands'!$A:$G,5,FALSE))</f>
        <v>Guide To Pharmacology</v>
      </c>
      <c r="D13" s="19">
        <f>IF(VLOOKUP($A13,'B-Ligands'!$A:$G,6,FALSE)="","",VLOOKUP($A13,'B-Ligands'!$A:$G,6,FALSE))</f>
        <v>5</v>
      </c>
      <c r="E13" t="str">
        <f>IF(VLOOKUP($A13,'B-Ligands'!$A:$G,7,FALSE)="","",VLOOKUP($A13,'B-Ligands'!$A:$G,7,FALSE))</f>
        <v>Phys</v>
      </c>
      <c r="F13" s="20" t="str">
        <f t="shared" si="68"/>
        <v/>
      </c>
      <c r="G13" s="19">
        <f t="shared" si="69"/>
        <v>1</v>
      </c>
      <c r="H13" s="19">
        <f t="shared" si="70"/>
        <v>1</v>
      </c>
      <c r="I13" s="19" t="str">
        <f t="shared" si="71"/>
        <v/>
      </c>
      <c r="J13" s="189">
        <f t="shared" si="26"/>
        <v>2</v>
      </c>
      <c r="K13" s="147" t="str">
        <f t="shared" si="27"/>
        <v>Gq/11</v>
      </c>
      <c r="L13" s="20">
        <f t="shared" si="28"/>
        <v>0</v>
      </c>
      <c r="M13" s="19">
        <f t="shared" si="29"/>
        <v>2</v>
      </c>
      <c r="N13" s="19">
        <f t="shared" si="30"/>
        <v>1</v>
      </c>
      <c r="O13" s="19">
        <f t="shared" si="31"/>
        <v>0</v>
      </c>
      <c r="P13" s="20">
        <f t="shared" si="32"/>
        <v>0</v>
      </c>
      <c r="Q13" s="19">
        <f t="shared" si="33"/>
        <v>77.306566936148783</v>
      </c>
      <c r="R13" s="19">
        <f t="shared" si="34"/>
        <v>100</v>
      </c>
      <c r="S13" s="19">
        <f t="shared" si="35"/>
        <v>0</v>
      </c>
      <c r="T13" s="20">
        <f t="shared" si="36"/>
        <v>0</v>
      </c>
      <c r="U13" s="21">
        <f t="shared" si="37"/>
        <v>6.6614875387496788</v>
      </c>
      <c r="V13" s="21">
        <f t="shared" si="38"/>
        <v>8.6169749903028574</v>
      </c>
      <c r="W13" s="21">
        <f t="shared" si="39"/>
        <v>0</v>
      </c>
      <c r="X13" s="147" t="str">
        <f t="shared" si="40"/>
        <v>G14</v>
      </c>
      <c r="Y13" s="32">
        <f t="shared" si="41"/>
        <v>0</v>
      </c>
      <c r="Z13" s="31">
        <f t="shared" si="42"/>
        <v>67.943945366235155</v>
      </c>
      <c r="AA13" s="31">
        <f t="shared" si="43"/>
        <v>63.299230289484264</v>
      </c>
      <c r="AB13" s="31">
        <f t="shared" si="44"/>
        <v>62.258112465027018</v>
      </c>
      <c r="AC13" s="31">
        <f t="shared" si="45"/>
        <v>66.395032171993776</v>
      </c>
      <c r="AD13" s="31">
        <f t="shared" si="46"/>
        <v>77.306566936148783</v>
      </c>
      <c r="AE13" s="31">
        <f t="shared" si="47"/>
        <v>97.706871225374087</v>
      </c>
      <c r="AF13" s="31">
        <f t="shared" si="48"/>
        <v>98.806256923585067</v>
      </c>
      <c r="AG13" s="31">
        <f t="shared" si="49"/>
        <v>100</v>
      </c>
      <c r="AH13" s="31">
        <f t="shared" si="50"/>
        <v>92.659168579582101</v>
      </c>
      <c r="AI13" s="31">
        <f t="shared" si="51"/>
        <v>0</v>
      </c>
      <c r="AJ13" s="31">
        <f t="shared" si="52"/>
        <v>0</v>
      </c>
      <c r="AK13" s="7" cm="1">
        <f t="array" ref="AK13">_xlfn.IFS(AZ13=0,0,AZ13&gt;0,(LOG(0.01*AZ13/10^-CD13)))</f>
        <v>0</v>
      </c>
      <c r="AL13" s="8" cm="1">
        <f t="array" ref="AL13">_xlfn.IFS(BA13=0,0,BA13&gt;0,(LOG(0.01*BA13/10^-CE13)))</f>
        <v>5.8547127796335205</v>
      </c>
      <c r="AM13" s="8" cm="1">
        <f t="array" ref="AM13">_xlfn.IFS(BB13=0,0,BB13&gt;0,(LOG(0.01*BB13/10^-CF13)))</f>
        <v>5.4544788430990705</v>
      </c>
      <c r="AN13" s="8" cm="1">
        <f t="array" ref="AN13">_xlfn.IFS(BC13=0,0,BC13&gt;0,(LOG(0.01*BC13/10^-CG13)))</f>
        <v>5.3647659805460037</v>
      </c>
      <c r="AO13" s="8" cm="1">
        <f t="array" ref="AO13">_xlfn.IFS(BD13=0,0,BD13&gt;0,(LOG(0.01*BD13/10^-CH13)))</f>
        <v>5.7212433170642392</v>
      </c>
      <c r="AP13" s="8" cm="1">
        <f t="array" ref="AP13">_xlfn.IFS(BE13=0,0,BE13&gt;0,(LOG(0.01*BE13/10^-CI13)))</f>
        <v>6.6614875387496788</v>
      </c>
      <c r="AQ13" s="8" cm="1">
        <f t="array" ref="AQ13">_xlfn.IFS(BF13=0,0,BF13&gt;0,(LOG(0.01*BF13/10^-CJ13)))</f>
        <v>8.4193766572979047</v>
      </c>
      <c r="AR13" s="8" cm="1">
        <f t="array" ref="AR13">_xlfn.IFS(BG13=0,0,BG13&gt;0,(LOG(0.01*BG13/10^-CK13)))</f>
        <v>8.5141104479597107</v>
      </c>
      <c r="AS13" s="8" cm="1">
        <f t="array" ref="AS13">_xlfn.IFS(BH13=0,0,BH13&gt;0,(LOG(0.01*BH13/10^-CL13)))</f>
        <v>8.6169749903028574</v>
      </c>
      <c r="AT13" s="8" cm="1">
        <f t="array" ref="AT13">_xlfn.IFS(BI13=0,0,BI13&gt;0,(LOG(0.01*BI13/10^-CM13)))</f>
        <v>7.9844173827251534</v>
      </c>
      <c r="AU13" s="8" cm="1">
        <f t="array" ref="AU13">_xlfn.IFS(BJ13=0,0,BJ13&gt;0,(LOG(0.01*BJ13/10^-CN13)))</f>
        <v>0</v>
      </c>
      <c r="AV13" s="8" cm="1">
        <f t="array" ref="AV13">_xlfn.IFS(BK13=0,0,BK13&gt;0,(LOG(0.01*BK13/10^-CO13)))</f>
        <v>0</v>
      </c>
      <c r="AW13" s="8" cm="1">
        <f t="array" ref="AW13">_xlfn.IFS(BL13=0,0,BL13&gt;0,(LOG(0.01*BL13/10^-CP13)))</f>
        <v>5.9493430890720784</v>
      </c>
      <c r="AX13" s="8" cm="1">
        <f t="array" ref="AX13">_xlfn.IFS(BM13=0,0,BM13&gt;0,(LOG(0.01*BM13/10^-CQ13)))</f>
        <v>6.0218112161923552</v>
      </c>
      <c r="AY13" s="8" cm="1">
        <f t="array" ref="AY13">_xlfn.IFS(BN13=0,0,BN13&gt;0,(LOG(0.01*BN13/10^-CR13)))</f>
        <v>6.4452438961670993</v>
      </c>
      <c r="AZ13" s="32">
        <f t="shared" si="53"/>
        <v>0</v>
      </c>
      <c r="BA13" s="31">
        <f t="shared" si="54"/>
        <v>9.0097508125677148</v>
      </c>
      <c r="BB13" s="31">
        <f t="shared" si="55"/>
        <v>3.5438786565547127</v>
      </c>
      <c r="BC13" s="31">
        <f t="shared" si="56"/>
        <v>3.6793066088840738</v>
      </c>
      <c r="BD13" s="31">
        <f t="shared" si="57"/>
        <v>6.3131094257854823</v>
      </c>
      <c r="BE13" s="31">
        <f t="shared" si="58"/>
        <v>16.348862405200432</v>
      </c>
      <c r="BF13" s="31">
        <f t="shared" si="59"/>
        <v>13.720712277413309</v>
      </c>
      <c r="BG13" s="31">
        <f t="shared" si="60"/>
        <v>10.449859418931585</v>
      </c>
      <c r="BH13" s="31">
        <f t="shared" si="61"/>
        <v>24.489222118088097</v>
      </c>
      <c r="BI13" s="31">
        <f t="shared" si="62"/>
        <v>72.680412371134025</v>
      </c>
      <c r="BJ13" s="31">
        <f t="shared" si="63"/>
        <v>0</v>
      </c>
      <c r="BK13" s="31">
        <f t="shared" si="64"/>
        <v>0</v>
      </c>
      <c r="BL13" s="31">
        <f t="shared" si="65"/>
        <v>17.391742195367573</v>
      </c>
      <c r="BM13" s="31">
        <f t="shared" si="66"/>
        <v>11.450151057401813</v>
      </c>
      <c r="BN13" s="31">
        <f t="shared" si="67"/>
        <v>26.13628734474656</v>
      </c>
      <c r="BO13" s="171"/>
      <c r="BP13" s="135">
        <v>83.16</v>
      </c>
      <c r="BQ13" s="172">
        <v>32.71</v>
      </c>
      <c r="BR13" s="172">
        <v>33.96</v>
      </c>
      <c r="BS13" s="135">
        <v>58.27</v>
      </c>
      <c r="BT13" s="135">
        <v>150.9</v>
      </c>
      <c r="BU13" s="135">
        <v>146.4</v>
      </c>
      <c r="BV13" s="135">
        <v>111.5</v>
      </c>
      <c r="BW13" s="135">
        <v>261.3</v>
      </c>
      <c r="BX13" s="135">
        <v>775.5</v>
      </c>
      <c r="BY13" s="135"/>
      <c r="BZ13" s="135"/>
      <c r="CA13" s="135">
        <v>518.1</v>
      </c>
      <c r="CB13" s="135">
        <v>341.1</v>
      </c>
      <c r="CC13" s="135">
        <v>778.6</v>
      </c>
      <c r="CD13" s="30"/>
      <c r="CE13" s="29">
        <v>6.9</v>
      </c>
      <c r="CF13" s="38">
        <v>6.9050000000000002</v>
      </c>
      <c r="CG13" s="38">
        <v>6.7990000000000004</v>
      </c>
      <c r="CH13" s="29">
        <v>6.9210000000000003</v>
      </c>
      <c r="CI13" s="29">
        <v>7.4480000000000004</v>
      </c>
      <c r="CJ13" s="29">
        <v>9.282</v>
      </c>
      <c r="CK13" s="29">
        <v>9.4949999999999992</v>
      </c>
      <c r="CL13" s="29">
        <v>9.2279999999999998</v>
      </c>
      <c r="CM13" s="29">
        <v>8.1229999999999993</v>
      </c>
      <c r="CN13" s="29"/>
      <c r="CO13" s="29"/>
      <c r="CP13" s="29">
        <v>6.7089999999999996</v>
      </c>
      <c r="CQ13" s="29">
        <v>6.9630000000000001</v>
      </c>
      <c r="CR13" s="29">
        <v>7.0279999999999996</v>
      </c>
      <c r="CS13" s="168" t="str">
        <f>IF(VLOOKUP($A13,'B-Ligands'!$A:$G,3,FALSE)="","",VLOOKUP($A13,'B-Ligands'!$A:$G,3,FALSE))</f>
        <v/>
      </c>
      <c r="CT13" s="169" t="str">
        <f>IF(VLOOKUP($A13,'B-Ligands'!$A:$G,4,FALSE)="","",VLOOKUP($A13,'B-Ligands'!$A:$G,4,FALSE))</f>
        <v>Serotonin</v>
      </c>
      <c r="CU13" s="134">
        <v>8.6733949522883389</v>
      </c>
      <c r="CV13" s="135">
        <v>32.727047749857363</v>
      </c>
      <c r="CW13" s="135">
        <v>22.786429043315906</v>
      </c>
      <c r="CX13" s="135">
        <v>23.615518386415289</v>
      </c>
      <c r="CY13" s="135">
        <v>11.948033738445808</v>
      </c>
      <c r="CZ13" s="135">
        <v>69.129317876664786</v>
      </c>
      <c r="DA13" s="135">
        <v>15.497954169409709</v>
      </c>
      <c r="DB13" s="135">
        <v>9.9817672396393853</v>
      </c>
      <c r="DC13" s="135">
        <v>11.901057777492928</v>
      </c>
      <c r="DD13" s="135">
        <v>8.8399395775958194</v>
      </c>
      <c r="DE13" s="135">
        <v>29.325534711410004</v>
      </c>
      <c r="DF13" s="135">
        <v>39.242815997013025</v>
      </c>
      <c r="DG13" s="135">
        <v>30.695072714352534</v>
      </c>
      <c r="DH13" s="135">
        <v>13.731355003612375</v>
      </c>
      <c r="DI13" s="135">
        <v>6.0605654754544194</v>
      </c>
      <c r="DJ13" s="66">
        <f t="shared" si="7"/>
        <v>0</v>
      </c>
      <c r="DK13" s="67">
        <f t="shared" si="8"/>
        <v>2.54101746774157</v>
      </c>
      <c r="DL13" s="67">
        <f t="shared" si="9"/>
        <v>1.4355035595011338</v>
      </c>
      <c r="DM13" s="67">
        <f t="shared" si="10"/>
        <v>1.4380374567401122</v>
      </c>
      <c r="DN13" s="67">
        <f t="shared" si="11"/>
        <v>4.8769530849667424</v>
      </c>
      <c r="DO13" s="67">
        <f t="shared" si="12"/>
        <v>2.1828654561473351</v>
      </c>
      <c r="DP13" s="67">
        <f t="shared" si="13"/>
        <v>9.4464081129474735</v>
      </c>
      <c r="DQ13" s="67">
        <f t="shared" si="14"/>
        <v>11.170366661848568</v>
      </c>
      <c r="DR13" s="67">
        <f t="shared" si="15"/>
        <v>21.956031546554289</v>
      </c>
      <c r="DS13" s="67">
        <f t="shared" si="16"/>
        <v>87.726843966835261</v>
      </c>
      <c r="DT13" s="67">
        <f t="shared" si="17"/>
        <v>0</v>
      </c>
      <c r="DU13" s="67">
        <f t="shared" si="18"/>
        <v>0</v>
      </c>
      <c r="DV13" s="67">
        <f t="shared" si="19"/>
        <v>16.878930531340444</v>
      </c>
      <c r="DW13" s="67">
        <f t="shared" si="20"/>
        <v>24.840957058517908</v>
      </c>
      <c r="DX13" s="67">
        <f t="shared" si="21"/>
        <v>128.4698603048457</v>
      </c>
    </row>
    <row r="14" spans="1:128" s="28" customFormat="1">
      <c r="A14" s="33" t="s">
        <v>111</v>
      </c>
      <c r="B14" s="205" t="s">
        <v>5559</v>
      </c>
      <c r="C14" t="str">
        <f>IF(VLOOKUP($A14,'B-Ligands'!$A:$G,5,FALSE)="","",VLOOKUP($A14,'B-Ligands'!$A:$G,5,FALSE))</f>
        <v>Guide To Pharmacology</v>
      </c>
      <c r="D14" s="19">
        <f>IF(VLOOKUP($A14,'B-Ligands'!$A:$G,6,FALSE)="","",VLOOKUP($A14,'B-Ligands'!$A:$G,6,FALSE))</f>
        <v>940</v>
      </c>
      <c r="E14" t="str">
        <f>IF(VLOOKUP($A14,'B-Ligands'!$A:$G,7,FALSE)="","",VLOOKUP($A14,'B-Ligands'!$A:$G,7,FALSE))</f>
        <v>Phys</v>
      </c>
      <c r="F14" s="20">
        <f t="shared" si="68"/>
        <v>1</v>
      </c>
      <c r="G14" s="19">
        <f t="shared" si="69"/>
        <v>1</v>
      </c>
      <c r="H14" s="19">
        <f t="shared" si="70"/>
        <v>1</v>
      </c>
      <c r="I14" s="19" t="str">
        <f t="shared" si="71"/>
        <v/>
      </c>
      <c r="J14" s="189">
        <f t="shared" si="26"/>
        <v>3</v>
      </c>
      <c r="K14" s="147" t="str">
        <f t="shared" si="27"/>
        <v>Gs</v>
      </c>
      <c r="L14" s="20">
        <f t="shared" si="28"/>
        <v>1</v>
      </c>
      <c r="M14" s="19">
        <f t="shared" si="29"/>
        <v>3</v>
      </c>
      <c r="N14" s="19">
        <f t="shared" si="30"/>
        <v>2</v>
      </c>
      <c r="O14" s="19">
        <f t="shared" si="31"/>
        <v>0</v>
      </c>
      <c r="P14" s="20">
        <f t="shared" si="32"/>
        <v>100</v>
      </c>
      <c r="Q14" s="19">
        <f t="shared" si="33"/>
        <v>69.54023270481845</v>
      </c>
      <c r="R14" s="19">
        <f t="shared" si="34"/>
        <v>91.376643202749861</v>
      </c>
      <c r="S14" s="19">
        <f t="shared" si="35"/>
        <v>0</v>
      </c>
      <c r="T14" s="20">
        <f t="shared" si="36"/>
        <v>8.4421831666950879</v>
      </c>
      <c r="U14" s="21">
        <f t="shared" si="37"/>
        <v>5.8707138194867756</v>
      </c>
      <c r="V14" s="21">
        <f t="shared" si="38"/>
        <v>7.7141835907535805</v>
      </c>
      <c r="W14" s="21">
        <f t="shared" si="39"/>
        <v>0</v>
      </c>
      <c r="X14" s="147" t="str">
        <f t="shared" si="40"/>
        <v>GsL</v>
      </c>
      <c r="Y14" s="32">
        <f t="shared" si="41"/>
        <v>100</v>
      </c>
      <c r="Z14" s="31">
        <f t="shared" si="42"/>
        <v>60.394450398807919</v>
      </c>
      <c r="AA14" s="31">
        <f t="shared" si="43"/>
        <v>54.665100585585058</v>
      </c>
      <c r="AB14" s="31">
        <f t="shared" si="44"/>
        <v>0</v>
      </c>
      <c r="AC14" s="31">
        <f t="shared" si="45"/>
        <v>69.54023270481845</v>
      </c>
      <c r="AD14" s="31">
        <f t="shared" si="46"/>
        <v>0</v>
      </c>
      <c r="AE14" s="31">
        <f t="shared" si="47"/>
        <v>0</v>
      </c>
      <c r="AF14" s="31">
        <f t="shared" si="48"/>
        <v>0</v>
      </c>
      <c r="AG14" s="31">
        <f t="shared" si="49"/>
        <v>0</v>
      </c>
      <c r="AH14" s="31">
        <f t="shared" si="50"/>
        <v>91.376643202749861</v>
      </c>
      <c r="AI14" s="31">
        <f t="shared" si="51"/>
        <v>0</v>
      </c>
      <c r="AJ14" s="31">
        <f t="shared" si="52"/>
        <v>0</v>
      </c>
      <c r="AK14" s="7" cm="1">
        <f t="array" ref="AK14">_xlfn.IFS(AZ14=0,0,AZ14&gt;0,(LOG(0.01*AZ14/10^-CD14)))</f>
        <v>8.4421831666950879</v>
      </c>
      <c r="AL14" s="8" cm="1">
        <f t="array" ref="AL14">_xlfn.IFS(BA14=0,0,BA14&gt;0,(LOG(0.01*BA14/10^-CE14)))</f>
        <v>5.0986101251861768</v>
      </c>
      <c r="AM14" s="8" cm="1">
        <f t="array" ref="AM14">_xlfn.IFS(BB14=0,0,BB14&gt;0,(LOG(0.01*BB14/10^-CF14)))</f>
        <v>4.6149279196931996</v>
      </c>
      <c r="AN14" s="8" cm="1">
        <f t="array" ref="AN14">_xlfn.IFS(BC14=0,0,BC14&gt;0,(LOG(0.01*BC14/10^-CG14)))</f>
        <v>0</v>
      </c>
      <c r="AO14" s="8" cm="1">
        <f t="array" ref="AO14">_xlfn.IFS(BD14=0,0,BD14&gt;0,(LOG(0.01*BD14/10^-CH14)))</f>
        <v>5.8707138194867756</v>
      </c>
      <c r="AP14" s="8" cm="1">
        <f t="array" ref="AP14">_xlfn.IFS(BE14=0,0,BE14&gt;0,(LOG(0.01*BE14/10^-CI14)))</f>
        <v>0</v>
      </c>
      <c r="AQ14" s="8" cm="1">
        <f t="array" ref="AQ14">_xlfn.IFS(BF14=0,0,BF14&gt;0,(LOG(0.01*BF14/10^-CJ14)))</f>
        <v>0</v>
      </c>
      <c r="AR14" s="8" cm="1">
        <f t="array" ref="AR14">_xlfn.IFS(BG14=0,0,BG14&gt;0,(LOG(0.01*BG14/10^-CK14)))</f>
        <v>0</v>
      </c>
      <c r="AS14" s="8" cm="1">
        <f t="array" ref="AS14">_xlfn.IFS(BH14=0,0,BH14&gt;0,(LOG(0.01*BH14/10^-CL14)))</f>
        <v>0</v>
      </c>
      <c r="AT14" s="8" cm="1">
        <f t="array" ref="AT14">_xlfn.IFS(BI14=0,0,BI14&gt;0,(LOG(0.01*BI14/10^-CM14)))</f>
        <v>7.7141835907535805</v>
      </c>
      <c r="AU14" s="8" cm="1">
        <f t="array" ref="AU14">_xlfn.IFS(BJ14=0,0,BJ14&gt;0,(LOG(0.01*BJ14/10^-CN14)))</f>
        <v>0</v>
      </c>
      <c r="AV14" s="8" cm="1">
        <f t="array" ref="AV14">_xlfn.IFS(BK14=0,0,BK14&gt;0,(LOG(0.01*BK14/10^-CO14)))</f>
        <v>0</v>
      </c>
      <c r="AW14" s="8" cm="1">
        <f t="array" ref="AW14">_xlfn.IFS(BL14=0,0,BL14&gt;0,(LOG(0.01*BL14/10^-CP14)))</f>
        <v>5.3566606764373494</v>
      </c>
      <c r="AX14" s="8" cm="1">
        <f t="array" ref="AX14">_xlfn.IFS(BM14=0,0,BM14&gt;0,(LOG(0.01*BM14/10^-CQ14)))</f>
        <v>5.6411575674809367</v>
      </c>
      <c r="AY14" s="8" cm="1">
        <f t="array" ref="AY14">_xlfn.IFS(BN14=0,0,BN14&gt;0,(LOG(0.01*BN14/10^-CR14)))</f>
        <v>5.9200227458026893</v>
      </c>
      <c r="AZ14" s="32">
        <f t="shared" si="53"/>
        <v>76.240048989589724</v>
      </c>
      <c r="BA14" s="31">
        <f t="shared" si="54"/>
        <v>2.2264355362946913</v>
      </c>
      <c r="BB14" s="31">
        <f t="shared" si="55"/>
        <v>2.0985915492957745</v>
      </c>
      <c r="BC14" s="31">
        <f t="shared" si="56"/>
        <v>0</v>
      </c>
      <c r="BD14" s="31">
        <f t="shared" si="57"/>
        <v>10.561213434452871</v>
      </c>
      <c r="BE14" s="31">
        <f t="shared" si="58"/>
        <v>0</v>
      </c>
      <c r="BF14" s="31">
        <f t="shared" si="59"/>
        <v>0</v>
      </c>
      <c r="BG14" s="31">
        <f t="shared" si="60"/>
        <v>0</v>
      </c>
      <c r="BH14" s="31">
        <f t="shared" si="61"/>
        <v>0</v>
      </c>
      <c r="BI14" s="31">
        <f t="shared" si="62"/>
        <v>72.474226804123717</v>
      </c>
      <c r="BJ14" s="31">
        <f t="shared" si="63"/>
        <v>0</v>
      </c>
      <c r="BK14" s="31">
        <f t="shared" si="64"/>
        <v>0</v>
      </c>
      <c r="BL14" s="31">
        <f t="shared" si="65"/>
        <v>4.01477005706613</v>
      </c>
      <c r="BM14" s="31">
        <f t="shared" si="66"/>
        <v>8.9157435381000347</v>
      </c>
      <c r="BN14" s="31">
        <f t="shared" si="67"/>
        <v>9.5065458207452167</v>
      </c>
      <c r="BO14" s="134">
        <v>49.8</v>
      </c>
      <c r="BP14" s="172">
        <v>20.55</v>
      </c>
      <c r="BQ14" s="172">
        <v>19.37</v>
      </c>
      <c r="BR14" s="173"/>
      <c r="BS14" s="135">
        <v>97.48</v>
      </c>
      <c r="BT14" s="173"/>
      <c r="BU14" s="135"/>
      <c r="BV14" s="135"/>
      <c r="BW14" s="135"/>
      <c r="BX14" s="135">
        <v>773.3</v>
      </c>
      <c r="BY14" s="135"/>
      <c r="BZ14" s="135"/>
      <c r="CA14" s="135">
        <v>119.6</v>
      </c>
      <c r="CB14" s="135">
        <v>265.60000000000002</v>
      </c>
      <c r="CC14" s="135">
        <v>283.2</v>
      </c>
      <c r="CD14" s="30">
        <v>8.56</v>
      </c>
      <c r="CE14" s="38">
        <v>6.7510000000000003</v>
      </c>
      <c r="CF14" s="38">
        <v>6.2930000000000001</v>
      </c>
      <c r="CG14" s="37"/>
      <c r="CH14" s="29">
        <v>6.8470000000000004</v>
      </c>
      <c r="CI14" s="37"/>
      <c r="CJ14" s="29"/>
      <c r="CK14" s="29"/>
      <c r="CL14" s="29"/>
      <c r="CM14" s="29">
        <v>7.8540000000000001</v>
      </c>
      <c r="CN14" s="29"/>
      <c r="CO14" s="29"/>
      <c r="CP14" s="29">
        <v>6.7530000000000001</v>
      </c>
      <c r="CQ14" s="29">
        <v>6.6909999999999998</v>
      </c>
      <c r="CR14" s="29">
        <v>6.9420000000000002</v>
      </c>
      <c r="CS14" s="168" t="str">
        <f>IF(VLOOKUP($A14,'B-Ligands'!$A:$G,3,FALSE)="","",VLOOKUP($A14,'B-Ligands'!$A:$G,3,FALSE))</f>
        <v/>
      </c>
      <c r="CT14" s="169" t="str">
        <f>IF(VLOOKUP($A14,'B-Ligands'!$A:$G,4,FALSE)="","",VLOOKUP($A14,'B-Ligands'!$A:$G,4,FALSE))</f>
        <v>Dopamine</v>
      </c>
      <c r="CU14" s="134">
        <v>6.4006712742104419</v>
      </c>
      <c r="CV14" s="135">
        <v>9.6036035831237871</v>
      </c>
      <c r="CW14" s="135">
        <v>11.445380411570266</v>
      </c>
      <c r="CX14" s="135">
        <v>0.86675891719617204</v>
      </c>
      <c r="CY14" s="135">
        <v>6.6066699265058491</v>
      </c>
      <c r="CZ14" s="135">
        <v>8.980151235329668</v>
      </c>
      <c r="DA14" s="135">
        <v>6.5463228824030146</v>
      </c>
      <c r="DB14" s="135">
        <v>20.832347739045606</v>
      </c>
      <c r="DC14" s="135">
        <v>9.9786358415619762</v>
      </c>
      <c r="DD14" s="135">
        <v>20.964960352218611</v>
      </c>
      <c r="DE14" s="135">
        <v>32.528925003631379</v>
      </c>
      <c r="DF14" s="135">
        <v>18.52904363493472</v>
      </c>
      <c r="DG14" s="135">
        <v>16.969527867122778</v>
      </c>
      <c r="DH14" s="135">
        <v>22.567237697443016</v>
      </c>
      <c r="DI14" s="135">
        <v>10.575857944703147</v>
      </c>
      <c r="DJ14" s="66">
        <f t="shared" si="7"/>
        <v>7.7804339367737807</v>
      </c>
      <c r="DK14" s="67">
        <f t="shared" si="8"/>
        <v>2.1398217681654508</v>
      </c>
      <c r="DL14" s="67">
        <f t="shared" si="9"/>
        <v>1.6923858625457873</v>
      </c>
      <c r="DM14" s="67">
        <f t="shared" si="10"/>
        <v>0</v>
      </c>
      <c r="DN14" s="67">
        <f t="shared" si="11"/>
        <v>14.754785857987528</v>
      </c>
      <c r="DO14" s="67">
        <f t="shared" si="12"/>
        <v>0</v>
      </c>
      <c r="DP14" s="67">
        <f t="shared" si="13"/>
        <v>0</v>
      </c>
      <c r="DQ14" s="67">
        <f t="shared" si="14"/>
        <v>0</v>
      </c>
      <c r="DR14" s="67">
        <f t="shared" si="15"/>
        <v>0</v>
      </c>
      <c r="DS14" s="67">
        <f t="shared" si="16"/>
        <v>36.885354754232374</v>
      </c>
      <c r="DT14" s="67">
        <f t="shared" si="17"/>
        <v>0</v>
      </c>
      <c r="DU14" s="67">
        <f t="shared" si="18"/>
        <v>0</v>
      </c>
      <c r="DV14" s="67">
        <f t="shared" si="19"/>
        <v>7.0479273752640026</v>
      </c>
      <c r="DW14" s="67">
        <f t="shared" si="20"/>
        <v>11.769273827877209</v>
      </c>
      <c r="DX14" s="67">
        <f t="shared" si="21"/>
        <v>26.777969360097064</v>
      </c>
    </row>
    <row r="15" spans="1:128" s="28" customFormat="1">
      <c r="A15" s="33" t="s">
        <v>144</v>
      </c>
      <c r="B15" s="205" t="s">
        <v>5559</v>
      </c>
      <c r="C15" t="str">
        <f>IF(VLOOKUP($A15,'B-Ligands'!$A:$G,5,FALSE)="","",VLOOKUP($A15,'B-Ligands'!$A:$G,5,FALSE))</f>
        <v>Guide To Pharmacology</v>
      </c>
      <c r="D15" s="19">
        <f>IF(VLOOKUP($A15,'B-Ligands'!$A:$G,6,FALSE)="","",VLOOKUP($A15,'B-Ligands'!$A:$G,6,FALSE))</f>
        <v>2487</v>
      </c>
      <c r="E15" t="str">
        <f>IF(VLOOKUP($A15,'B-Ligands'!$A:$G,7,FALSE)="","",VLOOKUP($A15,'B-Ligands'!$A:$G,7,FALSE))</f>
        <v>Phys</v>
      </c>
      <c r="F15" s="20" t="str">
        <f t="shared" si="68"/>
        <v/>
      </c>
      <c r="G15" s="19">
        <f t="shared" si="69"/>
        <v>1</v>
      </c>
      <c r="H15" s="19">
        <f t="shared" si="70"/>
        <v>1</v>
      </c>
      <c r="I15" s="19" t="str">
        <f t="shared" si="71"/>
        <v/>
      </c>
      <c r="J15" s="189">
        <f t="shared" si="26"/>
        <v>2</v>
      </c>
      <c r="K15" s="147" t="str">
        <f t="shared" si="27"/>
        <v>Gi/o</v>
      </c>
      <c r="L15" s="20">
        <f t="shared" si="28"/>
        <v>0</v>
      </c>
      <c r="M15" s="19">
        <f t="shared" si="29"/>
        <v>1</v>
      </c>
      <c r="N15" s="19">
        <f t="shared" si="30"/>
        <v>2</v>
      </c>
      <c r="O15" s="19">
        <f t="shared" si="31"/>
        <v>0</v>
      </c>
      <c r="P15" s="20">
        <f t="shared" si="32"/>
        <v>0</v>
      </c>
      <c r="Q15" s="19">
        <f t="shared" si="33"/>
        <v>100</v>
      </c>
      <c r="R15" s="19">
        <f t="shared" si="34"/>
        <v>88.581946380538795</v>
      </c>
      <c r="S15" s="19">
        <f t="shared" si="35"/>
        <v>0</v>
      </c>
      <c r="T15" s="20">
        <f t="shared" si="36"/>
        <v>0</v>
      </c>
      <c r="U15" s="21">
        <f t="shared" si="37"/>
        <v>8.2880555683686072</v>
      </c>
      <c r="V15" s="21">
        <f t="shared" si="38"/>
        <v>7.3417209395615393</v>
      </c>
      <c r="W15" s="21">
        <f t="shared" si="39"/>
        <v>0</v>
      </c>
      <c r="X15" s="147" t="str">
        <f t="shared" si="40"/>
        <v>Gz</v>
      </c>
      <c r="Y15" s="32">
        <f t="shared" si="41"/>
        <v>0</v>
      </c>
      <c r="Z15" s="31">
        <f t="shared" si="42"/>
        <v>98.444895396015468</v>
      </c>
      <c r="AA15" s="31">
        <f t="shared" si="43"/>
        <v>97.983669768941482</v>
      </c>
      <c r="AB15" s="31">
        <f t="shared" si="44"/>
        <v>92.114757276232268</v>
      </c>
      <c r="AC15" s="31">
        <f t="shared" si="45"/>
        <v>98.048084606943092</v>
      </c>
      <c r="AD15" s="31">
        <f t="shared" si="46"/>
        <v>100</v>
      </c>
      <c r="AE15" s="31">
        <f t="shared" si="47"/>
        <v>84.890907888998797</v>
      </c>
      <c r="AF15" s="31">
        <f t="shared" si="48"/>
        <v>83.51155258641019</v>
      </c>
      <c r="AG15" s="31">
        <f t="shared" si="49"/>
        <v>80.200249071429809</v>
      </c>
      <c r="AH15" s="31">
        <f t="shared" si="50"/>
        <v>88.581946380538795</v>
      </c>
      <c r="AI15" s="31">
        <f t="shared" si="51"/>
        <v>0</v>
      </c>
      <c r="AJ15" s="31">
        <f t="shared" si="52"/>
        <v>0</v>
      </c>
      <c r="AK15" s="7" cm="1">
        <f t="array" ref="AK15">_xlfn.IFS(AZ15=0,0,AZ15&gt;0,(LOG(0.01*AZ15/10^-CD15)))</f>
        <v>0</v>
      </c>
      <c r="AL15" s="8" cm="1">
        <f t="array" ref="AL15">_xlfn.IFS(BA15=0,0,BA15&gt;0,(LOG(0.01*BA15/10^-CE15)))</f>
        <v>8.1591676346441115</v>
      </c>
      <c r="AM15" s="8" cm="1">
        <f t="array" ref="AM15">_xlfn.IFS(BB15=0,0,BB15&gt;0,(LOG(0.01*BB15/10^-CF15)))</f>
        <v>8.1209409983766623</v>
      </c>
      <c r="AN15" s="8" cm="1">
        <f t="array" ref="AN15">_xlfn.IFS(BC15=0,0,BC15&gt;0,(LOG(0.01*BC15/10^-CG15)))</f>
        <v>7.6345222697219945</v>
      </c>
      <c r="AO15" s="8" cm="1">
        <f t="array" ref="AO15">_xlfn.IFS(BD15=0,0,BD15&gt;0,(LOG(0.01*BD15/10^-CH15)))</f>
        <v>8.1262797359445109</v>
      </c>
      <c r="AP15" s="8" cm="1">
        <f t="array" ref="AP15">_xlfn.IFS(BE15=0,0,BE15&gt;0,(LOG(0.01*BE15/10^-CI15)))</f>
        <v>8.2880555683686072</v>
      </c>
      <c r="AQ15" s="8" cm="1">
        <f t="array" ref="AQ15">_xlfn.IFS(BF15=0,0,BF15&gt;0,(LOG(0.01*BF15/10^-CJ15)))</f>
        <v>7.0358056183328292</v>
      </c>
      <c r="AR15" s="8" cm="1">
        <f t="array" ref="AR15">_xlfn.IFS(BG15=0,0,BG15&gt;0,(LOG(0.01*BG15/10^-CK15)))</f>
        <v>6.9214838843690476</v>
      </c>
      <c r="AS15" s="8" cm="1">
        <f t="array" ref="AS15">_xlfn.IFS(BH15=0,0,BH15&gt;0,(LOG(0.01*BH15/10^-CL15)))</f>
        <v>6.6470412090101307</v>
      </c>
      <c r="AT15" s="8" cm="1">
        <f t="array" ref="AT15">_xlfn.IFS(BI15=0,0,BI15&gt;0,(LOG(0.01*BI15/10^-CM15)))</f>
        <v>7.3417209395615393</v>
      </c>
      <c r="AU15" s="8" cm="1">
        <f t="array" ref="AU15">_xlfn.IFS(BJ15=0,0,BJ15&gt;0,(LOG(0.01*BJ15/10^-CN15)))</f>
        <v>0</v>
      </c>
      <c r="AV15" s="8" cm="1">
        <f t="array" ref="AV15">_xlfn.IFS(BK15=0,0,BK15&gt;0,(LOG(0.01*BK15/10^-CO15)))</f>
        <v>0</v>
      </c>
      <c r="AW15" s="8" cm="1">
        <f t="array" ref="AW15">_xlfn.IFS(BL15=0,0,BL15&gt;0,(LOG(0.01*BL15/10^-CP15)))</f>
        <v>5.5708439068709543</v>
      </c>
      <c r="AX15" s="8" cm="1">
        <f t="array" ref="AX15">_xlfn.IFS(BM15=0,0,BM15&gt;0,(LOG(0.01*BM15/10^-CQ15)))</f>
        <v>5.643502342461403</v>
      </c>
      <c r="AY15" s="8" cm="1">
        <f t="array" ref="AY15">_xlfn.IFS(BN15=0,0,BN15&gt;0,(LOG(0.01*BN15/10^-CR15)))</f>
        <v>5.7665951007078924</v>
      </c>
      <c r="AZ15" s="32">
        <f t="shared" si="53"/>
        <v>0</v>
      </c>
      <c r="BA15" s="31">
        <f t="shared" si="54"/>
        <v>99.349945828819074</v>
      </c>
      <c r="BB15" s="31">
        <f t="shared" si="55"/>
        <v>35.070422535211264</v>
      </c>
      <c r="BC15" s="31">
        <f t="shared" si="56"/>
        <v>34.160346695557962</v>
      </c>
      <c r="BD15" s="31">
        <f t="shared" si="57"/>
        <v>47.345612134344528</v>
      </c>
      <c r="BE15" s="31">
        <f t="shared" si="58"/>
        <v>21.137594799566632</v>
      </c>
      <c r="BF15" s="31">
        <f t="shared" si="59"/>
        <v>61.490159325210868</v>
      </c>
      <c r="BG15" s="31">
        <f t="shared" si="60"/>
        <v>73.533270852858479</v>
      </c>
      <c r="BH15" s="31">
        <f t="shared" si="61"/>
        <v>43.355201499531397</v>
      </c>
      <c r="BI15" s="31">
        <f t="shared" si="62"/>
        <v>72.23055295220243</v>
      </c>
      <c r="BJ15" s="31">
        <f t="shared" si="63"/>
        <v>0</v>
      </c>
      <c r="BK15" s="31">
        <f t="shared" si="64"/>
        <v>0</v>
      </c>
      <c r="BL15" s="31">
        <f t="shared" si="65"/>
        <v>13.672373279624034</v>
      </c>
      <c r="BM15" s="31">
        <f t="shared" si="66"/>
        <v>8.4625713326619678</v>
      </c>
      <c r="BN15" s="31">
        <f t="shared" si="67"/>
        <v>15.052030882846593</v>
      </c>
      <c r="BO15" s="134"/>
      <c r="BP15" s="135">
        <v>917</v>
      </c>
      <c r="BQ15" s="135">
        <v>323.7</v>
      </c>
      <c r="BR15" s="135">
        <v>315.3</v>
      </c>
      <c r="BS15" s="135">
        <v>437</v>
      </c>
      <c r="BT15" s="135">
        <v>195.1</v>
      </c>
      <c r="BU15" s="135">
        <v>656.1</v>
      </c>
      <c r="BV15" s="135">
        <v>784.6</v>
      </c>
      <c r="BW15" s="135">
        <v>462.6</v>
      </c>
      <c r="BX15" s="135">
        <v>770.7</v>
      </c>
      <c r="BY15" s="135"/>
      <c r="BZ15" s="135"/>
      <c r="CA15" s="135">
        <v>407.3</v>
      </c>
      <c r="CB15" s="135">
        <v>252.1</v>
      </c>
      <c r="CC15" s="135">
        <v>448.4</v>
      </c>
      <c r="CD15" s="30"/>
      <c r="CE15" s="29">
        <v>8.1620000000000008</v>
      </c>
      <c r="CF15" s="29">
        <v>8.5760000000000005</v>
      </c>
      <c r="CG15" s="29">
        <v>8.1010000000000009</v>
      </c>
      <c r="CH15" s="29">
        <v>8.4510000000000005</v>
      </c>
      <c r="CI15" s="29">
        <v>8.9629999999999992</v>
      </c>
      <c r="CJ15" s="29">
        <v>7.2469999999999999</v>
      </c>
      <c r="CK15" s="29">
        <v>7.0549999999999997</v>
      </c>
      <c r="CL15" s="29">
        <v>7.01</v>
      </c>
      <c r="CM15" s="29">
        <v>7.4829999999999997</v>
      </c>
      <c r="CN15" s="29"/>
      <c r="CO15" s="29"/>
      <c r="CP15" s="29">
        <v>6.4349999999999996</v>
      </c>
      <c r="CQ15" s="29">
        <v>6.7160000000000002</v>
      </c>
      <c r="CR15" s="29">
        <v>6.5890000000000004</v>
      </c>
      <c r="CS15" s="168" t="str">
        <f>IF(VLOOKUP($A15,'B-Ligands'!$A:$G,3,FALSE)="","",VLOOKUP($A15,'B-Ligands'!$A:$G,3,FALSE))</f>
        <v>LTD4</v>
      </c>
      <c r="CT15" s="169" t="str">
        <f>IF(VLOOKUP($A15,'B-Ligands'!$A:$G,4,FALSE)="","",VLOOKUP($A15,'B-Ligands'!$A:$G,4,FALSE))</f>
        <v>Leukotriene D4</v>
      </c>
      <c r="CU15" s="134">
        <v>14.470053834363924</v>
      </c>
      <c r="CV15" s="135">
        <v>20.517057467619843</v>
      </c>
      <c r="CW15" s="135">
        <v>11.598418650762051</v>
      </c>
      <c r="CX15" s="135">
        <v>7.7505097238499046</v>
      </c>
      <c r="CY15" s="135">
        <v>11.02794930330567</v>
      </c>
      <c r="CZ15" s="135">
        <v>12.147550886042538</v>
      </c>
      <c r="DA15" s="135">
        <v>7.5088374784224543</v>
      </c>
      <c r="DB15" s="135">
        <v>12.670739203066482</v>
      </c>
      <c r="DC15" s="135">
        <v>16.045595488456581</v>
      </c>
      <c r="DD15" s="135">
        <v>8.0742232171409967</v>
      </c>
      <c r="DE15" s="135">
        <v>22.916028436590754</v>
      </c>
      <c r="DF15" s="135">
        <v>14.456617905007171</v>
      </c>
      <c r="DG15" s="135">
        <v>15.84745517794587</v>
      </c>
      <c r="DH15" s="135">
        <v>12.572113262159784</v>
      </c>
      <c r="DI15" s="135">
        <v>18.030632832188193</v>
      </c>
      <c r="DJ15" s="66">
        <f t="shared" si="7"/>
        <v>0</v>
      </c>
      <c r="DK15" s="67">
        <f t="shared" si="8"/>
        <v>44.694518278131042</v>
      </c>
      <c r="DL15" s="67">
        <f t="shared" si="9"/>
        <v>27.908977055137765</v>
      </c>
      <c r="DM15" s="67">
        <f t="shared" si="10"/>
        <v>40.681195332193106</v>
      </c>
      <c r="DN15" s="67">
        <f t="shared" si="11"/>
        <v>39.626587680177998</v>
      </c>
      <c r="DO15" s="67">
        <f t="shared" si="12"/>
        <v>16.060850605216949</v>
      </c>
      <c r="DP15" s="67">
        <f t="shared" si="13"/>
        <v>87.377040971439598</v>
      </c>
      <c r="DQ15" s="67">
        <f t="shared" si="14"/>
        <v>61.922196284342803</v>
      </c>
      <c r="DR15" s="67">
        <f t="shared" si="15"/>
        <v>28.830341655615133</v>
      </c>
      <c r="DS15" s="67">
        <f t="shared" si="16"/>
        <v>95.451906551686506</v>
      </c>
      <c r="DT15" s="67">
        <f t="shared" si="17"/>
        <v>0</v>
      </c>
      <c r="DU15" s="67">
        <f t="shared" si="18"/>
        <v>0</v>
      </c>
      <c r="DV15" s="67">
        <f t="shared" si="19"/>
        <v>25.701287394509848</v>
      </c>
      <c r="DW15" s="67">
        <f t="shared" si="20"/>
        <v>20.052316960807538</v>
      </c>
      <c r="DX15" s="67">
        <f t="shared" si="21"/>
        <v>24.868788809204666</v>
      </c>
    </row>
    <row r="16" spans="1:128" s="28" customFormat="1">
      <c r="A16" s="33" t="s">
        <v>230</v>
      </c>
      <c r="B16" s="205" t="s">
        <v>5559</v>
      </c>
      <c r="C16" t="str">
        <f>IF(VLOOKUP($A16,'B-Ligands'!$A:$G,5,FALSE)="","",VLOOKUP($A16,'B-Ligands'!$A:$G,5,FALSE))</f>
        <v>Guide To Pharmacology</v>
      </c>
      <c r="D16" s="19">
        <f>IF(VLOOKUP($A16,'B-Ligands'!$A:$G,6,FALSE)="","",VLOOKUP($A16,'B-Ligands'!$A:$G,6,FALSE))</f>
        <v>2168</v>
      </c>
      <c r="E16" t="str">
        <f>IF(VLOOKUP($A16,'B-Ligands'!$A:$G,7,FALSE)="","",VLOOKUP($A16,'B-Ligands'!$A:$G,7,FALSE))</f>
        <v>Phys</v>
      </c>
      <c r="F16" s="20">
        <f t="shared" si="68"/>
        <v>1</v>
      </c>
      <c r="G16" s="19">
        <f t="shared" si="69"/>
        <v>1</v>
      </c>
      <c r="H16" s="19">
        <f t="shared" si="70"/>
        <v>1</v>
      </c>
      <c r="I16" s="19">
        <f t="shared" si="71"/>
        <v>1</v>
      </c>
      <c r="J16" s="189">
        <f t="shared" si="26"/>
        <v>4</v>
      </c>
      <c r="K16" s="147" t="str">
        <f t="shared" si="27"/>
        <v>Gs</v>
      </c>
      <c r="L16" s="20">
        <f t="shared" si="28"/>
        <v>1</v>
      </c>
      <c r="M16" s="19">
        <f t="shared" si="29"/>
        <v>4</v>
      </c>
      <c r="N16" s="19">
        <f t="shared" si="30"/>
        <v>2</v>
      </c>
      <c r="O16" s="19">
        <f t="shared" si="31"/>
        <v>3</v>
      </c>
      <c r="P16" s="20">
        <f t="shared" si="32"/>
        <v>100</v>
      </c>
      <c r="Q16" s="19">
        <f t="shared" si="33"/>
        <v>60.372339953428344</v>
      </c>
      <c r="R16" s="19">
        <f t="shared" si="34"/>
        <v>88.353208110688911</v>
      </c>
      <c r="S16" s="19">
        <f t="shared" si="35"/>
        <v>77.237644386581906</v>
      </c>
      <c r="T16" s="20">
        <f t="shared" si="36"/>
        <v>10.05619460417088</v>
      </c>
      <c r="U16" s="21">
        <f t="shared" si="37"/>
        <v>6.0711599928083615</v>
      </c>
      <c r="V16" s="21">
        <f t="shared" si="38"/>
        <v>8.8849705466389661</v>
      </c>
      <c r="W16" s="21">
        <f t="shared" si="39"/>
        <v>7.767167827192142</v>
      </c>
      <c r="X16" s="147" t="str">
        <f t="shared" si="40"/>
        <v>GsL</v>
      </c>
      <c r="Y16" s="32">
        <f t="shared" si="41"/>
        <v>100</v>
      </c>
      <c r="Z16" s="31">
        <f t="shared" si="42"/>
        <v>60.372339953428344</v>
      </c>
      <c r="AA16" s="31">
        <f t="shared" si="43"/>
        <v>50.951960421618381</v>
      </c>
      <c r="AB16" s="31">
        <f t="shared" si="44"/>
        <v>55.158024653515682</v>
      </c>
      <c r="AC16" s="31">
        <f t="shared" si="45"/>
        <v>0</v>
      </c>
      <c r="AD16" s="31">
        <f t="shared" si="46"/>
        <v>0</v>
      </c>
      <c r="AE16" s="31">
        <f t="shared" si="47"/>
        <v>68.905409156838061</v>
      </c>
      <c r="AF16" s="31">
        <f t="shared" si="48"/>
        <v>70.276582373762835</v>
      </c>
      <c r="AG16" s="31">
        <f t="shared" si="49"/>
        <v>64.958560004388048</v>
      </c>
      <c r="AH16" s="31">
        <f t="shared" si="50"/>
        <v>88.353208110688911</v>
      </c>
      <c r="AI16" s="31">
        <f t="shared" si="51"/>
        <v>0</v>
      </c>
      <c r="AJ16" s="31">
        <f t="shared" si="52"/>
        <v>77.237644386581906</v>
      </c>
      <c r="AK16" s="7" cm="1">
        <f t="array" ref="AK16">_xlfn.IFS(AZ16=0,0,AZ16&gt;0,(LOG(0.01*AZ16/10^-CD16)))</f>
        <v>10.05619460417088</v>
      </c>
      <c r="AL16" s="8" cm="1">
        <f t="array" ref="AL16">_xlfn.IFS(BA16=0,0,BA16&gt;0,(LOG(0.01*BA16/10^-CE16)))</f>
        <v>6.0711599928083615</v>
      </c>
      <c r="AM16" s="8" cm="1">
        <f t="array" ref="AM16">_xlfn.IFS(BB16=0,0,BB16&gt;0,(LOG(0.01*BB16/10^-CF16)))</f>
        <v>5.12382829463807</v>
      </c>
      <c r="AN16" s="8" cm="1">
        <f t="array" ref="AN16">_xlfn.IFS(BC16=0,0,BC16&gt;0,(LOG(0.01*BC16/10^-CG16)))</f>
        <v>5.546798298974088</v>
      </c>
      <c r="AO16" s="8" cm="1">
        <f t="array" ref="AO16">_xlfn.IFS(BD16=0,0,BD16&gt;0,(LOG(0.01*BD16/10^-CH16)))</f>
        <v>0</v>
      </c>
      <c r="AP16" s="8" cm="1">
        <f t="array" ref="AP16">_xlfn.IFS(BE16=0,0,BE16&gt;0,(LOG(0.01*BE16/10^-CI16)))</f>
        <v>0</v>
      </c>
      <c r="AQ16" s="8" cm="1">
        <f t="array" ref="AQ16">_xlfn.IFS(BF16=0,0,BF16&gt;0,(LOG(0.01*BF16/10^-CJ16)))</f>
        <v>6.9292620376118164</v>
      </c>
      <c r="AR16" s="8" cm="1">
        <f t="array" ref="AR16">_xlfn.IFS(BG16=0,0,BG16&gt;0,(LOG(0.01*BG16/10^-CK16)))</f>
        <v>7.0671498846660423</v>
      </c>
      <c r="AS16" s="8" cm="1">
        <f t="array" ref="AS16">_xlfn.IFS(BH16=0,0,BH16&gt;0,(LOG(0.01*BH16/10^-CL16)))</f>
        <v>6.5323592061083735</v>
      </c>
      <c r="AT16" s="8" cm="1">
        <f t="array" ref="AT16">_xlfn.IFS(BI16=0,0,BI16&gt;0,(LOG(0.01*BI16/10^-CM16)))</f>
        <v>8.8849705466389661</v>
      </c>
      <c r="AU16" s="8" cm="1">
        <f t="array" ref="AU16">_xlfn.IFS(BJ16=0,0,BJ16&gt;0,(LOG(0.01*BJ16/10^-CN16)))</f>
        <v>0</v>
      </c>
      <c r="AV16" s="8" cm="1">
        <f t="array" ref="AV16">_xlfn.IFS(BK16=0,0,BK16&gt;0,(LOG(0.01*BK16/10^-CO16)))</f>
        <v>7.767167827192142</v>
      </c>
      <c r="AW16" s="8" cm="1">
        <f t="array" ref="AW16">_xlfn.IFS(BL16=0,0,BL16&gt;0,(LOG(0.01*BL16/10^-CP16)))</f>
        <v>6.6770731342198024</v>
      </c>
      <c r="AX16" s="8" cm="1">
        <f t="array" ref="AX16">_xlfn.IFS(BM16=0,0,BM16&gt;0,(LOG(0.01*BM16/10^-CQ16)))</f>
        <v>6.9392418004122423</v>
      </c>
      <c r="AY16" s="8" cm="1">
        <f t="array" ref="AY16">_xlfn.IFS(BN16=0,0,BN16&gt;0,(LOG(0.01*BN16/10^-CR16)))</f>
        <v>6.8959359423423292</v>
      </c>
      <c r="AZ16" s="32">
        <f t="shared" si="53"/>
        <v>65.492957746478879</v>
      </c>
      <c r="BA16" s="31">
        <f t="shared" si="54"/>
        <v>3.3586132177681471</v>
      </c>
      <c r="BB16" s="31">
        <f t="shared" si="55"/>
        <v>2.1668472372697725</v>
      </c>
      <c r="BC16" s="31">
        <f t="shared" si="56"/>
        <v>1.0834236186348862</v>
      </c>
      <c r="BD16" s="31">
        <f t="shared" si="57"/>
        <v>0</v>
      </c>
      <c r="BE16" s="31">
        <f t="shared" si="58"/>
        <v>0</v>
      </c>
      <c r="BF16" s="31">
        <f t="shared" si="59"/>
        <v>11.462043111527647</v>
      </c>
      <c r="BG16" s="31">
        <f t="shared" si="60"/>
        <v>19.550140581068415</v>
      </c>
      <c r="BH16" s="31">
        <f t="shared" si="61"/>
        <v>6.8922211808809752</v>
      </c>
      <c r="BI16" s="31">
        <f t="shared" si="62"/>
        <v>71.940018744142449</v>
      </c>
      <c r="BJ16" s="31">
        <f t="shared" si="63"/>
        <v>0</v>
      </c>
      <c r="BK16" s="31">
        <f t="shared" si="64"/>
        <v>22.812234494477483</v>
      </c>
      <c r="BL16" s="31">
        <f t="shared" si="65"/>
        <v>11.859684457871769</v>
      </c>
      <c r="BM16" s="31">
        <f t="shared" si="66"/>
        <v>23.672373279624036</v>
      </c>
      <c r="BN16" s="31">
        <f t="shared" si="67"/>
        <v>11.218529707955691</v>
      </c>
      <c r="BO16" s="132">
        <v>42.78</v>
      </c>
      <c r="BP16" s="172">
        <v>31</v>
      </c>
      <c r="BQ16" s="172">
        <v>20</v>
      </c>
      <c r="BR16" s="172">
        <v>10</v>
      </c>
      <c r="BS16" s="133"/>
      <c r="BT16" s="133"/>
      <c r="BU16" s="133">
        <v>122.3</v>
      </c>
      <c r="BV16" s="133">
        <v>208.6</v>
      </c>
      <c r="BW16" s="133">
        <v>73.540000000000006</v>
      </c>
      <c r="BX16" s="133">
        <v>767.6</v>
      </c>
      <c r="BY16" s="133"/>
      <c r="BZ16" s="133">
        <v>161.1</v>
      </c>
      <c r="CA16" s="133">
        <v>353.3</v>
      </c>
      <c r="CB16" s="133">
        <v>705.2</v>
      </c>
      <c r="CC16" s="133">
        <v>334.2</v>
      </c>
      <c r="CD16" s="36">
        <v>10.24</v>
      </c>
      <c r="CE16" s="35">
        <v>7.5449999999999999</v>
      </c>
      <c r="CF16" s="35">
        <v>6.7880000000000003</v>
      </c>
      <c r="CG16" s="35">
        <v>7.5119999999999996</v>
      </c>
      <c r="CH16" s="34"/>
      <c r="CI16" s="34"/>
      <c r="CJ16" s="34">
        <v>7.87</v>
      </c>
      <c r="CK16" s="34">
        <v>7.7759999999999998</v>
      </c>
      <c r="CL16" s="34">
        <v>7.694</v>
      </c>
      <c r="CM16" s="34">
        <v>9.0280000000000005</v>
      </c>
      <c r="CN16" s="34"/>
      <c r="CO16" s="34">
        <v>8.4090000000000007</v>
      </c>
      <c r="CP16" s="34">
        <v>7.6029999999999998</v>
      </c>
      <c r="CQ16" s="34">
        <v>7.5650000000000004</v>
      </c>
      <c r="CR16" s="34">
        <v>7.8460000000000001</v>
      </c>
      <c r="CS16" s="168" t="str">
        <f>IF(VLOOKUP($A16,'B-Ligands'!$A:$G,3,FALSE)="","",VLOOKUP($A16,'B-Ligands'!$A:$G,3,FALSE))</f>
        <v>AVP</v>
      </c>
      <c r="CT16" s="169" t="str">
        <f>IF(VLOOKUP($A16,'B-Ligands'!$A:$G,4,FALSE)="","",VLOOKUP($A16,'B-Ligands'!$A:$G,4,FALSE))</f>
        <v>Vasopressin</v>
      </c>
      <c r="CU16" s="132">
        <v>5.5803829960602416</v>
      </c>
      <c r="CV16" s="133">
        <v>17.365131254059197</v>
      </c>
      <c r="CW16" s="133">
        <v>11.00660107881211</v>
      </c>
      <c r="CX16" s="133">
        <v>7.751118801010767</v>
      </c>
      <c r="CY16" s="133">
        <v>12.446111150843924</v>
      </c>
      <c r="CZ16" s="133">
        <v>7.8153128180618632</v>
      </c>
      <c r="DA16" s="133">
        <v>2.568371809459284</v>
      </c>
      <c r="DB16" s="133">
        <v>3.7470500419976474</v>
      </c>
      <c r="DC16" s="133">
        <v>7.5589646190981794</v>
      </c>
      <c r="DD16" s="133">
        <v>9.6180771244517764</v>
      </c>
      <c r="DE16" s="133">
        <v>8.6561149215592383</v>
      </c>
      <c r="DF16" s="133">
        <v>8.3242851396900317</v>
      </c>
      <c r="DG16" s="133">
        <v>5.6047207223783495</v>
      </c>
      <c r="DH16" s="133">
        <v>16.587633359659375</v>
      </c>
      <c r="DI16" s="133">
        <v>4.1010870377517268</v>
      </c>
      <c r="DJ16" s="66">
        <f t="shared" si="7"/>
        <v>7.6661404835837867</v>
      </c>
      <c r="DK16" s="67">
        <f t="shared" si="8"/>
        <v>1.7851866217684693</v>
      </c>
      <c r="DL16" s="67">
        <f t="shared" si="9"/>
        <v>1.8170913851416248</v>
      </c>
      <c r="DM16" s="67">
        <f t="shared" si="10"/>
        <v>1.2901363347309258</v>
      </c>
      <c r="DN16" s="67">
        <f t="shared" si="11"/>
        <v>0</v>
      </c>
      <c r="DO16" s="67">
        <f t="shared" si="12"/>
        <v>0</v>
      </c>
      <c r="DP16" s="67">
        <f t="shared" si="13"/>
        <v>47.617716231571492</v>
      </c>
      <c r="DQ16" s="67">
        <f t="shared" si="14"/>
        <v>55.67046013850139</v>
      </c>
      <c r="DR16" s="67">
        <f t="shared" si="15"/>
        <v>9.7288456429861796</v>
      </c>
      <c r="DS16" s="67">
        <f t="shared" si="16"/>
        <v>79.808052074000472</v>
      </c>
      <c r="DT16" s="67">
        <f t="shared" si="17"/>
        <v>0</v>
      </c>
      <c r="DU16" s="67">
        <f t="shared" si="18"/>
        <v>19.353013177297147</v>
      </c>
      <c r="DV16" s="67">
        <f t="shared" si="19"/>
        <v>63.03614711601152</v>
      </c>
      <c r="DW16" s="67">
        <f t="shared" si="20"/>
        <v>42.513599421302935</v>
      </c>
      <c r="DX16" s="67">
        <f t="shared" si="21"/>
        <v>81.490589427532143</v>
      </c>
    </row>
    <row r="17" spans="1:128" s="28" customFormat="1">
      <c r="A17" s="33" t="s">
        <v>41</v>
      </c>
      <c r="B17" s="205" t="s">
        <v>5559</v>
      </c>
      <c r="C17" t="str">
        <f>IF(VLOOKUP($A17,'B-Ligands'!$A:$G,5,FALSE)="","",VLOOKUP($A17,'B-Ligands'!$A:$G,5,FALSE))</f>
        <v>Guide To Pharmacology</v>
      </c>
      <c r="D17" s="19">
        <f>IF(VLOOKUP($A17,'B-Ligands'!$A:$G,6,FALSE)="","",VLOOKUP($A17,'B-Ligands'!$A:$G,6,FALSE))</f>
        <v>484</v>
      </c>
      <c r="E17" t="str">
        <f>IF(VLOOKUP($A17,'B-Ligands'!$A:$G,7,FALSE)="","",VLOOKUP($A17,'B-Ligands'!$A:$G,7,FALSE))</f>
        <v>Phys</v>
      </c>
      <c r="F17" s="20">
        <f t="shared" si="68"/>
        <v>1</v>
      </c>
      <c r="G17" s="19" t="str">
        <f t="shared" si="69"/>
        <v/>
      </c>
      <c r="H17" s="19">
        <f t="shared" si="70"/>
        <v>1</v>
      </c>
      <c r="I17" s="19" t="str">
        <f t="shared" si="71"/>
        <v/>
      </c>
      <c r="J17" s="189">
        <f t="shared" si="26"/>
        <v>2</v>
      </c>
      <c r="K17" s="147" t="str">
        <f t="shared" si="27"/>
        <v>Gs</v>
      </c>
      <c r="L17" s="20">
        <f t="shared" si="28"/>
        <v>1</v>
      </c>
      <c r="M17" s="19">
        <f t="shared" si="29"/>
        <v>0</v>
      </c>
      <c r="N17" s="19">
        <f t="shared" si="30"/>
        <v>2</v>
      </c>
      <c r="O17" s="19">
        <f t="shared" si="31"/>
        <v>0</v>
      </c>
      <c r="P17" s="20">
        <f t="shared" si="32"/>
        <v>100</v>
      </c>
      <c r="Q17" s="19">
        <f t="shared" si="33"/>
        <v>0</v>
      </c>
      <c r="R17" s="19">
        <f t="shared" si="34"/>
        <v>76.965451720522395</v>
      </c>
      <c r="S17" s="19">
        <f t="shared" si="35"/>
        <v>0</v>
      </c>
      <c r="T17" s="20">
        <f t="shared" si="36"/>
        <v>8.1955527236335506</v>
      </c>
      <c r="U17" s="21">
        <f t="shared" si="37"/>
        <v>0</v>
      </c>
      <c r="V17" s="21">
        <f t="shared" si="38"/>
        <v>6.3077441747381382</v>
      </c>
      <c r="W17" s="21">
        <f t="shared" si="39"/>
        <v>0</v>
      </c>
      <c r="X17" s="147" t="str">
        <f t="shared" si="40"/>
        <v>GsL</v>
      </c>
      <c r="Y17" s="32">
        <f t="shared" si="41"/>
        <v>100</v>
      </c>
      <c r="Z17" s="31">
        <f t="shared" si="42"/>
        <v>0</v>
      </c>
      <c r="AA17" s="31">
        <f t="shared" si="43"/>
        <v>0</v>
      </c>
      <c r="AB17" s="31">
        <f t="shared" si="44"/>
        <v>0</v>
      </c>
      <c r="AC17" s="31">
        <f t="shared" si="45"/>
        <v>0</v>
      </c>
      <c r="AD17" s="31">
        <f t="shared" si="46"/>
        <v>0</v>
      </c>
      <c r="AE17" s="31">
        <f t="shared" si="47"/>
        <v>0</v>
      </c>
      <c r="AF17" s="31">
        <f t="shared" si="48"/>
        <v>0</v>
      </c>
      <c r="AG17" s="31">
        <f t="shared" si="49"/>
        <v>0</v>
      </c>
      <c r="AH17" s="31">
        <f t="shared" si="50"/>
        <v>76.965451720522395</v>
      </c>
      <c r="AI17" s="31">
        <f t="shared" si="51"/>
        <v>0</v>
      </c>
      <c r="AJ17" s="31">
        <f t="shared" si="52"/>
        <v>0</v>
      </c>
      <c r="AK17" s="7" cm="1">
        <f t="array" ref="AK17">_xlfn.IFS(AZ17=0,0,AZ17&gt;0,(LOG(0.01*AZ17/10^-CD17)))</f>
        <v>8.1955527236335506</v>
      </c>
      <c r="AL17" s="8" cm="1">
        <f t="array" ref="AL17">_xlfn.IFS(BA17=0,0,BA17&gt;0,(LOG(0.01*BA17/10^-CE17)))</f>
        <v>0</v>
      </c>
      <c r="AM17" s="8" cm="1">
        <f t="array" ref="AM17">_xlfn.IFS(BB17=0,0,BB17&gt;0,(LOG(0.01*BB17/10^-CF17)))</f>
        <v>0</v>
      </c>
      <c r="AN17" s="8" cm="1">
        <f t="array" ref="AN17">_xlfn.IFS(BC17=0,0,BC17&gt;0,(LOG(0.01*BC17/10^-CG17)))</f>
        <v>0</v>
      </c>
      <c r="AO17" s="8" cm="1">
        <f t="array" ref="AO17">_xlfn.IFS(BD17=0,0,BD17&gt;0,(LOG(0.01*BD17/10^-CH17)))</f>
        <v>0</v>
      </c>
      <c r="AP17" s="8" cm="1">
        <f t="array" ref="AP17">_xlfn.IFS(BE17=0,0,BE17&gt;0,(LOG(0.01*BE17/10^-CI17)))</f>
        <v>0</v>
      </c>
      <c r="AQ17" s="8" cm="1">
        <f t="array" ref="AQ17">_xlfn.IFS(BF17=0,0,BF17&gt;0,(LOG(0.01*BF17/10^-CJ17)))</f>
        <v>0</v>
      </c>
      <c r="AR17" s="8" cm="1">
        <f t="array" ref="AR17">_xlfn.IFS(BG17=0,0,BG17&gt;0,(LOG(0.01*BG17/10^-CK17)))</f>
        <v>0</v>
      </c>
      <c r="AS17" s="8" cm="1">
        <f t="array" ref="AS17">_xlfn.IFS(BH17=0,0,BH17&gt;0,(LOG(0.01*BH17/10^-CL17)))</f>
        <v>0</v>
      </c>
      <c r="AT17" s="8" cm="1">
        <f t="array" ref="AT17">_xlfn.IFS(BI17=0,0,BI17&gt;0,(LOG(0.01*BI17/10^-CM17)))</f>
        <v>6.3077441747381382</v>
      </c>
      <c r="AU17" s="8" cm="1">
        <f t="array" ref="AU17">_xlfn.IFS(BJ17=0,0,BJ17&gt;0,(LOG(0.01*BJ17/10^-CN17)))</f>
        <v>0</v>
      </c>
      <c r="AV17" s="8" cm="1">
        <f t="array" ref="AV17">_xlfn.IFS(BK17=0,0,BK17&gt;0,(LOG(0.01*BK17/10^-CO17)))</f>
        <v>0</v>
      </c>
      <c r="AW17" s="8" cm="1">
        <f t="array" ref="AW17">_xlfn.IFS(BL17=0,0,BL17&gt;0,(LOG(0.01*BL17/10^-CP17)))</f>
        <v>3.5479894881129188</v>
      </c>
      <c r="AX17" s="8" cm="1">
        <f t="array" ref="AX17">_xlfn.IFS(BM17=0,0,BM17&gt;0,(LOG(0.01*BM17/10^-CQ17)))</f>
        <v>3.9874637151048216</v>
      </c>
      <c r="AY17" s="8" cm="1">
        <f t="array" ref="AY17">_xlfn.IFS(BN17=0,0,BN17&gt;0,(LOG(0.01*BN17/10^-CR17)))</f>
        <v>4.7579501972590243</v>
      </c>
      <c r="AZ17" s="32">
        <f t="shared" si="53"/>
        <v>83.282302510716477</v>
      </c>
      <c r="BA17" s="31">
        <f t="shared" si="54"/>
        <v>0</v>
      </c>
      <c r="BB17" s="31">
        <f t="shared" si="55"/>
        <v>0</v>
      </c>
      <c r="BC17" s="31">
        <f t="shared" si="56"/>
        <v>0</v>
      </c>
      <c r="BD17" s="31">
        <f t="shared" si="57"/>
        <v>0</v>
      </c>
      <c r="BE17" s="31">
        <f t="shared" si="58"/>
        <v>0</v>
      </c>
      <c r="BF17" s="31">
        <f t="shared" si="59"/>
        <v>0</v>
      </c>
      <c r="BG17" s="31">
        <f t="shared" si="60"/>
        <v>0</v>
      </c>
      <c r="BH17" s="31">
        <f t="shared" si="61"/>
        <v>0</v>
      </c>
      <c r="BI17" s="31">
        <f t="shared" si="62"/>
        <v>71.902530459231485</v>
      </c>
      <c r="BJ17" s="31">
        <f t="shared" si="63"/>
        <v>0</v>
      </c>
      <c r="BK17" s="31">
        <f t="shared" si="64"/>
        <v>0</v>
      </c>
      <c r="BL17" s="31">
        <f t="shared" si="65"/>
        <v>13.427324605572339</v>
      </c>
      <c r="BM17" s="31">
        <f t="shared" si="66"/>
        <v>12.631755622692179</v>
      </c>
      <c r="BN17" s="31">
        <f t="shared" si="67"/>
        <v>28.18059751594495</v>
      </c>
      <c r="BO17" s="134">
        <v>54.4</v>
      </c>
      <c r="BP17" s="135"/>
      <c r="BQ17" s="135"/>
      <c r="BR17" s="175"/>
      <c r="BS17" s="173"/>
      <c r="BT17" s="173"/>
      <c r="BU17" s="135"/>
      <c r="BV17" s="135"/>
      <c r="BW17" s="135"/>
      <c r="BX17" s="135">
        <v>767.2</v>
      </c>
      <c r="BY17" s="135"/>
      <c r="BZ17" s="135"/>
      <c r="CA17" s="135">
        <v>400</v>
      </c>
      <c r="CB17" s="135">
        <v>376.3</v>
      </c>
      <c r="CC17" s="135">
        <v>839.5</v>
      </c>
      <c r="CD17" s="30">
        <v>8.2750000000000004</v>
      </c>
      <c r="CE17" s="29"/>
      <c r="CF17" s="29"/>
      <c r="CG17" s="37"/>
      <c r="CH17" s="37"/>
      <c r="CI17" s="37"/>
      <c r="CJ17" s="29"/>
      <c r="CK17" s="29"/>
      <c r="CL17" s="29"/>
      <c r="CM17" s="29">
        <v>6.4509999999999996</v>
      </c>
      <c r="CN17" s="29"/>
      <c r="CO17" s="29"/>
      <c r="CP17" s="29">
        <v>4.42</v>
      </c>
      <c r="CQ17" s="29">
        <v>4.8860000000000001</v>
      </c>
      <c r="CR17" s="29">
        <v>5.3079999999999998</v>
      </c>
      <c r="CS17" s="168" t="str">
        <f>IF(VLOOKUP($A17,'B-Ligands'!$A:$G,3,FALSE)="","",VLOOKUP($A17,'B-Ligands'!$A:$G,3,FALSE))</f>
        <v/>
      </c>
      <c r="CT17" s="169" t="str">
        <f>IF(VLOOKUP($A17,'B-Ligands'!$A:$G,4,FALSE)="","",VLOOKUP($A17,'B-Ligands'!$A:$G,4,FALSE))</f>
        <v>Noradrenaline</v>
      </c>
      <c r="CU17" s="134">
        <v>16.730871326130597</v>
      </c>
      <c r="CV17" s="135">
        <v>26.573325562763387</v>
      </c>
      <c r="CW17" s="135">
        <v>11.034069502226371</v>
      </c>
      <c r="CX17" s="135">
        <v>21.250712514098694</v>
      </c>
      <c r="CY17" s="135">
        <v>22.946563205889181</v>
      </c>
      <c r="CZ17" s="135">
        <v>24.275382483587844</v>
      </c>
      <c r="DA17" s="135">
        <v>15.425518863155251</v>
      </c>
      <c r="DB17" s="135">
        <v>27.788086435587214</v>
      </c>
      <c r="DC17" s="135">
        <v>11.184139403621824</v>
      </c>
      <c r="DD17" s="135">
        <v>13.751208052053345</v>
      </c>
      <c r="DE17" s="135">
        <v>11.563217571281664</v>
      </c>
      <c r="DF17" s="135">
        <v>8.3499314287152764</v>
      </c>
      <c r="DG17" s="135">
        <v>16.409586255560047</v>
      </c>
      <c r="DH17" s="135">
        <v>14.037809564866318</v>
      </c>
      <c r="DI17" s="135">
        <v>17.922740893649465</v>
      </c>
      <c r="DJ17" s="66">
        <f t="shared" si="7"/>
        <v>3.2514744115590104</v>
      </c>
      <c r="DK17" s="67">
        <f t="shared" si="8"/>
        <v>0</v>
      </c>
      <c r="DL17" s="67">
        <f t="shared" si="9"/>
        <v>0</v>
      </c>
      <c r="DM17" s="67">
        <f t="shared" si="10"/>
        <v>0</v>
      </c>
      <c r="DN17" s="67">
        <f t="shared" si="11"/>
        <v>0</v>
      </c>
      <c r="DO17" s="67">
        <f t="shared" si="12"/>
        <v>0</v>
      </c>
      <c r="DP17" s="67">
        <f t="shared" si="13"/>
        <v>0</v>
      </c>
      <c r="DQ17" s="67">
        <f t="shared" si="14"/>
        <v>0</v>
      </c>
      <c r="DR17" s="67">
        <f t="shared" si="15"/>
        <v>0</v>
      </c>
      <c r="DS17" s="67">
        <f t="shared" si="16"/>
        <v>55.791461891629289</v>
      </c>
      <c r="DT17" s="67">
        <f t="shared" si="17"/>
        <v>0</v>
      </c>
      <c r="DU17" s="67">
        <f t="shared" si="18"/>
        <v>0</v>
      </c>
      <c r="DV17" s="67">
        <f t="shared" si="19"/>
        <v>24.375995455977346</v>
      </c>
      <c r="DW17" s="67">
        <f t="shared" si="20"/>
        <v>26.806176438081884</v>
      </c>
      <c r="DX17" s="67">
        <f t="shared" si="21"/>
        <v>46.839933968886349</v>
      </c>
    </row>
    <row r="18" spans="1:128" s="28" customFormat="1">
      <c r="A18" s="33" t="s">
        <v>184</v>
      </c>
      <c r="B18" s="205" t="s">
        <v>5559</v>
      </c>
      <c r="C18" t="str">
        <f>IF(VLOOKUP($A18,'B-Ligands'!$A:$G,5,FALSE)="","",VLOOKUP($A18,'B-Ligands'!$A:$G,5,FALSE))</f>
        <v>Guide To Pharmacology</v>
      </c>
      <c r="D18" s="19">
        <f>IF(VLOOKUP($A18,'B-Ligands'!$A:$G,6,FALSE)="","",VLOOKUP($A18,'B-Ligands'!$A:$G,6,FALSE))</f>
        <v>1681</v>
      </c>
      <c r="E18" t="str">
        <f>IF(VLOOKUP($A18,'B-Ligands'!$A:$G,7,FALSE)="","",VLOOKUP($A18,'B-Ligands'!$A:$G,7,FALSE))</f>
        <v>Phys</v>
      </c>
      <c r="F18" s="20" t="str">
        <f t="shared" si="68"/>
        <v/>
      </c>
      <c r="G18" s="19">
        <f t="shared" si="69"/>
        <v>1</v>
      </c>
      <c r="H18" s="19">
        <f t="shared" si="70"/>
        <v>1</v>
      </c>
      <c r="I18" s="19" t="str">
        <f t="shared" si="71"/>
        <v/>
      </c>
      <c r="J18" s="189">
        <f t="shared" si="26"/>
        <v>2</v>
      </c>
      <c r="K18" s="147" t="str">
        <f t="shared" si="27"/>
        <v>Gi/o</v>
      </c>
      <c r="L18" s="20">
        <f t="shared" si="28"/>
        <v>0</v>
      </c>
      <c r="M18" s="19">
        <f t="shared" si="29"/>
        <v>1</v>
      </c>
      <c r="N18" s="19">
        <f t="shared" si="30"/>
        <v>2</v>
      </c>
      <c r="O18" s="19">
        <f t="shared" si="31"/>
        <v>0</v>
      </c>
      <c r="P18" s="20">
        <f t="shared" si="32"/>
        <v>0</v>
      </c>
      <c r="Q18" s="19">
        <f t="shared" si="33"/>
        <v>100</v>
      </c>
      <c r="R18" s="19">
        <f t="shared" si="34"/>
        <v>84.223128723330248</v>
      </c>
      <c r="S18" s="19">
        <f t="shared" si="35"/>
        <v>0</v>
      </c>
      <c r="T18" s="20">
        <f t="shared" si="36"/>
        <v>0</v>
      </c>
      <c r="U18" s="21">
        <f t="shared" si="37"/>
        <v>10.785009540685694</v>
      </c>
      <c r="V18" s="21">
        <f t="shared" si="38"/>
        <v>9.0834724682751613</v>
      </c>
      <c r="W18" s="21">
        <f t="shared" si="39"/>
        <v>0</v>
      </c>
      <c r="X18" s="147" t="str">
        <f t="shared" si="40"/>
        <v>Gz</v>
      </c>
      <c r="Y18" s="32">
        <f t="shared" si="41"/>
        <v>0</v>
      </c>
      <c r="Z18" s="31">
        <f t="shared" si="42"/>
        <v>93.469613689441118</v>
      </c>
      <c r="AA18" s="31">
        <f t="shared" si="43"/>
        <v>88.942403193749513</v>
      </c>
      <c r="AB18" s="31">
        <f t="shared" si="44"/>
        <v>90.62383410559427</v>
      </c>
      <c r="AC18" s="31">
        <f t="shared" si="45"/>
        <v>95.936122935524196</v>
      </c>
      <c r="AD18" s="31">
        <f t="shared" si="46"/>
        <v>100</v>
      </c>
      <c r="AE18" s="31">
        <f t="shared" si="47"/>
        <v>0</v>
      </c>
      <c r="AF18" s="31">
        <f t="shared" si="48"/>
        <v>0</v>
      </c>
      <c r="AG18" s="31">
        <f t="shared" si="49"/>
        <v>68.674446439210442</v>
      </c>
      <c r="AH18" s="31">
        <f t="shared" si="50"/>
        <v>84.223128723330248</v>
      </c>
      <c r="AI18" s="31">
        <f t="shared" si="51"/>
        <v>0</v>
      </c>
      <c r="AJ18" s="31">
        <f t="shared" si="52"/>
        <v>0</v>
      </c>
      <c r="AK18" s="7" cm="1">
        <f t="array" ref="AK18">_xlfn.IFS(AZ18=0,0,AZ18&gt;0,(LOG(0.01*AZ18/10^-CD18)))</f>
        <v>0</v>
      </c>
      <c r="AL18" s="8" cm="1">
        <f t="array" ref="AL18">_xlfn.IFS(BA18=0,0,BA18&gt;0,(LOG(0.01*BA18/10^-CE18)))</f>
        <v>10.080706754048286</v>
      </c>
      <c r="AM18" s="8" cm="1">
        <f t="array" ref="AM18">_xlfn.IFS(BB18=0,0,BB18&gt;0,(LOG(0.01*BB18/10^-CF18)))</f>
        <v>9.5924466701610225</v>
      </c>
      <c r="AN18" s="8" cm="1">
        <f t="array" ref="AN18">_xlfn.IFS(BC18=0,0,BC18&gt;0,(LOG(0.01*BC18/10^-CG18)))</f>
        <v>9.7737891544235183</v>
      </c>
      <c r="AO18" s="8" cm="1">
        <f t="array" ref="AO18">_xlfn.IFS(BD18=0,0,BD18&gt;0,(LOG(0.01*BD18/10^-CH18)))</f>
        <v>10.34672001156024</v>
      </c>
      <c r="AP18" s="8" cm="1">
        <f t="array" ref="AP18">_xlfn.IFS(BE18=0,0,BE18&gt;0,(LOG(0.01*BE18/10^-CI18)))</f>
        <v>10.785009540685694</v>
      </c>
      <c r="AQ18" s="8" cm="1">
        <f t="array" ref="AQ18">_xlfn.IFS(BF18=0,0,BF18&gt;0,(LOG(0.01*BF18/10^-CJ18)))</f>
        <v>0</v>
      </c>
      <c r="AR18" s="8" cm="1">
        <f t="array" ref="AR18">_xlfn.IFS(BG18=0,0,BG18&gt;0,(LOG(0.01*BG18/10^-CK18)))</f>
        <v>0</v>
      </c>
      <c r="AS18" s="8" cm="1">
        <f t="array" ref="AS18">_xlfn.IFS(BH18=0,0,BH18&gt;0,(LOG(0.01*BH18/10^-CL18)))</f>
        <v>7.406545600481933</v>
      </c>
      <c r="AT18" s="8" cm="1">
        <f t="array" ref="AT18">_xlfn.IFS(BI18=0,0,BI18&gt;0,(LOG(0.01*BI18/10^-CM18)))</f>
        <v>9.0834724682751613</v>
      </c>
      <c r="AU18" s="8" cm="1">
        <f t="array" ref="AU18">_xlfn.IFS(BJ18=0,0,BJ18&gt;0,(LOG(0.01*BJ18/10^-CN18)))</f>
        <v>0</v>
      </c>
      <c r="AV18" s="8" cm="1">
        <f t="array" ref="AV18">_xlfn.IFS(BK18=0,0,BK18&gt;0,(LOG(0.01*BK18/10^-CO18)))</f>
        <v>0</v>
      </c>
      <c r="AW18" s="8" cm="1">
        <f t="array" ref="AW18">_xlfn.IFS(BL18=0,0,BL18&gt;0,(LOG(0.01*BL18/10^-CP18)))</f>
        <v>6.9437215170991395</v>
      </c>
      <c r="AX18" s="8" cm="1">
        <f t="array" ref="AX18">_xlfn.IFS(BM18=0,0,BM18&gt;0,(LOG(0.01*BM18/10^-CQ18)))</f>
        <v>6.9570337274824698</v>
      </c>
      <c r="AY18" s="8" cm="1">
        <f t="array" ref="AY18">_xlfn.IFS(BN18=0,0,BN18&gt;0,(LOG(0.01*BN18/10^-CR18)))</f>
        <v>7.6186888921898355</v>
      </c>
      <c r="AZ18" s="32">
        <f t="shared" si="53"/>
        <v>0</v>
      </c>
      <c r="BA18" s="31">
        <f t="shared" si="54"/>
        <v>69.295774647887328</v>
      </c>
      <c r="BB18" s="31">
        <f t="shared" si="55"/>
        <v>29.003250270855904</v>
      </c>
      <c r="BC18" s="31">
        <f t="shared" si="56"/>
        <v>23.109425785482124</v>
      </c>
      <c r="BD18" s="31">
        <f t="shared" si="57"/>
        <v>33.629469122426862</v>
      </c>
      <c r="BE18" s="31">
        <f t="shared" si="58"/>
        <v>26.00216684723727</v>
      </c>
      <c r="BF18" s="31">
        <f t="shared" si="59"/>
        <v>0</v>
      </c>
      <c r="BG18" s="31">
        <f t="shared" si="60"/>
        <v>0</v>
      </c>
      <c r="BH18" s="31">
        <f t="shared" si="61"/>
        <v>15.15463917525773</v>
      </c>
      <c r="BI18" s="31">
        <f t="shared" si="62"/>
        <v>68.781630740393624</v>
      </c>
      <c r="BJ18" s="31">
        <f t="shared" si="63"/>
        <v>0</v>
      </c>
      <c r="BK18" s="31">
        <f t="shared" si="64"/>
        <v>0</v>
      </c>
      <c r="BL18" s="31">
        <f t="shared" si="65"/>
        <v>4.9513259483048007</v>
      </c>
      <c r="BM18" s="31">
        <f t="shared" si="66"/>
        <v>2.3444108761329305</v>
      </c>
      <c r="BN18" s="31">
        <f t="shared" si="67"/>
        <v>7.992614971466935</v>
      </c>
      <c r="BO18" s="132"/>
      <c r="BP18" s="133">
        <v>639.6</v>
      </c>
      <c r="BQ18" s="133">
        <v>267.7</v>
      </c>
      <c r="BR18" s="133">
        <v>213.3</v>
      </c>
      <c r="BS18" s="133">
        <v>310.39999999999998</v>
      </c>
      <c r="BT18" s="133">
        <v>240</v>
      </c>
      <c r="BU18" s="133"/>
      <c r="BV18" s="133"/>
      <c r="BW18" s="133">
        <v>161.69999999999999</v>
      </c>
      <c r="BX18" s="133">
        <v>733.9</v>
      </c>
      <c r="BY18" s="133"/>
      <c r="BZ18" s="133"/>
      <c r="CA18" s="133">
        <v>147.5</v>
      </c>
      <c r="CB18" s="133">
        <v>69.84</v>
      </c>
      <c r="CC18" s="133">
        <v>238.1</v>
      </c>
      <c r="CD18" s="36"/>
      <c r="CE18" s="34">
        <v>10.24</v>
      </c>
      <c r="CF18" s="34">
        <v>10.130000000000001</v>
      </c>
      <c r="CG18" s="34">
        <v>10.41</v>
      </c>
      <c r="CH18" s="34">
        <v>10.82</v>
      </c>
      <c r="CI18" s="34">
        <v>11.37</v>
      </c>
      <c r="CJ18" s="34"/>
      <c r="CK18" s="34"/>
      <c r="CL18" s="34">
        <v>8.2260000000000009</v>
      </c>
      <c r="CM18" s="34">
        <v>9.2460000000000004</v>
      </c>
      <c r="CN18" s="34"/>
      <c r="CO18" s="34"/>
      <c r="CP18" s="34">
        <v>8.2490000000000006</v>
      </c>
      <c r="CQ18" s="34">
        <v>8.5869999999999997</v>
      </c>
      <c r="CR18" s="34">
        <v>8.7159999999999993</v>
      </c>
      <c r="CS18" s="168" t="str">
        <f>IF(VLOOKUP($A18,'B-Ligands'!$A:$G,3,FALSE)="","",VLOOKUP($A18,'B-Ligands'!$A:$G,3,FALSE))</f>
        <v/>
      </c>
      <c r="CT18" s="169" t="str">
        <f>IF(VLOOKUP($A18,'B-Ligands'!$A:$G,4,FALSE)="","",VLOOKUP($A18,'B-Ligands'!$A:$G,4,FALSE))</f>
        <v>Nociceptin</v>
      </c>
      <c r="CU18" s="132">
        <v>11.997534210456838</v>
      </c>
      <c r="CV18" s="133">
        <v>13.526570048309219</v>
      </c>
      <c r="CW18" s="133">
        <v>12.776953859490449</v>
      </c>
      <c r="CX18" s="133">
        <v>19.334951048069659</v>
      </c>
      <c r="CY18" s="133">
        <v>8.2913115129695178</v>
      </c>
      <c r="CZ18" s="133">
        <v>3.1895782031091189</v>
      </c>
      <c r="DA18" s="133">
        <v>13.568092624977606</v>
      </c>
      <c r="DB18" s="133">
        <v>10.286942034485367</v>
      </c>
      <c r="DC18" s="133">
        <v>11.734803193480676</v>
      </c>
      <c r="DD18" s="133">
        <v>9.5016949347289099</v>
      </c>
      <c r="DE18" s="133">
        <v>23.994213650264886</v>
      </c>
      <c r="DF18" s="133">
        <v>13.698527859368172</v>
      </c>
      <c r="DG18" s="133">
        <v>12.342092701941878</v>
      </c>
      <c r="DH18" s="133">
        <v>10.8148215654199</v>
      </c>
      <c r="DI18" s="133">
        <v>12.987669018034209</v>
      </c>
      <c r="DJ18" s="66">
        <f t="shared" si="7"/>
        <v>0</v>
      </c>
      <c r="DK18" s="67">
        <f t="shared" si="8"/>
        <v>47.284714285714145</v>
      </c>
      <c r="DL18" s="67">
        <f t="shared" si="9"/>
        <v>20.951785765521734</v>
      </c>
      <c r="DM18" s="67">
        <f t="shared" si="10"/>
        <v>11.031835532952913</v>
      </c>
      <c r="DN18" s="67">
        <f t="shared" si="11"/>
        <v>37.436779394244567</v>
      </c>
      <c r="DO18" s="67">
        <f t="shared" si="12"/>
        <v>75.245058975526661</v>
      </c>
      <c r="DP18" s="67">
        <f t="shared" si="13"/>
        <v>0</v>
      </c>
      <c r="DQ18" s="67">
        <f t="shared" si="14"/>
        <v>0</v>
      </c>
      <c r="DR18" s="67">
        <f t="shared" si="15"/>
        <v>13.779523809128147</v>
      </c>
      <c r="DS18" s="67">
        <f t="shared" si="16"/>
        <v>77.238851072515374</v>
      </c>
      <c r="DT18" s="67">
        <f t="shared" si="17"/>
        <v>0</v>
      </c>
      <c r="DU18" s="67">
        <f t="shared" si="18"/>
        <v>0</v>
      </c>
      <c r="DV18" s="67">
        <f t="shared" si="19"/>
        <v>11.950971651411487</v>
      </c>
      <c r="DW18" s="67">
        <f t="shared" si="20"/>
        <v>6.4578041882180948</v>
      </c>
      <c r="DX18" s="67">
        <f t="shared" si="21"/>
        <v>18.332773931132902</v>
      </c>
    </row>
    <row r="19" spans="1:128" s="28" customFormat="1">
      <c r="A19" s="33" t="s">
        <v>146</v>
      </c>
      <c r="B19" s="205" t="s">
        <v>5559</v>
      </c>
      <c r="C19" t="str">
        <f>IF(VLOOKUP($A19,'B-Ligands'!$A:$G,5,FALSE)="","",VLOOKUP($A19,'B-Ligands'!$A:$G,5,FALSE))</f>
        <v>Guide To Pharmacology</v>
      </c>
      <c r="D19" s="19">
        <f>IF(VLOOKUP($A19,'B-Ligands'!$A:$G,6,FALSE)="","",VLOOKUP($A19,'B-Ligands'!$A:$G,6,FALSE))</f>
        <v>2487</v>
      </c>
      <c r="E19" t="str">
        <f>IF(VLOOKUP($A19,'B-Ligands'!$A:$G,7,FALSE)="","",VLOOKUP($A19,'B-Ligands'!$A:$G,7,FALSE))</f>
        <v>Phys</v>
      </c>
      <c r="F19" s="20" t="str">
        <f t="shared" si="68"/>
        <v/>
      </c>
      <c r="G19" s="19">
        <f t="shared" si="69"/>
        <v>1</v>
      </c>
      <c r="H19" s="19">
        <f t="shared" si="70"/>
        <v>1</v>
      </c>
      <c r="I19" s="19">
        <f t="shared" si="71"/>
        <v>1</v>
      </c>
      <c r="J19" s="189">
        <f t="shared" si="26"/>
        <v>3</v>
      </c>
      <c r="K19" s="147" t="str">
        <f t="shared" si="27"/>
        <v>Gi/o</v>
      </c>
      <c r="L19" s="20">
        <f t="shared" si="28"/>
        <v>0</v>
      </c>
      <c r="M19" s="19">
        <f t="shared" si="29"/>
        <v>1</v>
      </c>
      <c r="N19" s="19">
        <f t="shared" si="30"/>
        <v>2</v>
      </c>
      <c r="O19" s="19">
        <f t="shared" si="31"/>
        <v>3</v>
      </c>
      <c r="P19" s="20">
        <f t="shared" si="32"/>
        <v>0</v>
      </c>
      <c r="Q19" s="19">
        <f t="shared" si="33"/>
        <v>100</v>
      </c>
      <c r="R19" s="19">
        <f t="shared" si="34"/>
        <v>96.548535802961666</v>
      </c>
      <c r="S19" s="19">
        <f t="shared" si="35"/>
        <v>85.012163391854273</v>
      </c>
      <c r="T19" s="20">
        <f t="shared" si="36"/>
        <v>0</v>
      </c>
      <c r="U19" s="21">
        <f t="shared" si="37"/>
        <v>10.069464363226178</v>
      </c>
      <c r="V19" s="21">
        <f t="shared" si="38"/>
        <v>9.7219204058958919</v>
      </c>
      <c r="W19" s="21">
        <f t="shared" si="39"/>
        <v>8.5602694971503759</v>
      </c>
      <c r="X19" s="147" t="str">
        <f t="shared" si="40"/>
        <v>GoB</v>
      </c>
      <c r="Y19" s="32">
        <f t="shared" si="41"/>
        <v>0</v>
      </c>
      <c r="Z19" s="31">
        <f t="shared" si="42"/>
        <v>99.002764815967709</v>
      </c>
      <c r="AA19" s="31">
        <f t="shared" si="43"/>
        <v>99.22974220919869</v>
      </c>
      <c r="AB19" s="31">
        <f t="shared" si="44"/>
        <v>94.681345644380187</v>
      </c>
      <c r="AC19" s="31">
        <f t="shared" si="45"/>
        <v>100</v>
      </c>
      <c r="AD19" s="31">
        <f t="shared" si="46"/>
        <v>91.129619154793616</v>
      </c>
      <c r="AE19" s="31">
        <f t="shared" si="47"/>
        <v>58.961345902086478</v>
      </c>
      <c r="AF19" s="31">
        <f t="shared" si="48"/>
        <v>53.256594140189748</v>
      </c>
      <c r="AG19" s="31">
        <f t="shared" si="49"/>
        <v>64.984288069312228</v>
      </c>
      <c r="AH19" s="31">
        <f t="shared" si="50"/>
        <v>96.548535802961666</v>
      </c>
      <c r="AI19" s="31">
        <f t="shared" si="51"/>
        <v>84.940485732747447</v>
      </c>
      <c r="AJ19" s="31">
        <f t="shared" si="52"/>
        <v>85.012163391854273</v>
      </c>
      <c r="AK19" s="7" cm="1">
        <f t="array" ref="AK19">_xlfn.IFS(AZ19=0,0,AZ19&gt;0,(LOG(0.01*AZ19/10^-CD19)))</f>
        <v>0</v>
      </c>
      <c r="AL19" s="8" cm="1">
        <f t="array" ref="AL19">_xlfn.IFS(BA19=0,0,BA19&gt;0,(LOG(0.01*BA19/10^-CE19)))</f>
        <v>9.9690481217524933</v>
      </c>
      <c r="AM19" s="8" cm="1">
        <f t="array" ref="AM19">_xlfn.IFS(BB19=0,0,BB19&gt;0,(LOG(0.01*BB19/10^-CF19)))</f>
        <v>9.9919035294764669</v>
      </c>
      <c r="AN19" s="8" cm="1">
        <f t="array" ref="AN19">_xlfn.IFS(BC19=0,0,BC19&gt;0,(LOG(0.01*BC19/10^-CG19)))</f>
        <v>9.5339043582838645</v>
      </c>
      <c r="AO19" s="8" cm="1">
        <f t="array" ref="AO19">_xlfn.IFS(BD19=0,0,BD19&gt;0,(LOG(0.01*BD19/10^-CH19)))</f>
        <v>10.069464363226178</v>
      </c>
      <c r="AP19" s="8" cm="1">
        <f t="array" ref="AP19">_xlfn.IFS(BE19=0,0,BE19&gt;0,(LOG(0.01*BE19/10^-CI19)))</f>
        <v>9.1762645251356805</v>
      </c>
      <c r="AQ19" s="8" cm="1">
        <f t="array" ref="AQ19">_xlfn.IFS(BF19=0,0,BF19&gt;0,(LOG(0.01*BF19/10^-CJ19)))</f>
        <v>5.9370917136891173</v>
      </c>
      <c r="AR19" s="8" cm="1">
        <f t="array" ref="AR19">_xlfn.IFS(BG19=0,0,BG19&gt;0,(LOG(0.01*BG19/10^-CK19)))</f>
        <v>5.3626537680144084</v>
      </c>
      <c r="AS19" s="8" cm="1">
        <f t="array" ref="AS19">_xlfn.IFS(BH19=0,0,BH19&gt;0,(LOG(0.01*BH19/10^-CL19)))</f>
        <v>6.5435697288356351</v>
      </c>
      <c r="AT19" s="8" cm="1">
        <f t="array" ref="AT19">_xlfn.IFS(BI19=0,0,BI19&gt;0,(LOG(0.01*BI19/10^-CM19)))</f>
        <v>9.7219204058958919</v>
      </c>
      <c r="AU19" s="8" cm="1">
        <f t="array" ref="AU19">_xlfn.IFS(BJ19=0,0,BJ19&gt;0,(LOG(0.01*BJ19/10^-CN19)))</f>
        <v>8.5530519408102208</v>
      </c>
      <c r="AV19" s="8" cm="1">
        <f t="array" ref="AV19">_xlfn.IFS(BK19=0,0,BK19&gt;0,(LOG(0.01*BK19/10^-CO19)))</f>
        <v>8.5602694971503759</v>
      </c>
      <c r="AW19" s="8" cm="1">
        <f t="array" ref="AW19">_xlfn.IFS(BL19=0,0,BL19&gt;0,(LOG(0.01*BL19/10^-CP19)))</f>
        <v>6.6538085831861942</v>
      </c>
      <c r="AX19" s="8" cm="1">
        <f t="array" ref="AX19">_xlfn.IFS(BM19=0,0,BM19&gt;0,(LOG(0.01*BM19/10^-CQ19)))</f>
        <v>7.3276478471310789</v>
      </c>
      <c r="AY19" s="8" cm="1">
        <f t="array" ref="AY19">_xlfn.IFS(BN19=0,0,BN19&gt;0,(LOG(0.01*BN19/10^-CR19)))</f>
        <v>7.59242698030799</v>
      </c>
      <c r="AZ19" s="32">
        <f t="shared" si="53"/>
        <v>0</v>
      </c>
      <c r="BA19" s="31">
        <f t="shared" si="54"/>
        <v>81.105092091007577</v>
      </c>
      <c r="BB19" s="31">
        <f t="shared" si="55"/>
        <v>44.864572047670642</v>
      </c>
      <c r="BC19" s="31">
        <f t="shared" si="56"/>
        <v>22.589382448537378</v>
      </c>
      <c r="BD19" s="31">
        <f t="shared" si="57"/>
        <v>39.761646803900327</v>
      </c>
      <c r="BE19" s="31">
        <f t="shared" si="58"/>
        <v>21.343445287107258</v>
      </c>
      <c r="BF19" s="31">
        <f t="shared" si="59"/>
        <v>7.064667291471415</v>
      </c>
      <c r="BG19" s="31">
        <f t="shared" si="60"/>
        <v>6.3336457357075915</v>
      </c>
      <c r="BH19" s="31">
        <f t="shared" si="61"/>
        <v>37.4601686972821</v>
      </c>
      <c r="BI19" s="31">
        <f t="shared" si="62"/>
        <v>68.378631677600751</v>
      </c>
      <c r="BJ19" s="31">
        <f t="shared" si="63"/>
        <v>10.815632965165674</v>
      </c>
      <c r="BK19" s="31">
        <f t="shared" si="64"/>
        <v>34.140470121778527</v>
      </c>
      <c r="BL19" s="31">
        <f t="shared" si="65"/>
        <v>46.324269889224574</v>
      </c>
      <c r="BM19" s="31">
        <f t="shared" si="66"/>
        <v>39.778449144008057</v>
      </c>
      <c r="BN19" s="31">
        <f t="shared" si="67"/>
        <v>49.479691171534071</v>
      </c>
      <c r="BO19" s="134"/>
      <c r="BP19" s="135">
        <v>748.6</v>
      </c>
      <c r="BQ19" s="135">
        <v>414.1</v>
      </c>
      <c r="BR19" s="135">
        <v>208.5</v>
      </c>
      <c r="BS19" s="135">
        <v>367</v>
      </c>
      <c r="BT19" s="135">
        <v>197</v>
      </c>
      <c r="BU19" s="135">
        <v>75.38</v>
      </c>
      <c r="BV19" s="176">
        <v>67.58</v>
      </c>
      <c r="BW19" s="135">
        <v>399.7</v>
      </c>
      <c r="BX19" s="135">
        <v>729.6</v>
      </c>
      <c r="BY19" s="135">
        <v>76.38</v>
      </c>
      <c r="BZ19" s="135">
        <v>241.1</v>
      </c>
      <c r="CA19" s="135">
        <v>1380</v>
      </c>
      <c r="CB19" s="135">
        <v>1185</v>
      </c>
      <c r="CC19" s="135">
        <v>1474</v>
      </c>
      <c r="CD19" s="30"/>
      <c r="CE19" s="29">
        <v>10.06</v>
      </c>
      <c r="CF19" s="29">
        <v>10.34</v>
      </c>
      <c r="CG19" s="29">
        <v>10.18</v>
      </c>
      <c r="CH19" s="29">
        <v>10.47</v>
      </c>
      <c r="CI19" s="29">
        <v>9.8469999999999995</v>
      </c>
      <c r="CJ19" s="29">
        <v>7.0880000000000001</v>
      </c>
      <c r="CK19" s="39">
        <v>6.5609999999999999</v>
      </c>
      <c r="CL19" s="29">
        <v>6.97</v>
      </c>
      <c r="CM19" s="29">
        <v>9.8870000000000005</v>
      </c>
      <c r="CN19" s="29">
        <v>9.5190000000000001</v>
      </c>
      <c r="CO19" s="29">
        <v>9.0269999999999992</v>
      </c>
      <c r="CP19" s="29">
        <v>6.9880000000000004</v>
      </c>
      <c r="CQ19" s="29">
        <v>7.7279999999999998</v>
      </c>
      <c r="CR19" s="29">
        <v>7.8979999999999997</v>
      </c>
      <c r="CS19" s="168" t="str">
        <f>IF(VLOOKUP($A19,'B-Ligands'!$A:$G,3,FALSE)="","",VLOOKUP($A19,'B-Ligands'!$A:$G,3,FALSE))</f>
        <v>LTB4</v>
      </c>
      <c r="CT19" s="169" t="str">
        <f>IF(VLOOKUP($A19,'B-Ligands'!$A:$G,4,FALSE)="","",VLOOKUP($A19,'B-Ligands'!$A:$G,4,FALSE))</f>
        <v>Leukotriene B4</v>
      </c>
      <c r="CU19" s="134">
        <v>18.511753180078557</v>
      </c>
      <c r="CV19" s="135">
        <v>32.244451847598917</v>
      </c>
      <c r="CW19" s="135">
        <v>19.086756890353126</v>
      </c>
      <c r="CX19" s="135">
        <v>26.716750090026306</v>
      </c>
      <c r="CY19" s="135">
        <v>26.957145680389655</v>
      </c>
      <c r="CZ19" s="135">
        <v>8.8288744925437719</v>
      </c>
      <c r="DA19" s="135">
        <v>15.631799748452915</v>
      </c>
      <c r="DB19" s="135">
        <v>28.828467469028606</v>
      </c>
      <c r="DC19" s="135">
        <v>26.122147270005275</v>
      </c>
      <c r="DD19" s="135">
        <v>12.771868649577845</v>
      </c>
      <c r="DE19" s="135">
        <v>22.116834648124179</v>
      </c>
      <c r="DF19" s="135">
        <v>9.8210716350566134</v>
      </c>
      <c r="DG19" s="135">
        <v>19.336897707004219</v>
      </c>
      <c r="DH19" s="135">
        <v>15.843830609819248</v>
      </c>
      <c r="DI19" s="135">
        <v>24.319908340892773</v>
      </c>
      <c r="DJ19" s="66">
        <f t="shared" si="7"/>
        <v>0</v>
      </c>
      <c r="DK19" s="67">
        <f t="shared" si="8"/>
        <v>23.21639715068515</v>
      </c>
      <c r="DL19" s="67">
        <f t="shared" si="9"/>
        <v>21.695671107399885</v>
      </c>
      <c r="DM19" s="67">
        <f t="shared" si="10"/>
        <v>7.8040929116537878</v>
      </c>
      <c r="DN19" s="67">
        <f t="shared" si="11"/>
        <v>13.614201011903837</v>
      </c>
      <c r="DO19" s="67">
        <f t="shared" si="12"/>
        <v>22.313149899952926</v>
      </c>
      <c r="DP19" s="67">
        <f t="shared" si="13"/>
        <v>4.8222214468593343</v>
      </c>
      <c r="DQ19" s="67">
        <f t="shared" si="14"/>
        <v>2.3442106339021826</v>
      </c>
      <c r="DR19" s="67">
        <f t="shared" si="15"/>
        <v>15.301192351019131</v>
      </c>
      <c r="DS19" s="67">
        <f t="shared" si="16"/>
        <v>57.125548345199732</v>
      </c>
      <c r="DT19" s="67">
        <f t="shared" si="17"/>
        <v>3.4534779146833339</v>
      </c>
      <c r="DU19" s="67">
        <f t="shared" si="18"/>
        <v>24.549255820453059</v>
      </c>
      <c r="DV19" s="67">
        <f t="shared" si="19"/>
        <v>71.366152984309153</v>
      </c>
      <c r="DW19" s="67">
        <f t="shared" si="20"/>
        <v>74.792518878963122</v>
      </c>
      <c r="DX19" s="67">
        <f t="shared" si="21"/>
        <v>60.608781058666196</v>
      </c>
    </row>
    <row r="20" spans="1:128" s="28" customFormat="1">
      <c r="A20" s="33" t="s">
        <v>2893</v>
      </c>
      <c r="B20" s="205" t="s">
        <v>5559</v>
      </c>
      <c r="C20" t="str">
        <f>IF(VLOOKUP($A20,'B-Ligands'!$A:$G,5,FALSE)="","",VLOOKUP($A20,'B-Ligands'!$A:$G,5,FALSE))</f>
        <v>Guide To Pharmacology</v>
      </c>
      <c r="D20" s="19">
        <f>IF(VLOOKUP($A20,'B-Ligands'!$A:$G,6,FALSE)="","",VLOOKUP($A20,'B-Ligands'!$A:$G,6,FALSE))</f>
        <v>921</v>
      </c>
      <c r="E20" t="str">
        <f>IF(VLOOKUP($A20,'B-Ligands'!$A:$G,7,FALSE)="","",VLOOKUP($A20,'B-Ligands'!$A:$G,7,FALSE))</f>
        <v>Phys</v>
      </c>
      <c r="F20" s="20">
        <f t="shared" si="68"/>
        <v>1</v>
      </c>
      <c r="G20" s="19">
        <f t="shared" si="69"/>
        <v>1</v>
      </c>
      <c r="H20" s="19">
        <f t="shared" si="70"/>
        <v>1</v>
      </c>
      <c r="I20" s="19" t="str">
        <f t="shared" si="71"/>
        <v/>
      </c>
      <c r="J20" s="189">
        <f t="shared" si="26"/>
        <v>3</v>
      </c>
      <c r="K20" s="147" t="str">
        <f t="shared" si="27"/>
        <v>Gs</v>
      </c>
      <c r="L20" s="20">
        <f t="shared" si="28"/>
        <v>1</v>
      </c>
      <c r="M20" s="19">
        <f t="shared" si="29"/>
        <v>3</v>
      </c>
      <c r="N20" s="19">
        <f t="shared" si="30"/>
        <v>2</v>
      </c>
      <c r="O20" s="19">
        <f t="shared" si="31"/>
        <v>0</v>
      </c>
      <c r="P20" s="20">
        <f t="shared" si="32"/>
        <v>100</v>
      </c>
      <c r="Q20" s="19">
        <f t="shared" si="33"/>
        <v>76.520140683177402</v>
      </c>
      <c r="R20" s="19">
        <f t="shared" si="34"/>
        <v>83.572098356286105</v>
      </c>
      <c r="S20" s="19">
        <f t="shared" si="35"/>
        <v>0</v>
      </c>
      <c r="T20" s="20">
        <f t="shared" si="36"/>
        <v>10.293260005660677</v>
      </c>
      <c r="U20" s="21">
        <f t="shared" si="37"/>
        <v>7.8764170372167834</v>
      </c>
      <c r="V20" s="21">
        <f t="shared" si="38"/>
        <v>8.6022933759990021</v>
      </c>
      <c r="W20" s="21">
        <f t="shared" si="39"/>
        <v>0</v>
      </c>
      <c r="X20" s="147" t="str">
        <f t="shared" si="40"/>
        <v>GsL</v>
      </c>
      <c r="Y20" s="32">
        <f t="shared" si="41"/>
        <v>100</v>
      </c>
      <c r="Z20" s="31">
        <f t="shared" si="42"/>
        <v>76.520140683177402</v>
      </c>
      <c r="AA20" s="31">
        <f t="shared" si="43"/>
        <v>74.115258786408532</v>
      </c>
      <c r="AB20" s="31">
        <f t="shared" si="44"/>
        <v>73.474508484409341</v>
      </c>
      <c r="AC20" s="31">
        <f t="shared" si="45"/>
        <v>75.982662600832157</v>
      </c>
      <c r="AD20" s="31">
        <f t="shared" si="46"/>
        <v>68.940528570905585</v>
      </c>
      <c r="AE20" s="31">
        <f t="shared" si="47"/>
        <v>0</v>
      </c>
      <c r="AF20" s="31">
        <f t="shared" si="48"/>
        <v>0</v>
      </c>
      <c r="AG20" s="31">
        <f t="shared" si="49"/>
        <v>56.624679349103111</v>
      </c>
      <c r="AH20" s="31">
        <f t="shared" si="50"/>
        <v>83.572098356286105</v>
      </c>
      <c r="AI20" s="31">
        <f t="shared" si="51"/>
        <v>0</v>
      </c>
      <c r="AJ20" s="31">
        <f t="shared" si="52"/>
        <v>0</v>
      </c>
      <c r="AK20" s="7" cm="1">
        <f t="array" ref="AK20">_xlfn.IFS(AZ20=0,0,AZ20&gt;0,(LOG(0.01*AZ20/10^-CD20)))</f>
        <v>10.293260005660677</v>
      </c>
      <c r="AL20" s="8" cm="1">
        <f t="array" ref="AL20">_xlfn.IFS(BA20=0,0,BA20&gt;0,(LOG(0.01*BA20/10^-CE20)))</f>
        <v>7.8764170372167834</v>
      </c>
      <c r="AM20" s="8" cm="1">
        <f t="array" ref="AM20">_xlfn.IFS(BB20=0,0,BB20&gt;0,(LOG(0.01*BB20/10^-CF20)))</f>
        <v>7.6288762907533005</v>
      </c>
      <c r="AN20" s="8" cm="1">
        <f t="array" ref="AN20">_xlfn.IFS(BC20=0,0,BC20&gt;0,(LOG(0.01*BC20/10^-CG20)))</f>
        <v>7.5629221961814679</v>
      </c>
      <c r="AO20" s="8" cm="1">
        <f t="array" ref="AO20">_xlfn.IFS(BD20=0,0,BD20&gt;0,(LOG(0.01*BD20/10^-CH20)))</f>
        <v>7.8210930207275497</v>
      </c>
      <c r="AP20" s="8" cm="1">
        <f t="array" ref="AP20">_xlfn.IFS(BE20=0,0,BE20&gt;0,(LOG(0.01*BE20/10^-CI20)))</f>
        <v>7.0962278550800981</v>
      </c>
      <c r="AQ20" s="8" cm="1">
        <f t="array" ref="AQ20">_xlfn.IFS(BF20=0,0,BF20&gt;0,(LOG(0.01*BF20/10^-CJ20)))</f>
        <v>0</v>
      </c>
      <c r="AR20" s="8" cm="1">
        <f t="array" ref="AR20">_xlfn.IFS(BG20=0,0,BG20&gt;0,(LOG(0.01*BG20/10^-CK20)))</f>
        <v>0</v>
      </c>
      <c r="AS20" s="8" cm="1">
        <f t="array" ref="AS20">_xlfn.IFS(BH20=0,0,BH20&gt;0,(LOG(0.01*BH20/10^-CL20)))</f>
        <v>5.8285254727748317</v>
      </c>
      <c r="AT20" s="8" cm="1">
        <f t="array" ref="AT20">_xlfn.IFS(BI20=0,0,BI20&gt;0,(LOG(0.01*BI20/10^-CM20)))</f>
        <v>8.6022933759990021</v>
      </c>
      <c r="AU20" s="8" cm="1">
        <f t="array" ref="AU20">_xlfn.IFS(BJ20=0,0,BJ20&gt;0,(LOG(0.01*BJ20/10^-CN20)))</f>
        <v>0</v>
      </c>
      <c r="AV20" s="8" cm="1">
        <f t="array" ref="AV20">_xlfn.IFS(BK20=0,0,BK20&gt;0,(LOG(0.01*BK20/10^-CO20)))</f>
        <v>0</v>
      </c>
      <c r="AW20" s="8" cm="1">
        <f t="array" ref="AW20">_xlfn.IFS(BL20=0,0,BL20&gt;0,(LOG(0.01*BL20/10^-CP20)))</f>
        <v>7.7546057276320051</v>
      </c>
      <c r="AX20" s="8" cm="1">
        <f t="array" ref="AX20">_xlfn.IFS(BM20=0,0,BM20&gt;0,(LOG(0.01*BM20/10^-CQ20)))</f>
        <v>7.54554965873466</v>
      </c>
      <c r="AY20" s="8" cm="1">
        <f t="array" ref="AY20">_xlfn.IFS(BN20=0,0,BN20&gt;0,(LOG(0.01*BN20/10^-CR20)))</f>
        <v>7.8484966900185773</v>
      </c>
      <c r="AZ20" s="32">
        <f t="shared" si="53"/>
        <v>87.752602571953474</v>
      </c>
      <c r="BA20" s="31">
        <f t="shared" si="54"/>
        <v>47.908992416034671</v>
      </c>
      <c r="BB20" s="31">
        <f t="shared" si="55"/>
        <v>22.329360780065006</v>
      </c>
      <c r="BC20" s="31">
        <f t="shared" si="56"/>
        <v>17.215601300108343</v>
      </c>
      <c r="BD20" s="31">
        <f t="shared" si="57"/>
        <v>28.450704225352116</v>
      </c>
      <c r="BE20" s="31">
        <f t="shared" si="58"/>
        <v>7.892741061755145</v>
      </c>
      <c r="BF20" s="31">
        <f t="shared" si="59"/>
        <v>0</v>
      </c>
      <c r="BG20" s="31">
        <f t="shared" si="60"/>
        <v>0</v>
      </c>
      <c r="BH20" s="31">
        <f t="shared" si="61"/>
        <v>1.2633552014995313</v>
      </c>
      <c r="BI20" s="31">
        <f t="shared" si="62"/>
        <v>67.966260543580134</v>
      </c>
      <c r="BJ20" s="31">
        <f t="shared" si="63"/>
        <v>0</v>
      </c>
      <c r="BK20" s="31">
        <f t="shared" si="64"/>
        <v>0</v>
      </c>
      <c r="BL20" s="31">
        <f t="shared" si="65"/>
        <v>47.599865726753947</v>
      </c>
      <c r="BM20" s="31">
        <f t="shared" si="66"/>
        <v>36.690164484726417</v>
      </c>
      <c r="BN20" s="31">
        <f t="shared" si="67"/>
        <v>48.472641826116146</v>
      </c>
      <c r="BO20" s="132">
        <v>57.32</v>
      </c>
      <c r="BP20" s="133">
        <v>442.2</v>
      </c>
      <c r="BQ20" s="133">
        <v>206.1</v>
      </c>
      <c r="BR20" s="133">
        <v>158.9</v>
      </c>
      <c r="BS20" s="133">
        <v>262.60000000000002</v>
      </c>
      <c r="BT20" s="133">
        <v>72.849999999999994</v>
      </c>
      <c r="BU20" s="133"/>
      <c r="BV20" s="133"/>
      <c r="BW20" s="172">
        <v>13.48</v>
      </c>
      <c r="BX20" s="133">
        <v>725.2</v>
      </c>
      <c r="BY20" s="133"/>
      <c r="BZ20" s="133"/>
      <c r="CA20" s="133">
        <v>1418</v>
      </c>
      <c r="CB20" s="133">
        <v>1093</v>
      </c>
      <c r="CC20" s="133">
        <v>1444</v>
      </c>
      <c r="CD20" s="36">
        <v>10.35</v>
      </c>
      <c r="CE20" s="34">
        <v>8.1959999999999997</v>
      </c>
      <c r="CF20" s="34">
        <v>8.2799999999999994</v>
      </c>
      <c r="CG20" s="34">
        <v>8.327</v>
      </c>
      <c r="CH20" s="34">
        <v>8.3670000000000009</v>
      </c>
      <c r="CI20" s="34">
        <v>8.1989999999999998</v>
      </c>
      <c r="CJ20" s="34"/>
      <c r="CK20" s="34"/>
      <c r="CL20" s="38">
        <v>7.7270000000000003</v>
      </c>
      <c r="CM20" s="34">
        <v>8.77</v>
      </c>
      <c r="CN20" s="34"/>
      <c r="CO20" s="34"/>
      <c r="CP20" s="34">
        <v>8.077</v>
      </c>
      <c r="CQ20" s="34">
        <v>7.9809999999999999</v>
      </c>
      <c r="CR20" s="34">
        <v>8.1630000000000003</v>
      </c>
      <c r="CS20" s="168" t="str">
        <f>IF(VLOOKUP($A20,'B-Ligands'!$A:$G,3,FALSE)="","",VLOOKUP($A20,'B-Ligands'!$A:$G,3,FALSE))</f>
        <v/>
      </c>
      <c r="CT20" s="169" t="str">
        <f>IF(VLOOKUP($A20,'B-Ligands'!$A:$G,4,FALSE)="","",VLOOKUP($A20,'B-Ligands'!$A:$G,4,FALSE))</f>
        <v>Urocortin II</v>
      </c>
      <c r="CU20" s="132">
        <v>11.340793825790836</v>
      </c>
      <c r="CV20" s="133">
        <v>3.4940506204559476</v>
      </c>
      <c r="CW20" s="133">
        <v>12.847723294023019</v>
      </c>
      <c r="CX20" s="133">
        <v>14.477746328113014</v>
      </c>
      <c r="CY20" s="133">
        <v>8.9008475797642443</v>
      </c>
      <c r="CZ20" s="133">
        <v>4.1228211961074157</v>
      </c>
      <c r="DA20" s="133">
        <v>8.5483003056519227</v>
      </c>
      <c r="DB20" s="133">
        <v>11.100247616841566</v>
      </c>
      <c r="DC20" s="133">
        <v>8.7834103591318939</v>
      </c>
      <c r="DD20" s="133">
        <v>8.6627983061573879</v>
      </c>
      <c r="DE20" s="133">
        <v>4.6388900568599007</v>
      </c>
      <c r="DF20" s="133">
        <v>8.1442373572366549</v>
      </c>
      <c r="DG20" s="133">
        <v>19.664780728704667</v>
      </c>
      <c r="DH20" s="133">
        <v>8.5606147843407641</v>
      </c>
      <c r="DI20" s="133">
        <v>6.5446502886481355</v>
      </c>
      <c r="DJ20" s="66">
        <f t="shared" si="7"/>
        <v>5.0543199074517045</v>
      </c>
      <c r="DK20" s="67">
        <f t="shared" si="8"/>
        <v>126.55798327910206</v>
      </c>
      <c r="DL20" s="67">
        <f t="shared" si="9"/>
        <v>16.04175271239545</v>
      </c>
      <c r="DM20" s="67">
        <f t="shared" si="10"/>
        <v>10.975465131022956</v>
      </c>
      <c r="DN20" s="67">
        <f t="shared" si="11"/>
        <v>29.50280831648119</v>
      </c>
      <c r="DO20" s="67">
        <f t="shared" si="12"/>
        <v>17.669939232092268</v>
      </c>
      <c r="DP20" s="67">
        <f t="shared" si="13"/>
        <v>0</v>
      </c>
      <c r="DQ20" s="67">
        <f t="shared" si="14"/>
        <v>0</v>
      </c>
      <c r="DR20" s="67">
        <f t="shared" si="15"/>
        <v>1.5347113989710361</v>
      </c>
      <c r="DS20" s="67">
        <f t="shared" si="16"/>
        <v>83.714288890292949</v>
      </c>
      <c r="DT20" s="67">
        <f t="shared" si="17"/>
        <v>0</v>
      </c>
      <c r="DU20" s="67">
        <f t="shared" si="18"/>
        <v>0</v>
      </c>
      <c r="DV20" s="67">
        <f t="shared" si="19"/>
        <v>72.108609781249498</v>
      </c>
      <c r="DW20" s="67">
        <f t="shared" si="20"/>
        <v>127.67774599545537</v>
      </c>
      <c r="DX20" s="67">
        <f t="shared" si="21"/>
        <v>220.63822149590715</v>
      </c>
    </row>
    <row r="21" spans="1:128" s="28" customFormat="1">
      <c r="A21" s="33" t="s">
        <v>164</v>
      </c>
      <c r="B21" s="205" t="s">
        <v>5559</v>
      </c>
      <c r="C21" t="str">
        <f>IF(VLOOKUP($A21,'B-Ligands'!$A:$G,5,FALSE)="","",VLOOKUP($A21,'B-Ligands'!$A:$G,5,FALSE))</f>
        <v>Guide To Pharmacology</v>
      </c>
      <c r="D21" s="19">
        <f>IF(VLOOKUP($A21,'B-Ligands'!$A:$G,6,FALSE)="","",VLOOKUP($A21,'B-Ligands'!$A:$G,6,FALSE))</f>
        <v>224</v>
      </c>
      <c r="E21" t="str">
        <f>IF(VLOOKUP($A21,'B-Ligands'!$A:$G,7,FALSE)="","",VLOOKUP($A21,'B-Ligands'!$A:$G,7,FALSE))</f>
        <v>Phys</v>
      </c>
      <c r="F21" s="20" t="str">
        <f t="shared" si="68"/>
        <v/>
      </c>
      <c r="G21" s="19">
        <f t="shared" si="69"/>
        <v>1</v>
      </c>
      <c r="H21" s="19">
        <f t="shared" si="70"/>
        <v>1</v>
      </c>
      <c r="I21" s="19" t="str">
        <f t="shared" si="71"/>
        <v/>
      </c>
      <c r="J21" s="189">
        <f t="shared" si="26"/>
        <v>2</v>
      </c>
      <c r="K21" s="147" t="str">
        <f t="shared" si="27"/>
        <v>Gi/o</v>
      </c>
      <c r="L21" s="20">
        <f t="shared" si="28"/>
        <v>0</v>
      </c>
      <c r="M21" s="19">
        <f t="shared" si="29"/>
        <v>1</v>
      </c>
      <c r="N21" s="19">
        <f t="shared" si="30"/>
        <v>2</v>
      </c>
      <c r="O21" s="19">
        <f t="shared" si="31"/>
        <v>0</v>
      </c>
      <c r="P21" s="20">
        <f t="shared" si="32"/>
        <v>0</v>
      </c>
      <c r="Q21" s="19">
        <f t="shared" si="33"/>
        <v>100</v>
      </c>
      <c r="R21" s="19">
        <f t="shared" si="34"/>
        <v>89.194400502964172</v>
      </c>
      <c r="S21" s="19">
        <f t="shared" si="35"/>
        <v>0</v>
      </c>
      <c r="T21" s="20">
        <f t="shared" si="36"/>
        <v>0</v>
      </c>
      <c r="U21" s="21">
        <f t="shared" si="37"/>
        <v>10.10890673812149</v>
      </c>
      <c r="V21" s="21">
        <f t="shared" si="38"/>
        <v>9.0165787624712141</v>
      </c>
      <c r="W21" s="21">
        <f t="shared" si="39"/>
        <v>0</v>
      </c>
      <c r="X21" s="147" t="str">
        <f t="shared" si="40"/>
        <v>Gi1</v>
      </c>
      <c r="Y21" s="32">
        <f t="shared" si="41"/>
        <v>0</v>
      </c>
      <c r="Z21" s="31">
        <f t="shared" si="42"/>
        <v>100</v>
      </c>
      <c r="AA21" s="31">
        <f t="shared" si="43"/>
        <v>99.156295945169617</v>
      </c>
      <c r="AB21" s="31">
        <f t="shared" si="44"/>
        <v>97.916649691317204</v>
      </c>
      <c r="AC21" s="31">
        <f t="shared" si="45"/>
        <v>99.311617940572575</v>
      </c>
      <c r="AD21" s="31">
        <f t="shared" si="46"/>
        <v>0</v>
      </c>
      <c r="AE21" s="31">
        <f t="shared" si="47"/>
        <v>0</v>
      </c>
      <c r="AF21" s="31">
        <f t="shared" si="48"/>
        <v>0</v>
      </c>
      <c r="AG21" s="31">
        <f t="shared" si="49"/>
        <v>0</v>
      </c>
      <c r="AH21" s="31">
        <f t="shared" si="50"/>
        <v>89.194400502964172</v>
      </c>
      <c r="AI21" s="31">
        <f t="shared" si="51"/>
        <v>0</v>
      </c>
      <c r="AJ21" s="31">
        <f t="shared" si="52"/>
        <v>0</v>
      </c>
      <c r="AK21" s="7" cm="1">
        <f t="array" ref="AK21">_xlfn.IFS(AZ21=0,0,AZ21&gt;0,(LOG(0.01*AZ21/10^-CD21)))</f>
        <v>0</v>
      </c>
      <c r="AL21" s="8" cm="1">
        <f t="array" ref="AL21">_xlfn.IFS(BA21=0,0,BA21&gt;0,(LOG(0.01*BA21/10^-CE21)))</f>
        <v>10.10890673812149</v>
      </c>
      <c r="AM21" s="8" cm="1">
        <f t="array" ref="AM21">_xlfn.IFS(BB21=0,0,BB21&gt;0,(LOG(0.01*BB21/10^-CF21)))</f>
        <v>10.023617482072938</v>
      </c>
      <c r="AN21" s="8" cm="1">
        <f t="array" ref="AN21">_xlfn.IFS(BC21=0,0,BC21&gt;0,(LOG(0.01*BC21/10^-CG21)))</f>
        <v>9.8983027983883805</v>
      </c>
      <c r="AO21" s="8" cm="1">
        <f t="array" ref="AO21">_xlfn.IFS(BD21=0,0,BD21&gt;0,(LOG(0.01*BD21/10^-CH21)))</f>
        <v>10.039318837732012</v>
      </c>
      <c r="AP21" s="8" cm="1">
        <f t="array" ref="AP21">_xlfn.IFS(BE21=0,0,BE21&gt;0,(LOG(0.01*BE21/10^-CI21)))</f>
        <v>0</v>
      </c>
      <c r="AQ21" s="8" cm="1">
        <f t="array" ref="AQ21">_xlfn.IFS(BF21=0,0,BF21&gt;0,(LOG(0.01*BF21/10^-CJ21)))</f>
        <v>0</v>
      </c>
      <c r="AR21" s="8" cm="1">
        <f t="array" ref="AR21">_xlfn.IFS(BG21=0,0,BG21&gt;0,(LOG(0.01*BG21/10^-CK21)))</f>
        <v>0</v>
      </c>
      <c r="AS21" s="8" cm="1">
        <f t="array" ref="AS21">_xlfn.IFS(BH21=0,0,BH21&gt;0,(LOG(0.01*BH21/10^-CL21)))</f>
        <v>0</v>
      </c>
      <c r="AT21" s="8" cm="1">
        <f t="array" ref="AT21">_xlfn.IFS(BI21=0,0,BI21&gt;0,(LOG(0.01*BI21/10^-CM21)))</f>
        <v>9.0165787624712141</v>
      </c>
      <c r="AU21" s="8" cm="1">
        <f t="array" ref="AU21">_xlfn.IFS(BJ21=0,0,BJ21&gt;0,(LOG(0.01*BJ21/10^-CN21)))</f>
        <v>0</v>
      </c>
      <c r="AV21" s="8" cm="1">
        <f t="array" ref="AV21">_xlfn.IFS(BK21=0,0,BK21&gt;0,(LOG(0.01*BK21/10^-CO21)))</f>
        <v>0</v>
      </c>
      <c r="AW21" s="8" cm="1">
        <f t="array" ref="AW21">_xlfn.IFS(BL21=0,0,BL21&gt;0,(LOG(0.01*BL21/10^-CP21)))</f>
        <v>7.3585730016090363</v>
      </c>
      <c r="AX21" s="8" cm="1">
        <f t="array" ref="AX21">_xlfn.IFS(BM21=0,0,BM21&gt;0,(LOG(0.01*BM21/10^-CQ21)))</f>
        <v>7.6978549661167897</v>
      </c>
      <c r="AY21" s="8" cm="1">
        <f t="array" ref="AY21">_xlfn.IFS(BN21=0,0,BN21&gt;0,(LOG(0.01*BN21/10^-CR21)))</f>
        <v>7.4732100549105764</v>
      </c>
      <c r="AZ21" s="32">
        <f t="shared" si="53"/>
        <v>0</v>
      </c>
      <c r="BA21" s="31">
        <f t="shared" si="54"/>
        <v>24.485373781148429</v>
      </c>
      <c r="BB21" s="31">
        <f t="shared" si="55"/>
        <v>12.990249187432285</v>
      </c>
      <c r="BC21" s="31">
        <f t="shared" si="56"/>
        <v>9.9609967497291443</v>
      </c>
      <c r="BD21" s="31">
        <f t="shared" si="57"/>
        <v>11.202600216684724</v>
      </c>
      <c r="BE21" s="31">
        <f t="shared" si="58"/>
        <v>0</v>
      </c>
      <c r="BF21" s="31">
        <f t="shared" si="59"/>
        <v>0</v>
      </c>
      <c r="BG21" s="31">
        <f t="shared" si="60"/>
        <v>0</v>
      </c>
      <c r="BH21" s="31">
        <f t="shared" si="61"/>
        <v>0</v>
      </c>
      <c r="BI21" s="31">
        <f t="shared" si="62"/>
        <v>66.157450796626051</v>
      </c>
      <c r="BJ21" s="31">
        <f t="shared" si="63"/>
        <v>0</v>
      </c>
      <c r="BK21" s="31">
        <f t="shared" si="64"/>
        <v>0</v>
      </c>
      <c r="BL21" s="31">
        <f t="shared" si="65"/>
        <v>2.639812017455522</v>
      </c>
      <c r="BM21" s="31">
        <f t="shared" si="66"/>
        <v>6.1497146693521314</v>
      </c>
      <c r="BN21" s="31">
        <f t="shared" si="67"/>
        <v>5.2870090634441089</v>
      </c>
      <c r="BO21" s="132"/>
      <c r="BP21" s="133">
        <v>226</v>
      </c>
      <c r="BQ21" s="133">
        <v>119.9</v>
      </c>
      <c r="BR21" s="133">
        <v>91.94</v>
      </c>
      <c r="BS21" s="133">
        <v>103.4</v>
      </c>
      <c r="BT21" s="133"/>
      <c r="BU21" s="133"/>
      <c r="BV21" s="133"/>
      <c r="BW21" s="133"/>
      <c r="BX21" s="133">
        <v>705.9</v>
      </c>
      <c r="BY21" s="133"/>
      <c r="BZ21" s="133"/>
      <c r="CA21" s="133">
        <v>78.64</v>
      </c>
      <c r="CB21" s="133">
        <v>183.2</v>
      </c>
      <c r="CC21" s="133">
        <v>157.5</v>
      </c>
      <c r="CD21" s="36"/>
      <c r="CE21" s="34">
        <v>10.72</v>
      </c>
      <c r="CF21" s="34">
        <v>10.91</v>
      </c>
      <c r="CG21" s="34">
        <v>10.9</v>
      </c>
      <c r="CH21" s="34">
        <v>10.99</v>
      </c>
      <c r="CI21" s="34"/>
      <c r="CJ21" s="34"/>
      <c r="CK21" s="34"/>
      <c r="CL21" s="34"/>
      <c r="CM21" s="34">
        <v>9.1959999999999997</v>
      </c>
      <c r="CN21" s="34"/>
      <c r="CO21" s="34"/>
      <c r="CP21" s="34">
        <v>8.9369999999999994</v>
      </c>
      <c r="CQ21" s="34">
        <v>8.9090000000000007</v>
      </c>
      <c r="CR21" s="34">
        <v>8.75</v>
      </c>
      <c r="CS21" s="168" t="str">
        <f>IF(VLOOKUP($A21,'B-Ligands'!$A:$G,3,FALSE)="","",VLOOKUP($A21,'B-Ligands'!$A:$G,3,FALSE))</f>
        <v/>
      </c>
      <c r="CT21" s="169" t="str">
        <f>IF(VLOOKUP($A21,'B-Ligands'!$A:$G,4,FALSE)="","",VLOOKUP($A21,'B-Ligands'!$A:$G,4,FALSE))</f>
        <v>Melatonin</v>
      </c>
      <c r="CU21" s="132">
        <v>10.982506941956</v>
      </c>
      <c r="CV21" s="133">
        <v>12.248817563232402</v>
      </c>
      <c r="CW21" s="133">
        <v>16.417717693008171</v>
      </c>
      <c r="CX21" s="133">
        <v>5.4735951164869192</v>
      </c>
      <c r="CY21" s="133">
        <v>5.6405930802520228</v>
      </c>
      <c r="CZ21" s="133">
        <v>3.6340445997069999</v>
      </c>
      <c r="DA21" s="133">
        <v>14</v>
      </c>
      <c r="DB21" s="133">
        <v>5.7410564101749548</v>
      </c>
      <c r="DC21" s="133">
        <v>12.251677669795653</v>
      </c>
      <c r="DD21" s="133">
        <v>7.7901594537500953</v>
      </c>
      <c r="DE21" s="133">
        <v>12.095628036027016</v>
      </c>
      <c r="DF21" s="133">
        <v>12.040821905898907</v>
      </c>
      <c r="DG21" s="133">
        <v>7.4432292756478597</v>
      </c>
      <c r="DH21" s="133">
        <v>13.881703899290237</v>
      </c>
      <c r="DI21" s="133">
        <v>9.4501961377803543</v>
      </c>
      <c r="DJ21" s="66">
        <f t="shared" si="7"/>
        <v>0</v>
      </c>
      <c r="DK21" s="67">
        <f t="shared" si="8"/>
        <v>18.450760559810291</v>
      </c>
      <c r="DL21" s="67">
        <f t="shared" si="9"/>
        <v>7.3030857420006638</v>
      </c>
      <c r="DM21" s="67">
        <f t="shared" si="10"/>
        <v>16.797004170635336</v>
      </c>
      <c r="DN21" s="67">
        <f t="shared" si="11"/>
        <v>18.331405674699027</v>
      </c>
      <c r="DO21" s="67">
        <f t="shared" si="12"/>
        <v>0</v>
      </c>
      <c r="DP21" s="67">
        <f t="shared" si="13"/>
        <v>0</v>
      </c>
      <c r="DQ21" s="67">
        <f t="shared" si="14"/>
        <v>0</v>
      </c>
      <c r="DR21" s="67">
        <f t="shared" si="15"/>
        <v>0</v>
      </c>
      <c r="DS21" s="67">
        <f t="shared" si="16"/>
        <v>90.614319795493742</v>
      </c>
      <c r="DT21" s="67">
        <f t="shared" si="17"/>
        <v>0</v>
      </c>
      <c r="DU21" s="67">
        <f t="shared" si="18"/>
        <v>0</v>
      </c>
      <c r="DV21" s="67">
        <f t="shared" si="19"/>
        <v>10.565306681776931</v>
      </c>
      <c r="DW21" s="67">
        <f t="shared" si="20"/>
        <v>13.197227179681228</v>
      </c>
      <c r="DX21" s="67">
        <f t="shared" si="21"/>
        <v>16.666320751835034</v>
      </c>
    </row>
    <row r="22" spans="1:128" s="28" customFormat="1">
      <c r="A22" s="33" t="s">
        <v>103</v>
      </c>
      <c r="B22" s="205" t="s">
        <v>5559</v>
      </c>
      <c r="C22" t="str">
        <f>IF(VLOOKUP($A22,'B-Ligands'!$A:$G,5,FALSE)="","",VLOOKUP($A22,'B-Ligands'!$A:$G,5,FALSE))</f>
        <v>Guide To Pharmacology</v>
      </c>
      <c r="D22" s="19">
        <f>IF(VLOOKUP($A22,'B-Ligands'!$A:$G,6,FALSE)="","",VLOOKUP($A22,'B-Ligands'!$A:$G,6,FALSE))</f>
        <v>573</v>
      </c>
      <c r="E22" t="str">
        <f>IF(VLOOKUP($A22,'B-Ligands'!$A:$G,7,FALSE)="","",VLOOKUP($A22,'B-Ligands'!$A:$G,7,FALSE))</f>
        <v>Phys</v>
      </c>
      <c r="F22" s="20" t="str">
        <f t="shared" si="68"/>
        <v/>
      </c>
      <c r="G22" s="19">
        <f t="shared" si="69"/>
        <v>1</v>
      </c>
      <c r="H22" s="19">
        <f t="shared" si="70"/>
        <v>1</v>
      </c>
      <c r="I22" s="19" t="str">
        <f t="shared" si="71"/>
        <v/>
      </c>
      <c r="J22" s="189">
        <f t="shared" si="26"/>
        <v>2</v>
      </c>
      <c r="K22" s="147" t="str">
        <f t="shared" si="27"/>
        <v>Gq/11</v>
      </c>
      <c r="L22" s="20">
        <f t="shared" si="28"/>
        <v>0</v>
      </c>
      <c r="M22" s="19">
        <f t="shared" si="29"/>
        <v>2</v>
      </c>
      <c r="N22" s="19">
        <f t="shared" si="30"/>
        <v>1</v>
      </c>
      <c r="O22" s="19">
        <f t="shared" si="31"/>
        <v>0</v>
      </c>
      <c r="P22" s="20">
        <f t="shared" si="32"/>
        <v>0</v>
      </c>
      <c r="Q22" s="19">
        <f t="shared" si="33"/>
        <v>98.991529704742234</v>
      </c>
      <c r="R22" s="19">
        <f t="shared" si="34"/>
        <v>100</v>
      </c>
      <c r="S22" s="19">
        <f t="shared" si="35"/>
        <v>0</v>
      </c>
      <c r="T22" s="20">
        <f t="shared" si="36"/>
        <v>0</v>
      </c>
      <c r="U22" s="21">
        <f t="shared" si="37"/>
        <v>9.1672029366856815</v>
      </c>
      <c r="V22" s="21">
        <f t="shared" si="38"/>
        <v>9.2605932689678632</v>
      </c>
      <c r="W22" s="21">
        <f t="shared" si="39"/>
        <v>0</v>
      </c>
      <c r="X22" s="147" t="str">
        <f t="shared" si="40"/>
        <v>G15</v>
      </c>
      <c r="Y22" s="32">
        <f t="shared" si="41"/>
        <v>0</v>
      </c>
      <c r="Z22" s="31">
        <f t="shared" si="42"/>
        <v>97.998739943061494</v>
      </c>
      <c r="AA22" s="31">
        <f t="shared" si="43"/>
        <v>98.991529704742234</v>
      </c>
      <c r="AB22" s="31">
        <f t="shared" si="44"/>
        <v>91.817317181297071</v>
      </c>
      <c r="AC22" s="31">
        <f t="shared" si="45"/>
        <v>98.022703135093153</v>
      </c>
      <c r="AD22" s="31">
        <f t="shared" si="46"/>
        <v>87.916454192066212</v>
      </c>
      <c r="AE22" s="31">
        <f t="shared" si="47"/>
        <v>0</v>
      </c>
      <c r="AF22" s="31">
        <f t="shared" si="48"/>
        <v>0</v>
      </c>
      <c r="AG22" s="31">
        <f t="shared" si="49"/>
        <v>0</v>
      </c>
      <c r="AH22" s="31">
        <f t="shared" si="50"/>
        <v>100</v>
      </c>
      <c r="AI22" s="31">
        <f t="shared" si="51"/>
        <v>0</v>
      </c>
      <c r="AJ22" s="31">
        <f t="shared" si="52"/>
        <v>0</v>
      </c>
      <c r="AK22" s="7" cm="1">
        <f t="array" ref="AK22">_xlfn.IFS(AZ22=0,0,AZ22&gt;0,(LOG(0.01*AZ22/10^-CD22)))</f>
        <v>0</v>
      </c>
      <c r="AL22" s="8" cm="1">
        <f t="array" ref="AL22">_xlfn.IFS(BA22=0,0,BA22&gt;0,(LOG(0.01*BA22/10^-CE22)))</f>
        <v>9.0752647148404737</v>
      </c>
      <c r="AM22" s="8" cm="1">
        <f t="array" ref="AM22">_xlfn.IFS(BB22=0,0,BB22&gt;0,(LOG(0.01*BB22/10^-CF22)))</f>
        <v>9.1672029366856815</v>
      </c>
      <c r="AN22" s="8" cm="1">
        <f t="array" ref="AN22">_xlfn.IFS(BC22=0,0,BC22&gt;0,(LOG(0.01*BC22/10^-CG22)))</f>
        <v>8.5028282946380696</v>
      </c>
      <c r="AO22" s="8" cm="1">
        <f t="array" ref="AO22">_xlfn.IFS(BD22=0,0,BD22&gt;0,(LOG(0.01*BD22/10^-CH22)))</f>
        <v>9.0774838485887877</v>
      </c>
      <c r="AP22" s="8" cm="1">
        <f t="array" ref="AP22">_xlfn.IFS(BE22=0,0,BE22&gt;0,(LOG(0.01*BE22/10^-CI22)))</f>
        <v>8.141585239225698</v>
      </c>
      <c r="AQ22" s="8" cm="1">
        <f t="array" ref="AQ22">_xlfn.IFS(BF22=0,0,BF22&gt;0,(LOG(0.01*BF22/10^-CJ22)))</f>
        <v>0</v>
      </c>
      <c r="AR22" s="8" cm="1">
        <f t="array" ref="AR22">_xlfn.IFS(BG22=0,0,BG22&gt;0,(LOG(0.01*BG22/10^-CK22)))</f>
        <v>0</v>
      </c>
      <c r="AS22" s="8" cm="1">
        <f t="array" ref="AS22">_xlfn.IFS(BH22=0,0,BH22&gt;0,(LOG(0.01*BH22/10^-CL22)))</f>
        <v>0</v>
      </c>
      <c r="AT22" s="8" cm="1">
        <f t="array" ref="AT22">_xlfn.IFS(BI22=0,0,BI22&gt;0,(LOG(0.01*BI22/10^-CM22)))</f>
        <v>9.2605932689678632</v>
      </c>
      <c r="AU22" s="8" cm="1">
        <f t="array" ref="AU22">_xlfn.IFS(BJ22=0,0,BJ22&gt;0,(LOG(0.01*BJ22/10^-CN22)))</f>
        <v>0</v>
      </c>
      <c r="AV22" s="8" cm="1">
        <f t="array" ref="AV22">_xlfn.IFS(BK22=0,0,BK22&gt;0,(LOG(0.01*BK22/10^-CO22)))</f>
        <v>0</v>
      </c>
      <c r="AW22" s="8" cm="1">
        <f t="array" ref="AW22">_xlfn.IFS(BL22=0,0,BL22&gt;0,(LOG(0.01*BL22/10^-CP22)))</f>
        <v>7.7700000000000005</v>
      </c>
      <c r="AX22" s="8" cm="1">
        <f t="array" ref="AX22">_xlfn.IFS(BM22=0,0,BM22&gt;0,(LOG(0.01*BM22/10^-CQ22)))</f>
        <v>7.2912057521891738</v>
      </c>
      <c r="AY22" s="8" cm="1">
        <f t="array" ref="AY22">_xlfn.IFS(BN22=0,0,BN22&gt;0,(LOG(0.01*BN22/10^-CR22)))</f>
        <v>7.55100572284422</v>
      </c>
      <c r="AZ22" s="32">
        <f t="shared" si="53"/>
        <v>0</v>
      </c>
      <c r="BA22" s="31">
        <f t="shared" si="54"/>
        <v>81.332611050920903</v>
      </c>
      <c r="BB22" s="31">
        <f t="shared" si="55"/>
        <v>44.279523293607802</v>
      </c>
      <c r="BC22" s="31">
        <f t="shared" si="56"/>
        <v>21.668472372697725</v>
      </c>
      <c r="BD22" s="31">
        <f t="shared" si="57"/>
        <v>43.499458288190681</v>
      </c>
      <c r="BE22" s="31">
        <f t="shared" si="58"/>
        <v>21.408450704225352</v>
      </c>
      <c r="BF22" s="31">
        <f t="shared" si="59"/>
        <v>0</v>
      </c>
      <c r="BG22" s="31">
        <f t="shared" si="60"/>
        <v>0</v>
      </c>
      <c r="BH22" s="31">
        <f t="shared" si="61"/>
        <v>0</v>
      </c>
      <c r="BI22" s="31">
        <f t="shared" si="62"/>
        <v>66.007497656982196</v>
      </c>
      <c r="BJ22" s="31">
        <f t="shared" si="63"/>
        <v>0</v>
      </c>
      <c r="BK22" s="31">
        <f t="shared" si="64"/>
        <v>0</v>
      </c>
      <c r="BL22" s="31">
        <f t="shared" si="65"/>
        <v>100</v>
      </c>
      <c r="BM22" s="31">
        <f t="shared" si="66"/>
        <v>40.013427324605573</v>
      </c>
      <c r="BN22" s="31">
        <f t="shared" si="67"/>
        <v>76.737160120845928</v>
      </c>
      <c r="BO22" s="134"/>
      <c r="BP22" s="135">
        <v>750.7</v>
      </c>
      <c r="BQ22" s="135">
        <v>408.7</v>
      </c>
      <c r="BR22" s="135">
        <v>200</v>
      </c>
      <c r="BS22" s="135">
        <v>401.5</v>
      </c>
      <c r="BT22" s="135">
        <v>197.6</v>
      </c>
      <c r="BU22" s="135"/>
      <c r="BV22" s="135"/>
      <c r="BW22" s="135"/>
      <c r="BX22" s="135">
        <v>704.3</v>
      </c>
      <c r="BY22" s="135"/>
      <c r="BZ22" s="135"/>
      <c r="CA22" s="135">
        <v>2979</v>
      </c>
      <c r="CB22" s="135">
        <v>1192</v>
      </c>
      <c r="CC22" s="135">
        <v>2286</v>
      </c>
      <c r="CD22" s="30"/>
      <c r="CE22" s="29">
        <v>9.1649999999999991</v>
      </c>
      <c r="CF22" s="29">
        <v>9.5210000000000008</v>
      </c>
      <c r="CG22" s="29">
        <v>9.1669999999999998</v>
      </c>
      <c r="CH22" s="29">
        <v>9.4390000000000001</v>
      </c>
      <c r="CI22" s="29">
        <v>8.8109999999999999</v>
      </c>
      <c r="CJ22" s="29"/>
      <c r="CK22" s="29"/>
      <c r="CL22" s="29"/>
      <c r="CM22" s="29">
        <v>9.4410000000000007</v>
      </c>
      <c r="CN22" s="29"/>
      <c r="CO22" s="29"/>
      <c r="CP22" s="29">
        <v>7.77</v>
      </c>
      <c r="CQ22" s="29">
        <v>7.6890000000000001</v>
      </c>
      <c r="CR22" s="29">
        <v>7.6660000000000004</v>
      </c>
      <c r="CS22" s="168" t="str">
        <f>IF(VLOOKUP($A22,'B-Ligands'!$A:$G,3,FALSE)="","",VLOOKUP($A22,'B-Ligands'!$A:$G,3,FALSE))</f>
        <v>C5a</v>
      </c>
      <c r="CT22" s="169" t="str">
        <f>IF(VLOOKUP($A22,'B-Ligands'!$A:$G,4,FALSE)="","",VLOOKUP($A22,'B-Ligands'!$A:$G,4,FALSE))</f>
        <v>C5a anaphylatoxin</v>
      </c>
      <c r="CU22" s="134">
        <v>17.313394107049046</v>
      </c>
      <c r="CV22" s="135">
        <v>21.216173640516562</v>
      </c>
      <c r="CW22" s="135">
        <v>16.809793407769011</v>
      </c>
      <c r="CX22" s="135">
        <v>15.238532809383198</v>
      </c>
      <c r="CY22" s="135">
        <v>18.243291075043636</v>
      </c>
      <c r="CZ22" s="135">
        <v>15.596135255993369</v>
      </c>
      <c r="DA22" s="135">
        <v>8.4043285280118152</v>
      </c>
      <c r="DB22" s="135">
        <v>18.406285127233456</v>
      </c>
      <c r="DC22" s="135">
        <v>8.7586007112867748</v>
      </c>
      <c r="DD22" s="135">
        <v>6.2404158700239281</v>
      </c>
      <c r="DE22" s="135">
        <v>8.3063648262707552</v>
      </c>
      <c r="DF22" s="135">
        <v>12.61687736286399</v>
      </c>
      <c r="DG22" s="135">
        <v>24.850086977189907</v>
      </c>
      <c r="DH22" s="135">
        <v>16.514067288939462</v>
      </c>
      <c r="DI22" s="135">
        <v>9.2008570598341723</v>
      </c>
      <c r="DJ22" s="66">
        <f t="shared" si="7"/>
        <v>0</v>
      </c>
      <c r="DK22" s="67">
        <f t="shared" si="8"/>
        <v>35.383383107611216</v>
      </c>
      <c r="DL22" s="67">
        <f t="shared" si="9"/>
        <v>24.313207788211749</v>
      </c>
      <c r="DM22" s="67">
        <f t="shared" si="10"/>
        <v>13.124623118365376</v>
      </c>
      <c r="DN22" s="67">
        <f t="shared" si="11"/>
        <v>22.008090445327703</v>
      </c>
      <c r="DO22" s="67">
        <f t="shared" si="12"/>
        <v>12.669805484282728</v>
      </c>
      <c r="DP22" s="67">
        <f t="shared" si="13"/>
        <v>0</v>
      </c>
      <c r="DQ22" s="67">
        <f t="shared" si="14"/>
        <v>0</v>
      </c>
      <c r="DR22" s="67">
        <f t="shared" si="15"/>
        <v>0</v>
      </c>
      <c r="DS22" s="67">
        <f t="shared" si="16"/>
        <v>112.86106802322766</v>
      </c>
      <c r="DT22" s="67">
        <f t="shared" si="17"/>
        <v>0</v>
      </c>
      <c r="DU22" s="67">
        <f t="shared" si="18"/>
        <v>0</v>
      </c>
      <c r="DV22" s="67">
        <f t="shared" si="19"/>
        <v>119.87885606736297</v>
      </c>
      <c r="DW22" s="67">
        <f t="shared" si="20"/>
        <v>72.180885492598151</v>
      </c>
      <c r="DX22" s="67">
        <f t="shared" si="21"/>
        <v>248.45511511959091</v>
      </c>
    </row>
    <row r="23" spans="1:128" s="28" customFormat="1">
      <c r="A23" s="33" t="s">
        <v>40</v>
      </c>
      <c r="B23" s="205" t="s">
        <v>5559</v>
      </c>
      <c r="C23" t="str">
        <f>IF(VLOOKUP($A23,'B-Ligands'!$A:$G,5,FALSE)="","",VLOOKUP($A23,'B-Ligands'!$A:$G,5,FALSE))</f>
        <v>Guide To Pharmacology</v>
      </c>
      <c r="D23" s="19">
        <f>IF(VLOOKUP($A23,'B-Ligands'!$A:$G,6,FALSE)="","",VLOOKUP($A23,'B-Ligands'!$A:$G,6,FALSE))</f>
        <v>484</v>
      </c>
      <c r="E23" t="str">
        <f>IF(VLOOKUP($A23,'B-Ligands'!$A:$G,7,FALSE)="","",VLOOKUP($A23,'B-Ligands'!$A:$G,7,FALSE))</f>
        <v>Phys</v>
      </c>
      <c r="F23" s="20">
        <f t="shared" si="68"/>
        <v>1</v>
      </c>
      <c r="G23" s="19">
        <f t="shared" si="69"/>
        <v>1</v>
      </c>
      <c r="H23" s="19">
        <f t="shared" si="70"/>
        <v>1</v>
      </c>
      <c r="I23" s="19">
        <f t="shared" si="71"/>
        <v>1</v>
      </c>
      <c r="J23" s="189">
        <f t="shared" si="26"/>
        <v>4</v>
      </c>
      <c r="K23" s="147" t="str">
        <f t="shared" si="27"/>
        <v>Gs</v>
      </c>
      <c r="L23" s="20">
        <f t="shared" si="28"/>
        <v>1</v>
      </c>
      <c r="M23" s="19">
        <f t="shared" si="29"/>
        <v>3</v>
      </c>
      <c r="N23" s="19">
        <f t="shared" si="30"/>
        <v>2</v>
      </c>
      <c r="O23" s="19">
        <f t="shared" si="31"/>
        <v>4</v>
      </c>
      <c r="P23" s="20">
        <f t="shared" si="32"/>
        <v>100</v>
      </c>
      <c r="Q23" s="19">
        <f t="shared" si="33"/>
        <v>63.56542360365497</v>
      </c>
      <c r="R23" s="19">
        <f t="shared" si="34"/>
        <v>85.148630516084907</v>
      </c>
      <c r="S23" s="19">
        <f t="shared" si="35"/>
        <v>57.37793722060178</v>
      </c>
      <c r="T23" s="20">
        <f t="shared" si="36"/>
        <v>9.6298142180006341</v>
      </c>
      <c r="U23" s="21">
        <f t="shared" si="37"/>
        <v>6.1212321999170971</v>
      </c>
      <c r="V23" s="21">
        <f t="shared" si="38"/>
        <v>8.1996549278707711</v>
      </c>
      <c r="W23" s="21">
        <f t="shared" si="39"/>
        <v>5.5253887564649879</v>
      </c>
      <c r="X23" s="147" t="str">
        <f t="shared" si="40"/>
        <v>GsL</v>
      </c>
      <c r="Y23" s="32">
        <f t="shared" si="41"/>
        <v>100</v>
      </c>
      <c r="Z23" s="31">
        <f t="shared" si="42"/>
        <v>0</v>
      </c>
      <c r="AA23" s="31">
        <f t="shared" si="43"/>
        <v>0</v>
      </c>
      <c r="AB23" s="31">
        <f t="shared" si="44"/>
        <v>55.640483739680469</v>
      </c>
      <c r="AC23" s="31">
        <f t="shared" si="45"/>
        <v>60.049171538302581</v>
      </c>
      <c r="AD23" s="31">
        <f t="shared" si="46"/>
        <v>63.56542360365497</v>
      </c>
      <c r="AE23" s="31">
        <f t="shared" si="47"/>
        <v>47.928393971013172</v>
      </c>
      <c r="AF23" s="31">
        <f t="shared" si="48"/>
        <v>0</v>
      </c>
      <c r="AG23" s="31">
        <f t="shared" si="49"/>
        <v>55.568754360979121</v>
      </c>
      <c r="AH23" s="31">
        <f t="shared" si="50"/>
        <v>85.148630516084907</v>
      </c>
      <c r="AI23" s="31">
        <f t="shared" si="51"/>
        <v>57.37793722060178</v>
      </c>
      <c r="AJ23" s="31">
        <f t="shared" si="52"/>
        <v>53.773072310300819</v>
      </c>
      <c r="AK23" s="7" cm="1">
        <f t="array" ref="AK23">_xlfn.IFS(AZ23=0,0,AZ23&gt;0,(LOG(0.01*AZ23/10^-CD23)))</f>
        <v>9.6298142180006341</v>
      </c>
      <c r="AL23" s="8" cm="1">
        <f t="array" ref="AL23">_xlfn.IFS(BA23=0,0,BA23&gt;0,(LOG(0.01*BA23/10^-CE23)))</f>
        <v>0</v>
      </c>
      <c r="AM23" s="8" cm="1">
        <f t="array" ref="AM23">_xlfn.IFS(BB23=0,0,BB23&gt;0,(LOG(0.01*BB23/10^-CF23)))</f>
        <v>0</v>
      </c>
      <c r="AN23" s="8" cm="1">
        <f t="array" ref="AN23">_xlfn.IFS(BC23=0,0,BC23&gt;0,(LOG(0.01*BC23/10^-CG23)))</f>
        <v>5.358075214128081</v>
      </c>
      <c r="AO23" s="8" cm="1">
        <f t="array" ref="AO23">_xlfn.IFS(BD23=0,0,BD23&gt;0,(LOG(0.01*BD23/10^-CH23)))</f>
        <v>5.7826236585870516</v>
      </c>
      <c r="AP23" s="8" cm="1">
        <f t="array" ref="AP23">_xlfn.IFS(BE23=0,0,BE23&gt;0,(LOG(0.01*BE23/10^-CI23)))</f>
        <v>6.1212321999170971</v>
      </c>
      <c r="AQ23" s="8" cm="1">
        <f t="array" ref="AQ23">_xlfn.IFS(BF23=0,0,BF23&gt;0,(LOG(0.01*BF23/10^-CJ23)))</f>
        <v>4.6154152970799851</v>
      </c>
      <c r="AR23" s="8" cm="1">
        <f t="array" ref="AR23">_xlfn.IFS(BG23=0,0,BG23&gt;0,(LOG(0.01*BG23/10^-CK23)))</f>
        <v>0</v>
      </c>
      <c r="AS23" s="8" cm="1">
        <f t="array" ref="AS23">_xlfn.IFS(BH23=0,0,BH23&gt;0,(LOG(0.01*BH23/10^-CL23)))</f>
        <v>5.3511678082194152</v>
      </c>
      <c r="AT23" s="8" cm="1">
        <f t="array" ref="AT23">_xlfn.IFS(BI23=0,0,BI23&gt;0,(LOG(0.01*BI23/10^-CM23)))</f>
        <v>8.1996549278707711</v>
      </c>
      <c r="AU23" s="8" cm="1">
        <f t="array" ref="AU23">_xlfn.IFS(BJ23=0,0,BJ23&gt;0,(LOG(0.01*BJ23/10^-CN23)))</f>
        <v>5.5253887564649879</v>
      </c>
      <c r="AV23" s="8" cm="1">
        <f t="array" ref="AV23">_xlfn.IFS(BK23=0,0,BK23&gt;0,(LOG(0.01*BK23/10^-CO23)))</f>
        <v>5.1782469627931098</v>
      </c>
      <c r="AW23" s="8" cm="1">
        <f t="array" ref="AW23">_xlfn.IFS(BL23=0,0,BL23&gt;0,(LOG(0.01*BL23/10^-CP23)))</f>
        <v>5.5869202216046485</v>
      </c>
      <c r="AX23" s="8" cm="1">
        <f t="array" ref="AX23">_xlfn.IFS(BM23=0,0,BM23&gt;0,(LOG(0.01*BM23/10^-CQ23)))</f>
        <v>5.458341567381698</v>
      </c>
      <c r="AY23" s="8" cm="1">
        <f t="array" ref="AY23">_xlfn.IFS(BN23=0,0,BN23&gt;0,(LOG(0.01*BN23/10^-CR23)))</f>
        <v>5.8245905118970311</v>
      </c>
      <c r="AZ23" s="32">
        <f t="shared" si="53"/>
        <v>84.491733006736084</v>
      </c>
      <c r="BA23" s="31">
        <f t="shared" si="54"/>
        <v>0</v>
      </c>
      <c r="BB23" s="31">
        <f t="shared" si="55"/>
        <v>0</v>
      </c>
      <c r="BC23" s="31">
        <f t="shared" si="56"/>
        <v>6.0964247020585045</v>
      </c>
      <c r="BD23" s="31">
        <f t="shared" si="57"/>
        <v>16.619718309859156</v>
      </c>
      <c r="BE23" s="31">
        <f t="shared" si="58"/>
        <v>16.078006500541711</v>
      </c>
      <c r="BF23" s="31">
        <f t="shared" si="59"/>
        <v>3.2539831302717901</v>
      </c>
      <c r="BG23" s="31">
        <f t="shared" si="60"/>
        <v>0</v>
      </c>
      <c r="BH23" s="31">
        <f t="shared" si="61"/>
        <v>18.078725398313026</v>
      </c>
      <c r="BI23" s="31">
        <f t="shared" si="62"/>
        <v>66.01686972820994</v>
      </c>
      <c r="BJ23" s="31">
        <f t="shared" si="63"/>
        <v>13.59529878221467</v>
      </c>
      <c r="BK23" s="31">
        <f t="shared" si="64"/>
        <v>13.435287453979042</v>
      </c>
      <c r="BL23" s="31">
        <f t="shared" si="65"/>
        <v>10.812353138637128</v>
      </c>
      <c r="BM23" s="31">
        <f t="shared" si="66"/>
        <v>6.7505874454514938</v>
      </c>
      <c r="BN23" s="31">
        <f t="shared" si="67"/>
        <v>11.158106747230613</v>
      </c>
      <c r="BO23" s="132">
        <v>55.19</v>
      </c>
      <c r="BP23" s="173"/>
      <c r="BQ23" s="173"/>
      <c r="BR23" s="133">
        <v>56.27</v>
      </c>
      <c r="BS23" s="133">
        <v>153.4</v>
      </c>
      <c r="BT23" s="133">
        <v>148.4</v>
      </c>
      <c r="BU23" s="133">
        <v>34.72</v>
      </c>
      <c r="BV23" s="133"/>
      <c r="BW23" s="133">
        <v>192.9</v>
      </c>
      <c r="BX23" s="133">
        <v>704.4</v>
      </c>
      <c r="BY23" s="133">
        <v>96.01</v>
      </c>
      <c r="BZ23" s="133">
        <v>94.88</v>
      </c>
      <c r="CA23" s="133">
        <v>322.10000000000002</v>
      </c>
      <c r="CB23" s="133">
        <v>201.1</v>
      </c>
      <c r="CC23" s="133">
        <v>332.4</v>
      </c>
      <c r="CD23" s="36">
        <v>9.7029999999999994</v>
      </c>
      <c r="CE23" s="37"/>
      <c r="CF23" s="37"/>
      <c r="CG23" s="34">
        <v>6.5730000000000004</v>
      </c>
      <c r="CH23" s="34">
        <v>6.5620000000000003</v>
      </c>
      <c r="CI23" s="34">
        <v>6.915</v>
      </c>
      <c r="CJ23" s="34">
        <v>6.1029999999999998</v>
      </c>
      <c r="CK23" s="34"/>
      <c r="CL23" s="34">
        <v>6.0940000000000003</v>
      </c>
      <c r="CM23" s="34">
        <v>8.3800000000000008</v>
      </c>
      <c r="CN23" s="34">
        <v>6.3920000000000003</v>
      </c>
      <c r="CO23" s="34">
        <v>6.05</v>
      </c>
      <c r="CP23" s="34">
        <v>6.5529999999999999</v>
      </c>
      <c r="CQ23" s="34">
        <v>6.6289999999999996</v>
      </c>
      <c r="CR23" s="34">
        <v>6.7770000000000001</v>
      </c>
      <c r="CS23" s="168" t="str">
        <f>IF(VLOOKUP($A23,'B-Ligands'!$A:$G,3,FALSE)="","",VLOOKUP($A23,'B-Ligands'!$A:$G,3,FALSE))</f>
        <v/>
      </c>
      <c r="CT23" s="169" t="str">
        <f>IF(VLOOKUP($A23,'B-Ligands'!$A:$G,4,FALSE)="","",VLOOKUP($A23,'B-Ligands'!$A:$G,4,FALSE))</f>
        <v>Noradrenaline</v>
      </c>
      <c r="CU23" s="132">
        <v>7.4064874707409167</v>
      </c>
      <c r="CV23" s="133">
        <v>1.7942413263523236</v>
      </c>
      <c r="CW23" s="133">
        <v>5.8526135621353923</v>
      </c>
      <c r="CX23" s="133">
        <v>8.5528601512937374</v>
      </c>
      <c r="CY23" s="133">
        <v>46.396663544135151</v>
      </c>
      <c r="CZ23" s="133">
        <v>34.326614698106972</v>
      </c>
      <c r="DA23" s="133">
        <v>10.166216790923251</v>
      </c>
      <c r="DB23" s="133">
        <v>18.523453134416872</v>
      </c>
      <c r="DC23" s="133">
        <v>26.456288902959088</v>
      </c>
      <c r="DD23" s="133">
        <v>12.062565073490568</v>
      </c>
      <c r="DE23" s="133">
        <v>6.4247703054780727</v>
      </c>
      <c r="DF23" s="133">
        <v>10.910464748000255</v>
      </c>
      <c r="DG23" s="133">
        <v>5.7348232156498433</v>
      </c>
      <c r="DH23" s="133">
        <v>16.948365001869153</v>
      </c>
      <c r="DI23" s="133">
        <v>37.501849769507686</v>
      </c>
      <c r="DJ23" s="66">
        <f t="shared" si="7"/>
        <v>7.4515754219562593</v>
      </c>
      <c r="DK23" s="67">
        <f t="shared" si="8"/>
        <v>0</v>
      </c>
      <c r="DL23" s="67">
        <f t="shared" si="9"/>
        <v>0</v>
      </c>
      <c r="DM23" s="67">
        <f t="shared" si="10"/>
        <v>6.579085709882488</v>
      </c>
      <c r="DN23" s="67">
        <f t="shared" si="11"/>
        <v>3.3062722248136911</v>
      </c>
      <c r="DO23" s="67">
        <f t="shared" si="12"/>
        <v>4.3231760925199509</v>
      </c>
      <c r="DP23" s="67">
        <f t="shared" si="13"/>
        <v>3.4152330915271465</v>
      </c>
      <c r="DQ23" s="67">
        <f t="shared" si="14"/>
        <v>0</v>
      </c>
      <c r="DR23" s="67">
        <f t="shared" si="15"/>
        <v>7.2912720566195697</v>
      </c>
      <c r="DS23" s="67">
        <f t="shared" si="16"/>
        <v>58.3955398962392</v>
      </c>
      <c r="DT23" s="67">
        <f t="shared" si="17"/>
        <v>14.94372490143923</v>
      </c>
      <c r="DU23" s="67">
        <f t="shared" si="18"/>
        <v>8.69623817055</v>
      </c>
      <c r="DV23" s="67">
        <f t="shared" si="19"/>
        <v>56.165637176228309</v>
      </c>
      <c r="DW23" s="67">
        <f t="shared" si="20"/>
        <v>11.865451326887381</v>
      </c>
      <c r="DX23" s="67">
        <f t="shared" si="21"/>
        <v>8.8635627853821362</v>
      </c>
    </row>
    <row r="24" spans="1:128" s="28" customFormat="1">
      <c r="A24" s="33" t="s">
        <v>137</v>
      </c>
      <c r="B24" s="205" t="s">
        <v>5559</v>
      </c>
      <c r="C24" t="str">
        <f>IF(VLOOKUP($A24,'B-Ligands'!$A:$G,5,FALSE)="","",VLOOKUP($A24,'B-Ligands'!$A:$G,5,FALSE))</f>
        <v>Guide To Pharmacology</v>
      </c>
      <c r="D24" s="19">
        <f>IF(VLOOKUP($A24,'B-Ligands'!$A:$G,6,FALSE)="","",VLOOKUP($A24,'B-Ligands'!$A:$G,6,FALSE))</f>
        <v>1204</v>
      </c>
      <c r="E24" t="str">
        <f>IF(VLOOKUP($A24,'B-Ligands'!$A:$G,7,FALSE)="","",VLOOKUP($A24,'B-Ligands'!$A:$G,7,FALSE))</f>
        <v>Phys</v>
      </c>
      <c r="F24" s="20">
        <f t="shared" si="68"/>
        <v>1</v>
      </c>
      <c r="G24" s="19">
        <f t="shared" si="69"/>
        <v>1</v>
      </c>
      <c r="H24" s="19">
        <f t="shared" si="70"/>
        <v>1</v>
      </c>
      <c r="I24" s="19">
        <f t="shared" si="71"/>
        <v>1</v>
      </c>
      <c r="J24" s="189">
        <f t="shared" si="26"/>
        <v>4</v>
      </c>
      <c r="K24" s="147" t="str">
        <f t="shared" si="27"/>
        <v>Gs</v>
      </c>
      <c r="L24" s="20">
        <f t="shared" si="28"/>
        <v>1</v>
      </c>
      <c r="M24" s="19">
        <f t="shared" si="29"/>
        <v>4</v>
      </c>
      <c r="N24" s="19">
        <f t="shared" si="30"/>
        <v>2</v>
      </c>
      <c r="O24" s="19">
        <f t="shared" si="31"/>
        <v>3</v>
      </c>
      <c r="P24" s="20">
        <f t="shared" si="32"/>
        <v>100</v>
      </c>
      <c r="Q24" s="19">
        <f t="shared" si="33"/>
        <v>57.902769323578759</v>
      </c>
      <c r="R24" s="19">
        <f t="shared" si="34"/>
        <v>92.794784752422359</v>
      </c>
      <c r="S24" s="19">
        <f t="shared" si="35"/>
        <v>63.214719011620701</v>
      </c>
      <c r="T24" s="20">
        <f t="shared" si="36"/>
        <v>7.0081997349532648</v>
      </c>
      <c r="U24" s="21">
        <f t="shared" si="37"/>
        <v>4.0579417262656472</v>
      </c>
      <c r="V24" s="21">
        <f t="shared" si="38"/>
        <v>6.503243859069717</v>
      </c>
      <c r="W24" s="21">
        <f t="shared" si="39"/>
        <v>4.4302137702238529</v>
      </c>
      <c r="X24" s="147" t="str">
        <f t="shared" si="40"/>
        <v>GsL</v>
      </c>
      <c r="Y24" s="32">
        <f t="shared" si="41"/>
        <v>100</v>
      </c>
      <c r="Z24" s="31">
        <f t="shared" si="42"/>
        <v>0</v>
      </c>
      <c r="AA24" s="31">
        <f t="shared" si="43"/>
        <v>0</v>
      </c>
      <c r="AB24" s="31">
        <f t="shared" si="44"/>
        <v>57.528828552432067</v>
      </c>
      <c r="AC24" s="31">
        <f t="shared" si="45"/>
        <v>57.902769323578759</v>
      </c>
      <c r="AD24" s="31">
        <f t="shared" si="46"/>
        <v>45.551246884755614</v>
      </c>
      <c r="AE24" s="31">
        <f t="shared" si="47"/>
        <v>0</v>
      </c>
      <c r="AF24" s="31">
        <f t="shared" si="48"/>
        <v>0</v>
      </c>
      <c r="AG24" s="31">
        <f t="shared" si="49"/>
        <v>0</v>
      </c>
      <c r="AH24" s="31">
        <f t="shared" si="50"/>
        <v>92.794784752422359</v>
      </c>
      <c r="AI24" s="31">
        <f t="shared" si="51"/>
        <v>57.574853703685278</v>
      </c>
      <c r="AJ24" s="31">
        <f t="shared" si="52"/>
        <v>63.214719011620701</v>
      </c>
      <c r="AK24" s="7" cm="1">
        <f t="array" ref="AK24">_xlfn.IFS(AZ24=0,0,AZ24&gt;0,(LOG(0.01*AZ24/10^-CD24)))</f>
        <v>7.0081997349532648</v>
      </c>
      <c r="AL24" s="8" cm="1">
        <f t="array" ref="AL24">_xlfn.IFS(BA24=0,0,BA24&gt;0,(LOG(0.01*BA24/10^-CE24)))</f>
        <v>0</v>
      </c>
      <c r="AM24" s="8" cm="1">
        <f t="array" ref="AM24">_xlfn.IFS(BB24=0,0,BB24&gt;0,(LOG(0.01*BB24/10^-CF24)))</f>
        <v>0</v>
      </c>
      <c r="AN24" s="8" cm="1">
        <f t="array" ref="AN24">_xlfn.IFS(BC24=0,0,BC24&gt;0,(LOG(0.01*BC24/10^-CG24)))</f>
        <v>4.0317352101332622</v>
      </c>
      <c r="AO24" s="8" cm="1">
        <f t="array" ref="AO24">_xlfn.IFS(BD24=0,0,BD24&gt;0,(LOG(0.01*BD24/10^-CH24)))</f>
        <v>4.0579417262656472</v>
      </c>
      <c r="AP24" s="8" cm="1">
        <f t="array" ref="AP24">_xlfn.IFS(BE24=0,0,BE24&gt;0,(LOG(0.01*BE24/10^-CI24)))</f>
        <v>3.1923223634453501</v>
      </c>
      <c r="AQ24" s="8" cm="1">
        <f t="array" ref="AQ24">_xlfn.IFS(BF24=0,0,BF24&gt;0,(LOG(0.01*BF24/10^-CJ24)))</f>
        <v>0</v>
      </c>
      <c r="AR24" s="8" cm="1">
        <f t="array" ref="AR24">_xlfn.IFS(BG24=0,0,BG24&gt;0,(LOG(0.01*BG24/10^-CK24)))</f>
        <v>0</v>
      </c>
      <c r="AS24" s="8" cm="1">
        <f t="array" ref="AS24">_xlfn.IFS(BH24=0,0,BH24&gt;0,(LOG(0.01*BH24/10^-CL24)))</f>
        <v>0</v>
      </c>
      <c r="AT24" s="8" cm="1">
        <f t="array" ref="AT24">_xlfn.IFS(BI24=0,0,BI24&gt;0,(LOG(0.01*BI24/10^-CM24)))</f>
        <v>6.503243859069717</v>
      </c>
      <c r="AU24" s="8" cm="1">
        <f t="array" ref="AU24">_xlfn.IFS(BJ24=0,0,BJ24&gt;0,(LOG(0.01*BJ24/10^-CN24)))</f>
        <v>4.0349607446614018</v>
      </c>
      <c r="AV24" s="8" cm="1">
        <f t="array" ref="AV24">_xlfn.IFS(BK24=0,0,BK24&gt;0,(LOG(0.01*BK24/10^-CO24)))</f>
        <v>4.4302137702238529</v>
      </c>
      <c r="AW24" s="8" cm="1">
        <f t="array" ref="AW24">_xlfn.IFS(BL24=0,0,BL24&gt;0,(LOG(0.01*BL24/10^-CP24)))</f>
        <v>4.0041741057442906</v>
      </c>
      <c r="AX24" s="8" cm="1">
        <f t="array" ref="AX24">_xlfn.IFS(BM24=0,0,BM24&gt;0,(LOG(0.01*BM24/10^-CQ24)))</f>
        <v>0</v>
      </c>
      <c r="AY24" s="8" cm="1">
        <f t="array" ref="AY24">_xlfn.IFS(BN24=0,0,BN24&gt;0,(LOG(0.01*BN24/10^-CR24)))</f>
        <v>4.3984477257565944</v>
      </c>
      <c r="AZ24" s="32">
        <f t="shared" si="53"/>
        <v>79.286589099816297</v>
      </c>
      <c r="BA24" s="31">
        <f t="shared" si="54"/>
        <v>0</v>
      </c>
      <c r="BB24" s="31">
        <f t="shared" si="55"/>
        <v>0</v>
      </c>
      <c r="BC24" s="31">
        <f t="shared" si="56"/>
        <v>2.0032502708559043</v>
      </c>
      <c r="BD24" s="31">
        <f t="shared" si="57"/>
        <v>5.0227518959913322</v>
      </c>
      <c r="BE24" s="31">
        <f t="shared" si="58"/>
        <v>8.6760563380281699</v>
      </c>
      <c r="BF24" s="31">
        <f t="shared" si="59"/>
        <v>0</v>
      </c>
      <c r="BG24" s="31">
        <f t="shared" si="60"/>
        <v>0</v>
      </c>
      <c r="BH24" s="31">
        <f t="shared" si="61"/>
        <v>0</v>
      </c>
      <c r="BI24" s="31">
        <f t="shared" si="62"/>
        <v>64.601686972821</v>
      </c>
      <c r="BJ24" s="31">
        <f t="shared" si="63"/>
        <v>10.838289436420277</v>
      </c>
      <c r="BK24" s="31">
        <f t="shared" si="64"/>
        <v>27.81081846502407</v>
      </c>
      <c r="BL24" s="31">
        <f t="shared" si="65"/>
        <v>15.387713997985902</v>
      </c>
      <c r="BM24" s="31">
        <f t="shared" si="66"/>
        <v>0</v>
      </c>
      <c r="BN24" s="31">
        <f t="shared" si="67"/>
        <v>14.172541121181604</v>
      </c>
      <c r="BO24" s="132">
        <v>51.79</v>
      </c>
      <c r="BP24" s="133"/>
      <c r="BQ24" s="133"/>
      <c r="BR24" s="172">
        <v>18.489999999999998</v>
      </c>
      <c r="BS24" s="133">
        <v>46.36</v>
      </c>
      <c r="BT24" s="133">
        <v>80.08</v>
      </c>
      <c r="BU24" s="133"/>
      <c r="BV24" s="133"/>
      <c r="BW24" s="133"/>
      <c r="BX24" s="133">
        <v>689.3</v>
      </c>
      <c r="BY24" s="133">
        <v>76.540000000000006</v>
      </c>
      <c r="BZ24" s="133">
        <v>196.4</v>
      </c>
      <c r="CA24" s="133">
        <v>458.4</v>
      </c>
      <c r="CB24" s="133"/>
      <c r="CC24" s="133">
        <v>422.2</v>
      </c>
      <c r="CD24" s="36">
        <v>7.109</v>
      </c>
      <c r="CE24" s="34"/>
      <c r="CF24" s="34"/>
      <c r="CG24" s="38">
        <v>5.73</v>
      </c>
      <c r="CH24" s="34">
        <v>5.3570000000000002</v>
      </c>
      <c r="CI24" s="34">
        <v>4.2539999999999996</v>
      </c>
      <c r="CJ24" s="34"/>
      <c r="CK24" s="34"/>
      <c r="CL24" s="34"/>
      <c r="CM24" s="34">
        <v>6.6929999999999996</v>
      </c>
      <c r="CN24" s="34">
        <v>5</v>
      </c>
      <c r="CO24" s="34">
        <v>4.9859999999999998</v>
      </c>
      <c r="CP24" s="34">
        <v>4.8170000000000002</v>
      </c>
      <c r="CQ24" s="34"/>
      <c r="CR24" s="34">
        <v>5.2469999999999999</v>
      </c>
      <c r="CS24" s="168" t="str">
        <f>IF(VLOOKUP($A24,'B-Ligands'!$A:$G,3,FALSE)="","",VLOOKUP($A24,'B-Ligands'!$A:$G,3,FALSE))</f>
        <v/>
      </c>
      <c r="CT24" s="169" t="str">
        <f>IF(VLOOKUP($A24,'B-Ligands'!$A:$G,4,FALSE)="","",VLOOKUP($A24,'B-Ligands'!$A:$G,4,FALSE))</f>
        <v>Histamine</v>
      </c>
      <c r="CU24" s="132">
        <v>14.835157793168374</v>
      </c>
      <c r="CV24" s="133">
        <v>19.104514856797817</v>
      </c>
      <c r="CW24" s="133">
        <v>7.2781059072685732</v>
      </c>
      <c r="CX24" s="133">
        <v>0.57723002545841562</v>
      </c>
      <c r="CY24" s="133">
        <v>17.117858070808229</v>
      </c>
      <c r="CZ24" s="133">
        <v>6.5205329898048596</v>
      </c>
      <c r="DA24" s="133">
        <v>7.1096414022556624</v>
      </c>
      <c r="DB24" s="133">
        <v>4.4196534430911347</v>
      </c>
      <c r="DC24" s="133">
        <v>9.7452995784473693</v>
      </c>
      <c r="DD24" s="133">
        <v>13.993670864700244</v>
      </c>
      <c r="DE24" s="133">
        <v>12.319101933925735</v>
      </c>
      <c r="DF24" s="133">
        <v>14.359298982075401</v>
      </c>
      <c r="DG24" s="133">
        <v>5.9678601001456935</v>
      </c>
      <c r="DH24" s="133">
        <v>23.59351046102541</v>
      </c>
      <c r="DI24" s="133">
        <v>0.85380621219012842</v>
      </c>
      <c r="DJ24" s="66">
        <f t="shared" si="7"/>
        <v>3.4910312867618716</v>
      </c>
      <c r="DK24" s="67">
        <f t="shared" si="8"/>
        <v>0</v>
      </c>
      <c r="DL24" s="67">
        <f t="shared" si="9"/>
        <v>0</v>
      </c>
      <c r="DM24" s="67">
        <f t="shared" si="10"/>
        <v>32.03229074114067</v>
      </c>
      <c r="DN24" s="67">
        <f t="shared" si="11"/>
        <v>2.7082827657660959</v>
      </c>
      <c r="DO24" s="67">
        <f t="shared" si="12"/>
        <v>12.281204638517833</v>
      </c>
      <c r="DP24" s="67">
        <f t="shared" si="13"/>
        <v>0</v>
      </c>
      <c r="DQ24" s="67">
        <f t="shared" si="14"/>
        <v>0</v>
      </c>
      <c r="DR24" s="67">
        <f t="shared" si="15"/>
        <v>0</v>
      </c>
      <c r="DS24" s="67">
        <f t="shared" si="16"/>
        <v>49.257982888449575</v>
      </c>
      <c r="DT24" s="67">
        <f t="shared" si="17"/>
        <v>6.2131152425336706</v>
      </c>
      <c r="DU24" s="67">
        <f t="shared" si="18"/>
        <v>13.67754792522703</v>
      </c>
      <c r="DV24" s="67">
        <f t="shared" si="19"/>
        <v>76.811452062827186</v>
      </c>
      <c r="DW24" s="67">
        <f t="shared" si="20"/>
        <v>0</v>
      </c>
      <c r="DX24" s="67">
        <f t="shared" si="21"/>
        <v>494.49160005172587</v>
      </c>
    </row>
    <row r="25" spans="1:128" s="28" customFormat="1">
      <c r="A25" s="33" t="s">
        <v>32</v>
      </c>
      <c r="B25" s="205" t="s">
        <v>5559</v>
      </c>
      <c r="C25" t="str">
        <f>IF(VLOOKUP($A25,'B-Ligands'!$A:$G,5,FALSE)="","",VLOOKUP($A25,'B-Ligands'!$A:$G,5,FALSE))</f>
        <v>Guide To Pharmacology</v>
      </c>
      <c r="D25" s="19">
        <f>IF(VLOOKUP($A25,'B-Ligands'!$A:$G,6,FALSE)="","",VLOOKUP($A25,'B-Ligands'!$A:$G,6,FALSE))</f>
        <v>2844</v>
      </c>
      <c r="E25" t="str">
        <f>IF(VLOOKUP($A25,'B-Ligands'!$A:$G,7,FALSE)="","",VLOOKUP($A25,'B-Ligands'!$A:$G,7,FALSE))</f>
        <v>Phys</v>
      </c>
      <c r="F25" s="20">
        <f t="shared" si="68"/>
        <v>1</v>
      </c>
      <c r="G25" s="19" t="str">
        <f t="shared" si="69"/>
        <v/>
      </c>
      <c r="H25" s="19">
        <f t="shared" si="70"/>
        <v>1</v>
      </c>
      <c r="I25" s="19" t="str">
        <f t="shared" si="71"/>
        <v/>
      </c>
      <c r="J25" s="189">
        <f t="shared" si="26"/>
        <v>2</v>
      </c>
      <c r="K25" s="147" t="str">
        <f t="shared" si="27"/>
        <v>Gs</v>
      </c>
      <c r="L25" s="20">
        <f t="shared" si="28"/>
        <v>1</v>
      </c>
      <c r="M25" s="19">
        <f t="shared" si="29"/>
        <v>0</v>
      </c>
      <c r="N25" s="19">
        <f t="shared" si="30"/>
        <v>2</v>
      </c>
      <c r="O25" s="19">
        <f t="shared" si="31"/>
        <v>0</v>
      </c>
      <c r="P25" s="20">
        <f t="shared" si="32"/>
        <v>100</v>
      </c>
      <c r="Q25" s="19">
        <f t="shared" si="33"/>
        <v>0</v>
      </c>
      <c r="R25" s="19">
        <f t="shared" si="34"/>
        <v>99.824644088345821</v>
      </c>
      <c r="S25" s="19">
        <f t="shared" si="35"/>
        <v>0</v>
      </c>
      <c r="T25" s="20">
        <f t="shared" si="36"/>
        <v>6.0238700719289549</v>
      </c>
      <c r="U25" s="21">
        <f t="shared" si="37"/>
        <v>0</v>
      </c>
      <c r="V25" s="21">
        <f t="shared" si="38"/>
        <v>6.0133068596474599</v>
      </c>
      <c r="W25" s="21">
        <f t="shared" si="39"/>
        <v>0</v>
      </c>
      <c r="X25" s="147" t="str">
        <f t="shared" si="40"/>
        <v>GsL</v>
      </c>
      <c r="Y25" s="32">
        <f t="shared" si="41"/>
        <v>100</v>
      </c>
      <c r="Z25" s="31">
        <f t="shared" si="42"/>
        <v>0</v>
      </c>
      <c r="AA25" s="31">
        <f t="shared" si="43"/>
        <v>0</v>
      </c>
      <c r="AB25" s="31">
        <f t="shared" si="44"/>
        <v>0</v>
      </c>
      <c r="AC25" s="31">
        <f t="shared" si="45"/>
        <v>0</v>
      </c>
      <c r="AD25" s="31">
        <f t="shared" si="46"/>
        <v>0</v>
      </c>
      <c r="AE25" s="31">
        <f t="shared" si="47"/>
        <v>0</v>
      </c>
      <c r="AF25" s="31">
        <f t="shared" si="48"/>
        <v>0</v>
      </c>
      <c r="AG25" s="31">
        <f t="shared" si="49"/>
        <v>0</v>
      </c>
      <c r="AH25" s="31">
        <f t="shared" si="50"/>
        <v>99.824644088345821</v>
      </c>
      <c r="AI25" s="31">
        <f t="shared" si="51"/>
        <v>0</v>
      </c>
      <c r="AJ25" s="31">
        <f t="shared" si="52"/>
        <v>0</v>
      </c>
      <c r="AK25" s="7" cm="1">
        <f t="array" ref="AK25">_xlfn.IFS(AZ25=0,0,AZ25&gt;0,(LOG(0.01*AZ25/10^-CD25)))</f>
        <v>6.0238700719289549</v>
      </c>
      <c r="AL25" s="8" cm="1">
        <f t="array" ref="AL25">_xlfn.IFS(BA25=0,0,BA25&gt;0,(LOG(0.01*BA25/10^-CE25)))</f>
        <v>0</v>
      </c>
      <c r="AM25" s="8" cm="1">
        <f t="array" ref="AM25">_xlfn.IFS(BB25=0,0,BB25&gt;0,(LOG(0.01*BB25/10^-CF25)))</f>
        <v>0</v>
      </c>
      <c r="AN25" s="8" cm="1">
        <f t="array" ref="AN25">_xlfn.IFS(BC25=0,0,BC25&gt;0,(LOG(0.01*BC25/10^-CG25)))</f>
        <v>0</v>
      </c>
      <c r="AO25" s="8" cm="1">
        <f t="array" ref="AO25">_xlfn.IFS(BD25=0,0,BD25&gt;0,(LOG(0.01*BD25/10^-CH25)))</f>
        <v>0</v>
      </c>
      <c r="AP25" s="8" cm="1">
        <f t="array" ref="AP25">_xlfn.IFS(BE25=0,0,BE25&gt;0,(LOG(0.01*BE25/10^-CI25)))</f>
        <v>0</v>
      </c>
      <c r="AQ25" s="8" cm="1">
        <f t="array" ref="AQ25">_xlfn.IFS(BF25=0,0,BF25&gt;0,(LOG(0.01*BF25/10^-CJ25)))</f>
        <v>0</v>
      </c>
      <c r="AR25" s="8" cm="1">
        <f t="array" ref="AR25">_xlfn.IFS(BG25=0,0,BG25&gt;0,(LOG(0.01*BG25/10^-CK25)))</f>
        <v>0</v>
      </c>
      <c r="AS25" s="8" cm="1">
        <f t="array" ref="AS25">_xlfn.IFS(BH25=0,0,BH25&gt;0,(LOG(0.01*BH25/10^-CL25)))</f>
        <v>0</v>
      </c>
      <c r="AT25" s="8" cm="1">
        <f t="array" ref="AT25">_xlfn.IFS(BI25=0,0,BI25&gt;0,(LOG(0.01*BI25/10^-CM25)))</f>
        <v>6.0133068596474599</v>
      </c>
      <c r="AU25" s="8" cm="1">
        <f t="array" ref="AU25">_xlfn.IFS(BJ25=0,0,BJ25&gt;0,(LOG(0.01*BJ25/10^-CN25)))</f>
        <v>0</v>
      </c>
      <c r="AV25" s="8" cm="1">
        <f t="array" ref="AV25">_xlfn.IFS(BK25=0,0,BK25&gt;0,(LOG(0.01*BK25/10^-CO25)))</f>
        <v>0</v>
      </c>
      <c r="AW25" s="8" cm="1">
        <f t="array" ref="AW25">_xlfn.IFS(BL25=0,0,BL25&gt;0,(LOG(0.01*BL25/10^-CP25)))</f>
        <v>0</v>
      </c>
      <c r="AX25" s="8" cm="1">
        <f t="array" ref="AX25">_xlfn.IFS(BM25=0,0,BM25&gt;0,(LOG(0.01*BM25/10^-CQ25)))</f>
        <v>0</v>
      </c>
      <c r="AY25" s="8" cm="1">
        <f t="array" ref="AY25">_xlfn.IFS(BN25=0,0,BN25&gt;0,(LOG(0.01*BN25/10^-CR25)))</f>
        <v>0</v>
      </c>
      <c r="AZ25" s="32">
        <f t="shared" si="53"/>
        <v>79.409063074096764</v>
      </c>
      <c r="BA25" s="31">
        <f t="shared" si="54"/>
        <v>0</v>
      </c>
      <c r="BB25" s="31">
        <f t="shared" si="55"/>
        <v>0</v>
      </c>
      <c r="BC25" s="31">
        <f t="shared" si="56"/>
        <v>0</v>
      </c>
      <c r="BD25" s="31">
        <f t="shared" si="57"/>
        <v>0</v>
      </c>
      <c r="BE25" s="31">
        <f t="shared" si="58"/>
        <v>0</v>
      </c>
      <c r="BF25" s="31">
        <f t="shared" si="59"/>
        <v>0</v>
      </c>
      <c r="BG25" s="31">
        <f t="shared" si="60"/>
        <v>0</v>
      </c>
      <c r="BH25" s="31">
        <f t="shared" si="61"/>
        <v>0</v>
      </c>
      <c r="BI25" s="31">
        <f t="shared" si="62"/>
        <v>64.61105904404873</v>
      </c>
      <c r="BJ25" s="31">
        <f t="shared" si="63"/>
        <v>0</v>
      </c>
      <c r="BK25" s="31">
        <f t="shared" si="64"/>
        <v>0</v>
      </c>
      <c r="BL25" s="31">
        <f t="shared" si="65"/>
        <v>0</v>
      </c>
      <c r="BM25" s="31">
        <f t="shared" si="66"/>
        <v>0</v>
      </c>
      <c r="BN25" s="31">
        <f t="shared" si="67"/>
        <v>0</v>
      </c>
      <c r="BO25" s="132">
        <v>51.87</v>
      </c>
      <c r="BP25" s="133"/>
      <c r="BQ25" s="133"/>
      <c r="BR25" s="133"/>
      <c r="BS25" s="133"/>
      <c r="BT25" s="133"/>
      <c r="BU25" s="133"/>
      <c r="BV25" s="133"/>
      <c r="BW25" s="133"/>
      <c r="BX25" s="133">
        <v>689.4</v>
      </c>
      <c r="BY25" s="133"/>
      <c r="BZ25" s="133"/>
      <c r="CA25" s="133"/>
      <c r="CB25" s="133"/>
      <c r="CC25" s="133"/>
      <c r="CD25" s="36">
        <v>6.1239999999999997</v>
      </c>
      <c r="CE25" s="34"/>
      <c r="CF25" s="34"/>
      <c r="CG25" s="34"/>
      <c r="CH25" s="34"/>
      <c r="CI25" s="34"/>
      <c r="CJ25" s="34"/>
      <c r="CK25" s="34"/>
      <c r="CL25" s="34"/>
      <c r="CM25" s="34">
        <v>6.2030000000000003</v>
      </c>
      <c r="CN25" s="34"/>
      <c r="CO25" s="34"/>
      <c r="CP25" s="34"/>
      <c r="CQ25" s="34"/>
      <c r="CR25" s="34"/>
      <c r="CS25" s="168" t="str">
        <f>IF(VLOOKUP($A25,'B-Ligands'!$A:$G,3,FALSE)="","",VLOOKUP($A25,'B-Ligands'!$A:$G,3,FALSE))</f>
        <v/>
      </c>
      <c r="CT25" s="169" t="str">
        <f>IF(VLOOKUP($A25,'B-Ligands'!$A:$G,4,FALSE)="","",VLOOKUP($A25,'B-Ligands'!$A:$G,4,FALSE))</f>
        <v>Adenosine</v>
      </c>
      <c r="CU25" s="132">
        <v>23.846090981968214</v>
      </c>
      <c r="CV25" s="133">
        <v>2.328506773360437</v>
      </c>
      <c r="CW25" s="133">
        <v>13.211167098392419</v>
      </c>
      <c r="CX25" s="133">
        <v>6.8569592998989197</v>
      </c>
      <c r="CY25" s="133">
        <v>26.077691224697801</v>
      </c>
      <c r="CZ25" s="133">
        <v>31.810824380711907</v>
      </c>
      <c r="DA25" s="133">
        <v>17.936185957768714</v>
      </c>
      <c r="DB25" s="133">
        <v>19.251897042116198</v>
      </c>
      <c r="DC25" s="133">
        <v>14.571694968591867</v>
      </c>
      <c r="DD25" s="133">
        <v>22.103258396521404</v>
      </c>
      <c r="DE25" s="133">
        <v>9.0660826667518588</v>
      </c>
      <c r="DF25" s="133">
        <v>8.6362368178716924</v>
      </c>
      <c r="DG25" s="133">
        <v>31.144331337989815</v>
      </c>
      <c r="DH25" s="133">
        <v>24.084987385634555</v>
      </c>
      <c r="DI25" s="133">
        <v>22.685158556483163</v>
      </c>
      <c r="DJ25" s="66">
        <f t="shared" si="7"/>
        <v>2.1751992827345465</v>
      </c>
      <c r="DK25" s="67">
        <f t="shared" si="8"/>
        <v>0</v>
      </c>
      <c r="DL25" s="67">
        <f t="shared" si="9"/>
        <v>0</v>
      </c>
      <c r="DM25" s="67">
        <f t="shared" si="10"/>
        <v>0</v>
      </c>
      <c r="DN25" s="67">
        <f t="shared" si="11"/>
        <v>0</v>
      </c>
      <c r="DO25" s="67">
        <f t="shared" si="12"/>
        <v>0</v>
      </c>
      <c r="DP25" s="67">
        <f t="shared" si="13"/>
        <v>0</v>
      </c>
      <c r="DQ25" s="67">
        <f t="shared" si="14"/>
        <v>0</v>
      </c>
      <c r="DR25" s="67">
        <f t="shared" si="15"/>
        <v>0</v>
      </c>
      <c r="DS25" s="67">
        <f t="shared" si="16"/>
        <v>31.189971525125785</v>
      </c>
      <c r="DT25" s="67">
        <f t="shared" si="17"/>
        <v>0</v>
      </c>
      <c r="DU25" s="67">
        <f t="shared" si="18"/>
        <v>0</v>
      </c>
      <c r="DV25" s="67">
        <f t="shared" si="19"/>
        <v>0</v>
      </c>
      <c r="DW25" s="67">
        <f t="shared" si="20"/>
        <v>0</v>
      </c>
      <c r="DX25" s="67">
        <f t="shared" si="21"/>
        <v>0</v>
      </c>
    </row>
    <row r="26" spans="1:128" s="28" customFormat="1">
      <c r="A26" s="33" t="s">
        <v>206</v>
      </c>
      <c r="B26" s="205" t="s">
        <v>5559</v>
      </c>
      <c r="C26" t="str">
        <f>IF(VLOOKUP($A26,'B-Ligands'!$A:$G,5,FALSE)="","",VLOOKUP($A26,'B-Ligands'!$A:$G,5,FALSE))</f>
        <v>Guide To Pharmacology</v>
      </c>
      <c r="D26" s="19">
        <f>IF(VLOOKUP($A26,'B-Ligands'!$A:$G,6,FALSE)="","",VLOOKUP($A26,'B-Ligands'!$A:$G,6,FALSE))</f>
        <v>1883</v>
      </c>
      <c r="E26" t="str">
        <f>IF(VLOOKUP($A26,'B-Ligands'!$A:$G,7,FALSE)="","",VLOOKUP($A26,'B-Ligands'!$A:$G,7,FALSE))</f>
        <v>Phys</v>
      </c>
      <c r="F26" s="20">
        <f t="shared" si="68"/>
        <v>1</v>
      </c>
      <c r="G26" s="19">
        <f t="shared" si="69"/>
        <v>1</v>
      </c>
      <c r="H26" s="19">
        <f t="shared" si="70"/>
        <v>1</v>
      </c>
      <c r="I26" s="19">
        <f t="shared" si="71"/>
        <v>1</v>
      </c>
      <c r="J26" s="189">
        <f t="shared" si="26"/>
        <v>4</v>
      </c>
      <c r="K26" s="147" t="str">
        <f t="shared" si="27"/>
        <v>Gs</v>
      </c>
      <c r="L26" s="20">
        <f t="shared" si="28"/>
        <v>1</v>
      </c>
      <c r="M26" s="19">
        <f t="shared" si="29"/>
        <v>2</v>
      </c>
      <c r="N26" s="19">
        <f t="shared" si="30"/>
        <v>3</v>
      </c>
      <c r="O26" s="19">
        <f t="shared" si="31"/>
        <v>4</v>
      </c>
      <c r="P26" s="20">
        <f t="shared" si="32"/>
        <v>100</v>
      </c>
      <c r="Q26" s="19">
        <f t="shared" si="33"/>
        <v>85.048385525296951</v>
      </c>
      <c r="R26" s="19">
        <f t="shared" si="34"/>
        <v>82.887470757857955</v>
      </c>
      <c r="S26" s="19">
        <f t="shared" si="35"/>
        <v>82.77258971387873</v>
      </c>
      <c r="T26" s="20">
        <f t="shared" si="36"/>
        <v>10.468159105714415</v>
      </c>
      <c r="U26" s="21">
        <f t="shared" si="37"/>
        <v>8.9030003136294731</v>
      </c>
      <c r="V26" s="21">
        <f t="shared" si="38"/>
        <v>8.6767923176350816</v>
      </c>
      <c r="W26" s="21">
        <f t="shared" si="39"/>
        <v>8.6647663871690295</v>
      </c>
      <c r="X26" s="147" t="str">
        <f t="shared" si="40"/>
        <v>GsL</v>
      </c>
      <c r="Y26" s="32">
        <f t="shared" si="41"/>
        <v>100</v>
      </c>
      <c r="Z26" s="31">
        <f t="shared" si="42"/>
        <v>85.048385525296951</v>
      </c>
      <c r="AA26" s="31">
        <f t="shared" si="43"/>
        <v>79.402379773979959</v>
      </c>
      <c r="AB26" s="31">
        <f t="shared" si="44"/>
        <v>0</v>
      </c>
      <c r="AC26" s="31">
        <f t="shared" si="45"/>
        <v>67.238380763920532</v>
      </c>
      <c r="AD26" s="31">
        <f t="shared" si="46"/>
        <v>69.117969790206217</v>
      </c>
      <c r="AE26" s="31">
        <f t="shared" si="47"/>
        <v>0</v>
      </c>
      <c r="AF26" s="31">
        <f t="shared" si="48"/>
        <v>0</v>
      </c>
      <c r="AG26" s="31">
        <f t="shared" si="49"/>
        <v>0</v>
      </c>
      <c r="AH26" s="31">
        <f t="shared" si="50"/>
        <v>82.887470757857955</v>
      </c>
      <c r="AI26" s="31">
        <f t="shared" si="51"/>
        <v>82.77258971387873</v>
      </c>
      <c r="AJ26" s="31">
        <f t="shared" si="52"/>
        <v>75.18298170345183</v>
      </c>
      <c r="AK26" s="7" cm="1">
        <f t="array" ref="AK26">_xlfn.IFS(AZ26=0,0,AZ26&gt;0,(LOG(0.01*AZ26/10^-CD26)))</f>
        <v>10.468159105714415</v>
      </c>
      <c r="AL26" s="8" cm="1">
        <f t="array" ref="AL26">_xlfn.IFS(BA26=0,0,BA26&gt;0,(LOG(0.01*BA26/10^-CE26)))</f>
        <v>8.9030003136294731</v>
      </c>
      <c r="AM26" s="8" cm="1">
        <f t="array" ref="AM26">_xlfn.IFS(BB26=0,0,BB26&gt;0,(LOG(0.01*BB26/10^-CF26)))</f>
        <v>8.3119674484638235</v>
      </c>
      <c r="AN26" s="8" cm="1">
        <f t="array" ref="AN26">_xlfn.IFS(BC26=0,0,BC26&gt;0,(LOG(0.01*BC26/10^-CG26)))</f>
        <v>0</v>
      </c>
      <c r="AO26" s="8" cm="1">
        <f t="array" ref="AO26">_xlfn.IFS(BD26=0,0,BD26&gt;0,(LOG(0.01*BD26/10^-CH26)))</f>
        <v>7.0386206784732774</v>
      </c>
      <c r="AP26" s="8" cm="1">
        <f t="array" ref="AP26">_xlfn.IFS(BE26=0,0,BE26&gt;0,(LOG(0.01*BE26/10^-CI26)))</f>
        <v>7.2353790482784115</v>
      </c>
      <c r="AQ26" s="8" cm="1">
        <f t="array" ref="AQ26">_xlfn.IFS(BF26=0,0,BF26&gt;0,(LOG(0.01*BF26/10^-CJ26)))</f>
        <v>0</v>
      </c>
      <c r="AR26" s="8" cm="1">
        <f t="array" ref="AR26">_xlfn.IFS(BG26=0,0,BG26&gt;0,(LOG(0.01*BG26/10^-CK26)))</f>
        <v>0</v>
      </c>
      <c r="AS26" s="8" cm="1">
        <f t="array" ref="AS26">_xlfn.IFS(BH26=0,0,BH26&gt;0,(LOG(0.01*BH26/10^-CL26)))</f>
        <v>0</v>
      </c>
      <c r="AT26" s="8" cm="1">
        <f t="array" ref="AT26">_xlfn.IFS(BI26=0,0,BI26&gt;0,(LOG(0.01*BI26/10^-CM26)))</f>
        <v>8.6767923176350816</v>
      </c>
      <c r="AU26" s="8" cm="1">
        <f t="array" ref="AU26">_xlfn.IFS(BJ26=0,0,BJ26&gt;0,(LOG(0.01*BJ26/10^-CN26)))</f>
        <v>8.6647663871690295</v>
      </c>
      <c r="AV26" s="8" cm="1">
        <f t="array" ref="AV26">_xlfn.IFS(BK26=0,0,BK26&gt;0,(LOG(0.01*BK26/10^-CO26)))</f>
        <v>7.8702741451374942</v>
      </c>
      <c r="AW26" s="8" cm="1">
        <f t="array" ref="AW26">_xlfn.IFS(BL26=0,0,BL26&gt;0,(LOG(0.01*BL26/10^-CP26)))</f>
        <v>7.8474674861769032</v>
      </c>
      <c r="AX26" s="8" cm="1">
        <f t="array" ref="AX26">_xlfn.IFS(BM26=0,0,BM26&gt;0,(LOG(0.01*BM26/10^-CQ26)))</f>
        <v>7.7186404417425152</v>
      </c>
      <c r="AY26" s="8" cm="1">
        <f t="array" ref="AY26">_xlfn.IFS(BN26=0,0,BN26&gt;0,(LOG(0.01*BN26/10^-CR26)))</f>
        <v>7.9426555523650082</v>
      </c>
      <c r="AZ26" s="32">
        <f t="shared" si="53"/>
        <v>72.137170851194128</v>
      </c>
      <c r="BA26" s="31">
        <f t="shared" si="54"/>
        <v>55.59046587215601</v>
      </c>
      <c r="BB26" s="31">
        <f t="shared" si="55"/>
        <v>26.728060671722645</v>
      </c>
      <c r="BC26" s="31">
        <f t="shared" si="56"/>
        <v>0</v>
      </c>
      <c r="BD26" s="31">
        <f t="shared" si="57"/>
        <v>6.6316359696641385</v>
      </c>
      <c r="BE26" s="31">
        <f t="shared" si="58"/>
        <v>9.6023835319609976</v>
      </c>
      <c r="BF26" s="31">
        <f t="shared" si="59"/>
        <v>0</v>
      </c>
      <c r="BG26" s="31">
        <f t="shared" si="60"/>
        <v>0</v>
      </c>
      <c r="BH26" s="31">
        <f t="shared" si="61"/>
        <v>0</v>
      </c>
      <c r="BI26" s="31">
        <f t="shared" si="62"/>
        <v>64.386129334582947</v>
      </c>
      <c r="BJ26" s="31">
        <f t="shared" si="63"/>
        <v>10.709430756159728</v>
      </c>
      <c r="BK26" s="31">
        <f t="shared" si="64"/>
        <v>13.685924667233078</v>
      </c>
      <c r="BL26" s="31">
        <f t="shared" si="65"/>
        <v>8.4424303457536087</v>
      </c>
      <c r="BM26" s="31">
        <f t="shared" si="66"/>
        <v>13.447465592480699</v>
      </c>
      <c r="BN26" s="31">
        <f t="shared" si="67"/>
        <v>4.9278281302450493</v>
      </c>
      <c r="BO26" s="132">
        <v>47.12</v>
      </c>
      <c r="BP26" s="133">
        <v>513.1</v>
      </c>
      <c r="BQ26" s="133">
        <v>246.7</v>
      </c>
      <c r="BR26" s="133"/>
      <c r="BS26" s="133">
        <v>61.21</v>
      </c>
      <c r="BT26" s="133">
        <v>88.63</v>
      </c>
      <c r="BU26" s="133"/>
      <c r="BV26" s="133"/>
      <c r="BW26" s="133"/>
      <c r="BX26" s="133">
        <v>687</v>
      </c>
      <c r="BY26" s="133">
        <v>75.63</v>
      </c>
      <c r="BZ26" s="133">
        <v>96.65</v>
      </c>
      <c r="CA26" s="133">
        <v>251.5</v>
      </c>
      <c r="CB26" s="133">
        <v>400.6</v>
      </c>
      <c r="CC26" s="133">
        <v>146.80000000000001</v>
      </c>
      <c r="CD26" s="36">
        <v>10.61</v>
      </c>
      <c r="CE26" s="34">
        <v>9.1579999999999995</v>
      </c>
      <c r="CF26" s="34">
        <v>8.8849999999999998</v>
      </c>
      <c r="CG26" s="34"/>
      <c r="CH26" s="34">
        <v>8.2170000000000005</v>
      </c>
      <c r="CI26" s="34">
        <v>8.2530000000000001</v>
      </c>
      <c r="CJ26" s="34"/>
      <c r="CK26" s="34"/>
      <c r="CL26" s="34"/>
      <c r="CM26" s="34">
        <v>8.8680000000000003</v>
      </c>
      <c r="CN26" s="34">
        <v>9.6349999999999998</v>
      </c>
      <c r="CO26" s="34">
        <v>8.734</v>
      </c>
      <c r="CP26" s="34">
        <v>8.9209999999999994</v>
      </c>
      <c r="CQ26" s="34">
        <v>8.59</v>
      </c>
      <c r="CR26" s="34">
        <v>9.25</v>
      </c>
      <c r="CS26" s="168" t="str">
        <f>IF(VLOOKUP($A26,'B-Ligands'!$A:$G,3,FALSE)="","",VLOOKUP($A26,'B-Ligands'!$A:$G,3,FALSE))</f>
        <v>PGE2</v>
      </c>
      <c r="CT26" s="169" t="str">
        <f>IF(VLOOKUP($A26,'B-Ligands'!$A:$G,4,FALSE)="","",VLOOKUP($A26,'B-Ligands'!$A:$G,4,FALSE))</f>
        <v>Prostaglandin E5</v>
      </c>
      <c r="CU26" s="132">
        <v>1.5517816181877149</v>
      </c>
      <c r="CV26" s="133">
        <v>25.373448296518283</v>
      </c>
      <c r="CW26" s="133">
        <v>9.5122864180634714</v>
      </c>
      <c r="CX26" s="133">
        <v>1.2420947222850236</v>
      </c>
      <c r="CY26" s="133">
        <v>1.5575039233183805</v>
      </c>
      <c r="CZ26" s="133">
        <v>6.3143033186503414</v>
      </c>
      <c r="DA26" s="133">
        <v>9.3064393341493385</v>
      </c>
      <c r="DB26" s="133">
        <v>11.929394735753286</v>
      </c>
      <c r="DC26" s="133">
        <v>18.4249446903132</v>
      </c>
      <c r="DD26" s="133">
        <v>16.02293665174469</v>
      </c>
      <c r="DE26" s="133">
        <v>26.755389748249527</v>
      </c>
      <c r="DF26" s="133">
        <v>15.294845720779062</v>
      </c>
      <c r="DG26" s="133">
        <v>7.7452553680465179</v>
      </c>
      <c r="DH26" s="133">
        <v>11.464682189452164</v>
      </c>
      <c r="DI26" s="133">
        <v>16.005536832699132</v>
      </c>
      <c r="DJ26" s="66">
        <f t="shared" si="7"/>
        <v>30.365097413017569</v>
      </c>
      <c r="DK26" s="67">
        <f t="shared" si="8"/>
        <v>20.221926243679185</v>
      </c>
      <c r="DL26" s="67">
        <f t="shared" si="9"/>
        <v>25.934879287436722</v>
      </c>
      <c r="DM26" s="67">
        <f t="shared" si="10"/>
        <v>0</v>
      </c>
      <c r="DN26" s="67">
        <f t="shared" si="11"/>
        <v>39.300061517397303</v>
      </c>
      <c r="DO26" s="67">
        <f t="shared" si="12"/>
        <v>14.036386205619328</v>
      </c>
      <c r="DP26" s="67">
        <f t="shared" si="13"/>
        <v>0</v>
      </c>
      <c r="DQ26" s="67">
        <f t="shared" si="14"/>
        <v>0</v>
      </c>
      <c r="DR26" s="67">
        <f t="shared" si="15"/>
        <v>0</v>
      </c>
      <c r="DS26" s="67">
        <f t="shared" si="16"/>
        <v>42.876035456658606</v>
      </c>
      <c r="DT26" s="67">
        <f t="shared" si="17"/>
        <v>2.8267201753227345</v>
      </c>
      <c r="DU26" s="67">
        <f t="shared" si="18"/>
        <v>6.31912225624444</v>
      </c>
      <c r="DV26" s="67">
        <f t="shared" si="19"/>
        <v>32.471492294182738</v>
      </c>
      <c r="DW26" s="67">
        <f t="shared" si="20"/>
        <v>34.942093760659453</v>
      </c>
      <c r="DX26" s="67">
        <f t="shared" si="21"/>
        <v>9.171826070843764</v>
      </c>
    </row>
    <row r="27" spans="1:128" s="28" customFormat="1">
      <c r="A27" s="33" t="s">
        <v>161</v>
      </c>
      <c r="B27" s="205" t="s">
        <v>5559</v>
      </c>
      <c r="C27" t="str">
        <f>IF(VLOOKUP($A27,'B-Ligands'!$A:$G,5,FALSE)="","",VLOOKUP($A27,'B-Ligands'!$A:$G,5,FALSE))</f>
        <v>Guide To Pharmacology</v>
      </c>
      <c r="D27" s="19">
        <f>IF(VLOOKUP($A27,'B-Ligands'!$A:$G,6,FALSE)="","",VLOOKUP($A27,'B-Ligands'!$A:$G,6,FALSE))</f>
        <v>1320</v>
      </c>
      <c r="E27" t="str">
        <f>IF(VLOOKUP($A27,'B-Ligands'!$A:$G,7,FALSE)="","",VLOOKUP($A27,'B-Ligands'!$A:$G,7,FALSE))</f>
        <v>Phys</v>
      </c>
      <c r="F27" s="20">
        <f t="shared" si="68"/>
        <v>1</v>
      </c>
      <c r="G27" s="19">
        <f t="shared" si="69"/>
        <v>1</v>
      </c>
      <c r="H27" s="19">
        <f t="shared" si="70"/>
        <v>1</v>
      </c>
      <c r="I27" s="19">
        <f t="shared" si="71"/>
        <v>1</v>
      </c>
      <c r="J27" s="189">
        <f t="shared" si="26"/>
        <v>4</v>
      </c>
      <c r="K27" s="147" t="str">
        <f t="shared" si="27"/>
        <v>Gq/11</v>
      </c>
      <c r="L27" s="20">
        <f t="shared" si="28"/>
        <v>2</v>
      </c>
      <c r="M27" s="19">
        <f t="shared" si="29"/>
        <v>3</v>
      </c>
      <c r="N27" s="19">
        <f t="shared" si="30"/>
        <v>1</v>
      </c>
      <c r="O27" s="19">
        <f t="shared" si="31"/>
        <v>4</v>
      </c>
      <c r="P27" s="20">
        <f t="shared" si="32"/>
        <v>98.545406465006124</v>
      </c>
      <c r="Q27" s="19">
        <f t="shared" si="33"/>
        <v>70.974695830984928</v>
      </c>
      <c r="R27" s="19">
        <f t="shared" si="34"/>
        <v>100</v>
      </c>
      <c r="S27" s="19">
        <f t="shared" si="35"/>
        <v>58.703827367829064</v>
      </c>
      <c r="T27" s="20">
        <f t="shared" si="36"/>
        <v>7.9415424070435696</v>
      </c>
      <c r="U27" s="21">
        <f t="shared" si="37"/>
        <v>5.7196837172612316</v>
      </c>
      <c r="V27" s="21">
        <f t="shared" si="38"/>
        <v>8.0587646770361072</v>
      </c>
      <c r="W27" s="21">
        <f t="shared" si="39"/>
        <v>4.730803303986864</v>
      </c>
      <c r="X27" s="147" t="str">
        <f t="shared" si="40"/>
        <v>G15</v>
      </c>
      <c r="Y27" s="32">
        <f t="shared" si="41"/>
        <v>98.545406465006124</v>
      </c>
      <c r="Z27" s="31">
        <f t="shared" si="42"/>
        <v>0</v>
      </c>
      <c r="AA27" s="31">
        <f t="shared" si="43"/>
        <v>0</v>
      </c>
      <c r="AB27" s="31">
        <f t="shared" si="44"/>
        <v>0</v>
      </c>
      <c r="AC27" s="31">
        <f t="shared" si="45"/>
        <v>0</v>
      </c>
      <c r="AD27" s="31">
        <f t="shared" si="46"/>
        <v>70.974695830984928</v>
      </c>
      <c r="AE27" s="31">
        <f t="shared" si="47"/>
        <v>0</v>
      </c>
      <c r="AF27" s="31">
        <f t="shared" si="48"/>
        <v>0</v>
      </c>
      <c r="AG27" s="31">
        <f t="shared" si="49"/>
        <v>0</v>
      </c>
      <c r="AH27" s="31">
        <f t="shared" si="50"/>
        <v>100</v>
      </c>
      <c r="AI27" s="31">
        <f t="shared" si="51"/>
        <v>0</v>
      </c>
      <c r="AJ27" s="31">
        <f t="shared" si="52"/>
        <v>58.703827367829064</v>
      </c>
      <c r="AK27" s="7" cm="1">
        <f t="array" ref="AK27">_xlfn.IFS(AZ27=0,0,AZ27&gt;0,(LOG(0.01*AZ27/10^-CD27)))</f>
        <v>7.9415424070435696</v>
      </c>
      <c r="AL27" s="8" cm="1">
        <f t="array" ref="AL27">_xlfn.IFS(BA27=0,0,BA27&gt;0,(LOG(0.01*BA27/10^-CE27)))</f>
        <v>0</v>
      </c>
      <c r="AM27" s="8" cm="1">
        <f t="array" ref="AM27">_xlfn.IFS(BB27=0,0,BB27&gt;0,(LOG(0.01*BB27/10^-CF27)))</f>
        <v>0</v>
      </c>
      <c r="AN27" s="8" cm="1">
        <f t="array" ref="AN27">_xlfn.IFS(BC27=0,0,BC27&gt;0,(LOG(0.01*BC27/10^-CG27)))</f>
        <v>0</v>
      </c>
      <c r="AO27" s="8" cm="1">
        <f t="array" ref="AO27">_xlfn.IFS(BD27=0,0,BD27&gt;0,(LOG(0.01*BD27/10^-CH27)))</f>
        <v>0</v>
      </c>
      <c r="AP27" s="8" cm="1">
        <f t="array" ref="AP27">_xlfn.IFS(BE27=0,0,BE27&gt;0,(LOG(0.01*BE27/10^-CI27)))</f>
        <v>5.7196837172612316</v>
      </c>
      <c r="AQ27" s="8" cm="1">
        <f t="array" ref="AQ27">_xlfn.IFS(BF27=0,0,BF27&gt;0,(LOG(0.01*BF27/10^-CJ27)))</f>
        <v>0</v>
      </c>
      <c r="AR27" s="8" cm="1">
        <f t="array" ref="AR27">_xlfn.IFS(BG27=0,0,BG27&gt;0,(LOG(0.01*BG27/10^-CK27)))</f>
        <v>0</v>
      </c>
      <c r="AS27" s="8" cm="1">
        <f t="array" ref="AS27">_xlfn.IFS(BH27=0,0,BH27&gt;0,(LOG(0.01*BH27/10^-CL27)))</f>
        <v>0</v>
      </c>
      <c r="AT27" s="8" cm="1">
        <f t="array" ref="AT27">_xlfn.IFS(BI27=0,0,BI27&gt;0,(LOG(0.01*BI27/10^-CM27)))</f>
        <v>8.0587646770361072</v>
      </c>
      <c r="AU27" s="8" cm="1">
        <f t="array" ref="AU27">_xlfn.IFS(BJ27=0,0,BJ27&gt;0,(LOG(0.01*BJ27/10^-CN27)))</f>
        <v>0</v>
      </c>
      <c r="AV27" s="8" cm="1">
        <f t="array" ref="AV27">_xlfn.IFS(BK27=0,0,BK27&gt;0,(LOG(0.01*BK27/10^-CO27)))</f>
        <v>4.730803303986864</v>
      </c>
      <c r="AW27" s="8" cm="1">
        <f t="array" ref="AW27">_xlfn.IFS(BL27=0,0,BL27&gt;0,(LOG(0.01*BL27/10^-CP27)))</f>
        <v>0</v>
      </c>
      <c r="AX27" s="8" cm="1">
        <f t="array" ref="AX27">_xlfn.IFS(BM27=0,0,BM27&gt;0,(LOG(0.01*BM27/10^-CQ27)))</f>
        <v>5.2166085253674055</v>
      </c>
      <c r="AY27" s="8" cm="1">
        <f t="array" ref="AY27">_xlfn.IFS(BN27=0,0,BN27&gt;0,(LOG(0.01*BN27/10^-CR27)))</f>
        <v>5.8582501751679326</v>
      </c>
      <c r="AZ27" s="32">
        <f t="shared" si="53"/>
        <v>55.404164115125539</v>
      </c>
      <c r="BA27" s="31">
        <f t="shared" si="54"/>
        <v>0</v>
      </c>
      <c r="BB27" s="31">
        <f t="shared" si="55"/>
        <v>0</v>
      </c>
      <c r="BC27" s="31">
        <f t="shared" si="56"/>
        <v>0</v>
      </c>
      <c r="BD27" s="31">
        <f t="shared" si="57"/>
        <v>0</v>
      </c>
      <c r="BE27" s="31">
        <f t="shared" si="58"/>
        <v>1.5124593716143011</v>
      </c>
      <c r="BF27" s="31">
        <f t="shared" si="59"/>
        <v>0</v>
      </c>
      <c r="BG27" s="31">
        <f t="shared" si="60"/>
        <v>0</v>
      </c>
      <c r="BH27" s="31">
        <f t="shared" si="61"/>
        <v>0</v>
      </c>
      <c r="BI27" s="31">
        <f t="shared" si="62"/>
        <v>64.086223055295221</v>
      </c>
      <c r="BJ27" s="31">
        <f t="shared" si="63"/>
        <v>0</v>
      </c>
      <c r="BK27" s="31">
        <f t="shared" si="64"/>
        <v>10.134522798074197</v>
      </c>
      <c r="BL27" s="31">
        <f t="shared" si="65"/>
        <v>0</v>
      </c>
      <c r="BM27" s="31">
        <f t="shared" si="66"/>
        <v>1.5297079556898288</v>
      </c>
      <c r="BN27" s="31">
        <f t="shared" si="67"/>
        <v>2.5659617321248742</v>
      </c>
      <c r="BO27" s="134">
        <v>36.19</v>
      </c>
      <c r="BP27" s="135"/>
      <c r="BQ27" s="135"/>
      <c r="BR27" s="135"/>
      <c r="BS27" s="135"/>
      <c r="BT27" s="172">
        <v>13.96</v>
      </c>
      <c r="BU27" s="135"/>
      <c r="BV27" s="135"/>
      <c r="BW27" s="135"/>
      <c r="BX27" s="135">
        <v>683.8</v>
      </c>
      <c r="BY27" s="135"/>
      <c r="BZ27" s="135">
        <v>71.569999999999993</v>
      </c>
      <c r="CA27" s="135"/>
      <c r="CB27" s="135">
        <v>45.57</v>
      </c>
      <c r="CC27" s="135">
        <v>76.44</v>
      </c>
      <c r="CD27" s="30">
        <v>8.1980000000000004</v>
      </c>
      <c r="CE27" s="29"/>
      <c r="CF27" s="29"/>
      <c r="CG27" s="29"/>
      <c r="CH27" s="29"/>
      <c r="CI27" s="38">
        <v>7.54</v>
      </c>
      <c r="CJ27" s="29"/>
      <c r="CK27" s="29"/>
      <c r="CL27" s="29"/>
      <c r="CM27" s="29">
        <v>8.2520000000000007</v>
      </c>
      <c r="CN27" s="29"/>
      <c r="CO27" s="29">
        <v>5.7249999999999996</v>
      </c>
      <c r="CP27" s="29"/>
      <c r="CQ27" s="29">
        <v>7.032</v>
      </c>
      <c r="CR27" s="29">
        <v>7.4489999999999998</v>
      </c>
      <c r="CS27" s="168" t="str">
        <f>IF(VLOOKUP($A27,'B-Ligands'!$A:$G,3,FALSE)="","",VLOOKUP($A27,'B-Ligands'!$A:$G,3,FALSE))</f>
        <v>α-MSH</v>
      </c>
      <c r="CT27" s="169" t="str">
        <f>IF(VLOOKUP($A27,'B-Ligands'!$A:$G,4,FALSE)="","",VLOOKUP($A27,'B-Ligands'!$A:$G,4,FALSE))</f>
        <v>α-melanocyte stimulating hormone</v>
      </c>
      <c r="CU27" s="134">
        <v>7.9724936177455019</v>
      </c>
      <c r="CV27" s="135">
        <v>0.85022859461307332</v>
      </c>
      <c r="CW27" s="135">
        <v>1.1796485331504614</v>
      </c>
      <c r="CX27" s="135">
        <v>22.372793620454878</v>
      </c>
      <c r="CY27" s="135">
        <v>14.980289093298264</v>
      </c>
      <c r="CZ27" s="135">
        <v>8.9356496529175153</v>
      </c>
      <c r="DA27" s="135">
        <v>7.3548140236975978</v>
      </c>
      <c r="DB27" s="135">
        <v>6.0977283106684368</v>
      </c>
      <c r="DC27" s="135">
        <v>10.020316792025909</v>
      </c>
      <c r="DD27" s="135">
        <v>8.9072781099087095</v>
      </c>
      <c r="DE27" s="135">
        <v>5.5874275251828438</v>
      </c>
      <c r="DF27" s="135">
        <v>7.94923426931084</v>
      </c>
      <c r="DG27" s="135">
        <v>7.7613118976400521</v>
      </c>
      <c r="DH27" s="135">
        <v>1.8175599959452393</v>
      </c>
      <c r="DI27" s="135">
        <v>7.9179051746241624</v>
      </c>
      <c r="DJ27" s="66">
        <f t="shared" si="7"/>
        <v>4.5393576633848687</v>
      </c>
      <c r="DK27" s="67">
        <f t="shared" si="8"/>
        <v>0</v>
      </c>
      <c r="DL27" s="67">
        <f t="shared" si="9"/>
        <v>0</v>
      </c>
      <c r="DM27" s="67">
        <f t="shared" si="10"/>
        <v>0</v>
      </c>
      <c r="DN27" s="67">
        <f t="shared" si="11"/>
        <v>0</v>
      </c>
      <c r="DO27" s="67">
        <f t="shared" si="12"/>
        <v>1.5622814839704486</v>
      </c>
      <c r="DP27" s="67">
        <f t="shared" si="13"/>
        <v>0</v>
      </c>
      <c r="DQ27" s="67">
        <f t="shared" si="14"/>
        <v>0</v>
      </c>
      <c r="DR27" s="67">
        <f t="shared" si="15"/>
        <v>0</v>
      </c>
      <c r="DS27" s="67">
        <f t="shared" si="16"/>
        <v>76.768681920835206</v>
      </c>
      <c r="DT27" s="67">
        <f t="shared" si="17"/>
        <v>0</v>
      </c>
      <c r="DU27" s="67">
        <f t="shared" si="18"/>
        <v>9.0033829140381805</v>
      </c>
      <c r="DV27" s="67">
        <f t="shared" si="19"/>
        <v>0</v>
      </c>
      <c r="DW27" s="67">
        <f t="shared" si="20"/>
        <v>25.072074705462963</v>
      </c>
      <c r="DX27" s="67">
        <f t="shared" si="21"/>
        <v>9.6540686348429734</v>
      </c>
    </row>
    <row r="28" spans="1:128" s="28" customFormat="1">
      <c r="A28" s="33" t="s">
        <v>22</v>
      </c>
      <c r="B28" s="205" t="s">
        <v>5559</v>
      </c>
      <c r="C28" t="str">
        <f>IF(VLOOKUP($A28,'B-Ligands'!$A:$G,5,FALSE)="","",VLOOKUP($A28,'B-Ligands'!$A:$G,5,FALSE))</f>
        <v>Guide To Pharmacology</v>
      </c>
      <c r="D28" s="19">
        <f>IF(VLOOKUP($A28,'B-Ligands'!$A:$G,6,FALSE)="","",VLOOKUP($A28,'B-Ligands'!$A:$G,6,FALSE))</f>
        <v>5</v>
      </c>
      <c r="E28" t="str">
        <f>IF(VLOOKUP($A28,'B-Ligands'!$A:$G,7,FALSE)="","",VLOOKUP($A28,'B-Ligands'!$A:$G,7,FALSE))</f>
        <v>Phys</v>
      </c>
      <c r="F28" s="20" t="str">
        <f t="shared" si="68"/>
        <v/>
      </c>
      <c r="G28" s="19">
        <f t="shared" si="69"/>
        <v>1</v>
      </c>
      <c r="H28" s="19">
        <f t="shared" si="70"/>
        <v>1</v>
      </c>
      <c r="I28" s="19">
        <f t="shared" si="71"/>
        <v>1</v>
      </c>
      <c r="J28" s="189">
        <f t="shared" si="26"/>
        <v>3</v>
      </c>
      <c r="K28" s="147" t="str">
        <f t="shared" si="27"/>
        <v>Gi/o</v>
      </c>
      <c r="L28" s="20">
        <f t="shared" si="28"/>
        <v>0</v>
      </c>
      <c r="M28" s="19">
        <f t="shared" si="29"/>
        <v>1</v>
      </c>
      <c r="N28" s="19">
        <f t="shared" si="30"/>
        <v>2</v>
      </c>
      <c r="O28" s="19">
        <f t="shared" si="31"/>
        <v>3</v>
      </c>
      <c r="P28" s="20">
        <f t="shared" si="32"/>
        <v>0</v>
      </c>
      <c r="Q28" s="19">
        <f t="shared" si="33"/>
        <v>100</v>
      </c>
      <c r="R28" s="19">
        <f t="shared" si="34"/>
        <v>96.916014332312017</v>
      </c>
      <c r="S28" s="19">
        <f t="shared" si="35"/>
        <v>84.097850559059822</v>
      </c>
      <c r="T28" s="20">
        <f t="shared" si="36"/>
        <v>0</v>
      </c>
      <c r="U28" s="21">
        <f t="shared" si="37"/>
        <v>8.6860960371914278</v>
      </c>
      <c r="V28" s="21">
        <f t="shared" si="38"/>
        <v>8.4182180803228306</v>
      </c>
      <c r="W28" s="21">
        <f t="shared" si="39"/>
        <v>7.3048200647736641</v>
      </c>
      <c r="X28" s="147" t="str">
        <f t="shared" si="40"/>
        <v>Gz</v>
      </c>
      <c r="Y28" s="32">
        <f t="shared" si="41"/>
        <v>0</v>
      </c>
      <c r="Z28" s="31">
        <f t="shared" si="42"/>
        <v>79.253375999794343</v>
      </c>
      <c r="AA28" s="31">
        <f t="shared" si="43"/>
        <v>77.352767369713234</v>
      </c>
      <c r="AB28" s="31">
        <f t="shared" si="44"/>
        <v>77.82178198982939</v>
      </c>
      <c r="AC28" s="31">
        <f t="shared" si="45"/>
        <v>83.675440450649688</v>
      </c>
      <c r="AD28" s="31">
        <f t="shared" si="46"/>
        <v>100</v>
      </c>
      <c r="AE28" s="31">
        <f t="shared" si="47"/>
        <v>0</v>
      </c>
      <c r="AF28" s="31">
        <f t="shared" si="48"/>
        <v>0</v>
      </c>
      <c r="AG28" s="31">
        <f t="shared" si="49"/>
        <v>0</v>
      </c>
      <c r="AH28" s="31">
        <f t="shared" si="50"/>
        <v>96.916014332312017</v>
      </c>
      <c r="AI28" s="31">
        <f t="shared" si="51"/>
        <v>84.097850559059822</v>
      </c>
      <c r="AJ28" s="31">
        <f t="shared" si="52"/>
        <v>83.984732551057476</v>
      </c>
      <c r="AK28" s="7" cm="1">
        <f t="array" ref="AK28">_xlfn.IFS(AZ28=0,0,AZ28&gt;0,(LOG(0.01*AZ28/10^-CD28)))</f>
        <v>0</v>
      </c>
      <c r="AL28" s="8" cm="1">
        <f t="array" ref="AL28">_xlfn.IFS(BA28=0,0,BA28&gt;0,(LOG(0.01*BA28/10^-CE28)))</f>
        <v>6.8840243520585584</v>
      </c>
      <c r="AM28" s="8" cm="1">
        <f t="array" ref="AM28">_xlfn.IFS(BB28=0,0,BB28&gt;0,(LOG(0.01*BB28/10^-CF28)))</f>
        <v>6.7189356611585653</v>
      </c>
      <c r="AN28" s="8" cm="1">
        <f t="array" ref="AN28">_xlfn.IFS(BC28=0,0,BC28&gt;0,(LOG(0.01*BC28/10^-CG28)))</f>
        <v>6.7596747214903221</v>
      </c>
      <c r="AO28" s="8" cm="1">
        <f t="array" ref="AO28">_xlfn.IFS(BD28=0,0,BD28&gt;0,(LOG(0.01*BD28/10^-CH28)))</f>
        <v>7.2681291170863549</v>
      </c>
      <c r="AP28" s="8" cm="1">
        <f t="array" ref="AP28">_xlfn.IFS(BE28=0,0,BE28&gt;0,(LOG(0.01*BE28/10^-CI28)))</f>
        <v>8.6860960371914278</v>
      </c>
      <c r="AQ28" s="8" cm="1">
        <f t="array" ref="AQ28">_xlfn.IFS(BF28=0,0,BF28&gt;0,(LOG(0.01*BF28/10^-CJ28)))</f>
        <v>0</v>
      </c>
      <c r="AR28" s="8" cm="1">
        <f t="array" ref="AR28">_xlfn.IFS(BG28=0,0,BG28&gt;0,(LOG(0.01*BG28/10^-CK28)))</f>
        <v>0</v>
      </c>
      <c r="AS28" s="8" cm="1">
        <f t="array" ref="AS28">_xlfn.IFS(BH28=0,0,BH28&gt;0,(LOG(0.01*BH28/10^-CL28)))</f>
        <v>0</v>
      </c>
      <c r="AT28" s="8" cm="1">
        <f t="array" ref="AT28">_xlfn.IFS(BI28=0,0,BI28&gt;0,(LOG(0.01*BI28/10^-CM28)))</f>
        <v>8.4182180803228306</v>
      </c>
      <c r="AU28" s="8" cm="1">
        <f t="array" ref="AU28">_xlfn.IFS(BJ28=0,0,BJ28&gt;0,(LOG(0.01*BJ28/10^-CN28)))</f>
        <v>7.3048200647736641</v>
      </c>
      <c r="AV28" s="8" cm="1">
        <f t="array" ref="AV28">_xlfn.IFS(BK28=0,0,BK28&gt;0,(LOG(0.01*BK28/10^-CO28)))</f>
        <v>7.2949945259632223</v>
      </c>
      <c r="AW28" s="8" cm="1">
        <f t="array" ref="AW28">_xlfn.IFS(BL28=0,0,BL28&gt;0,(LOG(0.01*BL28/10^-CP28)))</f>
        <v>7.7151662455087866</v>
      </c>
      <c r="AX28" s="8" cm="1">
        <f t="array" ref="AX28">_xlfn.IFS(BM28=0,0,BM28&gt;0,(LOG(0.01*BM28/10^-CQ28)))</f>
        <v>7.3801146263352022</v>
      </c>
      <c r="AY28" s="8" cm="1">
        <f t="array" ref="AY28">_xlfn.IFS(BN28=0,0,BN28&gt;0,(LOG(0.01*BN28/10^-CR28)))</f>
        <v>7.8301186137763557</v>
      </c>
      <c r="AZ28" s="32">
        <f t="shared" si="53"/>
        <v>0</v>
      </c>
      <c r="BA28" s="31">
        <f t="shared" si="54"/>
        <v>43.553629469122427</v>
      </c>
      <c r="BB28" s="31">
        <f t="shared" si="55"/>
        <v>28.114842903575298</v>
      </c>
      <c r="BC28" s="31">
        <f t="shared" si="56"/>
        <v>24.528710725893824</v>
      </c>
      <c r="BD28" s="31">
        <f t="shared" si="57"/>
        <v>52.860238353196102</v>
      </c>
      <c r="BE28" s="31">
        <f t="shared" si="58"/>
        <v>25.70964247020585</v>
      </c>
      <c r="BF28" s="31">
        <f t="shared" si="59"/>
        <v>0</v>
      </c>
      <c r="BG28" s="31">
        <f t="shared" si="60"/>
        <v>0</v>
      </c>
      <c r="BH28" s="31">
        <f t="shared" si="61"/>
        <v>0</v>
      </c>
      <c r="BI28" s="31">
        <f t="shared" si="62"/>
        <v>62.118088097469538</v>
      </c>
      <c r="BJ28" s="31">
        <f t="shared" si="63"/>
        <v>14.415179835740583</v>
      </c>
      <c r="BK28" s="31">
        <f t="shared" si="64"/>
        <v>44.873973378646269</v>
      </c>
      <c r="BL28" s="31">
        <f t="shared" si="65"/>
        <v>52.500839207787848</v>
      </c>
      <c r="BM28" s="31">
        <f t="shared" si="66"/>
        <v>17.183618663981203</v>
      </c>
      <c r="BN28" s="31">
        <f t="shared" si="67"/>
        <v>23.66565961732125</v>
      </c>
      <c r="BO28" s="171"/>
      <c r="BP28" s="135">
        <v>402</v>
      </c>
      <c r="BQ28" s="135">
        <v>259.5</v>
      </c>
      <c r="BR28" s="135">
        <v>226.4</v>
      </c>
      <c r="BS28" s="135">
        <v>487.9</v>
      </c>
      <c r="BT28" s="135">
        <v>237.3</v>
      </c>
      <c r="BU28" s="135"/>
      <c r="BV28" s="135"/>
      <c r="BW28" s="135"/>
      <c r="BX28" s="135">
        <v>662.8</v>
      </c>
      <c r="BY28" s="135">
        <v>101.8</v>
      </c>
      <c r="BZ28" s="135">
        <v>316.89999999999998</v>
      </c>
      <c r="CA28" s="135">
        <v>1564</v>
      </c>
      <c r="CB28" s="135">
        <v>511.9</v>
      </c>
      <c r="CC28" s="135">
        <v>705</v>
      </c>
      <c r="CD28" s="30"/>
      <c r="CE28" s="29">
        <v>7.2450000000000001</v>
      </c>
      <c r="CF28" s="29">
        <v>7.27</v>
      </c>
      <c r="CG28" s="29">
        <v>7.37</v>
      </c>
      <c r="CH28" s="29">
        <v>7.5449999999999999</v>
      </c>
      <c r="CI28" s="29">
        <v>9.2759999999999998</v>
      </c>
      <c r="CJ28" s="29"/>
      <c r="CK28" s="29"/>
      <c r="CL28" s="29"/>
      <c r="CM28" s="29">
        <v>8.625</v>
      </c>
      <c r="CN28" s="29">
        <v>8.1460000000000008</v>
      </c>
      <c r="CO28" s="29">
        <v>7.6429999999999998</v>
      </c>
      <c r="CP28" s="29">
        <v>7.9950000000000001</v>
      </c>
      <c r="CQ28" s="29">
        <v>8.1449999999999996</v>
      </c>
      <c r="CR28" s="29">
        <v>8.4559999999999995</v>
      </c>
      <c r="CS28" s="168" t="str">
        <f>IF(VLOOKUP($A28,'B-Ligands'!$A:$G,3,FALSE)="","",VLOOKUP($A28,'B-Ligands'!$A:$G,3,FALSE))</f>
        <v/>
      </c>
      <c r="CT28" s="169" t="str">
        <f>IF(VLOOKUP($A28,'B-Ligands'!$A:$G,4,FALSE)="","",VLOOKUP($A28,'B-Ligands'!$A:$G,4,FALSE))</f>
        <v>Serotonin</v>
      </c>
      <c r="CU28" s="134">
        <v>9.3378492364140193</v>
      </c>
      <c r="CV28" s="135">
        <v>6.212157966421386</v>
      </c>
      <c r="CW28" s="135">
        <v>10.590875316074921</v>
      </c>
      <c r="CX28" s="135">
        <v>11.65696809132519</v>
      </c>
      <c r="CY28" s="135">
        <v>11.357262596850035</v>
      </c>
      <c r="CZ28" s="135">
        <v>7.8488800430754093</v>
      </c>
      <c r="DA28" s="135">
        <v>13.823460475923078</v>
      </c>
      <c r="DB28" s="135">
        <v>10.997127833453716</v>
      </c>
      <c r="DC28" s="135">
        <v>17.563205455756943</v>
      </c>
      <c r="DD28" s="135">
        <v>13.24978782924442</v>
      </c>
      <c r="DE28" s="135">
        <v>17.670853031817412</v>
      </c>
      <c r="DF28" s="135">
        <v>8.5569425024617818</v>
      </c>
      <c r="DG28" s="135">
        <v>22.392977550149162</v>
      </c>
      <c r="DH28" s="135">
        <v>17.871439771514215</v>
      </c>
      <c r="DI28" s="135">
        <v>29.561043400749661</v>
      </c>
      <c r="DJ28" s="66">
        <f t="shared" si="7"/>
        <v>0</v>
      </c>
      <c r="DK28" s="67">
        <f t="shared" si="8"/>
        <v>64.711812251544956</v>
      </c>
      <c r="DL28" s="67">
        <f t="shared" si="9"/>
        <v>24.502224061322739</v>
      </c>
      <c r="DM28" s="67">
        <f t="shared" si="10"/>
        <v>19.42185980319196</v>
      </c>
      <c r="DN28" s="67">
        <f t="shared" si="11"/>
        <v>42.959295502713857</v>
      </c>
      <c r="DO28" s="67">
        <f t="shared" si="12"/>
        <v>30.233612782674058</v>
      </c>
      <c r="DP28" s="67">
        <f t="shared" si="13"/>
        <v>0</v>
      </c>
      <c r="DQ28" s="67">
        <f t="shared" si="14"/>
        <v>0</v>
      </c>
      <c r="DR28" s="67">
        <f t="shared" si="15"/>
        <v>0</v>
      </c>
      <c r="DS28" s="67">
        <f t="shared" si="16"/>
        <v>50.02344252917721</v>
      </c>
      <c r="DT28" s="67">
        <f t="shared" si="17"/>
        <v>5.760899024891617</v>
      </c>
      <c r="DU28" s="67">
        <f t="shared" si="18"/>
        <v>37.034256091919481</v>
      </c>
      <c r="DV28" s="67">
        <f t="shared" si="19"/>
        <v>69.843324609128729</v>
      </c>
      <c r="DW28" s="67">
        <f t="shared" si="20"/>
        <v>28.643467260871262</v>
      </c>
      <c r="DX28" s="67">
        <f t="shared" si="21"/>
        <v>23.84895520914263</v>
      </c>
    </row>
    <row r="29" spans="1:128" s="28" customFormat="1">
      <c r="A29" s="33" t="s">
        <v>167</v>
      </c>
      <c r="B29" s="205" t="s">
        <v>5559</v>
      </c>
      <c r="C29" t="str">
        <f>IF(VLOOKUP($A29,'B-Ligands'!$A:$G,5,FALSE)="","",VLOOKUP($A29,'B-Ligands'!$A:$G,5,FALSE))</f>
        <v>Guide To Pharmacology</v>
      </c>
      <c r="D29" s="19">
        <f>IF(VLOOKUP($A29,'B-Ligands'!$A:$G,6,FALSE)="","",VLOOKUP($A29,'B-Ligands'!$A:$G,6,FALSE))</f>
        <v>1369</v>
      </c>
      <c r="E29" t="str">
        <f>IF(VLOOKUP($A29,'B-Ligands'!$A:$G,7,FALSE)="","",VLOOKUP($A29,'B-Ligands'!$A:$G,7,FALSE))</f>
        <v>Phys</v>
      </c>
      <c r="F29" s="20" t="str">
        <f t="shared" si="68"/>
        <v/>
      </c>
      <c r="G29" s="19">
        <f t="shared" si="69"/>
        <v>1</v>
      </c>
      <c r="H29" s="19">
        <f t="shared" si="70"/>
        <v>1</v>
      </c>
      <c r="I29" s="19" t="str">
        <f t="shared" si="71"/>
        <v/>
      </c>
      <c r="J29" s="189">
        <f t="shared" si="26"/>
        <v>2</v>
      </c>
      <c r="K29" s="147" t="str">
        <f t="shared" si="27"/>
        <v>Gi/o</v>
      </c>
      <c r="L29" s="20">
        <f t="shared" si="28"/>
        <v>0</v>
      </c>
      <c r="M29" s="19">
        <f t="shared" si="29"/>
        <v>1</v>
      </c>
      <c r="N29" s="19">
        <f t="shared" si="30"/>
        <v>2</v>
      </c>
      <c r="O29" s="19">
        <f t="shared" si="31"/>
        <v>0</v>
      </c>
      <c r="P29" s="20">
        <f t="shared" si="32"/>
        <v>0</v>
      </c>
      <c r="Q29" s="19">
        <f t="shared" si="33"/>
        <v>100</v>
      </c>
      <c r="R29" s="19">
        <f t="shared" si="34"/>
        <v>94.21856064557403</v>
      </c>
      <c r="S29" s="19">
        <f t="shared" si="35"/>
        <v>0</v>
      </c>
      <c r="T29" s="20">
        <f t="shared" si="36"/>
        <v>0</v>
      </c>
      <c r="U29" s="21">
        <f t="shared" si="37"/>
        <v>5.0689086593353077</v>
      </c>
      <c r="V29" s="21">
        <f t="shared" si="38"/>
        <v>4.7758527792645902</v>
      </c>
      <c r="W29" s="21">
        <f t="shared" si="39"/>
        <v>0</v>
      </c>
      <c r="X29" s="147" t="str">
        <f t="shared" si="40"/>
        <v>Gi1</v>
      </c>
      <c r="Y29" s="32">
        <f t="shared" si="41"/>
        <v>0</v>
      </c>
      <c r="Z29" s="31">
        <f t="shared" si="42"/>
        <v>100</v>
      </c>
      <c r="AA29" s="31">
        <f t="shared" si="43"/>
        <v>90.588090536434933</v>
      </c>
      <c r="AB29" s="31">
        <f t="shared" si="44"/>
        <v>97.998212177460829</v>
      </c>
      <c r="AC29" s="31">
        <f t="shared" si="45"/>
        <v>99.480499251373871</v>
      </c>
      <c r="AD29" s="31">
        <f t="shared" si="46"/>
        <v>84.087914035554363</v>
      </c>
      <c r="AE29" s="31">
        <f t="shared" si="47"/>
        <v>0</v>
      </c>
      <c r="AF29" s="31">
        <f t="shared" si="48"/>
        <v>0</v>
      </c>
      <c r="AG29" s="31">
        <f t="shared" si="49"/>
        <v>0</v>
      </c>
      <c r="AH29" s="31">
        <f t="shared" si="50"/>
        <v>94.21856064557403</v>
      </c>
      <c r="AI29" s="31">
        <f t="shared" si="51"/>
        <v>0</v>
      </c>
      <c r="AJ29" s="31">
        <f t="shared" si="52"/>
        <v>0</v>
      </c>
      <c r="AK29" s="7" cm="1">
        <f t="array" ref="AK29">_xlfn.IFS(AZ29=0,0,AZ29&gt;0,(LOG(0.01*AZ29/10^-CD29)))</f>
        <v>0</v>
      </c>
      <c r="AL29" s="8" cm="1">
        <f t="array" ref="AL29">_xlfn.IFS(BA29=0,0,BA29&gt;0,(LOG(0.01*BA29/10^-CE29)))</f>
        <v>5.0689086593353077</v>
      </c>
      <c r="AM29" s="8" cm="1">
        <f t="array" ref="AM29">_xlfn.IFS(BB29=0,0,BB29&gt;0,(LOG(0.01*BB29/10^-CF29)))</f>
        <v>4.5918275655278586</v>
      </c>
      <c r="AN29" s="8" cm="1">
        <f t="array" ref="AN29">_xlfn.IFS(BC29=0,0,BC29&gt;0,(LOG(0.01*BC29/10^-CG29)))</f>
        <v>4.9674398630571002</v>
      </c>
      <c r="AO29" s="8" cm="1">
        <f t="array" ref="AO29">_xlfn.IFS(BD29=0,0,BD29&gt;0,(LOG(0.01*BD29/10^-CH29)))</f>
        <v>5.0425756409028857</v>
      </c>
      <c r="AP29" s="8" cm="1">
        <f t="array" ref="AP29">_xlfn.IFS(BE29=0,0,BE29&gt;0,(LOG(0.01*BE29/10^-CI29)))</f>
        <v>4.2623395560026447</v>
      </c>
      <c r="AQ29" s="8" cm="1">
        <f t="array" ref="AQ29">_xlfn.IFS(BF29=0,0,BF29&gt;0,(LOG(0.01*BF29/10^-CJ29)))</f>
        <v>0</v>
      </c>
      <c r="AR29" s="8" cm="1">
        <f t="array" ref="AR29">_xlfn.IFS(BG29=0,0,BG29&gt;0,(LOG(0.01*BG29/10^-CK29)))</f>
        <v>0</v>
      </c>
      <c r="AS29" s="8" cm="1">
        <f t="array" ref="AS29">_xlfn.IFS(BH29=0,0,BH29&gt;0,(LOG(0.01*BH29/10^-CL29)))</f>
        <v>0</v>
      </c>
      <c r="AT29" s="8" cm="1">
        <f t="array" ref="AT29">_xlfn.IFS(BI29=0,0,BI29&gt;0,(LOG(0.01*BI29/10^-CM29)))</f>
        <v>4.7758527792645902</v>
      </c>
      <c r="AU29" s="8" cm="1">
        <f t="array" ref="AU29">_xlfn.IFS(BJ29=0,0,BJ29&gt;0,(LOG(0.01*BJ29/10^-CN29)))</f>
        <v>0</v>
      </c>
      <c r="AV29" s="8" cm="1">
        <f t="array" ref="AV29">_xlfn.IFS(BK29=0,0,BK29&gt;0,(LOG(0.01*BK29/10^-CO29)))</f>
        <v>0</v>
      </c>
      <c r="AW29" s="8" cm="1">
        <f t="array" ref="AW29">_xlfn.IFS(BL29=0,0,BL29&gt;0,(LOG(0.01*BL29/10^-CP29)))</f>
        <v>0</v>
      </c>
      <c r="AX29" s="8" cm="1">
        <f t="array" ref="AX29">_xlfn.IFS(BM29=0,0,BM29&gt;0,(LOG(0.01*BM29/10^-CQ29)))</f>
        <v>0</v>
      </c>
      <c r="AY29" s="8" cm="1">
        <f t="array" ref="AY29">_xlfn.IFS(BN29=0,0,BN29&gt;0,(LOG(0.01*BN29/10^-CR29)))</f>
        <v>0</v>
      </c>
      <c r="AZ29" s="32">
        <f t="shared" si="53"/>
        <v>0</v>
      </c>
      <c r="BA29" s="31">
        <f t="shared" si="54"/>
        <v>45.384615384615387</v>
      </c>
      <c r="BB29" s="31">
        <f t="shared" si="55"/>
        <v>17.172264355362948</v>
      </c>
      <c r="BC29" s="31">
        <f t="shared" si="56"/>
        <v>10.056338028169014</v>
      </c>
      <c r="BD29" s="31">
        <f t="shared" si="57"/>
        <v>9.0693391115926332</v>
      </c>
      <c r="BE29" s="31">
        <f t="shared" si="58"/>
        <v>5.7854821235102927</v>
      </c>
      <c r="BF29" s="31">
        <f t="shared" si="59"/>
        <v>0</v>
      </c>
      <c r="BG29" s="31">
        <f t="shared" si="60"/>
        <v>0</v>
      </c>
      <c r="BH29" s="31">
        <f t="shared" si="61"/>
        <v>0</v>
      </c>
      <c r="BI29" s="31">
        <f t="shared" si="62"/>
        <v>61.780693533270856</v>
      </c>
      <c r="BJ29" s="31">
        <f t="shared" si="63"/>
        <v>0</v>
      </c>
      <c r="BK29" s="31">
        <f t="shared" si="64"/>
        <v>0</v>
      </c>
      <c r="BL29" s="31">
        <f t="shared" si="65"/>
        <v>0</v>
      </c>
      <c r="BM29" s="31">
        <f t="shared" si="66"/>
        <v>0</v>
      </c>
      <c r="BN29" s="31">
        <f t="shared" si="67"/>
        <v>0</v>
      </c>
      <c r="BO29" s="132"/>
      <c r="BP29" s="133">
        <v>418.9</v>
      </c>
      <c r="BQ29" s="133">
        <v>158.5</v>
      </c>
      <c r="BR29" s="133">
        <v>92.82</v>
      </c>
      <c r="BS29" s="133">
        <v>83.71</v>
      </c>
      <c r="BT29" s="133">
        <v>53.4</v>
      </c>
      <c r="BU29" s="133"/>
      <c r="BV29" s="133"/>
      <c r="BW29" s="133"/>
      <c r="BX29" s="133">
        <v>659.2</v>
      </c>
      <c r="BY29" s="133"/>
      <c r="BZ29" s="133"/>
      <c r="CA29" s="133"/>
      <c r="CB29" s="133"/>
      <c r="CC29" s="133"/>
      <c r="CD29" s="36"/>
      <c r="CE29" s="34">
        <v>5.4119999999999999</v>
      </c>
      <c r="CF29" s="34">
        <v>5.3570000000000002</v>
      </c>
      <c r="CG29" s="34">
        <v>5.9649999999999999</v>
      </c>
      <c r="CH29" s="34">
        <v>6.085</v>
      </c>
      <c r="CI29" s="34">
        <v>5.5</v>
      </c>
      <c r="CJ29" s="34"/>
      <c r="CK29" s="34"/>
      <c r="CL29" s="34"/>
      <c r="CM29" s="34">
        <v>4.9850000000000003</v>
      </c>
      <c r="CN29" s="34"/>
      <c r="CO29" s="34"/>
      <c r="CP29" s="34"/>
      <c r="CQ29" s="34"/>
      <c r="CR29" s="34"/>
      <c r="CS29" s="168" t="str">
        <f>IF(VLOOKUP($A29,'B-Ligands'!$A:$G,3,FALSE)="","",VLOOKUP($A29,'B-Ligands'!$A:$G,3,FALSE))</f>
        <v/>
      </c>
      <c r="CT29" s="169" t="str">
        <f>IF(VLOOKUP($A29,'B-Ligands'!$A:$G,4,FALSE)="","",VLOOKUP($A29,'B-Ligands'!$A:$G,4,FALSE))</f>
        <v>Glutamate</v>
      </c>
      <c r="CU29" s="132">
        <v>24.155537715122279</v>
      </c>
      <c r="CV29" s="133">
        <v>6.2754378298286282</v>
      </c>
      <c r="CW29" s="133">
        <v>17.598159771659148</v>
      </c>
      <c r="CX29" s="133">
        <v>19.44651131175738</v>
      </c>
      <c r="CY29" s="133">
        <v>11.838328187979014</v>
      </c>
      <c r="CZ29" s="133">
        <v>7.1409261629355463</v>
      </c>
      <c r="DA29" s="133">
        <v>12.736700505749237</v>
      </c>
      <c r="DB29" s="133">
        <v>7.4806704454418362</v>
      </c>
      <c r="DC29" s="133">
        <v>19.694014214606707</v>
      </c>
      <c r="DD29" s="133">
        <v>5.7856142779239965</v>
      </c>
      <c r="DE29" s="133">
        <v>27.211989660519979</v>
      </c>
      <c r="DF29" s="133">
        <v>7.389323783921534</v>
      </c>
      <c r="DG29" s="133">
        <v>24.029031880220987</v>
      </c>
      <c r="DH29" s="133">
        <v>18.99603836325204</v>
      </c>
      <c r="DI29" s="133">
        <v>5.1582148116782083</v>
      </c>
      <c r="DJ29" s="66">
        <f t="shared" si="7"/>
        <v>0</v>
      </c>
      <c r="DK29" s="67">
        <f t="shared" si="8"/>
        <v>66.75231455706087</v>
      </c>
      <c r="DL29" s="67">
        <f t="shared" si="9"/>
        <v>9.0066235365845113</v>
      </c>
      <c r="DM29" s="67">
        <f t="shared" si="10"/>
        <v>4.7730926391861832</v>
      </c>
      <c r="DN29" s="67">
        <f t="shared" si="11"/>
        <v>7.0710997930435466</v>
      </c>
      <c r="DO29" s="67">
        <f t="shared" si="12"/>
        <v>7.4780215873353777</v>
      </c>
      <c r="DP29" s="67">
        <f t="shared" si="13"/>
        <v>0</v>
      </c>
      <c r="DQ29" s="67">
        <f t="shared" si="14"/>
        <v>0</v>
      </c>
      <c r="DR29" s="67">
        <f t="shared" si="15"/>
        <v>0</v>
      </c>
      <c r="DS29" s="67">
        <f t="shared" si="16"/>
        <v>113.93777191737284</v>
      </c>
      <c r="DT29" s="67">
        <f t="shared" si="17"/>
        <v>0</v>
      </c>
      <c r="DU29" s="67">
        <f t="shared" si="18"/>
        <v>0</v>
      </c>
      <c r="DV29" s="67">
        <f t="shared" si="19"/>
        <v>0</v>
      </c>
      <c r="DW29" s="67">
        <f t="shared" si="20"/>
        <v>0</v>
      </c>
      <c r="DX29" s="67">
        <f t="shared" si="21"/>
        <v>0</v>
      </c>
    </row>
    <row r="30" spans="1:128" s="28" customFormat="1">
      <c r="A30" s="33" t="s">
        <v>55</v>
      </c>
      <c r="B30" s="205" t="s">
        <v>5559</v>
      </c>
      <c r="C30" t="str">
        <f>IF(VLOOKUP($A30,'B-Ligands'!$A:$G,5,FALSE)="","",VLOOKUP($A30,'B-Ligands'!$A:$G,5,FALSE))</f>
        <v>Guide To Pharmacology</v>
      </c>
      <c r="D30" s="19">
        <f>IF(VLOOKUP($A30,'B-Ligands'!$A:$G,6,FALSE)="","",VLOOKUP($A30,'B-Ligands'!$A:$G,6,FALSE))</f>
        <v>685</v>
      </c>
      <c r="E30" t="str">
        <f>IF(VLOOKUP($A30,'B-Ligands'!$A:$G,7,FALSE)="","",VLOOKUP($A30,'B-Ligands'!$A:$G,7,FALSE))</f>
        <v>Phys</v>
      </c>
      <c r="F30" s="20">
        <f t="shared" si="68"/>
        <v>1</v>
      </c>
      <c r="G30" s="19">
        <f t="shared" si="69"/>
        <v>1</v>
      </c>
      <c r="H30" s="19">
        <f t="shared" si="70"/>
        <v>1</v>
      </c>
      <c r="I30" s="19">
        <f t="shared" si="71"/>
        <v>1</v>
      </c>
      <c r="J30" s="189">
        <f t="shared" si="26"/>
        <v>4</v>
      </c>
      <c r="K30" s="147" t="str">
        <f t="shared" si="27"/>
        <v>Gs</v>
      </c>
      <c r="L30" s="20">
        <f t="shared" si="28"/>
        <v>1</v>
      </c>
      <c r="M30" s="19">
        <f t="shared" si="29"/>
        <v>4</v>
      </c>
      <c r="N30" s="19">
        <f t="shared" si="30"/>
        <v>2</v>
      </c>
      <c r="O30" s="19">
        <f t="shared" si="31"/>
        <v>3</v>
      </c>
      <c r="P30" s="20">
        <f t="shared" si="32"/>
        <v>100</v>
      </c>
      <c r="Q30" s="19">
        <f t="shared" si="33"/>
        <v>74.398228940808693</v>
      </c>
      <c r="R30" s="19">
        <f t="shared" si="34"/>
        <v>88.637713727956992</v>
      </c>
      <c r="S30" s="19">
        <f t="shared" si="35"/>
        <v>82.255955423553544</v>
      </c>
      <c r="T30" s="20">
        <f t="shared" si="36"/>
        <v>11.717378669639457</v>
      </c>
      <c r="U30" s="21">
        <f t="shared" si="37"/>
        <v>8.7175222084998456</v>
      </c>
      <c r="V30" s="21">
        <f t="shared" si="38"/>
        <v>10.386016561615717</v>
      </c>
      <c r="W30" s="21">
        <f t="shared" si="39"/>
        <v>9.638241775307602</v>
      </c>
      <c r="X30" s="147" t="str">
        <f t="shared" si="40"/>
        <v>GsL</v>
      </c>
      <c r="Y30" s="32">
        <f t="shared" si="41"/>
        <v>100</v>
      </c>
      <c r="Z30" s="31">
        <f t="shared" si="42"/>
        <v>68.339165394700757</v>
      </c>
      <c r="AA30" s="31">
        <f t="shared" si="43"/>
        <v>68.115502513230624</v>
      </c>
      <c r="AB30" s="31">
        <f t="shared" si="44"/>
        <v>68.064632524653277</v>
      </c>
      <c r="AC30" s="31">
        <f t="shared" si="45"/>
        <v>74.398228940808693</v>
      </c>
      <c r="AD30" s="31">
        <f t="shared" si="46"/>
        <v>62.950475654510754</v>
      </c>
      <c r="AE30" s="31">
        <f t="shared" si="47"/>
        <v>67.653245435875917</v>
      </c>
      <c r="AF30" s="31">
        <f t="shared" si="48"/>
        <v>62.355613235367066</v>
      </c>
      <c r="AG30" s="31">
        <f t="shared" si="49"/>
        <v>66.699871881090004</v>
      </c>
      <c r="AH30" s="31">
        <f t="shared" si="50"/>
        <v>88.637713727956992</v>
      </c>
      <c r="AI30" s="31">
        <f t="shared" si="51"/>
        <v>72.353067533374642</v>
      </c>
      <c r="AJ30" s="31">
        <f t="shared" si="52"/>
        <v>82.255955423553544</v>
      </c>
      <c r="AK30" s="7" cm="1">
        <f t="array" ref="AK30">_xlfn.IFS(AZ30=0,0,AZ30&gt;0,(LOG(0.01*AZ30/10^-CD30)))</f>
        <v>11.717378669639457</v>
      </c>
      <c r="AL30" s="8" cm="1">
        <f t="array" ref="AL30">_xlfn.IFS(BA30=0,0,BA30&gt;0,(LOG(0.01*BA30/10^-CE30)))</f>
        <v>8.0075587889682946</v>
      </c>
      <c r="AM30" s="8" cm="1">
        <f t="array" ref="AM30">_xlfn.IFS(BB30=0,0,BB30&gt;0,(LOG(0.01*BB30/10^-CF30)))</f>
        <v>7.9813513622030134</v>
      </c>
      <c r="AN30" s="8" cm="1">
        <f t="array" ref="AN30">_xlfn.IFS(BC30=0,0,BC30&gt;0,(LOG(0.01*BC30/10^-CG30)))</f>
        <v>7.9753907330122038</v>
      </c>
      <c r="AO30" s="8" cm="1">
        <f t="array" ref="AO30">_xlfn.IFS(BD30=0,0,BD30&gt;0,(LOG(0.01*BD30/10^-CH30)))</f>
        <v>8.7175222084998456</v>
      </c>
      <c r="AP30" s="8" cm="1">
        <f t="array" ref="AP30">_xlfn.IFS(BE30=0,0,BE30&gt;0,(LOG(0.01*BE30/10^-CI30)))</f>
        <v>7.3761456067782216</v>
      </c>
      <c r="AQ30" s="8" cm="1">
        <f t="array" ref="AQ30">_xlfn.IFS(BF30=0,0,BF30&gt;0,(LOG(0.01*BF30/10^-CJ30)))</f>
        <v>7.927186950022155</v>
      </c>
      <c r="AR30" s="8" cm="1">
        <f t="array" ref="AR30">_xlfn.IFS(BG30=0,0,BG30&gt;0,(LOG(0.01*BG30/10^-CK30)))</f>
        <v>7.3064433245637792</v>
      </c>
      <c r="AS30" s="8" cm="1">
        <f t="array" ref="AS30">_xlfn.IFS(BH30=0,0,BH30&gt;0,(LOG(0.01*BH30/10^-CL30)))</f>
        <v>7.8154765604716863</v>
      </c>
      <c r="AT30" s="8" cm="1">
        <f t="array" ref="AT30">_xlfn.IFS(BI30=0,0,BI30&gt;0,(LOG(0.01*BI30/10^-CM30)))</f>
        <v>10.386016561615717</v>
      </c>
      <c r="AU30" s="8" cm="1">
        <f t="array" ref="AU30">_xlfn.IFS(BJ30=0,0,BJ30&gt;0,(LOG(0.01*BJ30/10^-CN30)))</f>
        <v>8.4778829019854705</v>
      </c>
      <c r="AV30" s="8" cm="1">
        <f t="array" ref="AV30">_xlfn.IFS(BK30=0,0,BK30&gt;0,(LOG(0.01*BK30/10^-CO30)))</f>
        <v>9.638241775307602</v>
      </c>
      <c r="AW30" s="8" cm="1">
        <f t="array" ref="AW30">_xlfn.IFS(BL30=0,0,BL30&gt;0,(LOG(0.01*BL30/10^-CP30)))</f>
        <v>6.4996352777188742</v>
      </c>
      <c r="AX30" s="8" cm="1">
        <f t="array" ref="AX30">_xlfn.IFS(BM30=0,0,BM30&gt;0,(LOG(0.01*BM30/10^-CQ30)))</f>
        <v>6.6922284891944717</v>
      </c>
      <c r="AY30" s="8" cm="1">
        <f t="array" ref="AY30">_xlfn.IFS(BN30=0,0,BN30&gt;0,(LOG(0.01*BN30/10^-CR30)))</f>
        <v>7.0175516096630197</v>
      </c>
      <c r="AZ30" s="32">
        <f t="shared" si="53"/>
        <v>54.623392529087575</v>
      </c>
      <c r="BA30" s="31">
        <f t="shared" si="54"/>
        <v>45.243770314192851</v>
      </c>
      <c r="BB30" s="31">
        <f t="shared" si="55"/>
        <v>30.715059588299024</v>
      </c>
      <c r="BC30" s="31">
        <f t="shared" si="56"/>
        <v>27.063921993499459</v>
      </c>
      <c r="BD30" s="31">
        <f t="shared" si="57"/>
        <v>45.763813651137596</v>
      </c>
      <c r="BE30" s="31">
        <f t="shared" si="58"/>
        <v>13.066088840736729</v>
      </c>
      <c r="BF30" s="31">
        <f t="shared" si="59"/>
        <v>18.93158388003749</v>
      </c>
      <c r="BG30" s="31">
        <f t="shared" si="60"/>
        <v>12.258669165885662</v>
      </c>
      <c r="BH30" s="31">
        <f t="shared" si="61"/>
        <v>24.404873477038421</v>
      </c>
      <c r="BI30" s="31">
        <f t="shared" si="62"/>
        <v>61.096532333645733</v>
      </c>
      <c r="BJ30" s="31">
        <f t="shared" si="63"/>
        <v>7.4624752194845652</v>
      </c>
      <c r="BK30" s="31">
        <f t="shared" si="64"/>
        <v>32.979325969980174</v>
      </c>
      <c r="BL30" s="31">
        <f t="shared" si="65"/>
        <v>1.6696878147029204</v>
      </c>
      <c r="BM30" s="31">
        <f t="shared" si="66"/>
        <v>3.3360187982544476</v>
      </c>
      <c r="BN30" s="31">
        <f t="shared" si="67"/>
        <v>6.4350453172205437</v>
      </c>
      <c r="BO30" s="134">
        <v>35.68</v>
      </c>
      <c r="BP30" s="135">
        <v>417.6</v>
      </c>
      <c r="BQ30" s="135">
        <v>283.5</v>
      </c>
      <c r="BR30" s="135">
        <v>249.8</v>
      </c>
      <c r="BS30" s="135">
        <v>422.4</v>
      </c>
      <c r="BT30" s="135">
        <v>120.6</v>
      </c>
      <c r="BU30" s="135">
        <v>202</v>
      </c>
      <c r="BV30" s="135">
        <v>130.80000000000001</v>
      </c>
      <c r="BW30" s="135">
        <v>260.39999999999998</v>
      </c>
      <c r="BX30" s="135">
        <v>651.9</v>
      </c>
      <c r="BY30" s="135">
        <v>52.7</v>
      </c>
      <c r="BZ30" s="135">
        <v>232.9</v>
      </c>
      <c r="CA30" s="135">
        <v>49.74</v>
      </c>
      <c r="CB30" s="135">
        <v>99.38</v>
      </c>
      <c r="CC30" s="135">
        <v>191.7</v>
      </c>
      <c r="CD30" s="30">
        <v>11.98</v>
      </c>
      <c r="CE30" s="29">
        <v>8.3520000000000003</v>
      </c>
      <c r="CF30" s="29">
        <v>8.4939999999999998</v>
      </c>
      <c r="CG30" s="29">
        <v>8.5429999999999993</v>
      </c>
      <c r="CH30" s="29">
        <v>9.0570000000000004</v>
      </c>
      <c r="CI30" s="29">
        <v>8.26</v>
      </c>
      <c r="CJ30" s="29">
        <v>8.65</v>
      </c>
      <c r="CK30" s="29">
        <v>8.218</v>
      </c>
      <c r="CL30" s="29">
        <v>8.4280000000000008</v>
      </c>
      <c r="CM30" s="29">
        <v>10.6</v>
      </c>
      <c r="CN30" s="29">
        <v>9.6050000000000004</v>
      </c>
      <c r="CO30" s="29">
        <v>10.119999999999999</v>
      </c>
      <c r="CP30" s="29">
        <v>8.2769999999999992</v>
      </c>
      <c r="CQ30" s="29">
        <v>8.1690000000000005</v>
      </c>
      <c r="CR30" s="29">
        <v>8.2089999999999996</v>
      </c>
      <c r="CS30" s="168" t="str">
        <f>IF(VLOOKUP($A30,'B-Ligands'!$A:$G,3,FALSE)="","",VLOOKUP($A30,'B-Ligands'!$A:$G,3,FALSE))</f>
        <v/>
      </c>
      <c r="CT30" s="169" t="str">
        <f>IF(VLOOKUP($A30,'B-Ligands'!$A:$G,4,FALSE)="","",VLOOKUP($A30,'B-Ligands'!$A:$G,4,FALSE))</f>
        <v>Calcitonin</v>
      </c>
      <c r="CU30" s="134">
        <v>15.879964473553011</v>
      </c>
      <c r="CV30" s="135">
        <v>0.92031251347490295</v>
      </c>
      <c r="CW30" s="135">
        <v>2.2389414455267009</v>
      </c>
      <c r="CX30" s="135">
        <v>5.842117805114011</v>
      </c>
      <c r="CY30" s="135">
        <v>3.1462823121820205</v>
      </c>
      <c r="CZ30" s="135">
        <v>9.2112452709340982</v>
      </c>
      <c r="DA30" s="135">
        <v>14.008654207536175</v>
      </c>
      <c r="DB30" s="135">
        <v>13.138581903598965</v>
      </c>
      <c r="DC30" s="135">
        <v>14.660352251339845</v>
      </c>
      <c r="DD30" s="135">
        <v>11.518457635629384</v>
      </c>
      <c r="DE30" s="135">
        <v>17.888363134593693</v>
      </c>
      <c r="DF30" s="135">
        <v>7.9748673601368507</v>
      </c>
      <c r="DG30" s="135">
        <v>3.2324881425670831</v>
      </c>
      <c r="DH30" s="135">
        <v>10.431078757929205</v>
      </c>
      <c r="DI30" s="135">
        <v>10.488186706594721</v>
      </c>
      <c r="DJ30" s="66">
        <f t="shared" si="7"/>
        <v>2.2468564120167009</v>
      </c>
      <c r="DK30" s="67">
        <f t="shared" si="8"/>
        <v>453.75890676877992</v>
      </c>
      <c r="DL30" s="67">
        <f t="shared" si="9"/>
        <v>126.62233778664448</v>
      </c>
      <c r="DM30" s="67">
        <f t="shared" si="10"/>
        <v>42.75846676377062</v>
      </c>
      <c r="DN30" s="67">
        <f t="shared" si="11"/>
        <v>134.2536867605678</v>
      </c>
      <c r="DO30" s="67">
        <f t="shared" si="12"/>
        <v>13.092692296507499</v>
      </c>
      <c r="DP30" s="67">
        <f t="shared" si="13"/>
        <v>14.419657806338808</v>
      </c>
      <c r="DQ30" s="67">
        <f t="shared" si="14"/>
        <v>9.9554123085514146</v>
      </c>
      <c r="DR30" s="67">
        <f t="shared" si="15"/>
        <v>17.762192581436874</v>
      </c>
      <c r="DS30" s="67">
        <f t="shared" si="16"/>
        <v>56.596119083124044</v>
      </c>
      <c r="DT30" s="67">
        <f t="shared" si="17"/>
        <v>2.9460493172841109</v>
      </c>
      <c r="DU30" s="67">
        <f t="shared" si="18"/>
        <v>29.204247479296431</v>
      </c>
      <c r="DV30" s="67">
        <f t="shared" si="19"/>
        <v>15.387527442095717</v>
      </c>
      <c r="DW30" s="67">
        <f t="shared" si="20"/>
        <v>9.5272984037682669</v>
      </c>
      <c r="DX30" s="67">
        <f t="shared" si="21"/>
        <v>18.277706658240895</v>
      </c>
    </row>
    <row r="31" spans="1:128" s="28" customFormat="1">
      <c r="A31" s="33" t="s">
        <v>106</v>
      </c>
      <c r="B31" s="205" t="s">
        <v>5559</v>
      </c>
      <c r="C31" t="str">
        <f>IF(VLOOKUP($A31,'B-Ligands'!$A:$G,5,FALSE)="","",VLOOKUP($A31,'B-Ligands'!$A:$G,5,FALSE))</f>
        <v>Guide To Pharmacology</v>
      </c>
      <c r="D31" s="19">
        <f>IF(VLOOKUP($A31,'B-Ligands'!$A:$G,6,FALSE)="","",VLOOKUP($A31,'B-Ligands'!$A:$G,6,FALSE))</f>
        <v>940</v>
      </c>
      <c r="E31" t="str">
        <f>IF(VLOOKUP($A31,'B-Ligands'!$A:$G,7,FALSE)="","",VLOOKUP($A31,'B-Ligands'!$A:$G,7,FALSE))</f>
        <v>Phys</v>
      </c>
      <c r="F31" s="20">
        <f t="shared" si="68"/>
        <v>1</v>
      </c>
      <c r="G31" s="19">
        <f t="shared" si="69"/>
        <v>1</v>
      </c>
      <c r="H31" s="19">
        <f t="shared" si="70"/>
        <v>1</v>
      </c>
      <c r="I31" s="19" t="str">
        <f t="shared" si="71"/>
        <v/>
      </c>
      <c r="J31" s="189">
        <f t="shared" si="26"/>
        <v>3</v>
      </c>
      <c r="K31" s="147" t="str">
        <f t="shared" si="27"/>
        <v>Gs</v>
      </c>
      <c r="L31" s="20">
        <f t="shared" si="28"/>
        <v>1</v>
      </c>
      <c r="M31" s="19">
        <f t="shared" si="29"/>
        <v>3</v>
      </c>
      <c r="N31" s="19">
        <f t="shared" si="30"/>
        <v>2</v>
      </c>
      <c r="O31" s="19">
        <f t="shared" si="31"/>
        <v>0</v>
      </c>
      <c r="P31" s="20">
        <f t="shared" si="32"/>
        <v>100</v>
      </c>
      <c r="Q31" s="19">
        <f t="shared" si="33"/>
        <v>61.051767205454574</v>
      </c>
      <c r="R31" s="19">
        <f t="shared" si="34"/>
        <v>86.243503550976328</v>
      </c>
      <c r="S31" s="19">
        <f t="shared" si="35"/>
        <v>0</v>
      </c>
      <c r="T31" s="20">
        <f t="shared" si="36"/>
        <v>8.6235470797866309</v>
      </c>
      <c r="U31" s="21">
        <f t="shared" si="37"/>
        <v>5.2648278880041097</v>
      </c>
      <c r="V31" s="21">
        <f t="shared" si="38"/>
        <v>7.4372491319758991</v>
      </c>
      <c r="W31" s="21">
        <f t="shared" si="39"/>
        <v>0</v>
      </c>
      <c r="X31" s="147" t="str">
        <f t="shared" si="40"/>
        <v>GsL</v>
      </c>
      <c r="Y31" s="32">
        <f t="shared" si="41"/>
        <v>100</v>
      </c>
      <c r="Z31" s="31">
        <f t="shared" si="42"/>
        <v>0</v>
      </c>
      <c r="AA31" s="31">
        <f t="shared" si="43"/>
        <v>0</v>
      </c>
      <c r="AB31" s="31">
        <f t="shared" si="44"/>
        <v>0</v>
      </c>
      <c r="AC31" s="31">
        <f t="shared" si="45"/>
        <v>56.047848943571189</v>
      </c>
      <c r="AD31" s="31">
        <f t="shared" si="46"/>
        <v>61.051767205454574</v>
      </c>
      <c r="AE31" s="31">
        <f t="shared" si="47"/>
        <v>0</v>
      </c>
      <c r="AF31" s="31">
        <f t="shared" si="48"/>
        <v>0</v>
      </c>
      <c r="AG31" s="31">
        <f t="shared" si="49"/>
        <v>0</v>
      </c>
      <c r="AH31" s="31">
        <f t="shared" si="50"/>
        <v>86.243503550976328</v>
      </c>
      <c r="AI31" s="31">
        <f t="shared" si="51"/>
        <v>0</v>
      </c>
      <c r="AJ31" s="31">
        <f t="shared" si="52"/>
        <v>0</v>
      </c>
      <c r="AK31" s="7" cm="1">
        <f t="array" ref="AK31">_xlfn.IFS(AZ31=0,0,AZ31&gt;0,(LOG(0.01*AZ31/10^-CD31)))</f>
        <v>8.6235470797866309</v>
      </c>
      <c r="AL31" s="8" cm="1">
        <f t="array" ref="AL31">_xlfn.IFS(BA31=0,0,BA31&gt;0,(LOG(0.01*BA31/10^-CE31)))</f>
        <v>0</v>
      </c>
      <c r="AM31" s="8" cm="1">
        <f t="array" ref="AM31">_xlfn.IFS(BB31=0,0,BB31&gt;0,(LOG(0.01*BB31/10^-CF31)))</f>
        <v>0</v>
      </c>
      <c r="AN31" s="8" cm="1">
        <f t="array" ref="AN31">_xlfn.IFS(BC31=0,0,BC31&gt;0,(LOG(0.01*BC31/10^-CG31)))</f>
        <v>0</v>
      </c>
      <c r="AO31" s="8" cm="1">
        <f t="array" ref="AO31">_xlfn.IFS(BD31=0,0,BD31&gt;0,(LOG(0.01*BD31/10^-CH31)))</f>
        <v>4.8333126408565557</v>
      </c>
      <c r="AP31" s="8" cm="1">
        <f t="array" ref="AP31">_xlfn.IFS(BE31=0,0,BE31&gt;0,(LOG(0.01*BE31/10^-CI31)))</f>
        <v>5.2648278880041097</v>
      </c>
      <c r="AQ31" s="8" cm="1">
        <f t="array" ref="AQ31">_xlfn.IFS(BF31=0,0,BF31&gt;0,(LOG(0.01*BF31/10^-CJ31)))</f>
        <v>0</v>
      </c>
      <c r="AR31" s="8" cm="1">
        <f t="array" ref="AR31">_xlfn.IFS(BG31=0,0,BG31&gt;0,(LOG(0.01*BG31/10^-CK31)))</f>
        <v>0</v>
      </c>
      <c r="AS31" s="8" cm="1">
        <f t="array" ref="AS31">_xlfn.IFS(BH31=0,0,BH31&gt;0,(LOG(0.01*BH31/10^-CL31)))</f>
        <v>0</v>
      </c>
      <c r="AT31" s="8" cm="1">
        <f t="array" ref="AT31">_xlfn.IFS(BI31=0,0,BI31&gt;0,(LOG(0.01*BI31/10^-CM31)))</f>
        <v>7.4372491319758991</v>
      </c>
      <c r="AU31" s="8" cm="1">
        <f t="array" ref="AU31">_xlfn.IFS(BJ31=0,0,BJ31&gt;0,(LOG(0.01*BJ31/10^-CN31)))</f>
        <v>0</v>
      </c>
      <c r="AV31" s="8" cm="1">
        <f t="array" ref="AV31">_xlfn.IFS(BK31=0,0,BK31&gt;0,(LOG(0.01*BK31/10^-CO31)))</f>
        <v>0</v>
      </c>
      <c r="AW31" s="8" cm="1">
        <f t="array" ref="AW31">_xlfn.IFS(BL31=0,0,BL31&gt;0,(LOG(0.01*BL31/10^-CP31)))</f>
        <v>4.7297089741298137</v>
      </c>
      <c r="AX31" s="8" cm="1">
        <f t="array" ref="AX31">_xlfn.IFS(BM31=0,0,BM31&gt;0,(LOG(0.01*BM31/10^-CQ31)))</f>
        <v>4.572895362650117</v>
      </c>
      <c r="AY31" s="8" cm="1">
        <f t="array" ref="AY31">_xlfn.IFS(BN31=0,0,BN31&gt;0,(LOG(0.01*BN31/10^-CR31)))</f>
        <v>4.99932852112698</v>
      </c>
      <c r="AZ31" s="32">
        <f t="shared" si="53"/>
        <v>65.094917330067361</v>
      </c>
      <c r="BA31" s="31">
        <f t="shared" si="54"/>
        <v>0</v>
      </c>
      <c r="BB31" s="31">
        <f t="shared" si="55"/>
        <v>0</v>
      </c>
      <c r="BC31" s="31">
        <f t="shared" si="56"/>
        <v>0</v>
      </c>
      <c r="BD31" s="31">
        <f t="shared" si="57"/>
        <v>16.95557963163597</v>
      </c>
      <c r="BE31" s="31">
        <f t="shared" si="58"/>
        <v>19.003250270855904</v>
      </c>
      <c r="BF31" s="31">
        <f t="shared" si="59"/>
        <v>0</v>
      </c>
      <c r="BG31" s="31">
        <f t="shared" si="60"/>
        <v>0</v>
      </c>
      <c r="BH31" s="31">
        <f t="shared" si="61"/>
        <v>0</v>
      </c>
      <c r="BI31" s="31">
        <f t="shared" si="62"/>
        <v>60.290534208059974</v>
      </c>
      <c r="BJ31" s="31">
        <f t="shared" si="63"/>
        <v>0</v>
      </c>
      <c r="BK31" s="31">
        <f t="shared" si="64"/>
        <v>0</v>
      </c>
      <c r="BL31" s="31">
        <f t="shared" si="65"/>
        <v>14.67942262504196</v>
      </c>
      <c r="BM31" s="31">
        <f t="shared" si="66"/>
        <v>19.050016784155758</v>
      </c>
      <c r="BN31" s="31">
        <f t="shared" si="67"/>
        <v>23.084927828130244</v>
      </c>
      <c r="BO31" s="134">
        <v>42.52</v>
      </c>
      <c r="BP31" s="135"/>
      <c r="BQ31" s="135"/>
      <c r="BR31" s="173"/>
      <c r="BS31" s="135">
        <v>156.5</v>
      </c>
      <c r="BT31" s="135">
        <v>175.4</v>
      </c>
      <c r="BU31" s="135"/>
      <c r="BV31" s="135"/>
      <c r="BW31" s="135"/>
      <c r="BX31" s="135">
        <v>643.29999999999995</v>
      </c>
      <c r="BY31" s="135"/>
      <c r="BZ31" s="135"/>
      <c r="CA31" s="135">
        <v>437.3</v>
      </c>
      <c r="CB31" s="135">
        <v>567.5</v>
      </c>
      <c r="CC31" s="135">
        <v>687.7</v>
      </c>
      <c r="CD31" s="30">
        <v>8.81</v>
      </c>
      <c r="CE31" s="29"/>
      <c r="CF31" s="29"/>
      <c r="CG31" s="37"/>
      <c r="CH31" s="29">
        <v>5.6040000000000001</v>
      </c>
      <c r="CI31" s="29">
        <v>5.9859999999999998</v>
      </c>
      <c r="CJ31" s="29"/>
      <c r="CK31" s="29"/>
      <c r="CL31" s="29"/>
      <c r="CM31" s="29">
        <v>7.657</v>
      </c>
      <c r="CN31" s="29"/>
      <c r="CO31" s="29"/>
      <c r="CP31" s="29">
        <v>5.5629999999999997</v>
      </c>
      <c r="CQ31" s="29">
        <v>5.2930000000000001</v>
      </c>
      <c r="CR31" s="29">
        <v>5.6360000000000001</v>
      </c>
      <c r="CS31" s="168" t="str">
        <f>IF(VLOOKUP($A31,'B-Ligands'!$A:$G,3,FALSE)="","",VLOOKUP($A31,'B-Ligands'!$A:$G,3,FALSE))</f>
        <v/>
      </c>
      <c r="CT31" s="169" t="str">
        <f>IF(VLOOKUP($A31,'B-Ligands'!$A:$G,4,FALSE)="","",VLOOKUP($A31,'B-Ligands'!$A:$G,4,FALSE))</f>
        <v>Dopamine</v>
      </c>
      <c r="CU31" s="134">
        <v>13.398107160517627</v>
      </c>
      <c r="CV31" s="135">
        <v>15.466994710631823</v>
      </c>
      <c r="CW31" s="135">
        <v>18.171585315585912</v>
      </c>
      <c r="CX31" s="135">
        <v>21.509927706680266</v>
      </c>
      <c r="CY31" s="135">
        <v>20.428785041730354</v>
      </c>
      <c r="CZ31" s="135">
        <v>20.227435985662321</v>
      </c>
      <c r="DA31" s="135">
        <v>13.338555126327515</v>
      </c>
      <c r="DB31" s="135">
        <v>10.375950566344457</v>
      </c>
      <c r="DC31" s="135">
        <v>12.710086567783575</v>
      </c>
      <c r="DD31" s="135">
        <v>12.157987633724375</v>
      </c>
      <c r="DE31" s="135">
        <v>14.386813668877153</v>
      </c>
      <c r="DF31" s="135">
        <v>21.134470768668098</v>
      </c>
      <c r="DG31" s="135">
        <v>11.855900402690898</v>
      </c>
      <c r="DH31" s="135">
        <v>19.71889400363704</v>
      </c>
      <c r="DI31" s="135">
        <v>8.1767932647064612</v>
      </c>
      <c r="DJ31" s="66">
        <f t="shared" si="7"/>
        <v>3.1735826180955304</v>
      </c>
      <c r="DK31" s="67">
        <f t="shared" si="8"/>
        <v>0</v>
      </c>
      <c r="DL31" s="67">
        <f t="shared" si="9"/>
        <v>0</v>
      </c>
      <c r="DM31" s="67">
        <f t="shared" si="10"/>
        <v>0</v>
      </c>
      <c r="DN31" s="67">
        <f t="shared" si="11"/>
        <v>7.6607590554364258</v>
      </c>
      <c r="DO31" s="67">
        <f t="shared" si="12"/>
        <v>8.6713906856176735</v>
      </c>
      <c r="DP31" s="67">
        <f t="shared" si="13"/>
        <v>0</v>
      </c>
      <c r="DQ31" s="67">
        <f t="shared" si="14"/>
        <v>0</v>
      </c>
      <c r="DR31" s="67">
        <f t="shared" si="15"/>
        <v>0</v>
      </c>
      <c r="DS31" s="67">
        <f t="shared" si="16"/>
        <v>52.911716920618126</v>
      </c>
      <c r="DT31" s="67">
        <f t="shared" si="17"/>
        <v>0</v>
      </c>
      <c r="DU31" s="67">
        <f t="shared" si="18"/>
        <v>0</v>
      </c>
      <c r="DV31" s="67">
        <f t="shared" si="19"/>
        <v>36.884587854731585</v>
      </c>
      <c r="DW31" s="67">
        <f t="shared" si="20"/>
        <v>28.77950456528281</v>
      </c>
      <c r="DX31" s="67">
        <f t="shared" si="21"/>
        <v>84.103875166848525</v>
      </c>
    </row>
    <row r="32" spans="1:128" s="28" customFormat="1">
      <c r="A32" s="33" t="s">
        <v>218</v>
      </c>
      <c r="B32" s="205" t="s">
        <v>5559</v>
      </c>
      <c r="C32" t="str">
        <f>IF(VLOOKUP($A32,'B-Ligands'!$A:$G,5,FALSE)="","",VLOOKUP($A32,'B-Ligands'!$A:$G,5,FALSE))</f>
        <v>Guide To Pharmacology</v>
      </c>
      <c r="D32" s="19">
        <f>IF(VLOOKUP($A32,'B-Ligands'!$A:$G,6,FALSE)="","",VLOOKUP($A32,'B-Ligands'!$A:$G,6,FALSE))</f>
        <v>2019</v>
      </c>
      <c r="E32" t="str">
        <f>IF(VLOOKUP($A32,'B-Ligands'!$A:$G,7,FALSE)="","",VLOOKUP($A32,'B-Ligands'!$A:$G,7,FALSE))</f>
        <v>Phys</v>
      </c>
      <c r="F32" s="20" t="str">
        <f t="shared" si="68"/>
        <v/>
      </c>
      <c r="G32" s="19">
        <f t="shared" si="69"/>
        <v>1</v>
      </c>
      <c r="H32" s="19">
        <f t="shared" si="70"/>
        <v>1</v>
      </c>
      <c r="I32" s="19">
        <f t="shared" si="71"/>
        <v>1</v>
      </c>
      <c r="J32" s="189">
        <f t="shared" si="26"/>
        <v>3</v>
      </c>
      <c r="K32" s="147" t="str">
        <f t="shared" si="27"/>
        <v>Gi/o</v>
      </c>
      <c r="L32" s="20">
        <f t="shared" si="28"/>
        <v>0</v>
      </c>
      <c r="M32" s="19">
        <f t="shared" si="29"/>
        <v>1</v>
      </c>
      <c r="N32" s="19">
        <f t="shared" si="30"/>
        <v>2</v>
      </c>
      <c r="O32" s="19">
        <f t="shared" si="31"/>
        <v>3</v>
      </c>
      <c r="P32" s="20">
        <f t="shared" si="32"/>
        <v>0</v>
      </c>
      <c r="Q32" s="19">
        <f t="shared" si="33"/>
        <v>100</v>
      </c>
      <c r="R32" s="19">
        <f t="shared" si="34"/>
        <v>74.572886676956685</v>
      </c>
      <c r="S32" s="19">
        <f t="shared" si="35"/>
        <v>66.564819987427668</v>
      </c>
      <c r="T32" s="20">
        <f t="shared" si="36"/>
        <v>0</v>
      </c>
      <c r="U32" s="21">
        <f t="shared" si="37"/>
        <v>10.66308518387622</v>
      </c>
      <c r="V32" s="21">
        <f t="shared" si="38"/>
        <v>7.9517704304393719</v>
      </c>
      <c r="W32" s="21">
        <f t="shared" si="39"/>
        <v>7.0978634577532764</v>
      </c>
      <c r="X32" s="147" t="str">
        <f t="shared" si="40"/>
        <v>Gz</v>
      </c>
      <c r="Y32" s="32">
        <f t="shared" si="41"/>
        <v>0</v>
      </c>
      <c r="Z32" s="31">
        <f t="shared" si="42"/>
        <v>95.557056370265897</v>
      </c>
      <c r="AA32" s="31">
        <f t="shared" si="43"/>
        <v>93.345054366420925</v>
      </c>
      <c r="AB32" s="31">
        <f t="shared" si="44"/>
        <v>89.649037879164808</v>
      </c>
      <c r="AC32" s="31">
        <f t="shared" si="45"/>
        <v>95.726810684134634</v>
      </c>
      <c r="AD32" s="31">
        <f t="shared" si="46"/>
        <v>100</v>
      </c>
      <c r="AE32" s="31">
        <f t="shared" si="47"/>
        <v>61.790514785432407</v>
      </c>
      <c r="AF32" s="31">
        <f t="shared" si="48"/>
        <v>0</v>
      </c>
      <c r="AG32" s="31">
        <f t="shared" si="49"/>
        <v>70.258651421748539</v>
      </c>
      <c r="AH32" s="31">
        <f t="shared" si="50"/>
        <v>74.572886676956685</v>
      </c>
      <c r="AI32" s="31">
        <f t="shared" si="51"/>
        <v>66.564819987427668</v>
      </c>
      <c r="AJ32" s="31">
        <f t="shared" si="52"/>
        <v>0</v>
      </c>
      <c r="AK32" s="7" cm="1">
        <f t="array" ref="AK32">_xlfn.IFS(AZ32=0,0,AZ32&gt;0,(LOG(0.01*AZ32/10^-CD32)))</f>
        <v>0</v>
      </c>
      <c r="AL32" s="8" cm="1">
        <f t="array" ref="AL32">_xlfn.IFS(BA32=0,0,BA32&gt;0,(LOG(0.01*BA32/10^-CE32)))</f>
        <v>10.189330319966071</v>
      </c>
      <c r="AM32" s="8" cm="1">
        <f t="array" ref="AM32">_xlfn.IFS(BB32=0,0,BB32&gt;0,(LOG(0.01*BB32/10^-CF32)))</f>
        <v>9.9534626620270323</v>
      </c>
      <c r="AN32" s="8" cm="1">
        <f t="array" ref="AN32">_xlfn.IFS(BC32=0,0,BC32&gt;0,(LOG(0.01*BC32/10^-CG32)))</f>
        <v>9.5593532755808024</v>
      </c>
      <c r="AO32" s="8" cm="1">
        <f t="array" ref="AO32">_xlfn.IFS(BD32=0,0,BD32&gt;0,(LOG(0.01*BD32/10^-CH32)))</f>
        <v>10.207431367057199</v>
      </c>
      <c r="AP32" s="8" cm="1">
        <f t="array" ref="AP32">_xlfn.IFS(BE32=0,0,BE32&gt;0,(LOG(0.01*BE32/10^-CI32)))</f>
        <v>10.66308518387622</v>
      </c>
      <c r="AQ32" s="8" cm="1">
        <f t="array" ref="AQ32">_xlfn.IFS(BF32=0,0,BF32&gt;0,(LOG(0.01*BF32/10^-CJ32)))</f>
        <v>6.5887752271262876</v>
      </c>
      <c r="AR32" s="8" cm="1">
        <f t="array" ref="AR32">_xlfn.IFS(BG32=0,0,BG32&gt;0,(LOG(0.01*BG32/10^-CK32)))</f>
        <v>0</v>
      </c>
      <c r="AS32" s="8" cm="1">
        <f t="array" ref="AS32">_xlfn.IFS(BH32=0,0,BH32&gt;0,(LOG(0.01*BH32/10^-CL32)))</f>
        <v>7.4917398501437082</v>
      </c>
      <c r="AT32" s="8" cm="1">
        <f t="array" ref="AT32">_xlfn.IFS(BI32=0,0,BI32&gt;0,(LOG(0.01*BI32/10^-CM32)))</f>
        <v>7.9517704304393719</v>
      </c>
      <c r="AU32" s="8" cm="1">
        <f t="array" ref="AU32">_xlfn.IFS(BJ32=0,0,BJ32&gt;0,(LOG(0.01*BJ32/10^-CN32)))</f>
        <v>7.0978634577532764</v>
      </c>
      <c r="AV32" s="8" cm="1">
        <f t="array" ref="AV32">_xlfn.IFS(BK32=0,0,BK32&gt;0,(LOG(0.01*BK32/10^-CO32)))</f>
        <v>0</v>
      </c>
      <c r="AW32" s="8" cm="1">
        <f t="array" ref="AW32">_xlfn.IFS(BL32=0,0,BL32&gt;0,(LOG(0.01*BL32/10^-CP32)))</f>
        <v>8.7983571897314423</v>
      </c>
      <c r="AX32" s="8" cm="1">
        <f t="array" ref="AX32">_xlfn.IFS(BM32=0,0,BM32&gt;0,(LOG(0.01*BM32/10^-CQ32)))</f>
        <v>8.1265691305447323</v>
      </c>
      <c r="AY32" s="8" cm="1">
        <f t="array" ref="AY32">_xlfn.IFS(BN32=0,0,BN32&gt;0,(LOG(0.01*BN32/10^-CR32)))</f>
        <v>8.7040008847700303</v>
      </c>
      <c r="AZ32" s="32">
        <f t="shared" si="53"/>
        <v>0</v>
      </c>
      <c r="BA32" s="31">
        <f t="shared" si="54"/>
        <v>95.352112676056336</v>
      </c>
      <c r="BB32" s="31">
        <f t="shared" si="55"/>
        <v>34.951245937161431</v>
      </c>
      <c r="BC32" s="31">
        <f t="shared" si="56"/>
        <v>28.797399783315278</v>
      </c>
      <c r="BD32" s="31">
        <f t="shared" si="57"/>
        <v>48.689057421451786</v>
      </c>
      <c r="BE32" s="31">
        <f t="shared" si="58"/>
        <v>25.297941495124594</v>
      </c>
      <c r="BF32" s="31">
        <f t="shared" si="59"/>
        <v>12.268041237113403</v>
      </c>
      <c r="BG32" s="31">
        <f t="shared" si="60"/>
        <v>0</v>
      </c>
      <c r="BH32" s="31">
        <f t="shared" si="61"/>
        <v>45.576382380506089</v>
      </c>
      <c r="BI32" s="31">
        <f t="shared" si="62"/>
        <v>59.671977507029062</v>
      </c>
      <c r="BJ32" s="31">
        <f t="shared" si="63"/>
        <v>6.7742849051260263</v>
      </c>
      <c r="BK32" s="31">
        <f t="shared" si="64"/>
        <v>0</v>
      </c>
      <c r="BL32" s="31">
        <f t="shared" si="65"/>
        <v>96.240349110439752</v>
      </c>
      <c r="BM32" s="31">
        <f t="shared" si="66"/>
        <v>48.036253776435046</v>
      </c>
      <c r="BN32" s="31">
        <f t="shared" si="67"/>
        <v>61.094326955354148</v>
      </c>
      <c r="BO32" s="132"/>
      <c r="BP32" s="133">
        <v>880.1</v>
      </c>
      <c r="BQ32" s="133">
        <v>322.60000000000002</v>
      </c>
      <c r="BR32" s="133">
        <v>265.8</v>
      </c>
      <c r="BS32" s="133">
        <v>449.4</v>
      </c>
      <c r="BT32" s="133">
        <v>233.5</v>
      </c>
      <c r="BU32" s="133">
        <v>130.9</v>
      </c>
      <c r="BV32" s="133"/>
      <c r="BW32" s="133">
        <v>486.3</v>
      </c>
      <c r="BX32" s="133">
        <v>636.70000000000005</v>
      </c>
      <c r="BY32" s="133">
        <v>47.84</v>
      </c>
      <c r="BZ32" s="133"/>
      <c r="CA32" s="133">
        <v>2867</v>
      </c>
      <c r="CB32" s="133">
        <v>1431</v>
      </c>
      <c r="CC32" s="133">
        <v>1820</v>
      </c>
      <c r="CD32" s="36"/>
      <c r="CE32" s="34">
        <v>10.210000000000001</v>
      </c>
      <c r="CF32" s="34">
        <v>10.41</v>
      </c>
      <c r="CG32" s="34">
        <v>10.1</v>
      </c>
      <c r="CH32" s="34">
        <v>10.52</v>
      </c>
      <c r="CI32" s="34">
        <v>11.26</v>
      </c>
      <c r="CJ32" s="34">
        <v>7.5</v>
      </c>
      <c r="CK32" s="34"/>
      <c r="CL32" s="34">
        <v>7.8330000000000002</v>
      </c>
      <c r="CM32" s="34">
        <v>8.1760000000000002</v>
      </c>
      <c r="CN32" s="34">
        <v>8.2669999999999995</v>
      </c>
      <c r="CO32" s="34"/>
      <c r="CP32" s="34">
        <v>8.8149999999999995</v>
      </c>
      <c r="CQ32" s="34">
        <v>8.4450000000000003</v>
      </c>
      <c r="CR32" s="34">
        <v>8.9179999999999993</v>
      </c>
      <c r="CS32" s="168" t="str">
        <f>IF(VLOOKUP($A32,'B-Ligands'!$A:$G,3,FALSE)="","",VLOOKUP($A32,'B-Ligands'!$A:$G,3,FALSE))</f>
        <v/>
      </c>
      <c r="CT32" s="169" t="str">
        <f>IF(VLOOKUP($A32,'B-Ligands'!$A:$G,4,FALSE)="","",VLOOKUP($A32,'B-Ligands'!$A:$G,4,FALSE))</f>
        <v>Somatostatin-14</v>
      </c>
      <c r="CU32" s="132">
        <v>7.8726377185998553</v>
      </c>
      <c r="CV32" s="133">
        <v>10.095305640802957</v>
      </c>
      <c r="CW32" s="133">
        <v>7.7833436099451099</v>
      </c>
      <c r="CX32" s="133">
        <v>5.548481815517448</v>
      </c>
      <c r="CY32" s="133">
        <v>6.3299077296019535</v>
      </c>
      <c r="CZ32" s="133">
        <v>6.9406643013734177</v>
      </c>
      <c r="DA32" s="133">
        <v>9.2582770678642934</v>
      </c>
      <c r="DB32" s="133">
        <v>8.7449808041809067</v>
      </c>
      <c r="DC32" s="133">
        <v>4.2377838894013271</v>
      </c>
      <c r="DD32" s="133">
        <v>5.1298995320018967</v>
      </c>
      <c r="DE32" s="133">
        <v>13.520364600089351</v>
      </c>
      <c r="DF32" s="133">
        <v>24.757775098382531</v>
      </c>
      <c r="DG32" s="133">
        <v>2.4986105342280807</v>
      </c>
      <c r="DH32" s="133">
        <v>7.312855318239964</v>
      </c>
      <c r="DI32" s="133">
        <v>16.149482397569471</v>
      </c>
      <c r="DJ32" s="66">
        <f t="shared" si="7"/>
        <v>0</v>
      </c>
      <c r="DK32" s="67">
        <f t="shared" si="8"/>
        <v>87.179133679998117</v>
      </c>
      <c r="DL32" s="67">
        <f t="shared" si="9"/>
        <v>41.447482748648056</v>
      </c>
      <c r="DM32" s="67">
        <f t="shared" si="10"/>
        <v>47.90499614807004</v>
      </c>
      <c r="DN32" s="67">
        <f t="shared" si="11"/>
        <v>70.996295553941636</v>
      </c>
      <c r="DO32" s="67">
        <f t="shared" si="12"/>
        <v>33.642312876851726</v>
      </c>
      <c r="DP32" s="67">
        <f t="shared" si="13"/>
        <v>14.13869978620073</v>
      </c>
      <c r="DQ32" s="67">
        <f t="shared" si="14"/>
        <v>0</v>
      </c>
      <c r="DR32" s="67">
        <f t="shared" si="15"/>
        <v>114.75337409636047</v>
      </c>
      <c r="DS32" s="67">
        <f t="shared" si="16"/>
        <v>124.11549115690647</v>
      </c>
      <c r="DT32" s="67">
        <f t="shared" si="17"/>
        <v>3.5383661177069032</v>
      </c>
      <c r="DU32" s="67">
        <f t="shared" si="18"/>
        <v>0</v>
      </c>
      <c r="DV32" s="67">
        <f t="shared" si="19"/>
        <v>1147.437730180598</v>
      </c>
      <c r="DW32" s="67">
        <f t="shared" si="20"/>
        <v>195.6827993616601</v>
      </c>
      <c r="DX32" s="67">
        <f t="shared" si="21"/>
        <v>112.69711035902387</v>
      </c>
    </row>
    <row r="33" spans="1:128" s="28" customFormat="1">
      <c r="A33" s="33" t="s">
        <v>198</v>
      </c>
      <c r="B33" s="205" t="s">
        <v>5559</v>
      </c>
      <c r="C33" t="str">
        <f>IF(VLOOKUP($A33,'B-Ligands'!$A:$G,5,FALSE)="","",VLOOKUP($A33,'B-Ligands'!$A:$G,5,FALSE))</f>
        <v>Guide To Pharmacology</v>
      </c>
      <c r="D33" s="19">
        <f>IF(VLOOKUP($A33,'B-Ligands'!$A:$G,6,FALSE)="","",VLOOKUP($A33,'B-Ligands'!$A:$G,6,FALSE))</f>
        <v>4448</v>
      </c>
      <c r="E33" t="str">
        <f>IF(VLOOKUP($A33,'B-Ligands'!$A:$G,7,FALSE)="","",VLOOKUP($A33,'B-Ligands'!$A:$G,7,FALSE))</f>
        <v>Phys</v>
      </c>
      <c r="F33" s="20">
        <f t="shared" si="68"/>
        <v>1</v>
      </c>
      <c r="G33" s="19">
        <f t="shared" si="69"/>
        <v>1</v>
      </c>
      <c r="H33" s="19">
        <f t="shared" si="70"/>
        <v>1</v>
      </c>
      <c r="I33" s="19">
        <f t="shared" si="71"/>
        <v>1</v>
      </c>
      <c r="J33" s="189">
        <f t="shared" si="26"/>
        <v>4</v>
      </c>
      <c r="K33" s="147" t="str">
        <f t="shared" si="27"/>
        <v>Gs</v>
      </c>
      <c r="L33" s="20">
        <f t="shared" si="28"/>
        <v>1</v>
      </c>
      <c r="M33" s="19">
        <f t="shared" si="29"/>
        <v>3</v>
      </c>
      <c r="N33" s="19">
        <f t="shared" si="30"/>
        <v>2</v>
      </c>
      <c r="O33" s="19">
        <f t="shared" si="31"/>
        <v>4</v>
      </c>
      <c r="P33" s="20">
        <f t="shared" si="32"/>
        <v>100</v>
      </c>
      <c r="Q33" s="19">
        <f t="shared" si="33"/>
        <v>71.150618923687574</v>
      </c>
      <c r="R33" s="19">
        <f t="shared" si="34"/>
        <v>82.476291522812332</v>
      </c>
      <c r="S33" s="19">
        <f t="shared" si="35"/>
        <v>67.518545122972554</v>
      </c>
      <c r="T33" s="20">
        <f t="shared" si="36"/>
        <v>10.959346374310798</v>
      </c>
      <c r="U33" s="21">
        <f t="shared" si="37"/>
        <v>7.7976427753128474</v>
      </c>
      <c r="V33" s="21">
        <f t="shared" si="38"/>
        <v>9.038862464671336</v>
      </c>
      <c r="W33" s="21">
        <f t="shared" si="39"/>
        <v>7.399591226921892</v>
      </c>
      <c r="X33" s="147" t="str">
        <f t="shared" si="40"/>
        <v>GsL</v>
      </c>
      <c r="Y33" s="32">
        <f t="shared" si="41"/>
        <v>100</v>
      </c>
      <c r="Z33" s="31">
        <f t="shared" si="42"/>
        <v>69.459823392061153</v>
      </c>
      <c r="AA33" s="31">
        <f t="shared" si="43"/>
        <v>65.819193144617842</v>
      </c>
      <c r="AB33" s="31">
        <f t="shared" si="44"/>
        <v>67.214109539346765</v>
      </c>
      <c r="AC33" s="31">
        <f t="shared" si="45"/>
        <v>71.150618923687574</v>
      </c>
      <c r="AD33" s="31">
        <f t="shared" si="46"/>
        <v>57.317587939498878</v>
      </c>
      <c r="AE33" s="31">
        <f t="shared" si="47"/>
        <v>70.769881352549163</v>
      </c>
      <c r="AF33" s="31">
        <f t="shared" si="48"/>
        <v>64.748694066654849</v>
      </c>
      <c r="AG33" s="31">
        <f t="shared" si="49"/>
        <v>63.433243940257292</v>
      </c>
      <c r="AH33" s="31">
        <f t="shared" si="50"/>
        <v>82.476291522812332</v>
      </c>
      <c r="AI33" s="31">
        <f t="shared" si="51"/>
        <v>55.044360514864302</v>
      </c>
      <c r="AJ33" s="31">
        <f t="shared" si="52"/>
        <v>67.518545122972554</v>
      </c>
      <c r="AK33" s="7" cm="1">
        <f t="array" ref="AK33">_xlfn.IFS(AZ33=0,0,AZ33&gt;0,(LOG(0.01*AZ33/10^-CD33)))</f>
        <v>10.959346374310798</v>
      </c>
      <c r="AL33" s="8" cm="1">
        <f t="array" ref="AL33">_xlfn.IFS(BA33=0,0,BA33&gt;0,(LOG(0.01*BA33/10^-CE33)))</f>
        <v>7.6123426365205376</v>
      </c>
      <c r="AM33" s="8" cm="1">
        <f t="array" ref="AM33">_xlfn.IFS(BB33=0,0,BB33&gt;0,(LOG(0.01*BB33/10^-CF33)))</f>
        <v>7.2133533574952962</v>
      </c>
      <c r="AN33" s="8" cm="1">
        <f t="array" ref="AN33">_xlfn.IFS(BC33=0,0,BC33&gt;0,(LOG(0.01*BC33/10^-CG33)))</f>
        <v>7.3662270768256883</v>
      </c>
      <c r="AO33" s="8" cm="1">
        <f t="array" ref="AO33">_xlfn.IFS(BD33=0,0,BD33&gt;0,(LOG(0.01*BD33/10^-CH33)))</f>
        <v>7.7976427753128474</v>
      </c>
      <c r="AP33" s="8" cm="1">
        <f t="array" ref="AP33">_xlfn.IFS(BE33=0,0,BE33&gt;0,(LOG(0.01*BE33/10^-CI33)))</f>
        <v>6.2816329956898738</v>
      </c>
      <c r="AQ33" s="8" cm="1">
        <f t="array" ref="AQ33">_xlfn.IFS(BF33=0,0,BF33&gt;0,(LOG(0.01*BF33/10^-CJ33)))</f>
        <v>7.7559164261146494</v>
      </c>
      <c r="AR33" s="8" cm="1">
        <f t="array" ref="AR33">_xlfn.IFS(BG33=0,0,BG33&gt;0,(LOG(0.01*BG33/10^-CK33)))</f>
        <v>7.0960336556075285</v>
      </c>
      <c r="AS33" s="8" cm="1">
        <f t="array" ref="AS33">_xlfn.IFS(BH33=0,0,BH33&gt;0,(LOG(0.01*BH33/10^-CL33)))</f>
        <v>6.9518689198743111</v>
      </c>
      <c r="AT33" s="8" cm="1">
        <f t="array" ref="AT33">_xlfn.IFS(BI33=0,0,BI33&gt;0,(LOG(0.01*BI33/10^-CM33)))</f>
        <v>9.038862464671336</v>
      </c>
      <c r="AU33" s="8" cm="1">
        <f t="array" ref="AU33">_xlfn.IFS(BJ33=0,0,BJ33&gt;0,(LOG(0.01*BJ33/10^-CN33)))</f>
        <v>6.0325021283483453</v>
      </c>
      <c r="AV33" s="8" cm="1">
        <f t="array" ref="AV33">_xlfn.IFS(BK33=0,0,BK33&gt;0,(LOG(0.01*BK33/10^-CO33)))</f>
        <v>7.399591226921892</v>
      </c>
      <c r="AW33" s="8" cm="1">
        <f t="array" ref="AW33">_xlfn.IFS(BL33=0,0,BL33&gt;0,(LOG(0.01*BL33/10^-CP33)))</f>
        <v>8.6983792905465549</v>
      </c>
      <c r="AX33" s="8" cm="1">
        <f t="array" ref="AX33">_xlfn.IFS(BM33=0,0,BM33&gt;0,(LOG(0.01*BM33/10^-CQ33)))</f>
        <v>8.0406133117609979</v>
      </c>
      <c r="AY33" s="8" cm="1">
        <f t="array" ref="AY33">_xlfn.IFS(BN33=0,0,BN33&gt;0,(LOG(0.01*BN33/10^-CR33)))</f>
        <v>8.4809587633387284</v>
      </c>
      <c r="AZ33" s="32">
        <f t="shared" si="53"/>
        <v>60.165339865278625</v>
      </c>
      <c r="BA33" s="31">
        <f t="shared" si="54"/>
        <v>33.911159263271941</v>
      </c>
      <c r="BB33" s="31">
        <f t="shared" si="55"/>
        <v>16.045503791982664</v>
      </c>
      <c r="BC33" s="31">
        <f t="shared" si="56"/>
        <v>14.528710725893825</v>
      </c>
      <c r="BD33" s="31">
        <f t="shared" si="57"/>
        <v>32.556879739978335</v>
      </c>
      <c r="BE33" s="31">
        <f t="shared" si="58"/>
        <v>15.297941495124592</v>
      </c>
      <c r="BF33" s="31">
        <f t="shared" si="59"/>
        <v>30.402999062792873</v>
      </c>
      <c r="BG33" s="31">
        <f t="shared" si="60"/>
        <v>12.446110590440489</v>
      </c>
      <c r="BH33" s="31">
        <f t="shared" si="61"/>
        <v>9.7469540768509848</v>
      </c>
      <c r="BI33" s="31">
        <f t="shared" si="62"/>
        <v>57.525773195876283</v>
      </c>
      <c r="BJ33" s="31">
        <f t="shared" si="63"/>
        <v>8.0260549419427925</v>
      </c>
      <c r="BK33" s="31">
        <f t="shared" si="64"/>
        <v>50.651373548569808</v>
      </c>
      <c r="BL33" s="31">
        <f t="shared" si="65"/>
        <v>91.070829137294396</v>
      </c>
      <c r="BM33" s="31">
        <f t="shared" si="66"/>
        <v>30.946626384692848</v>
      </c>
      <c r="BN33" s="31">
        <f t="shared" si="67"/>
        <v>53.205773749580395</v>
      </c>
      <c r="BO33" s="132">
        <v>39.299999999999997</v>
      </c>
      <c r="BP33" s="133">
        <v>313</v>
      </c>
      <c r="BQ33" s="133">
        <v>148.1</v>
      </c>
      <c r="BR33" s="133">
        <v>134.1</v>
      </c>
      <c r="BS33" s="133">
        <v>300.5</v>
      </c>
      <c r="BT33" s="133">
        <v>141.19999999999999</v>
      </c>
      <c r="BU33" s="133">
        <v>324.39999999999998</v>
      </c>
      <c r="BV33" s="133">
        <v>132.80000000000001</v>
      </c>
      <c r="BW33" s="133">
        <v>104</v>
      </c>
      <c r="BX33" s="133">
        <v>613.79999999999995</v>
      </c>
      <c r="BY33" s="133">
        <v>56.68</v>
      </c>
      <c r="BZ33" s="133">
        <v>357.7</v>
      </c>
      <c r="CA33" s="133">
        <v>2713</v>
      </c>
      <c r="CB33" s="133">
        <v>921.9</v>
      </c>
      <c r="CC33" s="133">
        <v>1585</v>
      </c>
      <c r="CD33" s="36">
        <v>11.18</v>
      </c>
      <c r="CE33" s="34">
        <v>8.0820000000000007</v>
      </c>
      <c r="CF33" s="34">
        <v>8.0079999999999991</v>
      </c>
      <c r="CG33" s="34">
        <v>8.2040000000000006</v>
      </c>
      <c r="CH33" s="34">
        <v>8.2850000000000001</v>
      </c>
      <c r="CI33" s="34">
        <v>7.0970000000000004</v>
      </c>
      <c r="CJ33" s="34">
        <v>8.2729999999999997</v>
      </c>
      <c r="CK33" s="34">
        <v>8.0009999999999994</v>
      </c>
      <c r="CL33" s="34">
        <v>7.9630000000000001</v>
      </c>
      <c r="CM33" s="34">
        <v>9.2789999999999999</v>
      </c>
      <c r="CN33" s="34">
        <v>7.1280000000000001</v>
      </c>
      <c r="CO33" s="34">
        <v>7.6950000000000003</v>
      </c>
      <c r="CP33" s="34">
        <v>8.7390000000000008</v>
      </c>
      <c r="CQ33" s="34">
        <v>8.5500000000000007</v>
      </c>
      <c r="CR33" s="34">
        <v>8.7550000000000008</v>
      </c>
      <c r="CS33" s="168" t="str">
        <f>IF(VLOOKUP($A33,'B-Ligands'!$A:$G,3,FALSE)="","",VLOOKUP($A33,'B-Ligands'!$A:$G,3,FALSE))</f>
        <v>PTH (1-34)</v>
      </c>
      <c r="CT33" s="169" t="str">
        <f>IF(VLOOKUP($A33,'B-Ligands'!$A:$G,4,FALSE)="","",VLOOKUP($A33,'B-Ligands'!$A:$G,4,FALSE))</f>
        <v>Parathyroid Hormone</v>
      </c>
      <c r="CU33" s="132">
        <v>6.6364041793493618</v>
      </c>
      <c r="CV33" s="133">
        <v>7.2583923235628918</v>
      </c>
      <c r="CW33" s="133">
        <v>10.433217325822842</v>
      </c>
      <c r="CX33" s="133">
        <v>8.7027740874202486</v>
      </c>
      <c r="CY33" s="133">
        <v>6.1337301727849667</v>
      </c>
      <c r="CZ33" s="133">
        <v>1.8595631865391751</v>
      </c>
      <c r="DA33" s="133">
        <v>5.0472893322737464</v>
      </c>
      <c r="DB33" s="133">
        <v>1.5965572005400377</v>
      </c>
      <c r="DC33" s="133">
        <v>8.8679108936717963</v>
      </c>
      <c r="DD33" s="133">
        <v>11.490367159295229</v>
      </c>
      <c r="DE33" s="133">
        <v>4.712058443317078</v>
      </c>
      <c r="DF33" s="133">
        <v>19.629596643305728</v>
      </c>
      <c r="DG33" s="133">
        <v>12.478354962115551</v>
      </c>
      <c r="DH33" s="133">
        <v>13.266477742302339</v>
      </c>
      <c r="DI33" s="133">
        <v>11.682425098374587</v>
      </c>
      <c r="DJ33" s="66">
        <f t="shared" si="7"/>
        <v>5.9218816301590902</v>
      </c>
      <c r="DK33" s="67">
        <f t="shared" si="8"/>
        <v>43.122496834995992</v>
      </c>
      <c r="DL33" s="67">
        <f t="shared" si="9"/>
        <v>14.195046012646891</v>
      </c>
      <c r="DM33" s="67">
        <f t="shared" si="10"/>
        <v>15.408879818429375</v>
      </c>
      <c r="DN33" s="67">
        <f t="shared" si="11"/>
        <v>48.991395371987906</v>
      </c>
      <c r="DO33" s="67">
        <f t="shared" si="12"/>
        <v>75.931810772607676</v>
      </c>
      <c r="DP33" s="67">
        <f t="shared" si="13"/>
        <v>64.272122845365288</v>
      </c>
      <c r="DQ33" s="67">
        <f t="shared" si="14"/>
        <v>83.178980342877935</v>
      </c>
      <c r="DR33" s="67">
        <f t="shared" si="15"/>
        <v>11.727677606031781</v>
      </c>
      <c r="DS33" s="67">
        <f t="shared" si="16"/>
        <v>53.418658559005344</v>
      </c>
      <c r="DT33" s="67">
        <f t="shared" si="17"/>
        <v>12.028713285673897</v>
      </c>
      <c r="DU33" s="67">
        <f t="shared" si="18"/>
        <v>18.222483451894373</v>
      </c>
      <c r="DV33" s="67">
        <f t="shared" si="19"/>
        <v>217.4164790340316</v>
      </c>
      <c r="DW33" s="67">
        <f t="shared" si="20"/>
        <v>69.490939336548294</v>
      </c>
      <c r="DX33" s="67">
        <f t="shared" si="21"/>
        <v>135.67388505837937</v>
      </c>
    </row>
    <row r="34" spans="1:128" s="28" customFormat="1">
      <c r="A34" s="33" t="s">
        <v>232</v>
      </c>
      <c r="B34" s="205" t="s">
        <v>5559</v>
      </c>
      <c r="C34" t="str">
        <f>IF(VLOOKUP($A34,'B-Ligands'!$A:$G,5,FALSE)="","",VLOOKUP($A34,'B-Ligands'!$A:$G,5,FALSE))</f>
        <v>Guide To Pharmacology</v>
      </c>
      <c r="D34" s="19">
        <f>IF(VLOOKUP($A34,'B-Ligands'!$A:$G,6,FALSE)="","",VLOOKUP($A34,'B-Ligands'!$A:$G,6,FALSE))</f>
        <v>1152</v>
      </c>
      <c r="E34" t="str">
        <f>IF(VLOOKUP($A34,'B-Ligands'!$A:$G,7,FALSE)="","",VLOOKUP($A34,'B-Ligands'!$A:$G,7,FALSE))</f>
        <v>Phys</v>
      </c>
      <c r="F34" s="20">
        <f t="shared" si="68"/>
        <v>1</v>
      </c>
      <c r="G34" s="19">
        <f t="shared" si="69"/>
        <v>1</v>
      </c>
      <c r="H34" s="19">
        <f t="shared" si="70"/>
        <v>1</v>
      </c>
      <c r="I34" s="19">
        <f t="shared" si="71"/>
        <v>1</v>
      </c>
      <c r="J34" s="189">
        <f t="shared" si="26"/>
        <v>4</v>
      </c>
      <c r="K34" s="147" t="str">
        <f t="shared" si="27"/>
        <v>Gs</v>
      </c>
      <c r="L34" s="20">
        <f t="shared" si="28"/>
        <v>1</v>
      </c>
      <c r="M34" s="19">
        <f t="shared" si="29"/>
        <v>4</v>
      </c>
      <c r="N34" s="19">
        <f t="shared" si="30"/>
        <v>2</v>
      </c>
      <c r="O34" s="19">
        <f t="shared" si="31"/>
        <v>3</v>
      </c>
      <c r="P34" s="20">
        <f t="shared" si="32"/>
        <v>100</v>
      </c>
      <c r="Q34" s="19">
        <f t="shared" si="33"/>
        <v>71.068046956369798</v>
      </c>
      <c r="R34" s="19">
        <f t="shared" si="34"/>
        <v>84.755338136050014</v>
      </c>
      <c r="S34" s="19">
        <f t="shared" si="35"/>
        <v>72.418628914164245</v>
      </c>
      <c r="T34" s="20">
        <f t="shared" si="36"/>
        <v>11.187098900309202</v>
      </c>
      <c r="U34" s="21">
        <f t="shared" si="37"/>
        <v>7.9504526995272728</v>
      </c>
      <c r="V34" s="21">
        <f t="shared" si="38"/>
        <v>9.481663500571397</v>
      </c>
      <c r="W34" s="21">
        <f t="shared" si="39"/>
        <v>8.1015436388754711</v>
      </c>
      <c r="X34" s="147" t="str">
        <f t="shared" si="40"/>
        <v>GsL</v>
      </c>
      <c r="Y34" s="32">
        <f t="shared" si="41"/>
        <v>100</v>
      </c>
      <c r="Z34" s="31">
        <f t="shared" si="42"/>
        <v>67.499717044055302</v>
      </c>
      <c r="AA34" s="31">
        <f t="shared" si="43"/>
        <v>67.784900049851544</v>
      </c>
      <c r="AB34" s="31">
        <f t="shared" si="44"/>
        <v>63.980976707249937</v>
      </c>
      <c r="AC34" s="31">
        <f t="shared" si="45"/>
        <v>71.068046956369798</v>
      </c>
      <c r="AD34" s="31">
        <f t="shared" si="46"/>
        <v>64.206613558772446</v>
      </c>
      <c r="AE34" s="31">
        <f t="shared" si="47"/>
        <v>70.960993830601353</v>
      </c>
      <c r="AF34" s="31">
        <f t="shared" si="48"/>
        <v>64.947954610825164</v>
      </c>
      <c r="AG34" s="31">
        <f t="shared" si="49"/>
        <v>58.299036717669694</v>
      </c>
      <c r="AH34" s="31">
        <f t="shared" si="50"/>
        <v>84.755338136050014</v>
      </c>
      <c r="AI34" s="31">
        <f t="shared" si="51"/>
        <v>65.815564668652698</v>
      </c>
      <c r="AJ34" s="31">
        <f t="shared" si="52"/>
        <v>72.418628914164245</v>
      </c>
      <c r="AK34" s="7" cm="1">
        <f t="array" ref="AK34">_xlfn.IFS(AZ34=0,0,AZ34&gt;0,(LOG(0.01*AZ34/10^-CD34)))</f>
        <v>11.187098900309202</v>
      </c>
      <c r="AL34" s="8" cm="1">
        <f t="array" ref="AL34">_xlfn.IFS(BA34=0,0,BA34&gt;0,(LOG(0.01*BA34/10^-CE34)))</f>
        <v>7.5512601031473334</v>
      </c>
      <c r="AM34" s="8" cm="1">
        <f t="array" ref="AM34">_xlfn.IFS(BB34=0,0,BB34&gt;0,(LOG(0.01*BB34/10^-CF34)))</f>
        <v>7.5831638080526327</v>
      </c>
      <c r="AN34" s="8" cm="1">
        <f t="array" ref="AN34">_xlfn.IFS(BC34=0,0,BC34&gt;0,(LOG(0.01*BC34/10^-CG34)))</f>
        <v>7.157615141623844</v>
      </c>
      <c r="AO34" s="8" cm="1">
        <f t="array" ref="AO34">_xlfn.IFS(BD34=0,0,BD34&gt;0,(LOG(0.01*BD34/10^-CH34)))</f>
        <v>7.9504526995272728</v>
      </c>
      <c r="AP34" s="8" cm="1">
        <f t="array" ref="AP34">_xlfn.IFS(BE34=0,0,BE34&gt;0,(LOG(0.01*BE34/10^-CI34)))</f>
        <v>7.182857359359212</v>
      </c>
      <c r="AQ34" s="8" cm="1">
        <f t="array" ref="AQ34">_xlfn.IFS(BF34=0,0,BF34&gt;0,(LOG(0.01*BF34/10^-CJ34)))</f>
        <v>7.9384765604716847</v>
      </c>
      <c r="AR34" s="8" cm="1">
        <f t="array" ref="AR34">_xlfn.IFS(BG34=0,0,BG34&gt;0,(LOG(0.01*BG34/10^-CK34)))</f>
        <v>7.2657919160409419</v>
      </c>
      <c r="AS34" s="8" cm="1">
        <f t="array" ref="AS34">_xlfn.IFS(BH34=0,0,BH34&gt;0,(LOG(0.01*BH34/10^-CL34)))</f>
        <v>6.5219708955332845</v>
      </c>
      <c r="AT34" s="8" cm="1">
        <f t="array" ref="AT34">_xlfn.IFS(BI34=0,0,BI34&gt;0,(LOG(0.01*BI34/10^-CM34)))</f>
        <v>9.481663500571397</v>
      </c>
      <c r="AU34" s="8" cm="1">
        <f t="array" ref="AU34">_xlfn.IFS(BJ34=0,0,BJ34&gt;0,(LOG(0.01*BJ34/10^-CN34)))</f>
        <v>7.3628523112791369</v>
      </c>
      <c r="AV34" s="8" cm="1">
        <f t="array" ref="AV34">_xlfn.IFS(BK34=0,0,BK34&gt;0,(LOG(0.01*BK34/10^-CO34)))</f>
        <v>8.1015436388754711</v>
      </c>
      <c r="AW34" s="8" cm="1">
        <f t="array" ref="AW34">_xlfn.IFS(BL34=0,0,BL34&gt;0,(LOG(0.01*BL34/10^-CP34)))</f>
        <v>8.7706980113527795</v>
      </c>
      <c r="AX34" s="8" cm="1">
        <f t="array" ref="AX34">_xlfn.IFS(BM34=0,0,BM34&gt;0,(LOG(0.01*BM34/10^-CQ34)))</f>
        <v>8.4507893065600168</v>
      </c>
      <c r="AY34" s="8" cm="1">
        <f t="array" ref="AY34">_xlfn.IFS(BN34=0,0,BN34&gt;0,(LOG(0.01*BN34/10^-CR34)))</f>
        <v>8.8052353620497268</v>
      </c>
      <c r="AZ34" s="32">
        <f t="shared" ref="AZ34:AZ65" si="72">IF(BO34="",0,100*BO34/MAX(BO:BO))</f>
        <v>73.637477036129823</v>
      </c>
      <c r="BA34" s="31">
        <f t="shared" si="54"/>
        <v>20.47670639219935</v>
      </c>
      <c r="BB34" s="31">
        <f t="shared" si="55"/>
        <v>10.379198266522209</v>
      </c>
      <c r="BC34" s="31">
        <f t="shared" si="56"/>
        <v>6.1040086673889489</v>
      </c>
      <c r="BD34" s="31">
        <f t="shared" si="57"/>
        <v>17.638136511375951</v>
      </c>
      <c r="BE34" s="31">
        <f t="shared" si="58"/>
        <v>9.5687973997833158</v>
      </c>
      <c r="BF34" s="31">
        <f t="shared" si="59"/>
        <v>24.404873477038421</v>
      </c>
      <c r="BG34" s="31">
        <f t="shared" si="60"/>
        <v>14.414245548266168</v>
      </c>
      <c r="BH34" s="31">
        <f t="shared" si="61"/>
        <v>4.3149015932521086</v>
      </c>
      <c r="BI34" s="31">
        <f t="shared" si="62"/>
        <v>57.235238987816317</v>
      </c>
      <c r="BJ34" s="31">
        <f t="shared" si="63"/>
        <v>5.8864344378363063</v>
      </c>
      <c r="BK34" s="31">
        <f t="shared" si="64"/>
        <v>45.766071934296228</v>
      </c>
      <c r="BL34" s="31">
        <f t="shared" si="65"/>
        <v>45.887881839543468</v>
      </c>
      <c r="BM34" s="31">
        <f t="shared" si="66"/>
        <v>23.323262839879153</v>
      </c>
      <c r="BN34" s="31">
        <f t="shared" si="67"/>
        <v>35.582410204766703</v>
      </c>
      <c r="BO34" s="134">
        <v>48.1</v>
      </c>
      <c r="BP34" s="135">
        <v>189</v>
      </c>
      <c r="BQ34" s="135">
        <v>95.8</v>
      </c>
      <c r="BR34" s="135">
        <v>56.34</v>
      </c>
      <c r="BS34" s="135">
        <v>162.80000000000001</v>
      </c>
      <c r="BT34" s="135">
        <v>88.32</v>
      </c>
      <c r="BU34" s="135">
        <v>260.39999999999998</v>
      </c>
      <c r="BV34" s="135">
        <v>153.80000000000001</v>
      </c>
      <c r="BW34" s="135">
        <v>46.04</v>
      </c>
      <c r="BX34" s="135">
        <v>610.70000000000005</v>
      </c>
      <c r="BY34" s="135">
        <v>41.57</v>
      </c>
      <c r="BZ34" s="135">
        <v>323.2</v>
      </c>
      <c r="CA34" s="135">
        <v>1367</v>
      </c>
      <c r="CB34" s="135">
        <v>694.8</v>
      </c>
      <c r="CC34" s="135">
        <v>1060</v>
      </c>
      <c r="CD34" s="30">
        <v>11.32</v>
      </c>
      <c r="CE34" s="29">
        <v>8.24</v>
      </c>
      <c r="CF34" s="29">
        <v>8.5670000000000002</v>
      </c>
      <c r="CG34" s="29">
        <v>8.3719999999999999</v>
      </c>
      <c r="CH34" s="29">
        <v>8.7040000000000006</v>
      </c>
      <c r="CI34" s="29">
        <v>8.202</v>
      </c>
      <c r="CJ34" s="29">
        <v>8.5510000000000002</v>
      </c>
      <c r="CK34" s="29">
        <v>8.1069999999999993</v>
      </c>
      <c r="CL34" s="29">
        <v>7.8869999999999996</v>
      </c>
      <c r="CM34" s="29">
        <v>9.7240000000000002</v>
      </c>
      <c r="CN34" s="29">
        <v>8.593</v>
      </c>
      <c r="CO34" s="29">
        <v>8.4410000000000007</v>
      </c>
      <c r="CP34" s="29">
        <v>9.109</v>
      </c>
      <c r="CQ34" s="29">
        <v>9.0830000000000002</v>
      </c>
      <c r="CR34" s="29">
        <v>9.2539999999999996</v>
      </c>
      <c r="CS34" s="168" t="str">
        <f>IF(VLOOKUP($A34,'B-Ligands'!$A:$G,3,FALSE)="","",VLOOKUP($A34,'B-Ligands'!$A:$G,3,FALSE))</f>
        <v>VIP</v>
      </c>
      <c r="CT34" s="169" t="str">
        <f>IF(VLOOKUP($A34,'B-Ligands'!$A:$G,4,FALSE)="","",VLOOKUP($A34,'B-Ligands'!$A:$G,4,FALSE))</f>
        <v>Vasoactive intestinal polypeptide</v>
      </c>
      <c r="CU34" s="134">
        <v>6.0267508509364873</v>
      </c>
      <c r="CV34" s="135">
        <v>5.4366953155967268</v>
      </c>
      <c r="CW34" s="135">
        <v>11.515362325911651</v>
      </c>
      <c r="CX34" s="135">
        <v>11.017141608972892</v>
      </c>
      <c r="CY34" s="135">
        <v>4.2610027847947451</v>
      </c>
      <c r="CZ34" s="135">
        <v>14.214210500582142</v>
      </c>
      <c r="DA34" s="135">
        <v>4.3841033304390056</v>
      </c>
      <c r="DB34" s="135">
        <v>6.9519925062379517</v>
      </c>
      <c r="DC34" s="135">
        <v>3.743618900043395</v>
      </c>
      <c r="DD34" s="135">
        <v>5.9737426645114464</v>
      </c>
      <c r="DE34" s="135">
        <v>6.7965929133419039</v>
      </c>
      <c r="DF34" s="135">
        <v>10.005855029115498</v>
      </c>
      <c r="DG34" s="135">
        <v>4.1191691640052541</v>
      </c>
      <c r="DH34" s="135">
        <v>6.1308483578785067</v>
      </c>
      <c r="DI34" s="135">
        <v>4.1923710931170923</v>
      </c>
      <c r="DJ34" s="66">
        <f t="shared" ref="DJ34:DJ65" si="73">IF(BO34="",0,BO34/CU34)</f>
        <v>7.9810832054764331</v>
      </c>
      <c r="DK34" s="67">
        <f t="shared" ref="DK34:DK65" si="74">IF(BP34="",0,BP34/CV34)</f>
        <v>34.763765307538762</v>
      </c>
      <c r="DL34" s="67">
        <f t="shared" ref="DL34:DL65" si="75">IF(BQ34="",0,BQ34/CW34)</f>
        <v>8.3193213803123367</v>
      </c>
      <c r="DM34" s="67">
        <f t="shared" ref="DM34:DM65" si="76">IF(BR34="",0,BR34/CX34)</f>
        <v>5.1138491270833795</v>
      </c>
      <c r="DN34" s="67">
        <f t="shared" ref="DN34:DN65" si="77">IF(BS34="",0,BS34/CY34)</f>
        <v>38.206968693131742</v>
      </c>
      <c r="DO34" s="67">
        <f t="shared" ref="DO34:DO65" si="78">IF(BT34="",0,BT34/CZ34)</f>
        <v>6.2135002148999305</v>
      </c>
      <c r="DP34" s="67">
        <f t="shared" ref="DP34:DP65" si="79">IF(BU34="",0,BU34/DA34)</f>
        <v>59.39641025156326</v>
      </c>
      <c r="DQ34" s="67">
        <f t="shared" ref="DQ34:DQ65" si="80">IF(BV34="",0,BV34/DB34)</f>
        <v>22.123153881710437</v>
      </c>
      <c r="DR34" s="67">
        <f t="shared" ref="DR34:DR65" si="81">IF(BW34="",0,BW34/DC34)</f>
        <v>12.298260381008953</v>
      </c>
      <c r="DS34" s="67">
        <f t="shared" ref="DS34:DS65" si="82">IF(BX34="",0,BX34/DD34)</f>
        <v>102.23071770868543</v>
      </c>
      <c r="DT34" s="67">
        <f t="shared" ref="DT34:DT65" si="83">IF(BY34="",0,BY34/DE34)</f>
        <v>6.1162998181628501</v>
      </c>
      <c r="DU34" s="67">
        <f t="shared" ref="DU34:DU65" si="84">IF(BZ34="",0,BZ34/DF34)</f>
        <v>32.30108761915276</v>
      </c>
      <c r="DV34" s="67">
        <f t="shared" ref="DV34:DV65" si="85">IF(CA34="",0,CA34/DG34)</f>
        <v>331.86303974726889</v>
      </c>
      <c r="DW34" s="67">
        <f t="shared" ref="DW34:DW65" si="86">IF(CB34="",0,CB34/DH34)</f>
        <v>113.32852477212887</v>
      </c>
      <c r="DX34" s="67">
        <f t="shared" ref="DX34:DX65" si="87">IF(CC34="",0,CC34/DI34)</f>
        <v>252.84021296212919</v>
      </c>
    </row>
    <row r="35" spans="1:128" s="28" customFormat="1">
      <c r="A35" s="33" t="s">
        <v>130</v>
      </c>
      <c r="B35" s="205" t="s">
        <v>5559</v>
      </c>
      <c r="C35" t="str">
        <f>IF(VLOOKUP($A35,'B-Ligands'!$A:$G,5,FALSE)="","",VLOOKUP($A35,'B-Ligands'!$A:$G,5,FALSE))</f>
        <v>Guide To Pharmacology</v>
      </c>
      <c r="D35" s="19">
        <f>IF(VLOOKUP($A35,'B-Ligands'!$A:$G,6,FALSE)="","",VLOOKUP($A35,'B-Ligands'!$A:$G,6,FALSE))</f>
        <v>1136</v>
      </c>
      <c r="E35" t="str">
        <f>IF(VLOOKUP($A35,'B-Ligands'!$A:$G,7,FALSE)="","",VLOOKUP($A35,'B-Ligands'!$A:$G,7,FALSE))</f>
        <v>Phys</v>
      </c>
      <c r="F35" s="20">
        <f t="shared" si="68"/>
        <v>1</v>
      </c>
      <c r="G35" s="19">
        <f t="shared" si="69"/>
        <v>1</v>
      </c>
      <c r="H35" s="19">
        <f t="shared" si="70"/>
        <v>1</v>
      </c>
      <c r="I35" s="19">
        <f t="shared" si="71"/>
        <v>1</v>
      </c>
      <c r="J35" s="189">
        <f t="shared" si="26"/>
        <v>4</v>
      </c>
      <c r="K35" s="147" t="str">
        <f t="shared" si="27"/>
        <v>Gs</v>
      </c>
      <c r="L35" s="20">
        <f t="shared" si="28"/>
        <v>1</v>
      </c>
      <c r="M35" s="19">
        <f t="shared" si="29"/>
        <v>3</v>
      </c>
      <c r="N35" s="19">
        <f t="shared" si="30"/>
        <v>2</v>
      </c>
      <c r="O35" s="19">
        <f t="shared" si="31"/>
        <v>4</v>
      </c>
      <c r="P35" s="20">
        <f t="shared" si="32"/>
        <v>100</v>
      </c>
      <c r="Q35" s="19">
        <f t="shared" si="33"/>
        <v>78.881708476005159</v>
      </c>
      <c r="R35" s="19">
        <f t="shared" si="34"/>
        <v>81.052628311745849</v>
      </c>
      <c r="S35" s="19">
        <f t="shared" si="35"/>
        <v>66.129593425490626</v>
      </c>
      <c r="T35" s="20">
        <f t="shared" si="36"/>
        <v>10.951378196454129</v>
      </c>
      <c r="U35" s="21">
        <f t="shared" si="37"/>
        <v>8.6386342230317386</v>
      </c>
      <c r="V35" s="21">
        <f t="shared" si="38"/>
        <v>8.876379864585541</v>
      </c>
      <c r="W35" s="21">
        <f t="shared" si="39"/>
        <v>7.2421018758029438</v>
      </c>
      <c r="X35" s="147" t="str">
        <f t="shared" si="40"/>
        <v>GsL</v>
      </c>
      <c r="Y35" s="32">
        <f t="shared" si="41"/>
        <v>100</v>
      </c>
      <c r="Z35" s="31">
        <f t="shared" si="42"/>
        <v>72.508618043972746</v>
      </c>
      <c r="AA35" s="31">
        <f t="shared" si="43"/>
        <v>69.576734295905197</v>
      </c>
      <c r="AB35" s="31">
        <f t="shared" si="44"/>
        <v>74.902390249948027</v>
      </c>
      <c r="AC35" s="31">
        <f t="shared" si="45"/>
        <v>78.881708476005159</v>
      </c>
      <c r="AD35" s="31">
        <f t="shared" si="46"/>
        <v>72.485553936909184</v>
      </c>
      <c r="AE35" s="31">
        <f t="shared" si="47"/>
        <v>57.065864516907141</v>
      </c>
      <c r="AF35" s="31">
        <f t="shared" si="48"/>
        <v>56.341423696062165</v>
      </c>
      <c r="AG35" s="31">
        <f t="shared" si="49"/>
        <v>56.260321652124112</v>
      </c>
      <c r="AH35" s="31">
        <f t="shared" si="50"/>
        <v>81.052628311745849</v>
      </c>
      <c r="AI35" s="31">
        <f t="shared" si="51"/>
        <v>0</v>
      </c>
      <c r="AJ35" s="31">
        <f t="shared" si="52"/>
        <v>66.129593425490626</v>
      </c>
      <c r="AK35" s="7" cm="1">
        <f t="array" ref="AK35">_xlfn.IFS(AZ35=0,0,AZ35&gt;0,(LOG(0.01*AZ35/10^-CD35)))</f>
        <v>10.951378196454129</v>
      </c>
      <c r="AL35" s="8" cm="1">
        <f t="array" ref="AL35">_xlfn.IFS(BA35=0,0,BA35&gt;0,(LOG(0.01*BA35/10^-CE35)))</f>
        <v>7.9406929870178367</v>
      </c>
      <c r="AM35" s="8" cm="1">
        <f t="array" ref="AM35">_xlfn.IFS(BB35=0,0,BB35&gt;0,(LOG(0.01*BB35/10^-CF35)))</f>
        <v>7.6196113094865838</v>
      </c>
      <c r="AN35" s="8" cm="1">
        <f t="array" ref="AN35">_xlfn.IFS(BC35=0,0,BC35&gt;0,(LOG(0.01*BC35/10^-CG35)))</f>
        <v>8.2028440344557918</v>
      </c>
      <c r="AO35" s="8" cm="1">
        <f t="array" ref="AO35">_xlfn.IFS(BD35=0,0,BD35&gt;0,(LOG(0.01*BD35/10^-CH35)))</f>
        <v>8.6386342230317386</v>
      </c>
      <c r="AP35" s="8" cm="1">
        <f t="array" ref="AP35">_xlfn.IFS(BE35=0,0,BE35&gt;0,(LOG(0.01*BE35/10^-CI35)))</f>
        <v>7.9381671494256709</v>
      </c>
      <c r="AQ35" s="8" cm="1">
        <f t="array" ref="AQ35">_xlfn.IFS(BF35=0,0,BF35&gt;0,(LOG(0.01*BF35/10^-CJ35)))</f>
        <v>6.2494986443226219</v>
      </c>
      <c r="AR35" s="8" cm="1">
        <f t="array" ref="AR35">_xlfn.IFS(BG35=0,0,BG35&gt;0,(LOG(0.01*BG35/10^-CK35)))</f>
        <v>6.1701623902223917</v>
      </c>
      <c r="AS35" s="8" cm="1">
        <f t="array" ref="AS35">_xlfn.IFS(BH35=0,0,BH35&gt;0,(LOG(0.01*BH35/10^-CL35)))</f>
        <v>6.1612805986656811</v>
      </c>
      <c r="AT35" s="8" cm="1">
        <f t="array" ref="AT35">_xlfn.IFS(BI35=0,0,BI35&gt;0,(LOG(0.01*BI35/10^-CM35)))</f>
        <v>8.876379864585541</v>
      </c>
      <c r="AU35" s="8" cm="1">
        <f t="array" ref="AU35">_xlfn.IFS(BJ35=0,0,BJ35&gt;0,(LOG(0.01*BJ35/10^-CN35)))</f>
        <v>0</v>
      </c>
      <c r="AV35" s="8" cm="1">
        <f t="array" ref="AV35">_xlfn.IFS(BK35=0,0,BK35&gt;0,(LOG(0.01*BK35/10^-CO35)))</f>
        <v>7.2421018758029438</v>
      </c>
      <c r="AW35" s="8" cm="1">
        <f t="array" ref="AW35">_xlfn.IFS(BL35=0,0,BL35&gt;0,(LOG(0.01*BL35/10^-CP35)))</f>
        <v>7.021512786095963</v>
      </c>
      <c r="AX35" s="8" cm="1">
        <f t="array" ref="AX35">_xlfn.IFS(BM35=0,0,BM35&gt;0,(LOG(0.01*BM35/10^-CQ35)))</f>
        <v>6.9875565386790077</v>
      </c>
      <c r="AY35" s="8" cm="1">
        <f t="array" ref="AY35">_xlfn.IFS(BN35=0,0,BN35&gt;0,(LOG(0.01*BN35/10^-CR35)))</f>
        <v>7.6973649831134408</v>
      </c>
      <c r="AZ35" s="32">
        <f t="shared" si="72"/>
        <v>71.019595835884886</v>
      </c>
      <c r="BA35" s="31">
        <f t="shared" si="54"/>
        <v>61.191765980498367</v>
      </c>
      <c r="BB35" s="31">
        <f t="shared" si="55"/>
        <v>35.124593716143011</v>
      </c>
      <c r="BC35" s="31">
        <f t="shared" si="56"/>
        <v>22.795232936078005</v>
      </c>
      <c r="BD35" s="31">
        <f t="shared" si="57"/>
        <v>41.365113759479954</v>
      </c>
      <c r="BE35" s="31">
        <f t="shared" si="58"/>
        <v>21.191765980498374</v>
      </c>
      <c r="BF35" s="31">
        <f t="shared" si="59"/>
        <v>8.4236176194939087</v>
      </c>
      <c r="BG35" s="31">
        <f t="shared" si="60"/>
        <v>5.0253045923149013</v>
      </c>
      <c r="BH35" s="31">
        <f t="shared" si="61"/>
        <v>5.4611059044048735</v>
      </c>
      <c r="BI35" s="31">
        <f t="shared" si="62"/>
        <v>56.804123711340203</v>
      </c>
      <c r="BJ35" s="31">
        <f t="shared" si="63"/>
        <v>0</v>
      </c>
      <c r="BK35" s="31">
        <f t="shared" si="64"/>
        <v>24.837156612857545</v>
      </c>
      <c r="BL35" s="31">
        <f t="shared" si="65"/>
        <v>32.772742531050689</v>
      </c>
      <c r="BM35" s="31">
        <f t="shared" si="66"/>
        <v>21.654917757636792</v>
      </c>
      <c r="BN35" s="31">
        <f t="shared" si="67"/>
        <v>30.224907687143336</v>
      </c>
      <c r="BO35" s="132">
        <v>46.39</v>
      </c>
      <c r="BP35" s="133">
        <v>564.79999999999995</v>
      </c>
      <c r="BQ35" s="133">
        <v>324.2</v>
      </c>
      <c r="BR35" s="133">
        <v>210.4</v>
      </c>
      <c r="BS35" s="133">
        <v>381.8</v>
      </c>
      <c r="BT35" s="133">
        <v>195.6</v>
      </c>
      <c r="BU35" s="133">
        <v>89.88</v>
      </c>
      <c r="BV35" s="133">
        <v>53.62</v>
      </c>
      <c r="BW35" s="133">
        <v>58.27</v>
      </c>
      <c r="BX35" s="133">
        <v>606.1</v>
      </c>
      <c r="BY35" s="133"/>
      <c r="BZ35" s="133">
        <v>175.4</v>
      </c>
      <c r="CA35" s="133">
        <v>976.3</v>
      </c>
      <c r="CB35" s="133">
        <v>645.1</v>
      </c>
      <c r="CC35" s="133">
        <v>900.4</v>
      </c>
      <c r="CD35" s="36">
        <v>11.1</v>
      </c>
      <c r="CE35" s="34">
        <v>8.1539999999999999</v>
      </c>
      <c r="CF35" s="34">
        <v>8.0739999999999998</v>
      </c>
      <c r="CG35" s="34">
        <v>8.8450000000000006</v>
      </c>
      <c r="CH35" s="34">
        <v>9.0220000000000002</v>
      </c>
      <c r="CI35" s="34">
        <v>8.6120000000000001</v>
      </c>
      <c r="CJ35" s="34">
        <v>7.3239999999999998</v>
      </c>
      <c r="CK35" s="34">
        <v>7.4690000000000003</v>
      </c>
      <c r="CL35" s="34">
        <v>7.4240000000000004</v>
      </c>
      <c r="CM35" s="34">
        <v>9.1219999999999999</v>
      </c>
      <c r="CN35" s="34"/>
      <c r="CO35" s="34">
        <v>7.8470000000000004</v>
      </c>
      <c r="CP35" s="34">
        <v>7.5060000000000002</v>
      </c>
      <c r="CQ35" s="34">
        <v>7.6520000000000001</v>
      </c>
      <c r="CR35" s="34">
        <v>8.2170000000000005</v>
      </c>
      <c r="CS35" s="168" t="str">
        <f>IF(VLOOKUP($A35,'B-Ligands'!$A:$G,3,FALSE)="","",VLOOKUP($A35,'B-Ligands'!$A:$G,3,FALSE))</f>
        <v/>
      </c>
      <c r="CT35" s="169" t="str">
        <f>IF(VLOOKUP($A35,'B-Ligands'!$A:$G,4,FALSE)="","",VLOOKUP($A35,'B-Ligands'!$A:$G,4,FALSE))</f>
        <v>Glucagon</v>
      </c>
      <c r="CU35" s="132">
        <v>9.4645562163274271</v>
      </c>
      <c r="CV35" s="133">
        <v>19.746719146071989</v>
      </c>
      <c r="CW35" s="133">
        <v>8.6027827978185236</v>
      </c>
      <c r="CX35" s="133">
        <v>5.3499720221662841</v>
      </c>
      <c r="CY35" s="133">
        <v>13.110372574934338</v>
      </c>
      <c r="CZ35" s="133">
        <v>13.734826962096365</v>
      </c>
      <c r="DA35" s="133">
        <v>4.9439490095908747</v>
      </c>
      <c r="DB35" s="133">
        <v>9</v>
      </c>
      <c r="DC35" s="133">
        <v>7.7549098634616307</v>
      </c>
      <c r="DD35" s="133">
        <v>12</v>
      </c>
      <c r="DE35" s="133">
        <v>11.358667598837901</v>
      </c>
      <c r="DF35" s="133">
        <v>13.076950231851797</v>
      </c>
      <c r="DG35" s="133">
        <v>15.582983519430508</v>
      </c>
      <c r="DH35" s="133">
        <v>3.4430808101058239</v>
      </c>
      <c r="DI35" s="133">
        <v>20.934307532398961</v>
      </c>
      <c r="DJ35" s="66">
        <f t="shared" si="73"/>
        <v>4.9014448157613577</v>
      </c>
      <c r="DK35" s="67">
        <f t="shared" si="74"/>
        <v>28.602219731896568</v>
      </c>
      <c r="DL35" s="67">
        <f t="shared" si="75"/>
        <v>37.685480107926239</v>
      </c>
      <c r="DM35" s="67">
        <f t="shared" si="76"/>
        <v>39.327308465962012</v>
      </c>
      <c r="DN35" s="67">
        <f t="shared" si="77"/>
        <v>29.121979395914476</v>
      </c>
      <c r="DO35" s="67">
        <f t="shared" si="78"/>
        <v>14.241169585884998</v>
      </c>
      <c r="DP35" s="67">
        <f t="shared" si="79"/>
        <v>18.179799149554299</v>
      </c>
      <c r="DQ35" s="67">
        <f t="shared" si="80"/>
        <v>5.9577777777777774</v>
      </c>
      <c r="DR35" s="67">
        <f t="shared" si="81"/>
        <v>7.5139493593017059</v>
      </c>
      <c r="DS35" s="67">
        <f t="shared" si="82"/>
        <v>50.508333333333333</v>
      </c>
      <c r="DT35" s="67">
        <f t="shared" si="83"/>
        <v>0</v>
      </c>
      <c r="DU35" s="67">
        <f t="shared" si="84"/>
        <v>13.412913323840188</v>
      </c>
      <c r="DV35" s="67">
        <f t="shared" si="85"/>
        <v>62.65167378138122</v>
      </c>
      <c r="DW35" s="67">
        <f t="shared" si="86"/>
        <v>187.36127194765805</v>
      </c>
      <c r="DX35" s="67">
        <f t="shared" si="87"/>
        <v>43.010737212420175</v>
      </c>
    </row>
    <row r="36" spans="1:128" s="28" customFormat="1">
      <c r="A36" s="33" t="s">
        <v>127</v>
      </c>
      <c r="B36" s="205" t="s">
        <v>5559</v>
      </c>
      <c r="C36" t="str">
        <f>IF(VLOOKUP($A36,'B-Ligands'!$A:$G,5,FALSE)="","",VLOOKUP($A36,'B-Ligands'!$A:$G,5,FALSE))</f>
        <v>Guide To Pharmacology</v>
      </c>
      <c r="D36" s="19">
        <f>IF(VLOOKUP($A36,'B-Ligands'!$A:$G,6,FALSE)="","",VLOOKUP($A36,'B-Ligands'!$A:$G,6,FALSE))</f>
        <v>3542</v>
      </c>
      <c r="E36" t="str">
        <f>IF(VLOOKUP($A36,'B-Ligands'!$A:$G,7,FALSE)="","",VLOOKUP($A36,'B-Ligands'!$A:$G,7,FALSE))</f>
        <v>Phys</v>
      </c>
      <c r="F36" s="20">
        <f t="shared" si="68"/>
        <v>1</v>
      </c>
      <c r="G36" s="19">
        <f t="shared" si="69"/>
        <v>1</v>
      </c>
      <c r="H36" s="19">
        <f t="shared" si="70"/>
        <v>1</v>
      </c>
      <c r="I36" s="19" t="str">
        <f t="shared" si="71"/>
        <v/>
      </c>
      <c r="J36" s="189">
        <f t="shared" si="26"/>
        <v>3</v>
      </c>
      <c r="K36" s="147" t="str">
        <f t="shared" si="27"/>
        <v>Gs</v>
      </c>
      <c r="L36" s="20">
        <f t="shared" si="28"/>
        <v>1</v>
      </c>
      <c r="M36" s="19">
        <f t="shared" si="29"/>
        <v>3</v>
      </c>
      <c r="N36" s="19">
        <f t="shared" si="30"/>
        <v>2</v>
      </c>
      <c r="O36" s="19">
        <f t="shared" si="31"/>
        <v>0</v>
      </c>
      <c r="P36" s="20">
        <f t="shared" si="32"/>
        <v>100</v>
      </c>
      <c r="Q36" s="19">
        <f t="shared" si="33"/>
        <v>83.511966605890635</v>
      </c>
      <c r="R36" s="19">
        <f t="shared" si="34"/>
        <v>84.948231166888959</v>
      </c>
      <c r="S36" s="19">
        <f t="shared" si="35"/>
        <v>0</v>
      </c>
      <c r="T36" s="20">
        <f t="shared" si="36"/>
        <v>10.391111199208503</v>
      </c>
      <c r="U36" s="21">
        <f t="shared" si="37"/>
        <v>8.6778213146639658</v>
      </c>
      <c r="V36" s="21">
        <f t="shared" si="38"/>
        <v>8.8270651623121257</v>
      </c>
      <c r="W36" s="21">
        <f t="shared" si="39"/>
        <v>0</v>
      </c>
      <c r="X36" s="147" t="str">
        <f t="shared" si="40"/>
        <v>GsL</v>
      </c>
      <c r="Y36" s="32">
        <f t="shared" si="41"/>
        <v>100</v>
      </c>
      <c r="Z36" s="31">
        <f t="shared" si="42"/>
        <v>78.544775162909445</v>
      </c>
      <c r="AA36" s="31">
        <f t="shared" si="43"/>
        <v>80.739952396634848</v>
      </c>
      <c r="AB36" s="31">
        <f t="shared" si="44"/>
        <v>78.947417707779309</v>
      </c>
      <c r="AC36" s="31">
        <f t="shared" si="45"/>
        <v>83.511966605890635</v>
      </c>
      <c r="AD36" s="31">
        <f t="shared" si="46"/>
        <v>81.312790921263158</v>
      </c>
      <c r="AE36" s="31">
        <f t="shared" si="47"/>
        <v>0</v>
      </c>
      <c r="AF36" s="31">
        <f t="shared" si="48"/>
        <v>0</v>
      </c>
      <c r="AG36" s="31">
        <f t="shared" si="49"/>
        <v>61.613088140577979</v>
      </c>
      <c r="AH36" s="31">
        <f t="shared" si="50"/>
        <v>84.948231166888959</v>
      </c>
      <c r="AI36" s="31">
        <f t="shared" si="51"/>
        <v>0</v>
      </c>
      <c r="AJ36" s="31">
        <f t="shared" si="52"/>
        <v>0</v>
      </c>
      <c r="AK36" s="7" cm="1">
        <f t="array" ref="AK36">_xlfn.IFS(AZ36=0,0,AZ36&gt;0,(LOG(0.01*AZ36/10^-CD36)))</f>
        <v>10.391111199208503</v>
      </c>
      <c r="AL36" s="8" cm="1">
        <f t="array" ref="AL36">_xlfn.IFS(BA36=0,0,BA36&gt;0,(LOG(0.01*BA36/10^-CE36)))</f>
        <v>8.1616749283462209</v>
      </c>
      <c r="AM36" s="8" cm="1">
        <f t="array" ref="AM36">_xlfn.IFS(BB36=0,0,BB36&gt;0,(LOG(0.01*BB36/10^-CF36)))</f>
        <v>8.3897782357223374</v>
      </c>
      <c r="AN36" s="8" cm="1">
        <f t="array" ref="AN36">_xlfn.IFS(BC36=0,0,BC36&gt;0,(LOG(0.01*BC36/10^-CG36)))</f>
        <v>8.2035139629189722</v>
      </c>
      <c r="AO36" s="8" cm="1">
        <f t="array" ref="AO36">_xlfn.IFS(BD36=0,0,BD36&gt;0,(LOG(0.01*BD36/10^-CH36)))</f>
        <v>8.6778213146639658</v>
      </c>
      <c r="AP36" s="8" cm="1">
        <f t="array" ref="AP36">_xlfn.IFS(BE36=0,0,BE36&gt;0,(LOG(0.01*BE36/10^-CI36)))</f>
        <v>8.4493025238083703</v>
      </c>
      <c r="AQ36" s="8" cm="1">
        <f t="array" ref="AQ36">_xlfn.IFS(BF36=0,0,BF36&gt;0,(LOG(0.01*BF36/10^-CJ36)))</f>
        <v>0</v>
      </c>
      <c r="AR36" s="8" cm="1">
        <f t="array" ref="AR36">_xlfn.IFS(BG36=0,0,BG36&gt;0,(LOG(0.01*BG36/10^-CK36)))</f>
        <v>0</v>
      </c>
      <c r="AS36" s="8" cm="1">
        <f t="array" ref="AS36">_xlfn.IFS(BH36=0,0,BH36&gt;0,(LOG(0.01*BH36/10^-CL36)))</f>
        <v>6.4022845019538037</v>
      </c>
      <c r="AT36" s="8" cm="1">
        <f t="array" ref="AT36">_xlfn.IFS(BI36=0,0,BI36&gt;0,(LOG(0.01*BI36/10^-CM36)))</f>
        <v>8.8270651623121257</v>
      </c>
      <c r="AU36" s="8" cm="1">
        <f t="array" ref="AU36">_xlfn.IFS(BJ36=0,0,BJ36&gt;0,(LOG(0.01*BJ36/10^-CN36)))</f>
        <v>0</v>
      </c>
      <c r="AV36" s="8" cm="1">
        <f t="array" ref="AV36">_xlfn.IFS(BK36=0,0,BK36&gt;0,(LOG(0.01*BK36/10^-CO36)))</f>
        <v>0</v>
      </c>
      <c r="AW36" s="8" cm="1">
        <f t="array" ref="AW36">_xlfn.IFS(BL36=0,0,BL36&gt;0,(LOG(0.01*BL36/10^-CP36)))</f>
        <v>5.7449048680648627</v>
      </c>
      <c r="AX36" s="8" cm="1">
        <f t="array" ref="AX36">_xlfn.IFS(BM36=0,0,BM36&gt;0,(LOG(0.01*BM36/10^-CQ36)))</f>
        <v>6.4068180435623274</v>
      </c>
      <c r="AY36" s="8" cm="1">
        <f t="array" ref="AY36">_xlfn.IFS(BN36=0,0,BN36&gt;0,(LOG(0.01*BN36/10^-CR36)))</f>
        <v>7.0478004196493922</v>
      </c>
      <c r="AZ36" s="32">
        <f t="shared" si="72"/>
        <v>83.389467238211893</v>
      </c>
      <c r="BA36" s="31">
        <f t="shared" si="54"/>
        <v>19.664138678223186</v>
      </c>
      <c r="BB36" s="31">
        <f t="shared" si="55"/>
        <v>21.765980498374866</v>
      </c>
      <c r="BC36" s="31">
        <f t="shared" si="56"/>
        <v>13.22860238353196</v>
      </c>
      <c r="BD36" s="31">
        <f t="shared" si="57"/>
        <v>28.894907908992415</v>
      </c>
      <c r="BE36" s="31">
        <f t="shared" si="58"/>
        <v>14.431202600216682</v>
      </c>
      <c r="BF36" s="31">
        <f t="shared" si="59"/>
        <v>0</v>
      </c>
      <c r="BG36" s="31">
        <f t="shared" si="60"/>
        <v>0</v>
      </c>
      <c r="BH36" s="31">
        <f t="shared" si="61"/>
        <v>1.5932521087160263</v>
      </c>
      <c r="BI36" s="31">
        <f t="shared" si="62"/>
        <v>55.089034676663537</v>
      </c>
      <c r="BJ36" s="31">
        <f t="shared" si="63"/>
        <v>0</v>
      </c>
      <c r="BK36" s="31">
        <f t="shared" si="64"/>
        <v>0</v>
      </c>
      <c r="BL36" s="31">
        <f t="shared" si="65"/>
        <v>2.2903658945955017</v>
      </c>
      <c r="BM36" s="31">
        <f t="shared" si="66"/>
        <v>0.93286337697213828</v>
      </c>
      <c r="BN36" s="31">
        <f t="shared" si="67"/>
        <v>4.4545149378986233</v>
      </c>
      <c r="BO36" s="132">
        <v>54.47</v>
      </c>
      <c r="BP36" s="133">
        <v>181.5</v>
      </c>
      <c r="BQ36" s="133">
        <v>200.9</v>
      </c>
      <c r="BR36" s="133">
        <v>122.1</v>
      </c>
      <c r="BS36" s="133">
        <v>266.7</v>
      </c>
      <c r="BT36" s="133">
        <v>133.19999999999999</v>
      </c>
      <c r="BU36" s="133"/>
      <c r="BV36" s="133"/>
      <c r="BW36" s="172">
        <v>17</v>
      </c>
      <c r="BX36" s="133">
        <v>587.79999999999995</v>
      </c>
      <c r="BY36" s="133"/>
      <c r="BZ36" s="133"/>
      <c r="CA36" s="133">
        <v>68.23</v>
      </c>
      <c r="CB36" s="133">
        <v>27.79</v>
      </c>
      <c r="CC36" s="133">
        <v>132.69999999999999</v>
      </c>
      <c r="CD36" s="36">
        <v>10.47</v>
      </c>
      <c r="CE36" s="34">
        <v>8.8680000000000003</v>
      </c>
      <c r="CF36" s="34">
        <v>9.0519999999999996</v>
      </c>
      <c r="CG36" s="34">
        <v>9.0820000000000007</v>
      </c>
      <c r="CH36" s="34">
        <v>9.2170000000000005</v>
      </c>
      <c r="CI36" s="34">
        <v>9.2899999999999991</v>
      </c>
      <c r="CJ36" s="34"/>
      <c r="CK36" s="34"/>
      <c r="CL36" s="38">
        <v>8.1999999999999993</v>
      </c>
      <c r="CM36" s="34">
        <v>9.0860000000000003</v>
      </c>
      <c r="CN36" s="34"/>
      <c r="CO36" s="34"/>
      <c r="CP36" s="34">
        <v>7.3849999999999998</v>
      </c>
      <c r="CQ36" s="34">
        <v>8.4369999999999994</v>
      </c>
      <c r="CR36" s="34">
        <v>8.3989999999999991</v>
      </c>
      <c r="CS36" s="168" t="str">
        <f>IF(VLOOKUP($A36,'B-Ligands'!$A:$G,3,FALSE)="","",VLOOKUP($A36,'B-Ligands'!$A:$G,3,FALSE))</f>
        <v>GIP</v>
      </c>
      <c r="CT36" s="169" t="str">
        <f>IF(VLOOKUP($A36,'B-Ligands'!$A:$G,4,FALSE)="","",VLOOKUP($A36,'B-Ligands'!$A:$G,4,FALSE))</f>
        <v>Gastric inhibitory polypeptide</v>
      </c>
      <c r="CU36" s="132">
        <v>3.9851542931523944</v>
      </c>
      <c r="CV36" s="133">
        <v>1.6693920635095478</v>
      </c>
      <c r="CW36" s="133">
        <v>12.354383638408343</v>
      </c>
      <c r="CX36" s="133">
        <v>3.0683134489357062</v>
      </c>
      <c r="CY36" s="133">
        <v>14.598079983938822</v>
      </c>
      <c r="CZ36" s="133">
        <v>20.671394161493698</v>
      </c>
      <c r="DA36" s="133">
        <v>14.504754485877887</v>
      </c>
      <c r="DB36" s="133">
        <v>4.8482626484609304</v>
      </c>
      <c r="DC36" s="133">
        <v>16.757765723417826</v>
      </c>
      <c r="DD36" s="133">
        <v>4.9968104504554613</v>
      </c>
      <c r="DE36" s="133">
        <v>23.519906777571222</v>
      </c>
      <c r="DF36" s="133">
        <v>23.223645609277714</v>
      </c>
      <c r="DG36" s="133">
        <v>7</v>
      </c>
      <c r="DH36" s="133">
        <v>12.898879208336455</v>
      </c>
      <c r="DI36" s="133">
        <v>7</v>
      </c>
      <c r="DJ36" s="66">
        <f t="shared" si="73"/>
        <v>13.668228628837442</v>
      </c>
      <c r="DK36" s="67">
        <f t="shared" si="74"/>
        <v>108.72221329388267</v>
      </c>
      <c r="DL36" s="67">
        <f t="shared" si="75"/>
        <v>16.261434473786718</v>
      </c>
      <c r="DM36" s="67">
        <f t="shared" si="76"/>
        <v>39.793848324835373</v>
      </c>
      <c r="DN36" s="67">
        <f t="shared" si="77"/>
        <v>18.269525875555559</v>
      </c>
      <c r="DO36" s="67">
        <f t="shared" si="78"/>
        <v>6.4436872984659432</v>
      </c>
      <c r="DP36" s="67">
        <f t="shared" si="79"/>
        <v>0</v>
      </c>
      <c r="DQ36" s="67">
        <f t="shared" si="80"/>
        <v>0</v>
      </c>
      <c r="DR36" s="67">
        <f t="shared" si="81"/>
        <v>1.0144550461308615</v>
      </c>
      <c r="DS36" s="67">
        <f t="shared" si="82"/>
        <v>117.63504055800671</v>
      </c>
      <c r="DT36" s="67">
        <f t="shared" si="83"/>
        <v>0</v>
      </c>
      <c r="DU36" s="67">
        <f t="shared" si="84"/>
        <v>0</v>
      </c>
      <c r="DV36" s="67">
        <f t="shared" si="85"/>
        <v>9.7471428571428582</v>
      </c>
      <c r="DW36" s="67">
        <f t="shared" si="86"/>
        <v>2.1544507511970123</v>
      </c>
      <c r="DX36" s="67">
        <f t="shared" si="87"/>
        <v>18.957142857142856</v>
      </c>
    </row>
    <row r="37" spans="1:128" s="28" customFormat="1">
      <c r="A37" s="33" t="s">
        <v>160</v>
      </c>
      <c r="B37" s="205" t="s">
        <v>5559</v>
      </c>
      <c r="C37" t="str">
        <f>IF(VLOOKUP($A37,'B-Ligands'!$A:$G,5,FALSE)="","",VLOOKUP($A37,'B-Ligands'!$A:$G,5,FALSE))</f>
        <v>Guide To Pharmacology</v>
      </c>
      <c r="D37" s="19">
        <f>IF(VLOOKUP($A37,'B-Ligands'!$A:$G,6,FALSE)="","",VLOOKUP($A37,'B-Ligands'!$A:$G,6,FALSE))</f>
        <v>1333</v>
      </c>
      <c r="E37" t="str">
        <f>IF(VLOOKUP($A37,'B-Ligands'!$A:$G,7,FALSE)="","",VLOOKUP($A37,'B-Ligands'!$A:$G,7,FALSE))</f>
        <v>Phys</v>
      </c>
      <c r="F37" s="20">
        <f t="shared" si="68"/>
        <v>1</v>
      </c>
      <c r="G37" s="19">
        <f t="shared" si="69"/>
        <v>1</v>
      </c>
      <c r="H37" s="19">
        <f t="shared" si="70"/>
        <v>1</v>
      </c>
      <c r="I37" s="19">
        <f t="shared" si="71"/>
        <v>1</v>
      </c>
      <c r="J37" s="189">
        <f t="shared" si="26"/>
        <v>4</v>
      </c>
      <c r="K37" s="147" t="str">
        <f t="shared" si="27"/>
        <v>Gq/11</v>
      </c>
      <c r="L37" s="20">
        <f t="shared" si="28"/>
        <v>2</v>
      </c>
      <c r="M37" s="19">
        <f t="shared" si="29"/>
        <v>3</v>
      </c>
      <c r="N37" s="19">
        <f t="shared" si="30"/>
        <v>1</v>
      </c>
      <c r="O37" s="19">
        <f t="shared" si="31"/>
        <v>4</v>
      </c>
      <c r="P37" s="20">
        <f t="shared" si="32"/>
        <v>92.013888022005901</v>
      </c>
      <c r="Q37" s="19">
        <f t="shared" si="33"/>
        <v>75.210869517167126</v>
      </c>
      <c r="R37" s="19">
        <f t="shared" si="34"/>
        <v>100</v>
      </c>
      <c r="S37" s="19">
        <f t="shared" si="35"/>
        <v>61.120054837859286</v>
      </c>
      <c r="T37" s="20">
        <f t="shared" si="36"/>
        <v>9.5051299563257015</v>
      </c>
      <c r="U37" s="21">
        <f t="shared" si="37"/>
        <v>7.7693607373482241</v>
      </c>
      <c r="V37" s="21">
        <f t="shared" si="38"/>
        <v>10.33010359702708</v>
      </c>
      <c r="W37" s="21">
        <f t="shared" si="39"/>
        <v>6.3137649833106257</v>
      </c>
      <c r="X37" s="147" t="str">
        <f t="shared" si="40"/>
        <v>G15</v>
      </c>
      <c r="Y37" s="32">
        <f t="shared" si="41"/>
        <v>92.013888022005901</v>
      </c>
      <c r="Z37" s="31">
        <f t="shared" si="42"/>
        <v>0</v>
      </c>
      <c r="AA37" s="31">
        <f t="shared" si="43"/>
        <v>0</v>
      </c>
      <c r="AB37" s="31">
        <f t="shared" si="44"/>
        <v>0</v>
      </c>
      <c r="AC37" s="31">
        <f t="shared" si="45"/>
        <v>66.613518581131729</v>
      </c>
      <c r="AD37" s="31">
        <f t="shared" si="46"/>
        <v>75.210869517167126</v>
      </c>
      <c r="AE37" s="31">
        <f t="shared" si="47"/>
        <v>0</v>
      </c>
      <c r="AF37" s="31">
        <f t="shared" si="48"/>
        <v>0</v>
      </c>
      <c r="AG37" s="31">
        <f t="shared" si="49"/>
        <v>0</v>
      </c>
      <c r="AH37" s="31">
        <f t="shared" si="50"/>
        <v>100</v>
      </c>
      <c r="AI37" s="31">
        <f t="shared" si="51"/>
        <v>61.120054837859286</v>
      </c>
      <c r="AJ37" s="31">
        <f t="shared" si="52"/>
        <v>59.814290893895972</v>
      </c>
      <c r="AK37" s="7" cm="1">
        <f t="array" ref="AK37">_xlfn.IFS(AZ37=0,0,AZ37&gt;0,(LOG(0.01*AZ37/10^-CD37)))</f>
        <v>9.5051299563257015</v>
      </c>
      <c r="AL37" s="8" cm="1">
        <f t="array" ref="AL37">_xlfn.IFS(BA37=0,0,BA37&gt;0,(LOG(0.01*BA37/10^-CE37)))</f>
        <v>0</v>
      </c>
      <c r="AM37" s="8" cm="1">
        <f t="array" ref="AM37">_xlfn.IFS(BB37=0,0,BB37&gt;0,(LOG(0.01*BB37/10^-CF37)))</f>
        <v>0</v>
      </c>
      <c r="AN37" s="8" cm="1">
        <f t="array" ref="AN37">_xlfn.IFS(BC37=0,0,BC37&gt;0,(LOG(0.01*BC37/10^-CG37)))</f>
        <v>0</v>
      </c>
      <c r="AO37" s="8" cm="1">
        <f t="array" ref="AO37">_xlfn.IFS(BD37=0,0,BD37&gt;0,(LOG(0.01*BD37/10^-CH37)))</f>
        <v>6.8812454790557904</v>
      </c>
      <c r="AP37" s="8" cm="1">
        <f t="array" ref="AP37">_xlfn.IFS(BE37=0,0,BE37&gt;0,(LOG(0.01*BE37/10^-CI37)))</f>
        <v>7.7693607373482241</v>
      </c>
      <c r="AQ37" s="8" cm="1">
        <f t="array" ref="AQ37">_xlfn.IFS(BF37=0,0,BF37&gt;0,(LOG(0.01*BF37/10^-CJ37)))</f>
        <v>0</v>
      </c>
      <c r="AR37" s="8" cm="1">
        <f t="array" ref="AR37">_xlfn.IFS(BG37=0,0,BG37&gt;0,(LOG(0.01*BG37/10^-CK37)))</f>
        <v>0</v>
      </c>
      <c r="AS37" s="8" cm="1">
        <f t="array" ref="AS37">_xlfn.IFS(BH37=0,0,BH37&gt;0,(LOG(0.01*BH37/10^-CL37)))</f>
        <v>0</v>
      </c>
      <c r="AT37" s="8" cm="1">
        <f t="array" ref="AT37">_xlfn.IFS(BI37=0,0,BI37&gt;0,(LOG(0.01*BI37/10^-CM37)))</f>
        <v>10.33010359702708</v>
      </c>
      <c r="AU37" s="8" cm="1">
        <f t="array" ref="AU37">_xlfn.IFS(BJ37=0,0,BJ37&gt;0,(LOG(0.01*BJ37/10^-CN37)))</f>
        <v>6.3137649833106257</v>
      </c>
      <c r="AV37" s="8" cm="1">
        <f t="array" ref="AV37">_xlfn.IFS(BK37=0,0,BK37&gt;0,(LOG(0.01*BK37/10^-CO37)))</f>
        <v>6.1788782151665886</v>
      </c>
      <c r="AW37" s="8" cm="1">
        <f t="array" ref="AW37">_xlfn.IFS(BL37=0,0,BL37&gt;0,(LOG(0.01*BL37/10^-CP37)))</f>
        <v>7.0107483741597836</v>
      </c>
      <c r="AX37" s="8" cm="1">
        <f t="array" ref="AX37">_xlfn.IFS(BM37=0,0,BM37&gt;0,(LOG(0.01*BM37/10^-CQ37)))</f>
        <v>7.8632772735533703</v>
      </c>
      <c r="AY37" s="8" cm="1">
        <f t="array" ref="AY37">_xlfn.IFS(BN37=0,0,BN37&gt;0,(LOG(0.01*BN37/10^-CR37)))</f>
        <v>8.1155314766791378</v>
      </c>
      <c r="AZ37" s="32">
        <f t="shared" si="72"/>
        <v>88.946723821188002</v>
      </c>
      <c r="BA37" s="31">
        <f t="shared" si="54"/>
        <v>0</v>
      </c>
      <c r="BB37" s="31">
        <f t="shared" si="55"/>
        <v>0</v>
      </c>
      <c r="BC37" s="31">
        <f t="shared" si="56"/>
        <v>0</v>
      </c>
      <c r="BD37" s="31">
        <f t="shared" si="57"/>
        <v>3.7865655471289279</v>
      </c>
      <c r="BE37" s="31">
        <f t="shared" si="58"/>
        <v>13.53196099674973</v>
      </c>
      <c r="BF37" s="31">
        <f t="shared" si="59"/>
        <v>0</v>
      </c>
      <c r="BG37" s="31">
        <f t="shared" si="60"/>
        <v>0</v>
      </c>
      <c r="BH37" s="31">
        <f t="shared" si="61"/>
        <v>0</v>
      </c>
      <c r="BI37" s="31">
        <f t="shared" si="62"/>
        <v>54.967197750702908</v>
      </c>
      <c r="BJ37" s="31">
        <f t="shared" si="63"/>
        <v>7.1905975644293401</v>
      </c>
      <c r="BK37" s="31">
        <f t="shared" si="64"/>
        <v>27.032002265647122</v>
      </c>
      <c r="BL37" s="31">
        <f t="shared" si="65"/>
        <v>1.9308492782813025</v>
      </c>
      <c r="BM37" s="31">
        <f t="shared" si="66"/>
        <v>13.591809331990602</v>
      </c>
      <c r="BN37" s="31">
        <f t="shared" si="67"/>
        <v>20.966767371601208</v>
      </c>
      <c r="BO37" s="132">
        <v>58.1</v>
      </c>
      <c r="BP37" s="133"/>
      <c r="BQ37" s="133"/>
      <c r="BR37" s="133"/>
      <c r="BS37" s="133">
        <v>34.950000000000003</v>
      </c>
      <c r="BT37" s="133">
        <v>124.9</v>
      </c>
      <c r="BU37" s="133"/>
      <c r="BV37" s="133"/>
      <c r="BW37" s="133"/>
      <c r="BX37" s="133">
        <v>586.5</v>
      </c>
      <c r="BY37" s="133">
        <v>50.78</v>
      </c>
      <c r="BZ37" s="133">
        <v>190.9</v>
      </c>
      <c r="CA37" s="133">
        <v>57.52</v>
      </c>
      <c r="CB37" s="133">
        <v>404.9</v>
      </c>
      <c r="CC37" s="133">
        <v>624.6</v>
      </c>
      <c r="CD37" s="36">
        <v>9.5559999999999992</v>
      </c>
      <c r="CE37" s="34"/>
      <c r="CF37" s="34"/>
      <c r="CG37" s="34"/>
      <c r="CH37" s="34">
        <v>8.3030000000000008</v>
      </c>
      <c r="CI37" s="34">
        <v>8.6379999999999999</v>
      </c>
      <c r="CJ37" s="34"/>
      <c r="CK37" s="34"/>
      <c r="CL37" s="34"/>
      <c r="CM37" s="34">
        <v>10.59</v>
      </c>
      <c r="CN37" s="34">
        <v>7.4569999999999999</v>
      </c>
      <c r="CO37" s="34">
        <v>6.7469999999999999</v>
      </c>
      <c r="CP37" s="34">
        <v>8.7249999999999996</v>
      </c>
      <c r="CQ37" s="34">
        <v>8.73</v>
      </c>
      <c r="CR37" s="34">
        <v>8.7940000000000005</v>
      </c>
      <c r="CS37" s="168" t="str">
        <f>IF(VLOOKUP($A37,'B-Ligands'!$A:$G,3,FALSE)="","",VLOOKUP($A37,'B-Ligands'!$A:$G,3,FALSE))</f>
        <v>γ-MSH</v>
      </c>
      <c r="CT37" s="169" t="str">
        <f>IF(VLOOKUP($A37,'B-Ligands'!$A:$G,4,FALSE)="","",VLOOKUP($A37,'B-Ligands'!$A:$G,4,FALSE))</f>
        <v>γ-melanocyte stimulating hormone</v>
      </c>
      <c r="CU37" s="132">
        <v>9.249343965922229</v>
      </c>
      <c r="CV37" s="133">
        <v>26.024742169968931</v>
      </c>
      <c r="CW37" s="133">
        <v>1.6830857428000932</v>
      </c>
      <c r="CX37" s="133">
        <v>17.940554429883214</v>
      </c>
      <c r="CY37" s="133">
        <v>4.4680045576089258</v>
      </c>
      <c r="CZ37" s="133">
        <v>10.161215901367759</v>
      </c>
      <c r="DA37" s="133">
        <v>12.759940302603299</v>
      </c>
      <c r="DB37" s="133">
        <v>15.409647773193567</v>
      </c>
      <c r="DC37" s="133">
        <v>13.395451940476121</v>
      </c>
      <c r="DD37" s="133">
        <v>5.7812411675085054</v>
      </c>
      <c r="DE37" s="133">
        <v>4.872594049742756</v>
      </c>
      <c r="DF37" s="133">
        <v>9.5029081551340511</v>
      </c>
      <c r="DG37" s="133">
        <v>10.156878182404187</v>
      </c>
      <c r="DH37" s="133">
        <v>9.4297027343540876</v>
      </c>
      <c r="DI37" s="133">
        <v>2.5402205617787237</v>
      </c>
      <c r="DJ37" s="66">
        <f t="shared" si="73"/>
        <v>6.2815265832971967</v>
      </c>
      <c r="DK37" s="67">
        <f t="shared" si="74"/>
        <v>0</v>
      </c>
      <c r="DL37" s="67">
        <f t="shared" si="75"/>
        <v>0</v>
      </c>
      <c r="DM37" s="67">
        <f t="shared" si="76"/>
        <v>0</v>
      </c>
      <c r="DN37" s="67">
        <f t="shared" si="77"/>
        <v>7.8222838740128022</v>
      </c>
      <c r="DO37" s="67">
        <f t="shared" si="78"/>
        <v>12.291836057059641</v>
      </c>
      <c r="DP37" s="67">
        <f t="shared" si="79"/>
        <v>0</v>
      </c>
      <c r="DQ37" s="67">
        <f t="shared" si="80"/>
        <v>0</v>
      </c>
      <c r="DR37" s="67">
        <f t="shared" si="81"/>
        <v>0</v>
      </c>
      <c r="DS37" s="67">
        <f t="shared" si="82"/>
        <v>101.44880364033648</v>
      </c>
      <c r="DT37" s="67">
        <f t="shared" si="83"/>
        <v>10.421553587596915</v>
      </c>
      <c r="DU37" s="67">
        <f t="shared" si="84"/>
        <v>20.088587291761225</v>
      </c>
      <c r="DV37" s="67">
        <f t="shared" si="85"/>
        <v>5.6631574157941431</v>
      </c>
      <c r="DW37" s="67">
        <f t="shared" si="86"/>
        <v>42.93878729865758</v>
      </c>
      <c r="DX37" s="67">
        <f t="shared" si="87"/>
        <v>245.88416037489282</v>
      </c>
    </row>
    <row r="38" spans="1:128" s="28" customFormat="1">
      <c r="A38" s="33" t="s">
        <v>205</v>
      </c>
      <c r="B38" s="205" t="s">
        <v>5559</v>
      </c>
      <c r="C38" t="str">
        <f>IF(VLOOKUP($A38,'B-Ligands'!$A:$G,5,FALSE)="","",VLOOKUP($A38,'B-Ligands'!$A:$G,5,FALSE))</f>
        <v>Guide To Pharmacology</v>
      </c>
      <c r="D38" s="19">
        <f>IF(VLOOKUP($A38,'B-Ligands'!$A:$G,6,FALSE)="","",VLOOKUP($A38,'B-Ligands'!$A:$G,6,FALSE))</f>
        <v>1883</v>
      </c>
      <c r="E38" t="str">
        <f>IF(VLOOKUP($A38,'B-Ligands'!$A:$G,7,FALSE)="","",VLOOKUP($A38,'B-Ligands'!$A:$G,7,FALSE))</f>
        <v>Phys</v>
      </c>
      <c r="F38" s="20" t="str">
        <f t="shared" si="68"/>
        <v/>
      </c>
      <c r="G38" s="19">
        <f t="shared" si="69"/>
        <v>1</v>
      </c>
      <c r="H38" s="19">
        <f t="shared" si="70"/>
        <v>1</v>
      </c>
      <c r="I38" s="19">
        <f t="shared" si="71"/>
        <v>1</v>
      </c>
      <c r="J38" s="189">
        <f t="shared" si="26"/>
        <v>3</v>
      </c>
      <c r="K38" s="147" t="str">
        <f t="shared" si="27"/>
        <v>Gi/o</v>
      </c>
      <c r="L38" s="20">
        <f t="shared" si="28"/>
        <v>0</v>
      </c>
      <c r="M38" s="19">
        <f t="shared" si="29"/>
        <v>1</v>
      </c>
      <c r="N38" s="19">
        <f t="shared" si="30"/>
        <v>3</v>
      </c>
      <c r="O38" s="19">
        <f t="shared" si="31"/>
        <v>2</v>
      </c>
      <c r="P38" s="20">
        <f t="shared" si="32"/>
        <v>0</v>
      </c>
      <c r="Q38" s="19">
        <f t="shared" si="33"/>
        <v>100</v>
      </c>
      <c r="R38" s="19">
        <f t="shared" si="34"/>
        <v>78.820104697265165</v>
      </c>
      <c r="S38" s="19">
        <f t="shared" si="35"/>
        <v>84.877693136674282</v>
      </c>
      <c r="T38" s="20">
        <f t="shared" si="36"/>
        <v>0</v>
      </c>
      <c r="U38" s="21">
        <f t="shared" si="37"/>
        <v>9.4532983682855463</v>
      </c>
      <c r="V38" s="21">
        <f t="shared" si="38"/>
        <v>7.451099671227527</v>
      </c>
      <c r="W38" s="21">
        <f t="shared" si="39"/>
        <v>8.0237415803276431</v>
      </c>
      <c r="X38" s="147" t="str">
        <f t="shared" si="40"/>
        <v>Gz</v>
      </c>
      <c r="Y38" s="32">
        <f t="shared" si="41"/>
        <v>0</v>
      </c>
      <c r="Z38" s="31">
        <f t="shared" si="42"/>
        <v>99.820708253825927</v>
      </c>
      <c r="AA38" s="31">
        <f t="shared" si="43"/>
        <v>96.488994692211122</v>
      </c>
      <c r="AB38" s="31">
        <f t="shared" si="44"/>
        <v>96.781862116458981</v>
      </c>
      <c r="AC38" s="31">
        <f t="shared" si="45"/>
        <v>96.457103338128121</v>
      </c>
      <c r="AD38" s="31">
        <f t="shared" si="46"/>
        <v>100</v>
      </c>
      <c r="AE38" s="31">
        <f t="shared" si="47"/>
        <v>0</v>
      </c>
      <c r="AF38" s="31">
        <f t="shared" si="48"/>
        <v>0</v>
      </c>
      <c r="AG38" s="31">
        <f t="shared" si="49"/>
        <v>55.714807845186286</v>
      </c>
      <c r="AH38" s="31">
        <f t="shared" si="50"/>
        <v>78.820104697265165</v>
      </c>
      <c r="AI38" s="31">
        <f t="shared" si="51"/>
        <v>0</v>
      </c>
      <c r="AJ38" s="31">
        <f t="shared" si="52"/>
        <v>84.877693136674282</v>
      </c>
      <c r="AK38" s="7" cm="1">
        <f t="array" ref="AK38">_xlfn.IFS(AZ38=0,0,AZ38&gt;0,(LOG(0.01*AZ38/10^-CD38)))</f>
        <v>0</v>
      </c>
      <c r="AL38" s="8" cm="1">
        <f t="array" ref="AL38">_xlfn.IFS(BA38=0,0,BA38&gt;0,(LOG(0.01*BA38/10^-CE38)))</f>
        <v>9.4363493845700024</v>
      </c>
      <c r="AM38" s="8" cm="1">
        <f t="array" ref="AM38">_xlfn.IFS(BB38=0,0,BB38&gt;0,(LOG(0.01*BB38/10^-CF38)))</f>
        <v>9.1213925608139217</v>
      </c>
      <c r="AN38" s="8" cm="1">
        <f t="array" ref="AN38">_xlfn.IFS(BC38=0,0,BC38&gt;0,(LOG(0.01*BC38/10^-CG38)))</f>
        <v>9.1490781922515847</v>
      </c>
      <c r="AO38" s="8" cm="1">
        <f t="array" ref="AO38">_xlfn.IFS(BD38=0,0,BD38&gt;0,(LOG(0.01*BD38/10^-CH38)))</f>
        <v>9.1183777759587681</v>
      </c>
      <c r="AP38" s="8" cm="1">
        <f t="array" ref="AP38">_xlfn.IFS(BE38=0,0,BE38&gt;0,(LOG(0.01*BE38/10^-CI38)))</f>
        <v>9.4532983682855463</v>
      </c>
      <c r="AQ38" s="8" cm="1">
        <f t="array" ref="AQ38">_xlfn.IFS(BF38=0,0,BF38&gt;0,(LOG(0.01*BF38/10^-CJ38)))</f>
        <v>0</v>
      </c>
      <c r="AR38" s="8" cm="1">
        <f t="array" ref="AR38">_xlfn.IFS(BG38=0,0,BG38&gt;0,(LOG(0.01*BG38/10^-CK38)))</f>
        <v>0</v>
      </c>
      <c r="AS38" s="8" cm="1">
        <f t="array" ref="AS38">_xlfn.IFS(BH38=0,0,BH38&gt;0,(LOG(0.01*BH38/10^-CL38)))</f>
        <v>5.2668870209224226</v>
      </c>
      <c r="AT38" s="8" cm="1">
        <f t="array" ref="AT38">_xlfn.IFS(BI38=0,0,BI38&gt;0,(LOG(0.01*BI38/10^-CM38)))</f>
        <v>7.451099671227527</v>
      </c>
      <c r="AU38" s="8" cm="1">
        <f t="array" ref="AU38">_xlfn.IFS(BJ38=0,0,BJ38&gt;0,(LOG(0.01*BJ38/10^-CN38)))</f>
        <v>0</v>
      </c>
      <c r="AV38" s="8" cm="1">
        <f t="array" ref="AV38">_xlfn.IFS(BK38=0,0,BK38&gt;0,(LOG(0.01*BK38/10^-CO38)))</f>
        <v>8.0237415803276431</v>
      </c>
      <c r="AW38" s="8" cm="1">
        <f t="array" ref="AW38">_xlfn.IFS(BL38=0,0,BL38&gt;0,(LOG(0.01*BL38/10^-CP38)))</f>
        <v>0</v>
      </c>
      <c r="AX38" s="8" cm="1">
        <f t="array" ref="AX38">_xlfn.IFS(BM38=0,0,BM38&gt;0,(LOG(0.01*BM38/10^-CQ38)))</f>
        <v>0</v>
      </c>
      <c r="AY38" s="8" cm="1">
        <f t="array" ref="AY38">_xlfn.IFS(BN38=0,0,BN38&gt;0,(LOG(0.01*BN38/10^-CR38)))</f>
        <v>0</v>
      </c>
      <c r="AZ38" s="32">
        <f t="shared" si="72"/>
        <v>0</v>
      </c>
      <c r="BA38" s="31">
        <f t="shared" si="54"/>
        <v>53.499458288190681</v>
      </c>
      <c r="BB38" s="31">
        <f t="shared" si="55"/>
        <v>29.880823401950163</v>
      </c>
      <c r="BC38" s="31">
        <f t="shared" si="56"/>
        <v>25.590465872156013</v>
      </c>
      <c r="BD38" s="31">
        <f t="shared" si="57"/>
        <v>33.141928494041167</v>
      </c>
      <c r="BE38" s="31">
        <f t="shared" si="58"/>
        <v>10.310942578548213</v>
      </c>
      <c r="BF38" s="31">
        <f t="shared" si="59"/>
        <v>0</v>
      </c>
      <c r="BG38" s="31">
        <f t="shared" si="60"/>
        <v>0</v>
      </c>
      <c r="BH38" s="31">
        <f t="shared" si="61"/>
        <v>2.0224929709465793</v>
      </c>
      <c r="BI38" s="31">
        <f t="shared" si="62"/>
        <v>54.714151827553884</v>
      </c>
      <c r="BJ38" s="31">
        <f t="shared" si="63"/>
        <v>0</v>
      </c>
      <c r="BK38" s="31">
        <f t="shared" si="64"/>
        <v>53.79495893514585</v>
      </c>
      <c r="BL38" s="31">
        <f t="shared" si="65"/>
        <v>0</v>
      </c>
      <c r="BM38" s="31">
        <f t="shared" si="66"/>
        <v>0</v>
      </c>
      <c r="BN38" s="31">
        <f t="shared" si="67"/>
        <v>0</v>
      </c>
      <c r="BO38" s="134"/>
      <c r="BP38" s="135">
        <v>493.8</v>
      </c>
      <c r="BQ38" s="135">
        <v>275.8</v>
      </c>
      <c r="BR38" s="135">
        <v>236.2</v>
      </c>
      <c r="BS38" s="135">
        <v>305.89999999999998</v>
      </c>
      <c r="BT38" s="135">
        <v>95.17</v>
      </c>
      <c r="BU38" s="135"/>
      <c r="BV38" s="135"/>
      <c r="BW38" s="172">
        <v>21.58</v>
      </c>
      <c r="BX38" s="135">
        <v>583.79999999999995</v>
      </c>
      <c r="BY38" s="135"/>
      <c r="BZ38" s="135">
        <v>379.9</v>
      </c>
      <c r="CA38" s="135"/>
      <c r="CB38" s="135"/>
      <c r="CC38" s="135"/>
      <c r="CD38" s="30"/>
      <c r="CE38" s="29">
        <v>9.7080000000000002</v>
      </c>
      <c r="CF38" s="29">
        <v>9.6460000000000008</v>
      </c>
      <c r="CG38" s="29">
        <v>9.7409999999999997</v>
      </c>
      <c r="CH38" s="29">
        <v>9.5980000000000008</v>
      </c>
      <c r="CI38" s="29">
        <v>10.44</v>
      </c>
      <c r="CJ38" s="29"/>
      <c r="CK38" s="29"/>
      <c r="CL38" s="38">
        <v>6.9610000000000003</v>
      </c>
      <c r="CM38" s="29">
        <v>7.7130000000000001</v>
      </c>
      <c r="CN38" s="29"/>
      <c r="CO38" s="29">
        <v>8.2929999999999993</v>
      </c>
      <c r="CP38" s="29"/>
      <c r="CQ38" s="29"/>
      <c r="CR38" s="29"/>
      <c r="CS38" s="168" t="str">
        <f>IF(VLOOKUP($A38,'B-Ligands'!$A:$G,3,FALSE)="","",VLOOKUP($A38,'B-Ligands'!$A:$G,3,FALSE))</f>
        <v>PGE2</v>
      </c>
      <c r="CT38" s="169" t="str">
        <f>IF(VLOOKUP($A38,'B-Ligands'!$A:$G,4,FALSE)="","",VLOOKUP($A38,'B-Ligands'!$A:$G,4,FALSE))</f>
        <v>Prostaglandin E4</v>
      </c>
      <c r="CU38" s="134">
        <v>13.827206462855063</v>
      </c>
      <c r="CV38" s="135">
        <v>9.5264200259732554</v>
      </c>
      <c r="CW38" s="135">
        <v>13.59273434620733</v>
      </c>
      <c r="CX38" s="135">
        <v>31.092853868147191</v>
      </c>
      <c r="CY38" s="135">
        <v>15.180980353114334</v>
      </c>
      <c r="CZ38" s="135">
        <v>15.548506175757179</v>
      </c>
      <c r="DA38" s="135">
        <v>7.0792667268289984</v>
      </c>
      <c r="DB38" s="135">
        <v>13.407867581868413</v>
      </c>
      <c r="DC38" s="135">
        <v>12.248210494277538</v>
      </c>
      <c r="DD38" s="135">
        <v>18.260048866338987</v>
      </c>
      <c r="DE38" s="135">
        <v>33.829817959761726</v>
      </c>
      <c r="DF38" s="135">
        <v>9.6053615206801872</v>
      </c>
      <c r="DG38" s="135">
        <v>23.95662318774092</v>
      </c>
      <c r="DH38" s="135">
        <v>8.616652531848521</v>
      </c>
      <c r="DI38" s="135">
        <v>10.141107408899277</v>
      </c>
      <c r="DJ38" s="66">
        <f t="shared" si="73"/>
        <v>0</v>
      </c>
      <c r="DK38" s="67">
        <f t="shared" si="74"/>
        <v>51.834791942165232</v>
      </c>
      <c r="DL38" s="67">
        <f t="shared" si="75"/>
        <v>20.290251613499255</v>
      </c>
      <c r="DM38" s="67">
        <f t="shared" si="76"/>
        <v>7.5966008460218273</v>
      </c>
      <c r="DN38" s="67">
        <f t="shared" si="77"/>
        <v>20.150213812591193</v>
      </c>
      <c r="DO38" s="67">
        <f t="shared" si="78"/>
        <v>6.1208452390356678</v>
      </c>
      <c r="DP38" s="67">
        <f t="shared" si="79"/>
        <v>0</v>
      </c>
      <c r="DQ38" s="67">
        <f t="shared" si="80"/>
        <v>0</v>
      </c>
      <c r="DR38" s="67">
        <f t="shared" si="81"/>
        <v>1.761890033656945</v>
      </c>
      <c r="DS38" s="67">
        <f t="shared" si="82"/>
        <v>31.971436893369486</v>
      </c>
      <c r="DT38" s="67">
        <f t="shared" si="83"/>
        <v>0</v>
      </c>
      <c r="DU38" s="67">
        <f t="shared" si="84"/>
        <v>39.55082785609698</v>
      </c>
      <c r="DV38" s="67">
        <f t="shared" si="85"/>
        <v>0</v>
      </c>
      <c r="DW38" s="67">
        <f t="shared" si="86"/>
        <v>0</v>
      </c>
      <c r="DX38" s="67">
        <f t="shared" si="87"/>
        <v>0</v>
      </c>
    </row>
    <row r="39" spans="1:128" s="28" customFormat="1">
      <c r="A39" s="33" t="s">
        <v>174</v>
      </c>
      <c r="B39" s="205" t="s">
        <v>5559</v>
      </c>
      <c r="C39" t="str">
        <f>IF(VLOOKUP($A39,'B-Ligands'!$A:$G,5,FALSE)="","",VLOOKUP($A39,'B-Ligands'!$A:$G,5,FALSE))</f>
        <v>Guide To Pharmacology</v>
      </c>
      <c r="D39" s="19">
        <f>IF(VLOOKUP($A39,'B-Ligands'!$A:$G,6,FALSE)="","",VLOOKUP($A39,'B-Ligands'!$A:$G,6,FALSE))</f>
        <v>4016</v>
      </c>
      <c r="E39" t="str">
        <f>IF(VLOOKUP($A39,'B-Ligands'!$A:$G,7,FALSE)="","",VLOOKUP($A39,'B-Ligands'!$A:$G,7,FALSE))</f>
        <v>Phys</v>
      </c>
      <c r="F39" s="20" t="str">
        <f t="shared" si="68"/>
        <v/>
      </c>
      <c r="G39" s="19">
        <f t="shared" si="69"/>
        <v>1</v>
      </c>
      <c r="H39" s="19">
        <f t="shared" si="70"/>
        <v>1</v>
      </c>
      <c r="I39" s="19">
        <f t="shared" si="71"/>
        <v>1</v>
      </c>
      <c r="J39" s="189">
        <f t="shared" si="26"/>
        <v>3</v>
      </c>
      <c r="K39" s="147" t="str">
        <f t="shared" si="27"/>
        <v>Gi/o</v>
      </c>
      <c r="L39" s="20">
        <f t="shared" si="28"/>
        <v>0</v>
      </c>
      <c r="M39" s="19">
        <f t="shared" si="29"/>
        <v>1</v>
      </c>
      <c r="N39" s="19">
        <f t="shared" si="30"/>
        <v>2</v>
      </c>
      <c r="O39" s="19">
        <f t="shared" si="31"/>
        <v>3</v>
      </c>
      <c r="P39" s="20">
        <f t="shared" si="32"/>
        <v>0</v>
      </c>
      <c r="Q39" s="19">
        <f t="shared" si="33"/>
        <v>100</v>
      </c>
      <c r="R39" s="19">
        <f t="shared" si="34"/>
        <v>75.831847151417065</v>
      </c>
      <c r="S39" s="19">
        <f t="shared" si="35"/>
        <v>68.971848146736491</v>
      </c>
      <c r="T39" s="20">
        <f t="shared" si="36"/>
        <v>0</v>
      </c>
      <c r="U39" s="21">
        <f t="shared" si="37"/>
        <v>9.3576929967262661</v>
      </c>
      <c r="V39" s="21">
        <f t="shared" si="38"/>
        <v>7.0961114501763207</v>
      </c>
      <c r="W39" s="21">
        <f t="shared" si="39"/>
        <v>6.4541738037398355</v>
      </c>
      <c r="X39" s="147" t="str">
        <f t="shared" si="40"/>
        <v>Gz</v>
      </c>
      <c r="Y39" s="32">
        <f t="shared" si="41"/>
        <v>0</v>
      </c>
      <c r="Z39" s="31">
        <f t="shared" si="42"/>
        <v>84.683346005868742</v>
      </c>
      <c r="AA39" s="31">
        <f t="shared" si="43"/>
        <v>83.12370377027267</v>
      </c>
      <c r="AB39" s="31">
        <f t="shared" si="44"/>
        <v>87.851628294473343</v>
      </c>
      <c r="AC39" s="31">
        <f t="shared" si="45"/>
        <v>94.416991780412175</v>
      </c>
      <c r="AD39" s="31">
        <f t="shared" si="46"/>
        <v>100</v>
      </c>
      <c r="AE39" s="31">
        <f t="shared" si="47"/>
        <v>0</v>
      </c>
      <c r="AF39" s="31">
        <f t="shared" si="48"/>
        <v>0</v>
      </c>
      <c r="AG39" s="31">
        <f t="shared" si="49"/>
        <v>0</v>
      </c>
      <c r="AH39" s="31">
        <f t="shared" si="50"/>
        <v>75.831847151417065</v>
      </c>
      <c r="AI39" s="31">
        <f t="shared" si="51"/>
        <v>64.756183461369773</v>
      </c>
      <c r="AJ39" s="31">
        <f t="shared" si="52"/>
        <v>68.971848146736491</v>
      </c>
      <c r="AK39" s="7" cm="1">
        <f t="array" ref="AK39">_xlfn.IFS(AZ39=0,0,AZ39&gt;0,(LOG(0.01*AZ39/10^-CD39)))</f>
        <v>0</v>
      </c>
      <c r="AL39" s="8" cm="1">
        <f t="array" ref="AL39">_xlfn.IFS(BA39=0,0,BA39&gt;0,(LOG(0.01*BA39/10^-CE39)))</f>
        <v>7.9244075385846511</v>
      </c>
      <c r="AM39" s="8" cm="1">
        <f t="array" ref="AM39">_xlfn.IFS(BB39=0,0,BB39&gt;0,(LOG(0.01*BB39/10^-CF39)))</f>
        <v>7.7784610063302928</v>
      </c>
      <c r="AN39" s="8" cm="1">
        <f t="array" ref="AN39">_xlfn.IFS(BC39=0,0,BC39&gt;0,(LOG(0.01*BC39/10^-CG39)))</f>
        <v>8.2208856684219231</v>
      </c>
      <c r="AO39" s="8" cm="1">
        <f t="array" ref="AO39">_xlfn.IFS(BD39=0,0,BD39&gt;0,(LOG(0.01*BD39/10^-CH39)))</f>
        <v>8.8352522275552445</v>
      </c>
      <c r="AP39" s="8" cm="1">
        <f t="array" ref="AP39">_xlfn.IFS(BE39=0,0,BE39&gt;0,(LOG(0.01*BE39/10^-CI39)))</f>
        <v>9.3576929967262661</v>
      </c>
      <c r="AQ39" s="8" cm="1">
        <f t="array" ref="AQ39">_xlfn.IFS(BF39=0,0,BF39&gt;0,(LOG(0.01*BF39/10^-CJ39)))</f>
        <v>0</v>
      </c>
      <c r="AR39" s="8" cm="1">
        <f t="array" ref="AR39">_xlfn.IFS(BG39=0,0,BG39&gt;0,(LOG(0.01*BG39/10^-CK39)))</f>
        <v>0</v>
      </c>
      <c r="AS39" s="8" cm="1">
        <f t="array" ref="AS39">_xlfn.IFS(BH39=0,0,BH39&gt;0,(LOG(0.01*BH39/10^-CL39)))</f>
        <v>0</v>
      </c>
      <c r="AT39" s="8" cm="1">
        <f t="array" ref="AT39">_xlfn.IFS(BI39=0,0,BI39&gt;0,(LOG(0.01*BI39/10^-CM39)))</f>
        <v>7.0961114501763207</v>
      </c>
      <c r="AU39" s="8" cm="1">
        <f t="array" ref="AU39">_xlfn.IFS(BJ39=0,0,BJ39&gt;0,(LOG(0.01*BJ39/10^-CN39)))</f>
        <v>6.0596848447118123</v>
      </c>
      <c r="AV39" s="8" cm="1">
        <f t="array" ref="AV39">_xlfn.IFS(BK39=0,0,BK39&gt;0,(LOG(0.01*BK39/10^-CO39)))</f>
        <v>6.4541738037398355</v>
      </c>
      <c r="AW39" s="8" cm="1">
        <f t="array" ref="AW39">_xlfn.IFS(BL39=0,0,BL39&gt;0,(LOG(0.01*BL39/10^-CP39)))</f>
        <v>7.0169202216046482</v>
      </c>
      <c r="AX39" s="8" cm="1">
        <f t="array" ref="AX39">_xlfn.IFS(BM39=0,0,BM39&gt;0,(LOG(0.01*BM39/10^-CQ39)))</f>
        <v>6.1803458768462516</v>
      </c>
      <c r="AY39" s="8" cm="1">
        <f t="array" ref="AY39">_xlfn.IFS(BN39=0,0,BN39&gt;0,(LOG(0.01*BN39/10^-CR39)))</f>
        <v>7.0848228220462728</v>
      </c>
      <c r="AZ39" s="32">
        <f t="shared" si="72"/>
        <v>0</v>
      </c>
      <c r="BA39" s="31">
        <f t="shared" si="54"/>
        <v>75.406283856988082</v>
      </c>
      <c r="BB39" s="31">
        <f t="shared" si="55"/>
        <v>45.547128927410618</v>
      </c>
      <c r="BC39" s="31">
        <f t="shared" si="56"/>
        <v>27.789815817984831</v>
      </c>
      <c r="BD39" s="31">
        <f t="shared" si="57"/>
        <v>50.032502708559043</v>
      </c>
      <c r="BE39" s="31">
        <f t="shared" si="58"/>
        <v>16.132177681473458</v>
      </c>
      <c r="BF39" s="31">
        <f t="shared" si="59"/>
        <v>0</v>
      </c>
      <c r="BG39" s="31">
        <f t="shared" si="60"/>
        <v>0</v>
      </c>
      <c r="BH39" s="31">
        <f t="shared" si="61"/>
        <v>0</v>
      </c>
      <c r="BI39" s="31">
        <f t="shared" si="62"/>
        <v>49.671977507029055</v>
      </c>
      <c r="BJ39" s="31">
        <f t="shared" si="63"/>
        <v>13.953554233928065</v>
      </c>
      <c r="BK39" s="31">
        <f t="shared" si="64"/>
        <v>58.099688473520246</v>
      </c>
      <c r="BL39" s="31">
        <f t="shared" si="65"/>
        <v>10.812353138637128</v>
      </c>
      <c r="BM39" s="31">
        <f t="shared" si="66"/>
        <v>6.6733803289694524</v>
      </c>
      <c r="BN39" s="31">
        <f t="shared" si="67"/>
        <v>20.550520308828467</v>
      </c>
      <c r="BO39" s="134"/>
      <c r="BP39" s="135">
        <v>696</v>
      </c>
      <c r="BQ39" s="135">
        <v>420.4</v>
      </c>
      <c r="BR39" s="135">
        <v>256.5</v>
      </c>
      <c r="BS39" s="135">
        <v>461.8</v>
      </c>
      <c r="BT39" s="135">
        <v>148.9</v>
      </c>
      <c r="BU39" s="135"/>
      <c r="BV39" s="135"/>
      <c r="BW39" s="135"/>
      <c r="BX39" s="135">
        <v>530</v>
      </c>
      <c r="BY39" s="135">
        <v>98.54</v>
      </c>
      <c r="BZ39" s="135">
        <v>410.3</v>
      </c>
      <c r="CA39" s="135">
        <v>322.10000000000002</v>
      </c>
      <c r="CB39" s="135">
        <v>198.8</v>
      </c>
      <c r="CC39" s="135">
        <v>612.20000000000005</v>
      </c>
      <c r="CD39" s="30"/>
      <c r="CE39" s="29">
        <v>8.0470000000000006</v>
      </c>
      <c r="CF39" s="29">
        <v>8.1199999999999992</v>
      </c>
      <c r="CG39" s="29">
        <v>8.7769999999999992</v>
      </c>
      <c r="CH39" s="29">
        <v>9.1359999999999992</v>
      </c>
      <c r="CI39" s="29">
        <v>10.15</v>
      </c>
      <c r="CJ39" s="29"/>
      <c r="CK39" s="29"/>
      <c r="CL39" s="29"/>
      <c r="CM39" s="29">
        <v>7.4</v>
      </c>
      <c r="CN39" s="29">
        <v>6.915</v>
      </c>
      <c r="CO39" s="29">
        <v>6.69</v>
      </c>
      <c r="CP39" s="29">
        <v>7.9829999999999997</v>
      </c>
      <c r="CQ39" s="29">
        <v>7.3559999999999999</v>
      </c>
      <c r="CR39" s="29">
        <v>7.7720000000000002</v>
      </c>
      <c r="CS39" s="168" t="str">
        <f>IF(VLOOKUP($A39,'B-Ligands'!$A:$G,3,FALSE)="","",VLOOKUP($A39,'B-Ligands'!$A:$G,3,FALSE))</f>
        <v>RFRP-3</v>
      </c>
      <c r="CT39" s="169" t="str">
        <f>IF(VLOOKUP($A39,'B-Ligands'!$A:$G,4,FALSE)="","",VLOOKUP($A39,'B-Ligands'!$A:$G,4,FALSE))</f>
        <v>Neuropeptide RFRP-3</v>
      </c>
      <c r="CU39" s="134">
        <v>10.361639055348393</v>
      </c>
      <c r="CV39" s="135">
        <v>8.3825476488569102</v>
      </c>
      <c r="CW39" s="135">
        <v>6.7772758727782554</v>
      </c>
      <c r="CX39" s="135">
        <v>13.547345569967252</v>
      </c>
      <c r="CY39" s="135">
        <v>9.2723507125982163</v>
      </c>
      <c r="CZ39" s="135">
        <v>7.2021823656556752</v>
      </c>
      <c r="DA39" s="135">
        <v>14.020189957820122</v>
      </c>
      <c r="DB39" s="135">
        <v>8.2655280352756098</v>
      </c>
      <c r="DC39" s="135">
        <v>3.2495302245929576</v>
      </c>
      <c r="DD39" s="135">
        <v>10.13620580739779</v>
      </c>
      <c r="DE39" s="135">
        <v>8.3224724121516829</v>
      </c>
      <c r="DF39" s="135">
        <v>12.931493401372594</v>
      </c>
      <c r="DG39" s="135">
        <v>2.1427478217774172</v>
      </c>
      <c r="DH39" s="135">
        <v>9.5391826535918227</v>
      </c>
      <c r="DI39" s="135">
        <v>20.745805275492888</v>
      </c>
      <c r="DJ39" s="66">
        <f t="shared" si="73"/>
        <v>0</v>
      </c>
      <c r="DK39" s="67">
        <f t="shared" si="74"/>
        <v>83.029650311013782</v>
      </c>
      <c r="DL39" s="67">
        <f t="shared" si="75"/>
        <v>62.030822987239929</v>
      </c>
      <c r="DM39" s="67">
        <f t="shared" si="76"/>
        <v>18.933598369899709</v>
      </c>
      <c r="DN39" s="67">
        <f t="shared" si="77"/>
        <v>49.803983295472058</v>
      </c>
      <c r="DO39" s="67">
        <f t="shared" si="78"/>
        <v>20.674289047448244</v>
      </c>
      <c r="DP39" s="67">
        <f t="shared" si="79"/>
        <v>0</v>
      </c>
      <c r="DQ39" s="67">
        <f t="shared" si="80"/>
        <v>0</v>
      </c>
      <c r="DR39" s="67">
        <f t="shared" si="81"/>
        <v>0</v>
      </c>
      <c r="DS39" s="67">
        <f t="shared" si="82"/>
        <v>52.28780966672813</v>
      </c>
      <c r="DT39" s="67">
        <f t="shared" si="83"/>
        <v>11.840231498529363</v>
      </c>
      <c r="DU39" s="67">
        <f t="shared" si="84"/>
        <v>31.728740622985537</v>
      </c>
      <c r="DV39" s="67">
        <f t="shared" si="85"/>
        <v>150.32100218532338</v>
      </c>
      <c r="DW39" s="67">
        <f t="shared" si="86"/>
        <v>20.840359936408717</v>
      </c>
      <c r="DX39" s="67">
        <f t="shared" si="87"/>
        <v>29.509579978714765</v>
      </c>
    </row>
    <row r="40" spans="1:128" s="28" customFormat="1">
      <c r="A40" s="33" t="s">
        <v>74</v>
      </c>
      <c r="B40" s="205" t="s">
        <v>5559</v>
      </c>
      <c r="C40" t="str">
        <f>IF(VLOOKUP($A40,'B-Ligands'!$A:$G,5,FALSE)="","",VLOOKUP($A40,'B-Ligands'!$A:$G,5,FALSE))</f>
        <v>Guide To Pharmacology</v>
      </c>
      <c r="D40" s="19">
        <f>IF(VLOOKUP($A40,'B-Ligands'!$A:$G,6,FALSE)="","",VLOOKUP($A40,'B-Ligands'!$A:$G,6,FALSE))</f>
        <v>821</v>
      </c>
      <c r="E40" t="str">
        <f>IF(VLOOKUP($A40,'B-Ligands'!$A:$G,7,FALSE)="","",VLOOKUP($A40,'B-Ligands'!$A:$G,7,FALSE))</f>
        <v>Phys</v>
      </c>
      <c r="F40" s="20" t="str">
        <f t="shared" si="68"/>
        <v/>
      </c>
      <c r="G40" s="19">
        <f t="shared" si="69"/>
        <v>1</v>
      </c>
      <c r="H40" s="19">
        <f t="shared" si="70"/>
        <v>1</v>
      </c>
      <c r="I40" s="19" t="str">
        <f t="shared" si="71"/>
        <v/>
      </c>
      <c r="J40" s="189">
        <f t="shared" si="26"/>
        <v>2</v>
      </c>
      <c r="K40" s="147" t="str">
        <f t="shared" si="27"/>
        <v>Gi/o</v>
      </c>
      <c r="L40" s="20">
        <f t="shared" si="28"/>
        <v>0</v>
      </c>
      <c r="M40" s="19">
        <f t="shared" si="29"/>
        <v>1</v>
      </c>
      <c r="N40" s="19">
        <f t="shared" si="30"/>
        <v>2</v>
      </c>
      <c r="O40" s="19">
        <f t="shared" si="31"/>
        <v>0</v>
      </c>
      <c r="P40" s="20">
        <f t="shared" si="32"/>
        <v>0</v>
      </c>
      <c r="Q40" s="19">
        <f t="shared" si="33"/>
        <v>100</v>
      </c>
      <c r="R40" s="19">
        <f t="shared" si="34"/>
        <v>86.589688787968697</v>
      </c>
      <c r="S40" s="19">
        <f t="shared" si="35"/>
        <v>0</v>
      </c>
      <c r="T40" s="20">
        <f t="shared" si="36"/>
        <v>0</v>
      </c>
      <c r="U40" s="21">
        <f t="shared" si="37"/>
        <v>9.4479330930028773</v>
      </c>
      <c r="V40" s="21">
        <f t="shared" si="38"/>
        <v>8.180935862126697</v>
      </c>
      <c r="W40" s="21">
        <f t="shared" si="39"/>
        <v>0</v>
      </c>
      <c r="X40" s="147" t="str">
        <f t="shared" si="40"/>
        <v>GoB</v>
      </c>
      <c r="Y40" s="32">
        <f t="shared" si="41"/>
        <v>0</v>
      </c>
      <c r="Z40" s="31">
        <f t="shared" si="42"/>
        <v>99.375741630390706</v>
      </c>
      <c r="AA40" s="31">
        <f t="shared" si="43"/>
        <v>98.953357198318827</v>
      </c>
      <c r="AB40" s="31">
        <f t="shared" si="44"/>
        <v>96.560387061724157</v>
      </c>
      <c r="AC40" s="31">
        <f t="shared" si="45"/>
        <v>100</v>
      </c>
      <c r="AD40" s="31">
        <f t="shared" si="46"/>
        <v>91.382891097740895</v>
      </c>
      <c r="AE40" s="31">
        <f t="shared" si="47"/>
        <v>0</v>
      </c>
      <c r="AF40" s="31">
        <f t="shared" si="48"/>
        <v>0</v>
      </c>
      <c r="AG40" s="31">
        <f t="shared" si="49"/>
        <v>0</v>
      </c>
      <c r="AH40" s="31">
        <f t="shared" si="50"/>
        <v>86.589688787968697</v>
      </c>
      <c r="AI40" s="31">
        <f t="shared" si="51"/>
        <v>0</v>
      </c>
      <c r="AJ40" s="31">
        <f t="shared" si="52"/>
        <v>0</v>
      </c>
      <c r="AK40" s="7" cm="1">
        <f t="array" ref="AK40">_xlfn.IFS(AZ40=0,0,AZ40&gt;0,(LOG(0.01*AZ40/10^-CD40)))</f>
        <v>0</v>
      </c>
      <c r="AL40" s="8" cm="1">
        <f t="array" ref="AL40">_xlfn.IFS(BA40=0,0,BA40&gt;0,(LOG(0.01*BA40/10^-CE40)))</f>
        <v>9.3889535799147197</v>
      </c>
      <c r="AM40" s="8" cm="1">
        <f t="array" ref="AM40">_xlfn.IFS(BB40=0,0,BB40&gt;0,(LOG(0.01*BB40/10^-CF40)))</f>
        <v>9.3490469813773096</v>
      </c>
      <c r="AN40" s="8" cm="1">
        <f t="array" ref="AN40">_xlfn.IFS(BC40=0,0,BC40&gt;0,(LOG(0.01*BC40/10^-CG40)))</f>
        <v>9.1229607639363053</v>
      </c>
      <c r="AO40" s="8" cm="1">
        <f t="array" ref="AO40">_xlfn.IFS(BD40=0,0,BD40&gt;0,(LOG(0.01*BD40/10^-CH40)))</f>
        <v>9.4479330930028773</v>
      </c>
      <c r="AP40" s="8" cm="1">
        <f t="array" ref="AP40">_xlfn.IFS(BE40=0,0,BE40&gt;0,(LOG(0.01*BE40/10^-CI40)))</f>
        <v>8.6337944093662422</v>
      </c>
      <c r="AQ40" s="8" cm="1">
        <f t="array" ref="AQ40">_xlfn.IFS(BF40=0,0,BF40&gt;0,(LOG(0.01*BF40/10^-CJ40)))</f>
        <v>0</v>
      </c>
      <c r="AR40" s="8" cm="1">
        <f t="array" ref="AR40">_xlfn.IFS(BG40=0,0,BG40&gt;0,(LOG(0.01*BG40/10^-CK40)))</f>
        <v>0</v>
      </c>
      <c r="AS40" s="8" cm="1">
        <f t="array" ref="AS40">_xlfn.IFS(BH40=0,0,BH40&gt;0,(LOG(0.01*BH40/10^-CL40)))</f>
        <v>0</v>
      </c>
      <c r="AT40" s="8" cm="1">
        <f t="array" ref="AT40">_xlfn.IFS(BI40=0,0,BI40&gt;0,(LOG(0.01*BI40/10^-CM40)))</f>
        <v>8.180935862126697</v>
      </c>
      <c r="AU40" s="8" cm="1">
        <f t="array" ref="AU40">_xlfn.IFS(BJ40=0,0,BJ40&gt;0,(LOG(0.01*BJ40/10^-CN40)))</f>
        <v>0</v>
      </c>
      <c r="AV40" s="8" cm="1">
        <f t="array" ref="AV40">_xlfn.IFS(BK40=0,0,BK40&gt;0,(LOG(0.01*BK40/10^-CO40)))</f>
        <v>0</v>
      </c>
      <c r="AW40" s="8" cm="1">
        <f t="array" ref="AW40">_xlfn.IFS(BL40=0,0,BL40&gt;0,(LOG(0.01*BL40/10^-CP40)))</f>
        <v>8.2875321884750424</v>
      </c>
      <c r="AX40" s="8" cm="1">
        <f t="array" ref="AX40">_xlfn.IFS(BM40=0,0,BM40&gt;0,(LOG(0.01*BM40/10^-CQ40)))</f>
        <v>7.2914513840074306</v>
      </c>
      <c r="AY40" s="8" cm="1">
        <f t="array" ref="AY40">_xlfn.IFS(BN40=0,0,BN40&gt;0,(LOG(0.01*BN40/10^-CR40)))</f>
        <v>7.4790813557396678</v>
      </c>
      <c r="AZ40" s="32">
        <f t="shared" si="72"/>
        <v>0</v>
      </c>
      <c r="BA40" s="31">
        <f t="shared" si="54"/>
        <v>49.425785482123509</v>
      </c>
      <c r="BB40" s="31">
        <f t="shared" si="55"/>
        <v>26.305525460455037</v>
      </c>
      <c r="BC40" s="31">
        <f t="shared" si="56"/>
        <v>19.859154929577464</v>
      </c>
      <c r="BD40" s="31">
        <f t="shared" si="57"/>
        <v>29.035752979414951</v>
      </c>
      <c r="BE40" s="31">
        <f t="shared" si="58"/>
        <v>18.526543878656554</v>
      </c>
      <c r="BF40" s="31">
        <f t="shared" si="59"/>
        <v>0</v>
      </c>
      <c r="BG40" s="31">
        <f t="shared" si="60"/>
        <v>0</v>
      </c>
      <c r="BH40" s="31">
        <f t="shared" si="61"/>
        <v>0</v>
      </c>
      <c r="BI40" s="31">
        <f t="shared" si="62"/>
        <v>47.966260543580134</v>
      </c>
      <c r="BJ40" s="31">
        <f t="shared" si="63"/>
        <v>0</v>
      </c>
      <c r="BK40" s="31">
        <f t="shared" si="64"/>
        <v>0</v>
      </c>
      <c r="BL40" s="31">
        <f t="shared" si="65"/>
        <v>44.008056394763344</v>
      </c>
      <c r="BM40" s="31">
        <f t="shared" si="66"/>
        <v>20.627727425310507</v>
      </c>
      <c r="BN40" s="31">
        <f t="shared" si="67"/>
        <v>19.956361195031889</v>
      </c>
      <c r="BO40" s="132"/>
      <c r="BP40" s="133">
        <v>456.2</v>
      </c>
      <c r="BQ40" s="133">
        <v>242.8</v>
      </c>
      <c r="BR40" s="133">
        <v>183.3</v>
      </c>
      <c r="BS40" s="133">
        <v>268</v>
      </c>
      <c r="BT40" s="133">
        <v>171</v>
      </c>
      <c r="BU40" s="133"/>
      <c r="BV40" s="133"/>
      <c r="BW40" s="133"/>
      <c r="BX40" s="133">
        <v>511.8</v>
      </c>
      <c r="BY40" s="133"/>
      <c r="BZ40" s="133"/>
      <c r="CA40" s="133">
        <v>1311</v>
      </c>
      <c r="CB40" s="133">
        <v>614.5</v>
      </c>
      <c r="CC40" s="133">
        <v>594.5</v>
      </c>
      <c r="CD40" s="36"/>
      <c r="CE40" s="34">
        <v>9.6950000000000003</v>
      </c>
      <c r="CF40" s="34">
        <v>9.9290000000000003</v>
      </c>
      <c r="CG40" s="34">
        <v>9.8249999999999993</v>
      </c>
      <c r="CH40" s="34">
        <v>9.9849999999999994</v>
      </c>
      <c r="CI40" s="34">
        <v>9.3659999999999997</v>
      </c>
      <c r="CJ40" s="34"/>
      <c r="CK40" s="34"/>
      <c r="CL40" s="34"/>
      <c r="CM40" s="34">
        <v>8.5</v>
      </c>
      <c r="CN40" s="34"/>
      <c r="CO40" s="34"/>
      <c r="CP40" s="34">
        <v>8.6440000000000001</v>
      </c>
      <c r="CQ40" s="34">
        <v>7.9770000000000003</v>
      </c>
      <c r="CR40" s="34">
        <v>8.1790000000000003</v>
      </c>
      <c r="CS40" s="168" t="str">
        <f>IF(VLOOKUP($A40,'B-Ligands'!$A:$G,3,FALSE)="","",VLOOKUP($A40,'B-Ligands'!$A:$G,3,FALSE))</f>
        <v>CXCL8</v>
      </c>
      <c r="CT40" s="169" t="str">
        <f>IF(VLOOKUP($A40,'B-Ligands'!$A:$G,4,FALSE)="","",VLOOKUP($A40,'B-Ligands'!$A:$G,4,FALSE))</f>
        <v>Interleukin-8</v>
      </c>
      <c r="CU40" s="132">
        <v>18.898138789684765</v>
      </c>
      <c r="CV40" s="133">
        <v>16.855614146704735</v>
      </c>
      <c r="CW40" s="133">
        <v>28.608621148320552</v>
      </c>
      <c r="CX40" s="133">
        <v>24.433670465117057</v>
      </c>
      <c r="CY40" s="133">
        <v>26.782256062122265</v>
      </c>
      <c r="CZ40" s="133">
        <v>20.302819043592542</v>
      </c>
      <c r="DA40" s="133">
        <v>16.339331450949107</v>
      </c>
      <c r="DB40" s="133">
        <v>20.906531175178227</v>
      </c>
      <c r="DC40" s="133">
        <v>10.581319203173418</v>
      </c>
      <c r="DD40" s="133">
        <v>9.0253015436778412</v>
      </c>
      <c r="DE40" s="133">
        <v>12.154539927289354</v>
      </c>
      <c r="DF40" s="133">
        <v>8.7890934121488495</v>
      </c>
      <c r="DG40" s="133">
        <v>22.84336285683391</v>
      </c>
      <c r="DH40" s="133">
        <v>11.209531143965082</v>
      </c>
      <c r="DI40" s="133">
        <v>22.021116138763229</v>
      </c>
      <c r="DJ40" s="66">
        <f t="shared" si="73"/>
        <v>0</v>
      </c>
      <c r="DK40" s="67">
        <f t="shared" si="74"/>
        <v>27.065166301827507</v>
      </c>
      <c r="DL40" s="67">
        <f t="shared" si="75"/>
        <v>8.4869521932291168</v>
      </c>
      <c r="DM40" s="67">
        <f t="shared" si="76"/>
        <v>7.5019428727128759</v>
      </c>
      <c r="DN40" s="67">
        <f t="shared" si="77"/>
        <v>10.006625258841741</v>
      </c>
      <c r="DO40" s="67">
        <f t="shared" si="78"/>
        <v>8.4224756982191913</v>
      </c>
      <c r="DP40" s="67">
        <f t="shared" si="79"/>
        <v>0</v>
      </c>
      <c r="DQ40" s="67">
        <f t="shared" si="80"/>
        <v>0</v>
      </c>
      <c r="DR40" s="67">
        <f t="shared" si="81"/>
        <v>0</v>
      </c>
      <c r="DS40" s="67">
        <f t="shared" si="82"/>
        <v>56.707246569341741</v>
      </c>
      <c r="DT40" s="67">
        <f t="shared" si="83"/>
        <v>0</v>
      </c>
      <c r="DU40" s="67">
        <f t="shared" si="84"/>
        <v>0</v>
      </c>
      <c r="DV40" s="67">
        <f t="shared" si="85"/>
        <v>57.390849509173563</v>
      </c>
      <c r="DW40" s="67">
        <f t="shared" si="86"/>
        <v>54.81942037609938</v>
      </c>
      <c r="DX40" s="67">
        <f t="shared" si="87"/>
        <v>26.996815068493113</v>
      </c>
    </row>
    <row r="41" spans="1:128" s="28" customFormat="1">
      <c r="A41" s="33" t="s">
        <v>145</v>
      </c>
      <c r="B41" s="205" t="s">
        <v>5559</v>
      </c>
      <c r="C41" t="str">
        <f>IF(VLOOKUP($A41,'B-Ligands'!$A:$G,5,FALSE)="","",VLOOKUP($A41,'B-Ligands'!$A:$G,5,FALSE))</f>
        <v>Guide To Pharmacology</v>
      </c>
      <c r="D41" s="19">
        <f>IF(VLOOKUP($A41,'B-Ligands'!$A:$G,6,FALSE)="","",VLOOKUP($A41,'B-Ligands'!$A:$G,6,FALSE))</f>
        <v>2487</v>
      </c>
      <c r="E41" t="str">
        <f>IF(VLOOKUP($A41,'B-Ligands'!$A:$G,7,FALSE)="","",VLOOKUP($A41,'B-Ligands'!$A:$G,7,FALSE))</f>
        <v>Phys</v>
      </c>
      <c r="F41" s="20" t="str">
        <f t="shared" si="68"/>
        <v/>
      </c>
      <c r="G41" s="19">
        <f t="shared" si="69"/>
        <v>1</v>
      </c>
      <c r="H41" s="19">
        <f t="shared" si="70"/>
        <v>1</v>
      </c>
      <c r="I41" s="19">
        <f t="shared" si="71"/>
        <v>1</v>
      </c>
      <c r="J41" s="189">
        <f t="shared" si="26"/>
        <v>3</v>
      </c>
      <c r="K41" s="147" t="str">
        <f t="shared" si="27"/>
        <v>Gq/11</v>
      </c>
      <c r="L41" s="20">
        <f t="shared" si="28"/>
        <v>0</v>
      </c>
      <c r="M41" s="19">
        <f t="shared" si="29"/>
        <v>3</v>
      </c>
      <c r="N41" s="19">
        <f t="shared" si="30"/>
        <v>1</v>
      </c>
      <c r="O41" s="19">
        <f t="shared" si="31"/>
        <v>2</v>
      </c>
      <c r="P41" s="20">
        <f t="shared" si="32"/>
        <v>0</v>
      </c>
      <c r="Q41" s="19">
        <f t="shared" si="33"/>
        <v>90.14370929979782</v>
      </c>
      <c r="R41" s="19">
        <f t="shared" si="34"/>
        <v>100</v>
      </c>
      <c r="S41" s="19">
        <f t="shared" si="35"/>
        <v>94.450284255996081</v>
      </c>
      <c r="T41" s="20">
        <f t="shared" si="36"/>
        <v>0</v>
      </c>
      <c r="U41" s="21">
        <f t="shared" si="37"/>
        <v>8.3709966563652003</v>
      </c>
      <c r="V41" s="21">
        <f t="shared" si="38"/>
        <v>9.286279343714531</v>
      </c>
      <c r="W41" s="21">
        <f t="shared" si="39"/>
        <v>8.7709172369442214</v>
      </c>
      <c r="X41" s="147" t="str">
        <f t="shared" si="40"/>
        <v>G15</v>
      </c>
      <c r="Y41" s="32">
        <f t="shared" si="41"/>
        <v>0</v>
      </c>
      <c r="Z41" s="31">
        <f t="shared" si="42"/>
        <v>74.20268117345654</v>
      </c>
      <c r="AA41" s="31">
        <f t="shared" si="43"/>
        <v>71.256137901892743</v>
      </c>
      <c r="AB41" s="31">
        <f t="shared" si="44"/>
        <v>73.271770149855925</v>
      </c>
      <c r="AC41" s="31">
        <f t="shared" si="45"/>
        <v>80.243351762566107</v>
      </c>
      <c r="AD41" s="31">
        <f t="shared" si="46"/>
        <v>90.14370929979782</v>
      </c>
      <c r="AE41" s="31">
        <f t="shared" si="47"/>
        <v>91.27223169749908</v>
      </c>
      <c r="AF41" s="31">
        <f t="shared" si="48"/>
        <v>90.056842986946378</v>
      </c>
      <c r="AG41" s="31">
        <f t="shared" si="49"/>
        <v>94.07370450874572</v>
      </c>
      <c r="AH41" s="31">
        <f t="shared" si="50"/>
        <v>100</v>
      </c>
      <c r="AI41" s="31">
        <f t="shared" si="51"/>
        <v>94.450284255996081</v>
      </c>
      <c r="AJ41" s="31">
        <f t="shared" si="52"/>
        <v>87.216722457060499</v>
      </c>
      <c r="AK41" s="7" cm="1">
        <f t="array" ref="AK41">_xlfn.IFS(AZ41=0,0,AZ41&gt;0,(LOG(0.01*AZ41/10^-CD41)))</f>
        <v>0</v>
      </c>
      <c r="AL41" s="8" cm="1">
        <f t="array" ref="AL41">_xlfn.IFS(BA41=0,0,BA41&gt;0,(LOG(0.01*BA41/10^-CE41)))</f>
        <v>6.890668254293046</v>
      </c>
      <c r="AM41" s="8" cm="1">
        <f t="array" ref="AM41">_xlfn.IFS(BB41=0,0,BB41&gt;0,(LOG(0.01*BB41/10^-CF41)))</f>
        <v>6.6170440151122074</v>
      </c>
      <c r="AN41" s="8" cm="1">
        <f t="array" ref="AN41">_xlfn.IFS(BC41=0,0,BC41&gt;0,(LOG(0.01*BC41/10^-CG41)))</f>
        <v>6.8042212562000604</v>
      </c>
      <c r="AO41" s="8" cm="1">
        <f t="array" ref="AO41">_xlfn.IFS(BD41=0,0,BD41&gt;0,(LOG(0.01*BD41/10^-CH41)))</f>
        <v>7.4516217994313667</v>
      </c>
      <c r="AP41" s="8" cm="1">
        <f t="array" ref="AP41">_xlfn.IFS(BE41=0,0,BE41&gt;0,(LOG(0.01*BE41/10^-CI41)))</f>
        <v>8.3709966563652003</v>
      </c>
      <c r="AQ41" s="8" cm="1">
        <f t="array" ref="AQ41">_xlfn.IFS(BF41=0,0,BF41&gt;0,(LOG(0.01*BF41/10^-CJ41)))</f>
        <v>8.4757943986721234</v>
      </c>
      <c r="AR41" s="8" cm="1">
        <f t="array" ref="AR41">_xlfn.IFS(BG41=0,0,BG41&gt;0,(LOG(0.01*BG41/10^-CK41)))</f>
        <v>8.36293000789823</v>
      </c>
      <c r="AS41" s="8" cm="1">
        <f t="array" ref="AS41">_xlfn.IFS(BH41=0,0,BH41&gt;0,(LOG(0.01*BH41/10^-CL41)))</f>
        <v>8.7359469896626987</v>
      </c>
      <c r="AT41" s="8" cm="1">
        <f t="array" ref="AT41">_xlfn.IFS(BI41=0,0,BI41&gt;0,(LOG(0.01*BI41/10^-CM41)))</f>
        <v>9.286279343714531</v>
      </c>
      <c r="AU41" s="8" cm="1">
        <f t="array" ref="AU41">_xlfn.IFS(BJ41=0,0,BJ41&gt;0,(LOG(0.01*BJ41/10^-CN41)))</f>
        <v>8.7709172369442214</v>
      </c>
      <c r="AV41" s="8" cm="1">
        <f t="array" ref="AV41">_xlfn.IFS(BK41=0,0,BK41&gt;0,(LOG(0.01*BK41/10^-CO41)))</f>
        <v>8.0991884817948421</v>
      </c>
      <c r="AW41" s="8" cm="1">
        <f t="array" ref="AW41">_xlfn.IFS(BL41=0,0,BL41&gt;0,(LOG(0.01*BL41/10^-CP41)))</f>
        <v>5.5171440821313613</v>
      </c>
      <c r="AX41" s="8" cm="1">
        <f t="array" ref="AX41">_xlfn.IFS(BM41=0,0,BM41&gt;0,(LOG(0.01*BM41/10^-CQ41)))</f>
        <v>2.5270609040469409</v>
      </c>
      <c r="AY41" s="8" cm="1">
        <f t="array" ref="AY41">_xlfn.IFS(BN41=0,0,BN41&gt;0,(LOG(0.01*BN41/10^-CR41)))</f>
        <v>6.1330238105702497</v>
      </c>
      <c r="AZ41" s="32">
        <f t="shared" si="72"/>
        <v>0</v>
      </c>
      <c r="BA41" s="31">
        <f t="shared" si="54"/>
        <v>51.365113759479954</v>
      </c>
      <c r="BB41" s="31">
        <f t="shared" si="55"/>
        <v>21.33261105092091</v>
      </c>
      <c r="BC41" s="31">
        <f t="shared" si="56"/>
        <v>25.189599133261105</v>
      </c>
      <c r="BD41" s="31">
        <f t="shared" si="57"/>
        <v>45.146262188515706</v>
      </c>
      <c r="BE41" s="31">
        <f t="shared" si="58"/>
        <v>19.23076923076923</v>
      </c>
      <c r="BF41" s="31">
        <f t="shared" si="59"/>
        <v>34.817244611059046</v>
      </c>
      <c r="BG41" s="31">
        <f t="shared" si="60"/>
        <v>73.439550140581062</v>
      </c>
      <c r="BH41" s="31">
        <f t="shared" si="61"/>
        <v>58.069353327085288</v>
      </c>
      <c r="BI41" s="31">
        <f t="shared" si="62"/>
        <v>46.588566073102157</v>
      </c>
      <c r="BJ41" s="31">
        <f t="shared" si="63"/>
        <v>13.769470404984423</v>
      </c>
      <c r="BK41" s="31">
        <f t="shared" si="64"/>
        <v>86.335315774568116</v>
      </c>
      <c r="BL41" s="31">
        <f t="shared" si="65"/>
        <v>4.18932527693857</v>
      </c>
      <c r="BM41" s="31">
        <f t="shared" si="66"/>
        <v>44.880832494125542</v>
      </c>
      <c r="BN41" s="31">
        <f t="shared" si="67"/>
        <v>3.2064451158106748</v>
      </c>
      <c r="BO41" s="132"/>
      <c r="BP41" s="133">
        <v>474.1</v>
      </c>
      <c r="BQ41" s="133">
        <v>196.9</v>
      </c>
      <c r="BR41" s="133">
        <v>232.5</v>
      </c>
      <c r="BS41" s="133">
        <v>416.7</v>
      </c>
      <c r="BT41" s="133">
        <v>177.5</v>
      </c>
      <c r="BU41" s="133">
        <v>371.5</v>
      </c>
      <c r="BV41" s="133">
        <v>783.6</v>
      </c>
      <c r="BW41" s="133">
        <v>619.6</v>
      </c>
      <c r="BX41" s="133">
        <v>497.1</v>
      </c>
      <c r="BY41" s="133">
        <v>97.24</v>
      </c>
      <c r="BZ41" s="133">
        <v>609.70000000000005</v>
      </c>
      <c r="CA41" s="133">
        <v>124.8</v>
      </c>
      <c r="CB41" s="176">
        <v>1337</v>
      </c>
      <c r="CC41" s="133">
        <v>95.52</v>
      </c>
      <c r="CD41" s="36"/>
      <c r="CE41" s="34">
        <v>7.18</v>
      </c>
      <c r="CF41" s="34">
        <v>7.2880000000000003</v>
      </c>
      <c r="CG41" s="34">
        <v>7.4029999999999996</v>
      </c>
      <c r="CH41" s="34">
        <v>7.7969999999999997</v>
      </c>
      <c r="CI41" s="34">
        <v>9.0869999999999997</v>
      </c>
      <c r="CJ41" s="34">
        <v>8.9339999999999993</v>
      </c>
      <c r="CK41" s="34">
        <v>8.4969999999999999</v>
      </c>
      <c r="CL41" s="34">
        <v>8.9719999999999995</v>
      </c>
      <c r="CM41" s="34">
        <v>9.6180000000000003</v>
      </c>
      <c r="CN41" s="34">
        <v>9.6319999999999997</v>
      </c>
      <c r="CO41" s="34">
        <v>8.1630000000000003</v>
      </c>
      <c r="CP41" s="34">
        <v>6.8949999999999996</v>
      </c>
      <c r="CQ41" s="39">
        <v>2.875</v>
      </c>
      <c r="CR41" s="34">
        <v>7.6269999999999998</v>
      </c>
      <c r="CS41" s="168" t="str">
        <f>IF(VLOOKUP($A41,'B-Ligands'!$A:$G,3,FALSE)="","",VLOOKUP($A41,'B-Ligands'!$A:$G,3,FALSE))</f>
        <v>LTD4</v>
      </c>
      <c r="CT41" s="169" t="str">
        <f>IF(VLOOKUP($A41,'B-Ligands'!$A:$G,4,FALSE)="","",VLOOKUP($A41,'B-Ligands'!$A:$G,4,FALSE))</f>
        <v>Leukotriene D4</v>
      </c>
      <c r="CU41" s="132">
        <v>8.6849370877512655</v>
      </c>
      <c r="CV41" s="133">
        <v>9.583631130546582</v>
      </c>
      <c r="CW41" s="133">
        <v>5.8476286743165211</v>
      </c>
      <c r="CX41" s="133">
        <v>7.2618563981996944</v>
      </c>
      <c r="CY41" s="133">
        <v>12.155403366444968</v>
      </c>
      <c r="CZ41" s="133">
        <v>23.322137638850386</v>
      </c>
      <c r="DA41" s="133">
        <v>11.984896367132009</v>
      </c>
      <c r="DB41" s="133">
        <v>7.4716235042146666</v>
      </c>
      <c r="DC41" s="133">
        <v>12.636939915613722</v>
      </c>
      <c r="DD41" s="133">
        <v>12.485201706652848</v>
      </c>
      <c r="DE41" s="133">
        <v>8.4863278555353006</v>
      </c>
      <c r="DF41" s="133">
        <v>11.824465586946967</v>
      </c>
      <c r="DG41" s="133">
        <v>15.337768237216103</v>
      </c>
      <c r="DH41" s="133">
        <v>6.8200848904551661</v>
      </c>
      <c r="DI41" s="133">
        <v>5.2233957710521102</v>
      </c>
      <c r="DJ41" s="66">
        <f t="shared" si="73"/>
        <v>0</v>
      </c>
      <c r="DK41" s="67">
        <f t="shared" si="74"/>
        <v>49.469767099953138</v>
      </c>
      <c r="DL41" s="67">
        <f t="shared" si="75"/>
        <v>33.671768671770863</v>
      </c>
      <c r="DM41" s="67">
        <f t="shared" si="76"/>
        <v>32.016606670663393</v>
      </c>
      <c r="DN41" s="67">
        <f t="shared" si="77"/>
        <v>34.281050775353265</v>
      </c>
      <c r="DO41" s="67">
        <f t="shared" si="78"/>
        <v>7.6107946342070161</v>
      </c>
      <c r="DP41" s="67">
        <f t="shared" si="79"/>
        <v>30.997347713311942</v>
      </c>
      <c r="DQ41" s="67">
        <f t="shared" si="80"/>
        <v>104.87680482802422</v>
      </c>
      <c r="DR41" s="67">
        <f t="shared" si="81"/>
        <v>49.030857481125302</v>
      </c>
      <c r="DS41" s="67">
        <f t="shared" si="82"/>
        <v>39.815135684601394</v>
      </c>
      <c r="DT41" s="67">
        <f t="shared" si="83"/>
        <v>11.45843074358412</v>
      </c>
      <c r="DU41" s="67">
        <f t="shared" si="84"/>
        <v>51.56258399305996</v>
      </c>
      <c r="DV41" s="67">
        <f t="shared" si="85"/>
        <v>8.136777011480774</v>
      </c>
      <c r="DW41" s="67">
        <f t="shared" si="86"/>
        <v>196.03861557077624</v>
      </c>
      <c r="DX41" s="67">
        <f t="shared" si="87"/>
        <v>18.286954346704636</v>
      </c>
    </row>
    <row r="42" spans="1:128" s="28" customFormat="1">
      <c r="A42" s="33" t="s">
        <v>211</v>
      </c>
      <c r="B42" s="205" t="s">
        <v>5559</v>
      </c>
      <c r="C42" t="str">
        <f>IF(VLOOKUP($A42,'B-Ligands'!$A:$G,5,FALSE)="","",VLOOKUP($A42,'B-Ligands'!$A:$G,5,FALSE))</f>
        <v>Guide To Pharmacology</v>
      </c>
      <c r="D42" s="19">
        <f>IF(VLOOKUP($A42,'B-Ligands'!$A:$G,6,FALSE)="","",VLOOKUP($A42,'B-Ligands'!$A:$G,6,FALSE))</f>
        <v>3740</v>
      </c>
      <c r="E42" t="str">
        <f>IF(VLOOKUP($A42,'B-Ligands'!$A:$G,7,FALSE)="","",VLOOKUP($A42,'B-Ligands'!$A:$G,7,FALSE))</f>
        <v>Phys</v>
      </c>
      <c r="F42" s="20" t="str">
        <f t="shared" si="68"/>
        <v/>
      </c>
      <c r="G42" s="19">
        <f t="shared" si="69"/>
        <v>1</v>
      </c>
      <c r="H42" s="19">
        <f t="shared" si="70"/>
        <v>1</v>
      </c>
      <c r="I42" s="19">
        <f t="shared" si="71"/>
        <v>1</v>
      </c>
      <c r="J42" s="189">
        <f t="shared" si="26"/>
        <v>3</v>
      </c>
      <c r="K42" s="147" t="str">
        <f t="shared" si="27"/>
        <v>G12/13</v>
      </c>
      <c r="L42" s="20">
        <f t="shared" si="28"/>
        <v>0</v>
      </c>
      <c r="M42" s="19">
        <f t="shared" si="29"/>
        <v>2</v>
      </c>
      <c r="N42" s="19">
        <f t="shared" si="30"/>
        <v>3</v>
      </c>
      <c r="O42" s="19">
        <f t="shared" si="31"/>
        <v>1</v>
      </c>
      <c r="P42" s="20">
        <f t="shared" si="32"/>
        <v>0</v>
      </c>
      <c r="Q42" s="19">
        <f t="shared" si="33"/>
        <v>89.378174219384533</v>
      </c>
      <c r="R42" s="19">
        <f t="shared" si="34"/>
        <v>85.603765707353347</v>
      </c>
      <c r="S42" s="19">
        <f t="shared" si="35"/>
        <v>100</v>
      </c>
      <c r="T42" s="20">
        <f t="shared" si="36"/>
        <v>0</v>
      </c>
      <c r="U42" s="21">
        <f t="shared" si="37"/>
        <v>5.8605409352457762</v>
      </c>
      <c r="V42" s="21">
        <f t="shared" si="38"/>
        <v>5.6130523757144113</v>
      </c>
      <c r="W42" s="21">
        <f t="shared" si="39"/>
        <v>6.5570157216018954</v>
      </c>
      <c r="X42" s="147" t="str">
        <f t="shared" si="40"/>
        <v>G12</v>
      </c>
      <c r="Y42" s="32">
        <f t="shared" si="41"/>
        <v>0</v>
      </c>
      <c r="Z42" s="31">
        <f t="shared" si="42"/>
        <v>78.444376048646092</v>
      </c>
      <c r="AA42" s="31">
        <f t="shared" si="43"/>
        <v>79.217169459666465</v>
      </c>
      <c r="AB42" s="31">
        <f t="shared" si="44"/>
        <v>79.646875105442774</v>
      </c>
      <c r="AC42" s="31">
        <f t="shared" si="45"/>
        <v>89.378174219384533</v>
      </c>
      <c r="AD42" s="31">
        <f t="shared" si="46"/>
        <v>84.39862535002672</v>
      </c>
      <c r="AE42" s="31">
        <f t="shared" si="47"/>
        <v>70.657056086102457</v>
      </c>
      <c r="AF42" s="31">
        <f t="shared" si="48"/>
        <v>85.603765707353347</v>
      </c>
      <c r="AG42" s="31">
        <f t="shared" si="49"/>
        <v>77.13476307223408</v>
      </c>
      <c r="AH42" s="31">
        <f t="shared" si="50"/>
        <v>83.511931423436209</v>
      </c>
      <c r="AI42" s="31">
        <f t="shared" si="51"/>
        <v>100</v>
      </c>
      <c r="AJ42" s="31">
        <f t="shared" si="52"/>
        <v>97.442574292576708</v>
      </c>
      <c r="AK42" s="7" cm="1">
        <f t="array" ref="AK42">_xlfn.IFS(AZ42=0,0,AZ42&gt;0,(LOG(0.01*AZ42/10^-CD42)))</f>
        <v>0</v>
      </c>
      <c r="AL42" s="8" cm="1">
        <f t="array" ref="AL42">_xlfn.IFS(BA42=0,0,BA42&gt;0,(LOG(0.01*BA42/10^-CE42)))</f>
        <v>5.1436100702222358</v>
      </c>
      <c r="AM42" s="8" cm="1">
        <f t="array" ref="AM42">_xlfn.IFS(BB42=0,0,BB42&gt;0,(LOG(0.01*BB42/10^-CF42)))</f>
        <v>5.1942822556783455</v>
      </c>
      <c r="AN42" s="8" cm="1">
        <f t="array" ref="AN42">_xlfn.IFS(BC42=0,0,BC42&gt;0,(LOG(0.01*BC42/10^-CG42)))</f>
        <v>5.2224581224285087</v>
      </c>
      <c r="AO42" s="8" cm="1">
        <f t="array" ref="AO42">_xlfn.IFS(BD42=0,0,BD42&gt;0,(LOG(0.01*BD42/10^-CH42)))</f>
        <v>5.8605409352457762</v>
      </c>
      <c r="AP42" s="8" cm="1">
        <f t="array" ref="AP42">_xlfn.IFS(BE42=0,0,BE42&gt;0,(LOG(0.01*BE42/10^-CI42)))</f>
        <v>5.5340311330171339</v>
      </c>
      <c r="AQ42" s="8" cm="1">
        <f t="array" ref="AQ42">_xlfn.IFS(BF42=0,0,BF42&gt;0,(LOG(0.01*BF42/10^-CJ42)))</f>
        <v>4.6329942759868068</v>
      </c>
      <c r="AR42" s="8" cm="1">
        <f t="array" ref="AR42">_xlfn.IFS(BG42=0,0,BG42&gt;0,(LOG(0.01*BG42/10^-CK42)))</f>
        <v>5.6130523757144113</v>
      </c>
      <c r="AS42" s="8" cm="1">
        <f t="array" ref="AS42">_xlfn.IFS(BH42=0,0,BH42&gt;0,(LOG(0.01*BH42/10^-CL42)))</f>
        <v>5.0577385414667617</v>
      </c>
      <c r="AT42" s="8" cm="1">
        <f t="array" ref="AT42">_xlfn.IFS(BI42=0,0,BI42&gt;0,(LOG(0.01*BI42/10^-CM42)))</f>
        <v>5.4758904728481061</v>
      </c>
      <c r="AU42" s="8" cm="1">
        <f t="array" ref="AU42">_xlfn.IFS(BJ42=0,0,BJ42&gt;0,(LOG(0.01*BJ42/10^-CN42)))</f>
        <v>6.5570157216018954</v>
      </c>
      <c r="AV42" s="8" cm="1">
        <f t="array" ref="AV42">_xlfn.IFS(BK42=0,0,BK42&gt;0,(LOG(0.01*BK42/10^-CO42)))</f>
        <v>6.3893249158978618</v>
      </c>
      <c r="AW42" s="8" cm="1">
        <f t="array" ref="AW42">_xlfn.IFS(BL42=0,0,BL42&gt;0,(LOG(0.01*BL42/10^-CP42)))</f>
        <v>4.1080335179364065</v>
      </c>
      <c r="AX42" s="8" cm="1">
        <f t="array" ref="AX42">_xlfn.IFS(BM42=0,0,BM42&gt;0,(LOG(0.01*BM42/10^-CQ42)))</f>
        <v>4.0412716444320154</v>
      </c>
      <c r="AY42" s="8" cm="1">
        <f t="array" ref="AY42">_xlfn.IFS(BN42=0,0,BN42&gt;0,(LOG(0.01*BN42/10^-CR42)))</f>
        <v>3.9642383559085768</v>
      </c>
      <c r="AZ42" s="32">
        <f t="shared" si="72"/>
        <v>0</v>
      </c>
      <c r="BA42" s="31">
        <f t="shared" si="54"/>
        <v>67.237269772481042</v>
      </c>
      <c r="BB42" s="31">
        <f t="shared" si="55"/>
        <v>35.341278439869988</v>
      </c>
      <c r="BC42" s="31">
        <f t="shared" si="56"/>
        <v>23.52112676056338</v>
      </c>
      <c r="BD42" s="31">
        <f t="shared" si="57"/>
        <v>34.637053087757316</v>
      </c>
      <c r="BE42" s="31">
        <f t="shared" si="58"/>
        <v>20.325027085590467</v>
      </c>
      <c r="BF42" s="31">
        <f t="shared" si="59"/>
        <v>28.444236176194938</v>
      </c>
      <c r="BG42" s="31">
        <f t="shared" si="60"/>
        <v>45.295220243673853</v>
      </c>
      <c r="BH42" s="31">
        <f t="shared" si="61"/>
        <v>39.240862230552949</v>
      </c>
      <c r="BI42" s="31">
        <f t="shared" si="62"/>
        <v>46.654170571696348</v>
      </c>
      <c r="BJ42" s="31">
        <f t="shared" si="63"/>
        <v>5.8751062022090057</v>
      </c>
      <c r="BK42" s="31">
        <f t="shared" si="64"/>
        <v>33.290852449730956</v>
      </c>
      <c r="BL42" s="31">
        <f t="shared" si="65"/>
        <v>28.909029875797248</v>
      </c>
      <c r="BM42" s="31">
        <f t="shared" si="66"/>
        <v>25.720040281973816</v>
      </c>
      <c r="BN42" s="31">
        <f t="shared" si="67"/>
        <v>16.414904330312186</v>
      </c>
      <c r="BO42" s="134"/>
      <c r="BP42" s="135">
        <v>620.6</v>
      </c>
      <c r="BQ42" s="135">
        <v>326.2</v>
      </c>
      <c r="BR42" s="135">
        <v>217.1</v>
      </c>
      <c r="BS42" s="135">
        <v>319.7</v>
      </c>
      <c r="BT42" s="135">
        <v>187.6</v>
      </c>
      <c r="BU42" s="135">
        <v>303.5</v>
      </c>
      <c r="BV42" s="135">
        <v>483.3</v>
      </c>
      <c r="BW42" s="135">
        <v>418.7</v>
      </c>
      <c r="BX42" s="135">
        <v>497.8</v>
      </c>
      <c r="BY42" s="135">
        <v>41.49</v>
      </c>
      <c r="BZ42" s="135">
        <v>235.1</v>
      </c>
      <c r="CA42" s="135">
        <v>861.2</v>
      </c>
      <c r="CB42" s="135">
        <v>766.2</v>
      </c>
      <c r="CC42" s="135">
        <v>489</v>
      </c>
      <c r="CD42" s="30"/>
      <c r="CE42" s="29">
        <v>5.3159999999999998</v>
      </c>
      <c r="CF42" s="29">
        <v>5.6459999999999999</v>
      </c>
      <c r="CG42" s="29">
        <v>5.851</v>
      </c>
      <c r="CH42" s="29">
        <v>6.3209999999999997</v>
      </c>
      <c r="CI42" s="29">
        <v>6.226</v>
      </c>
      <c r="CJ42" s="29">
        <v>5.1790000000000003</v>
      </c>
      <c r="CK42" s="29">
        <v>5.9569999999999999</v>
      </c>
      <c r="CL42" s="29">
        <v>5.4640000000000004</v>
      </c>
      <c r="CM42" s="29">
        <v>5.8070000000000004</v>
      </c>
      <c r="CN42" s="29">
        <v>7.7880000000000003</v>
      </c>
      <c r="CO42" s="29">
        <v>6.867</v>
      </c>
      <c r="CP42" s="29">
        <v>4.6470000000000002</v>
      </c>
      <c r="CQ42" s="29">
        <v>4.6310000000000002</v>
      </c>
      <c r="CR42" s="29">
        <v>4.7489999999999997</v>
      </c>
      <c r="CS42" s="168" t="str">
        <f>IF(VLOOKUP($A42,'B-Ligands'!$A:$G,3,FALSE)="","",VLOOKUP($A42,'B-Ligands'!$A:$G,3,FALSE))</f>
        <v/>
      </c>
      <c r="CT42" s="169" t="str">
        <f>IF(VLOOKUP($A42,'B-Ligands'!$A:$G,4,FALSE)="","",VLOOKUP($A42,'B-Ligands'!$A:$G,4,FALSE))</f>
        <v>PAR2 peptide</v>
      </c>
      <c r="CU42" s="134">
        <v>10.992364421517573</v>
      </c>
      <c r="CV42" s="135">
        <v>16.167303059620213</v>
      </c>
      <c r="CW42" s="135">
        <v>6.2408163508978127</v>
      </c>
      <c r="CX42" s="135">
        <v>11.335299545738547</v>
      </c>
      <c r="CY42" s="135">
        <v>5.6384430070204781</v>
      </c>
      <c r="CZ42" s="135">
        <v>15.041810640034354</v>
      </c>
      <c r="DA42" s="135">
        <v>6.2832981175640938</v>
      </c>
      <c r="DB42" s="135">
        <v>10.544098043827068</v>
      </c>
      <c r="DC42" s="135">
        <v>9.5031150079889706</v>
      </c>
      <c r="DD42" s="135">
        <v>12.563628458439796</v>
      </c>
      <c r="DE42" s="135">
        <v>3.868457976464339</v>
      </c>
      <c r="DF42" s="135">
        <v>6.7302885561970651</v>
      </c>
      <c r="DG42" s="135">
        <v>13.829201474044691</v>
      </c>
      <c r="DH42" s="135">
        <v>0.2052559597058182</v>
      </c>
      <c r="DI42" s="135">
        <v>26.242214931939049</v>
      </c>
      <c r="DJ42" s="66">
        <f t="shared" si="73"/>
        <v>0</v>
      </c>
      <c r="DK42" s="67">
        <f t="shared" si="74"/>
        <v>38.386117815161349</v>
      </c>
      <c r="DL42" s="67">
        <f t="shared" si="75"/>
        <v>52.268802935223754</v>
      </c>
      <c r="DM42" s="67">
        <f t="shared" si="76"/>
        <v>19.152559588212888</v>
      </c>
      <c r="DN42" s="67">
        <f t="shared" si="77"/>
        <v>56.700049925473849</v>
      </c>
      <c r="DO42" s="67">
        <f t="shared" si="78"/>
        <v>12.471902784143248</v>
      </c>
      <c r="DP42" s="67">
        <f t="shared" si="79"/>
        <v>48.302657986513097</v>
      </c>
      <c r="DQ42" s="67">
        <f t="shared" si="80"/>
        <v>45.836068480313777</v>
      </c>
      <c r="DR42" s="67">
        <f t="shared" si="81"/>
        <v>44.059237381428304</v>
      </c>
      <c r="DS42" s="67">
        <f t="shared" si="82"/>
        <v>39.622311472096726</v>
      </c>
      <c r="DT42" s="67">
        <f t="shared" si="83"/>
        <v>10.725203751061731</v>
      </c>
      <c r="DU42" s="67">
        <f t="shared" si="84"/>
        <v>34.931637482842596</v>
      </c>
      <c r="DV42" s="67">
        <f t="shared" si="85"/>
        <v>62.274022228712305</v>
      </c>
      <c r="DW42" s="67">
        <f t="shared" si="86"/>
        <v>3732.9001364839851</v>
      </c>
      <c r="DX42" s="67">
        <f t="shared" si="87"/>
        <v>18.634097817895874</v>
      </c>
    </row>
    <row r="43" spans="1:128" s="28" customFormat="1">
      <c r="A43" s="33" t="s">
        <v>0</v>
      </c>
      <c r="B43" s="205" t="s">
        <v>5559</v>
      </c>
      <c r="C43" t="str">
        <f>IF(VLOOKUP($A43,'B-Ligands'!$A:$G,5,FALSE)="","",VLOOKUP($A43,'B-Ligands'!$A:$G,5,FALSE))</f>
        <v>Guide To Pharmacology</v>
      </c>
      <c r="D43" s="19">
        <f>IF(VLOOKUP($A43,'B-Ligands'!$A:$G,6,FALSE)="","",VLOOKUP($A43,'B-Ligands'!$A:$G,6,FALSE))</f>
        <v>1369</v>
      </c>
      <c r="E43" t="str">
        <f>IF(VLOOKUP($A43,'B-Ligands'!$A:$G,7,FALSE)="","",VLOOKUP($A43,'B-Ligands'!$A:$G,7,FALSE))</f>
        <v>Phys</v>
      </c>
      <c r="F43" s="20" t="str">
        <f t="shared" si="68"/>
        <v/>
      </c>
      <c r="G43" s="19">
        <f t="shared" si="69"/>
        <v>1</v>
      </c>
      <c r="H43" s="19">
        <f t="shared" si="70"/>
        <v>1</v>
      </c>
      <c r="I43" s="19" t="str">
        <f t="shared" si="71"/>
        <v/>
      </c>
      <c r="J43" s="189">
        <f t="shared" si="26"/>
        <v>2</v>
      </c>
      <c r="K43" s="147" t="str">
        <f t="shared" si="27"/>
        <v>Gq/11</v>
      </c>
      <c r="L43" s="20">
        <f t="shared" si="28"/>
        <v>0</v>
      </c>
      <c r="M43" s="19">
        <f t="shared" si="29"/>
        <v>2</v>
      </c>
      <c r="N43" s="19">
        <f t="shared" si="30"/>
        <v>1</v>
      </c>
      <c r="O43" s="19">
        <f t="shared" si="31"/>
        <v>0</v>
      </c>
      <c r="P43" s="20">
        <f t="shared" si="32"/>
        <v>0</v>
      </c>
      <c r="Q43" s="19">
        <f t="shared" si="33"/>
        <v>90.685988736639374</v>
      </c>
      <c r="R43" s="19">
        <f t="shared" si="34"/>
        <v>100</v>
      </c>
      <c r="S43" s="19">
        <f t="shared" si="35"/>
        <v>0</v>
      </c>
      <c r="T43" s="20">
        <f t="shared" si="36"/>
        <v>0</v>
      </c>
      <c r="U43" s="21">
        <f t="shared" si="37"/>
        <v>5.2878516640081692</v>
      </c>
      <c r="V43" s="21">
        <f t="shared" si="38"/>
        <v>5.8309466960376719</v>
      </c>
      <c r="W43" s="21">
        <f t="shared" si="39"/>
        <v>0</v>
      </c>
      <c r="X43" s="147" t="str">
        <f t="shared" si="40"/>
        <v>G15</v>
      </c>
      <c r="Y43" s="32">
        <f t="shared" si="41"/>
        <v>0</v>
      </c>
      <c r="Z43" s="31">
        <f t="shared" si="42"/>
        <v>90.685988736639374</v>
      </c>
      <c r="AA43" s="31">
        <f t="shared" si="43"/>
        <v>85.802104018229159</v>
      </c>
      <c r="AB43" s="31">
        <f t="shared" si="44"/>
        <v>85.615521518776845</v>
      </c>
      <c r="AC43" s="31">
        <f t="shared" si="45"/>
        <v>84.098092012656778</v>
      </c>
      <c r="AD43" s="31">
        <f t="shared" si="46"/>
        <v>80.542329196622603</v>
      </c>
      <c r="AE43" s="31">
        <f t="shared" si="47"/>
        <v>94.833304382302714</v>
      </c>
      <c r="AF43" s="31">
        <f t="shared" si="48"/>
        <v>95.824509795479557</v>
      </c>
      <c r="AG43" s="31">
        <f t="shared" si="49"/>
        <v>83.589083930116189</v>
      </c>
      <c r="AH43" s="31">
        <f t="shared" si="50"/>
        <v>100</v>
      </c>
      <c r="AI43" s="31">
        <f t="shared" si="51"/>
        <v>0</v>
      </c>
      <c r="AJ43" s="31">
        <f t="shared" si="52"/>
        <v>0</v>
      </c>
      <c r="AK43" s="7" cm="1">
        <f t="array" ref="AK43">_xlfn.IFS(AZ43=0,0,AZ43&gt;0,(LOG(0.01*AZ43/10^-CD43)))</f>
        <v>0</v>
      </c>
      <c r="AL43" s="8" cm="1">
        <f t="array" ref="AL43">_xlfn.IFS(BA43=0,0,BA43&gt;0,(LOG(0.01*BA43/10^-CE43)))</f>
        <v>5.2878516640081692</v>
      </c>
      <c r="AM43" s="8" cm="1">
        <f t="array" ref="AM43">_xlfn.IFS(BB43=0,0,BB43&gt;0,(LOG(0.01*BB43/10^-CF43)))</f>
        <v>5.0030749493817392</v>
      </c>
      <c r="AN43" s="8" cm="1">
        <f t="array" ref="AN43">_xlfn.IFS(BC43=0,0,BC43&gt;0,(LOG(0.01*BC43/10^-CG43)))</f>
        <v>4.9921954232945405</v>
      </c>
      <c r="AO43" s="8" cm="1">
        <f t="array" ref="AO43">_xlfn.IFS(BD43=0,0,BD43&gt;0,(LOG(0.01*BD43/10^-CH43)))</f>
        <v>4.9037149176427315</v>
      </c>
      <c r="AP43" s="8" cm="1">
        <f t="array" ref="AP43">_xlfn.IFS(BE43=0,0,BE43&gt;0,(LOG(0.01*BE43/10^-CI43)))</f>
        <v>4.6963802832022514</v>
      </c>
      <c r="AQ43" s="8" cm="1">
        <f t="array" ref="AQ43">_xlfn.IFS(BF43=0,0,BF43&gt;0,(LOG(0.01*BF43/10^-CJ43)))</f>
        <v>5.5296794286232291</v>
      </c>
      <c r="AR43" s="8" cm="1">
        <f t="array" ref="AR43">_xlfn.IFS(BG43=0,0,BG43&gt;0,(LOG(0.01*BG43/10^-CK43)))</f>
        <v>5.587476087913811</v>
      </c>
      <c r="AS43" s="8" cm="1">
        <f t="array" ref="AS43">_xlfn.IFS(BH43=0,0,BH43&gt;0,(LOG(0.01*BH43/10^-CL43)))</f>
        <v>4.8740349276712669</v>
      </c>
      <c r="AT43" s="8" cm="1">
        <f t="array" ref="AT43">_xlfn.IFS(BI43=0,0,BI43&gt;0,(LOG(0.01*BI43/10^-CM43)))</f>
        <v>5.8309466960376719</v>
      </c>
      <c r="AU43" s="8" cm="1">
        <f t="array" ref="AU43">_xlfn.IFS(BJ43=0,0,BJ43&gt;0,(LOG(0.01*BJ43/10^-CN43)))</f>
        <v>0</v>
      </c>
      <c r="AV43" s="8" cm="1">
        <f t="array" ref="AV43">_xlfn.IFS(BK43=0,0,BK43&gt;0,(LOG(0.01*BK43/10^-CO43)))</f>
        <v>0</v>
      </c>
      <c r="AW43" s="8" cm="1">
        <f t="array" ref="AW43">_xlfn.IFS(BL43=0,0,BL43&gt;0,(LOG(0.01*BL43/10^-CP43)))</f>
        <v>0</v>
      </c>
      <c r="AX43" s="8" cm="1">
        <f t="array" ref="AX43">_xlfn.IFS(BM43=0,0,BM43&gt;0,(LOG(0.01*BM43/10^-CQ43)))</f>
        <v>3.1259294967849565</v>
      </c>
      <c r="AY43" s="8" cm="1">
        <f t="array" ref="AY43">_xlfn.IFS(BN43=0,0,BN43&gt;0,(LOG(0.01*BN43/10^-CR43)))</f>
        <v>0</v>
      </c>
      <c r="AZ43" s="32">
        <f t="shared" si="72"/>
        <v>0</v>
      </c>
      <c r="BA43" s="31">
        <f t="shared" si="54"/>
        <v>53.315276273022754</v>
      </c>
      <c r="BB43" s="31">
        <f t="shared" si="55"/>
        <v>26.1863488624052</v>
      </c>
      <c r="BC43" s="31">
        <f t="shared" si="56"/>
        <v>17.226435536294691</v>
      </c>
      <c r="BD43" s="31">
        <f t="shared" si="57"/>
        <v>24.929577464788732</v>
      </c>
      <c r="BE43" s="31">
        <f t="shared" si="58"/>
        <v>12.513542795232937</v>
      </c>
      <c r="BF43" s="31">
        <f t="shared" si="59"/>
        <v>15.370196813495783</v>
      </c>
      <c r="BG43" s="31">
        <f t="shared" si="60"/>
        <v>24.461105904404874</v>
      </c>
      <c r="BH43" s="31">
        <f t="shared" si="61"/>
        <v>23.336457357075915</v>
      </c>
      <c r="BI43" s="31">
        <f t="shared" si="62"/>
        <v>46.232427366447986</v>
      </c>
      <c r="BJ43" s="31">
        <f t="shared" si="63"/>
        <v>0</v>
      </c>
      <c r="BK43" s="31">
        <f t="shared" si="64"/>
        <v>0</v>
      </c>
      <c r="BL43" s="31">
        <f t="shared" si="65"/>
        <v>0</v>
      </c>
      <c r="BM43" s="31">
        <f t="shared" si="66"/>
        <v>0.33568311513930849</v>
      </c>
      <c r="BN43" s="31">
        <f t="shared" si="67"/>
        <v>0</v>
      </c>
      <c r="BO43" s="132"/>
      <c r="BP43" s="133">
        <v>492.1</v>
      </c>
      <c r="BQ43" s="133">
        <v>241.7</v>
      </c>
      <c r="BR43" s="133">
        <v>159</v>
      </c>
      <c r="BS43" s="133">
        <v>230.1</v>
      </c>
      <c r="BT43" s="133">
        <v>115.5</v>
      </c>
      <c r="BU43" s="133">
        <v>164</v>
      </c>
      <c r="BV43" s="133">
        <v>261</v>
      </c>
      <c r="BW43" s="133">
        <v>249</v>
      </c>
      <c r="BX43" s="133">
        <v>493.3</v>
      </c>
      <c r="BY43" s="133"/>
      <c r="BZ43" s="133"/>
      <c r="CA43" s="133"/>
      <c r="CB43" s="172">
        <v>10</v>
      </c>
      <c r="CC43" s="133"/>
      <c r="CD43" s="36"/>
      <c r="CE43" s="34">
        <v>5.5609999999999999</v>
      </c>
      <c r="CF43" s="34">
        <v>5.585</v>
      </c>
      <c r="CG43" s="34">
        <v>5.7560000000000002</v>
      </c>
      <c r="CH43" s="34">
        <v>5.5069999999999997</v>
      </c>
      <c r="CI43" s="34">
        <v>5.5990000000000002</v>
      </c>
      <c r="CJ43" s="34">
        <v>6.343</v>
      </c>
      <c r="CK43" s="34">
        <v>6.1989999999999998</v>
      </c>
      <c r="CL43" s="34">
        <v>5.5060000000000002</v>
      </c>
      <c r="CM43" s="34">
        <v>6.1660000000000004</v>
      </c>
      <c r="CN43" s="34"/>
      <c r="CO43" s="34"/>
      <c r="CP43" s="34"/>
      <c r="CQ43" s="38">
        <v>5.6</v>
      </c>
      <c r="CR43" s="34"/>
      <c r="CS43" s="168" t="str">
        <f>IF(VLOOKUP($A43,'B-Ligands'!$A:$G,3,FALSE)="","",VLOOKUP($A43,'B-Ligands'!$A:$G,3,FALSE))</f>
        <v/>
      </c>
      <c r="CT43" s="169" t="str">
        <f>IF(VLOOKUP($A43,'B-Ligands'!$A:$G,4,FALSE)="","",VLOOKUP($A43,'B-Ligands'!$A:$G,4,FALSE))</f>
        <v>Glutamate</v>
      </c>
      <c r="CU43" s="132">
        <v>2.3679504924232444</v>
      </c>
      <c r="CV43" s="133">
        <v>13.562016112078293</v>
      </c>
      <c r="CW43" s="133">
        <v>6.2072196146498504</v>
      </c>
      <c r="CX43" s="133">
        <v>7.214955341353658</v>
      </c>
      <c r="CY43" s="133">
        <v>3.8745538063352112</v>
      </c>
      <c r="CZ43" s="133">
        <v>11.419746980396212</v>
      </c>
      <c r="DA43" s="133">
        <v>5.6337123249351482</v>
      </c>
      <c r="DB43" s="133">
        <v>9.3073535940760905</v>
      </c>
      <c r="DC43" s="133">
        <v>5.4217115064126036</v>
      </c>
      <c r="DD43" s="133">
        <v>20.358589247477024</v>
      </c>
      <c r="DE43" s="133">
        <v>21.572799456155273</v>
      </c>
      <c r="DF43" s="133">
        <v>24.26599635818884</v>
      </c>
      <c r="DG43" s="133">
        <v>14.906704742864283</v>
      </c>
      <c r="DH43" s="133">
        <v>6.1948274866960142</v>
      </c>
      <c r="DI43" s="133">
        <v>20.368934674124986</v>
      </c>
      <c r="DJ43" s="66">
        <f t="shared" si="73"/>
        <v>0</v>
      </c>
      <c r="DK43" s="67">
        <f t="shared" si="74"/>
        <v>36.285165563380886</v>
      </c>
      <c r="DL43" s="67">
        <f t="shared" si="75"/>
        <v>38.938528843019562</v>
      </c>
      <c r="DM43" s="67">
        <f t="shared" si="76"/>
        <v>22.037558443177929</v>
      </c>
      <c r="DN43" s="67">
        <f t="shared" si="77"/>
        <v>59.387483437129653</v>
      </c>
      <c r="DO43" s="67">
        <f t="shared" si="78"/>
        <v>10.114059461936755</v>
      </c>
      <c r="DP43" s="67">
        <f t="shared" si="79"/>
        <v>29.110467581762414</v>
      </c>
      <c r="DQ43" s="67">
        <f t="shared" si="80"/>
        <v>28.042342795069082</v>
      </c>
      <c r="DR43" s="67">
        <f t="shared" si="81"/>
        <v>45.926456932555674</v>
      </c>
      <c r="DS43" s="67">
        <f t="shared" si="82"/>
        <v>24.230559102278324</v>
      </c>
      <c r="DT43" s="67">
        <f t="shared" si="83"/>
        <v>0</v>
      </c>
      <c r="DU43" s="67">
        <f t="shared" si="84"/>
        <v>0</v>
      </c>
      <c r="DV43" s="67">
        <f t="shared" si="85"/>
        <v>0</v>
      </c>
      <c r="DW43" s="67">
        <f t="shared" si="86"/>
        <v>1.6142499563508359</v>
      </c>
      <c r="DX43" s="67">
        <f t="shared" si="87"/>
        <v>0</v>
      </c>
    </row>
    <row r="44" spans="1:128" s="28" customFormat="1">
      <c r="A44" s="33" t="s">
        <v>149</v>
      </c>
      <c r="B44" s="205" t="s">
        <v>5559</v>
      </c>
      <c r="C44" t="str">
        <f>IF(VLOOKUP($A44,'B-Ligands'!$A:$G,5,FALSE)="","",VLOOKUP($A44,'B-Ligands'!$A:$G,5,FALSE))</f>
        <v>Guide To Pharmacology</v>
      </c>
      <c r="D44" s="19">
        <f>IF(VLOOKUP($A44,'B-Ligands'!$A:$G,6,FALSE)="","",VLOOKUP($A44,'B-Ligands'!$A:$G,6,FALSE))</f>
        <v>2936</v>
      </c>
      <c r="E44" t="str">
        <f>IF(VLOOKUP($A44,'B-Ligands'!$A:$G,7,FALSE)="","",VLOOKUP($A44,'B-Ligands'!$A:$G,7,FALSE))</f>
        <v>Phys</v>
      </c>
      <c r="F44" s="20" t="str">
        <f t="shared" si="68"/>
        <v/>
      </c>
      <c r="G44" s="19">
        <f t="shared" si="69"/>
        <v>1</v>
      </c>
      <c r="H44" s="19">
        <f t="shared" si="70"/>
        <v>1</v>
      </c>
      <c r="I44" s="19">
        <f t="shared" si="71"/>
        <v>1</v>
      </c>
      <c r="J44" s="189">
        <f t="shared" si="26"/>
        <v>3</v>
      </c>
      <c r="K44" s="147" t="str">
        <f t="shared" si="27"/>
        <v>Gi/o</v>
      </c>
      <c r="L44" s="20">
        <f t="shared" si="28"/>
        <v>0</v>
      </c>
      <c r="M44" s="19">
        <f t="shared" si="29"/>
        <v>1</v>
      </c>
      <c r="N44" s="19">
        <f t="shared" si="30"/>
        <v>3</v>
      </c>
      <c r="O44" s="19">
        <f t="shared" si="31"/>
        <v>2</v>
      </c>
      <c r="P44" s="20">
        <f t="shared" si="32"/>
        <v>0</v>
      </c>
      <c r="Q44" s="19">
        <f t="shared" si="33"/>
        <v>100</v>
      </c>
      <c r="R44" s="19">
        <f t="shared" si="34"/>
        <v>81.025515103870788</v>
      </c>
      <c r="S44" s="19">
        <f t="shared" si="35"/>
        <v>96.777313185276313</v>
      </c>
      <c r="T44" s="20">
        <f t="shared" si="36"/>
        <v>0</v>
      </c>
      <c r="U44" s="21">
        <f t="shared" si="37"/>
        <v>8.4547334060774677</v>
      </c>
      <c r="V44" s="21">
        <f t="shared" si="38"/>
        <v>6.8504912929333077</v>
      </c>
      <c r="W44" s="21">
        <f t="shared" si="39"/>
        <v>8.1822638273797708</v>
      </c>
      <c r="X44" s="147" t="str">
        <f t="shared" si="40"/>
        <v>GoB</v>
      </c>
      <c r="Y44" s="32">
        <f t="shared" si="41"/>
        <v>0</v>
      </c>
      <c r="Z44" s="31">
        <f t="shared" si="42"/>
        <v>94.177793481547027</v>
      </c>
      <c r="AA44" s="31">
        <f t="shared" si="43"/>
        <v>95.190625008955593</v>
      </c>
      <c r="AB44" s="31">
        <f t="shared" si="44"/>
        <v>90.902642383900982</v>
      </c>
      <c r="AC44" s="31">
        <f t="shared" si="45"/>
        <v>100</v>
      </c>
      <c r="AD44" s="31">
        <f t="shared" si="46"/>
        <v>85.048438663021514</v>
      </c>
      <c r="AE44" s="31">
        <f t="shared" si="47"/>
        <v>79.547420367940958</v>
      </c>
      <c r="AF44" s="31">
        <f t="shared" si="48"/>
        <v>78.444704111223047</v>
      </c>
      <c r="AG44" s="31">
        <f t="shared" si="49"/>
        <v>81.025515103870788</v>
      </c>
      <c r="AH44" s="31">
        <f t="shared" si="50"/>
        <v>72.641576541510801</v>
      </c>
      <c r="AI44" s="31">
        <f t="shared" si="51"/>
        <v>0</v>
      </c>
      <c r="AJ44" s="31">
        <f t="shared" si="52"/>
        <v>96.777313185276313</v>
      </c>
      <c r="AK44" s="7" cm="1">
        <f t="array" ref="AK44">_xlfn.IFS(AZ44=0,0,AZ44&gt;0,(LOG(0.01*AZ44/10^-CD44)))</f>
        <v>0</v>
      </c>
      <c r="AL44" s="8" cm="1">
        <f t="array" ref="AL44">_xlfn.IFS(BA44=0,0,BA44&gt;0,(LOG(0.01*BA44/10^-CE44)))</f>
        <v>7.9624813665910041</v>
      </c>
      <c r="AM44" s="8" cm="1">
        <f t="array" ref="AM44">_xlfn.IFS(BB44=0,0,BB44&gt;0,(LOG(0.01*BB44/10^-CF44)))</f>
        <v>8.0481135720861001</v>
      </c>
      <c r="AN44" s="8" cm="1">
        <f t="array" ref="AN44">_xlfn.IFS(BC44=0,0,BC44&gt;0,(LOG(0.01*BC44/10^-CG44)))</f>
        <v>7.6855760726388107</v>
      </c>
      <c r="AO44" s="8" cm="1">
        <f t="array" ref="AO44">_xlfn.IFS(BD44=0,0,BD44&gt;0,(LOG(0.01*BD44/10^-CH44)))</f>
        <v>8.4547334060774677</v>
      </c>
      <c r="AP44" s="8" cm="1">
        <f t="array" ref="AP44">_xlfn.IFS(BE44=0,0,BE44&gt;0,(LOG(0.01*BE44/10^-CI44)))</f>
        <v>7.1906187549897851</v>
      </c>
      <c r="AQ44" s="8" cm="1">
        <f t="array" ref="AQ44">_xlfn.IFS(BF44=0,0,BF44&gt;0,(LOG(0.01*BF44/10^-CJ44)))</f>
        <v>6.7255223235211758</v>
      </c>
      <c r="AR44" s="8" cm="1">
        <f t="array" ref="AR44">_xlfn.IFS(BG44=0,0,BG44&gt;0,(LOG(0.01*BG44/10^-CK44)))</f>
        <v>6.6322906037901994</v>
      </c>
      <c r="AS44" s="8" cm="1">
        <f t="array" ref="AS44">_xlfn.IFS(BH44=0,0,BH44&gt;0,(LOG(0.01*BH44/10^-CL44)))</f>
        <v>6.8504912929333077</v>
      </c>
      <c r="AT44" s="8" cm="1">
        <f t="array" ref="AT44">_xlfn.IFS(BI44=0,0,BI44&gt;0,(LOG(0.01*BI44/10^-CM44)))</f>
        <v>6.1416516385564464</v>
      </c>
      <c r="AU44" s="8" cm="1">
        <f t="array" ref="AU44">_xlfn.IFS(BJ44=0,0,BJ44&gt;0,(LOG(0.01*BJ44/10^-CN44)))</f>
        <v>0</v>
      </c>
      <c r="AV44" s="8" cm="1">
        <f t="array" ref="AV44">_xlfn.IFS(BK44=0,0,BK44&gt;0,(LOG(0.01*BK44/10^-CO44)))</f>
        <v>8.1822638273797708</v>
      </c>
      <c r="AW44" s="8" cm="1">
        <f t="array" ref="AW44">_xlfn.IFS(BL44=0,0,BL44&gt;0,(LOG(0.01*BL44/10^-CP44)))</f>
        <v>6.1533570025728181</v>
      </c>
      <c r="AX44" s="8" cm="1">
        <f t="array" ref="AX44">_xlfn.IFS(BM44=0,0,BM44&gt;0,(LOG(0.01*BM44/10^-CQ44)))</f>
        <v>5.8426817709527121</v>
      </c>
      <c r="AY44" s="8" cm="1">
        <f t="array" ref="AY44">_xlfn.IFS(BN44=0,0,BN44&gt;0,(LOG(0.01*BN44/10^-CR44)))</f>
        <v>6.5765488358445809</v>
      </c>
      <c r="AZ44" s="32">
        <f t="shared" si="72"/>
        <v>0</v>
      </c>
      <c r="BA44" s="31">
        <f t="shared" si="54"/>
        <v>33.921993499458296</v>
      </c>
      <c r="BB44" s="31">
        <f t="shared" si="55"/>
        <v>37.33477789815818</v>
      </c>
      <c r="BC44" s="31">
        <f t="shared" si="56"/>
        <v>22.058504875406285</v>
      </c>
      <c r="BD44" s="31">
        <f t="shared" si="57"/>
        <v>26.652221018418203</v>
      </c>
      <c r="BE44" s="31">
        <f t="shared" si="58"/>
        <v>4.9274106175514625</v>
      </c>
      <c r="BF44" s="31">
        <f t="shared" si="59"/>
        <v>28.08809746954077</v>
      </c>
      <c r="BG44" s="31">
        <f t="shared" si="60"/>
        <v>37.956888472352389</v>
      </c>
      <c r="BH44" s="31">
        <f t="shared" si="61"/>
        <v>31.368322399250236</v>
      </c>
      <c r="BI44" s="31">
        <f t="shared" si="62"/>
        <v>45.988753514526714</v>
      </c>
      <c r="BJ44" s="31">
        <f t="shared" si="63"/>
        <v>0</v>
      </c>
      <c r="BK44" s="31">
        <f t="shared" si="64"/>
        <v>10.870858113848767</v>
      </c>
      <c r="BL44" s="31">
        <f t="shared" si="65"/>
        <v>24.008056394763344</v>
      </c>
      <c r="BM44" s="31">
        <f t="shared" si="66"/>
        <v>16.737160120845921</v>
      </c>
      <c r="BN44" s="31">
        <f t="shared" si="67"/>
        <v>31.517287680429675</v>
      </c>
      <c r="BO44" s="134"/>
      <c r="BP44" s="135">
        <v>313.10000000000002</v>
      </c>
      <c r="BQ44" s="135">
        <v>344.6</v>
      </c>
      <c r="BR44" s="135">
        <v>203.6</v>
      </c>
      <c r="BS44" s="135">
        <v>246</v>
      </c>
      <c r="BT44" s="135">
        <v>45.48</v>
      </c>
      <c r="BU44" s="135">
        <v>299.7</v>
      </c>
      <c r="BV44" s="135">
        <v>405</v>
      </c>
      <c r="BW44" s="135">
        <v>334.7</v>
      </c>
      <c r="BX44" s="135">
        <v>490.7</v>
      </c>
      <c r="BY44" s="135"/>
      <c r="BZ44" s="135">
        <v>76.77</v>
      </c>
      <c r="CA44" s="135">
        <v>715.2</v>
      </c>
      <c r="CB44" s="135">
        <v>498.6</v>
      </c>
      <c r="CC44" s="135">
        <v>938.9</v>
      </c>
      <c r="CD44" s="30"/>
      <c r="CE44" s="29">
        <v>8.4320000000000004</v>
      </c>
      <c r="CF44" s="29">
        <v>8.4760000000000009</v>
      </c>
      <c r="CG44" s="29">
        <v>8.3420000000000005</v>
      </c>
      <c r="CH44" s="29">
        <v>9.0289999999999999</v>
      </c>
      <c r="CI44" s="29">
        <v>8.4979999999999993</v>
      </c>
      <c r="CJ44" s="29">
        <v>7.2770000000000001</v>
      </c>
      <c r="CK44" s="29">
        <v>7.0529999999999999</v>
      </c>
      <c r="CL44" s="29">
        <v>7.3540000000000001</v>
      </c>
      <c r="CM44" s="29">
        <v>6.4790000000000001</v>
      </c>
      <c r="CN44" s="29"/>
      <c r="CO44" s="29">
        <v>9.1460000000000008</v>
      </c>
      <c r="CP44" s="29">
        <v>6.7729999999999997</v>
      </c>
      <c r="CQ44" s="29">
        <v>6.6189999999999998</v>
      </c>
      <c r="CR44" s="29">
        <v>7.0780000000000003</v>
      </c>
      <c r="CS44" s="168" t="str">
        <f>IF(VLOOKUP($A44,'B-Ligands'!$A:$G,3,FALSE)="","",VLOOKUP($A44,'B-Ligands'!$A:$G,3,FALSE))</f>
        <v>O-LPA</v>
      </c>
      <c r="CT44" s="169" t="str">
        <f>IF(VLOOKUP($A44,'B-Ligands'!$A:$G,4,FALSE)="","",VLOOKUP($A44,'B-Ligands'!$A:$G,4,FALSE))</f>
        <v>Lysophosphatidic acid</v>
      </c>
      <c r="CU44" s="134">
        <v>19.114212276193797</v>
      </c>
      <c r="CV44" s="135">
        <v>2.2146521110988147</v>
      </c>
      <c r="CW44" s="135">
        <v>9.4987623901407741</v>
      </c>
      <c r="CX44" s="135">
        <v>1.7398057885081932</v>
      </c>
      <c r="CY44" s="135">
        <v>17.980834767014514</v>
      </c>
      <c r="CZ44" s="135">
        <v>7.962472919423881</v>
      </c>
      <c r="DA44" s="135">
        <v>5.4975550174895274</v>
      </c>
      <c r="DB44" s="135">
        <v>11.357934083024853</v>
      </c>
      <c r="DC44" s="135">
        <v>8.5106321935384734</v>
      </c>
      <c r="DD44" s="135">
        <v>5.5544810138232421</v>
      </c>
      <c r="DE44" s="135">
        <v>4.1463305797190069</v>
      </c>
      <c r="DF44" s="135">
        <v>4.7016239211916648</v>
      </c>
      <c r="DG44" s="135">
        <v>2.175713172881677</v>
      </c>
      <c r="DH44" s="135">
        <v>12.702517027303255</v>
      </c>
      <c r="DI44" s="135">
        <v>4.7089817866343582</v>
      </c>
      <c r="DJ44" s="66">
        <f t="shared" si="73"/>
        <v>0</v>
      </c>
      <c r="DK44" s="67">
        <f t="shared" si="74"/>
        <v>141.37660647958535</v>
      </c>
      <c r="DL44" s="67">
        <f t="shared" si="75"/>
        <v>36.27841037035278</v>
      </c>
      <c r="DM44" s="67">
        <f t="shared" si="76"/>
        <v>117.02455604230288</v>
      </c>
      <c r="DN44" s="67">
        <f t="shared" si="77"/>
        <v>13.68123355714731</v>
      </c>
      <c r="DO44" s="67">
        <f t="shared" si="78"/>
        <v>5.71179336623611</v>
      </c>
      <c r="DP44" s="67">
        <f t="shared" si="79"/>
        <v>54.515143376747645</v>
      </c>
      <c r="DQ44" s="67">
        <f t="shared" si="80"/>
        <v>35.65789315552535</v>
      </c>
      <c r="DR44" s="67">
        <f t="shared" si="81"/>
        <v>39.327278207853261</v>
      </c>
      <c r="DS44" s="67">
        <f t="shared" si="82"/>
        <v>88.343087100093072</v>
      </c>
      <c r="DT44" s="67">
        <f t="shared" si="83"/>
        <v>0</v>
      </c>
      <c r="DU44" s="67">
        <f t="shared" si="84"/>
        <v>16.32840084337116</v>
      </c>
      <c r="DV44" s="67">
        <f t="shared" si="85"/>
        <v>328.7198004380034</v>
      </c>
      <c r="DW44" s="67">
        <f t="shared" si="86"/>
        <v>39.252063109090187</v>
      </c>
      <c r="DX44" s="67">
        <f t="shared" si="87"/>
        <v>199.38492917193003</v>
      </c>
    </row>
    <row r="45" spans="1:128" s="28" customFormat="1">
      <c r="A45" s="33" t="s">
        <v>120</v>
      </c>
      <c r="B45" s="205" t="s">
        <v>5559</v>
      </c>
      <c r="C45" t="str">
        <f>IF(VLOOKUP($A45,'B-Ligands'!$A:$G,5,FALSE)="","",VLOOKUP($A45,'B-Ligands'!$A:$G,5,FALSE))</f>
        <v>Guide To Pharmacology</v>
      </c>
      <c r="D45" s="19">
        <f>IF(VLOOKUP($A45,'B-Ligands'!$A:$G,6,FALSE)="","",VLOOKUP($A45,'B-Ligands'!$A:$G,6,FALSE))</f>
        <v>1049</v>
      </c>
      <c r="E45" t="str">
        <f>IF(VLOOKUP($A45,'B-Ligands'!$A:$G,7,FALSE)="","",VLOOKUP($A45,'B-Ligands'!$A:$G,7,FALSE))</f>
        <v>Phys</v>
      </c>
      <c r="F45" s="20" t="str">
        <f t="shared" si="68"/>
        <v/>
      </c>
      <c r="G45" s="19">
        <f t="shared" si="69"/>
        <v>1</v>
      </c>
      <c r="H45" s="19">
        <f t="shared" si="70"/>
        <v>1</v>
      </c>
      <c r="I45" s="19">
        <f t="shared" si="71"/>
        <v>1</v>
      </c>
      <c r="J45" s="189">
        <f t="shared" si="26"/>
        <v>3</v>
      </c>
      <c r="K45" s="147" t="str">
        <f t="shared" si="27"/>
        <v>Gq/11</v>
      </c>
      <c r="L45" s="20">
        <f t="shared" si="28"/>
        <v>0</v>
      </c>
      <c r="M45" s="19">
        <f t="shared" si="29"/>
        <v>2</v>
      </c>
      <c r="N45" s="19">
        <f t="shared" si="30"/>
        <v>1</v>
      </c>
      <c r="O45" s="19">
        <f t="shared" si="31"/>
        <v>3</v>
      </c>
      <c r="P45" s="20">
        <f t="shared" si="32"/>
        <v>0</v>
      </c>
      <c r="Q45" s="19">
        <f t="shared" si="33"/>
        <v>92.272028214365506</v>
      </c>
      <c r="R45" s="19">
        <f t="shared" si="34"/>
        <v>100</v>
      </c>
      <c r="S45" s="19">
        <f t="shared" si="35"/>
        <v>77.786612905687335</v>
      </c>
      <c r="T45" s="20">
        <f t="shared" si="36"/>
        <v>0</v>
      </c>
      <c r="U45" s="21">
        <f t="shared" si="37"/>
        <v>4.7815236779625758</v>
      </c>
      <c r="V45" s="21">
        <f t="shared" si="38"/>
        <v>5.1819861018489641</v>
      </c>
      <c r="W45" s="21">
        <f t="shared" si="39"/>
        <v>4.0308914698717704</v>
      </c>
      <c r="X45" s="147" t="str">
        <f t="shared" si="40"/>
        <v>G15</v>
      </c>
      <c r="Y45" s="32">
        <f t="shared" si="41"/>
        <v>0</v>
      </c>
      <c r="Z45" s="31">
        <f t="shared" si="42"/>
        <v>90.708346932967814</v>
      </c>
      <c r="AA45" s="31">
        <f t="shared" si="43"/>
        <v>90.95625653671506</v>
      </c>
      <c r="AB45" s="31">
        <f t="shared" si="44"/>
        <v>85.664335672345757</v>
      </c>
      <c r="AC45" s="31">
        <f t="shared" si="45"/>
        <v>92.272028214365506</v>
      </c>
      <c r="AD45" s="31">
        <f t="shared" si="46"/>
        <v>0</v>
      </c>
      <c r="AE45" s="31">
        <f t="shared" si="47"/>
        <v>84.239542310319365</v>
      </c>
      <c r="AF45" s="31">
        <f t="shared" si="48"/>
        <v>86.953656023283727</v>
      </c>
      <c r="AG45" s="31">
        <f t="shared" si="49"/>
        <v>95.520989218746067</v>
      </c>
      <c r="AH45" s="31">
        <f t="shared" si="50"/>
        <v>100</v>
      </c>
      <c r="AI45" s="31">
        <f t="shared" si="51"/>
        <v>0</v>
      </c>
      <c r="AJ45" s="31">
        <f t="shared" si="52"/>
        <v>77.786612905687335</v>
      </c>
      <c r="AK45" s="7" cm="1">
        <f t="array" ref="AK45">_xlfn.IFS(AZ45=0,0,AZ45&gt;0,(LOG(0.01*AZ45/10^-CD45)))</f>
        <v>0</v>
      </c>
      <c r="AL45" s="8" cm="1">
        <f t="array" ref="AL45">_xlfn.IFS(BA45=0,0,BA45&gt;0,(LOG(0.01*BA45/10^-CE45)))</f>
        <v>4.7004939312833329</v>
      </c>
      <c r="AM45" s="8" cm="1">
        <f t="array" ref="AM45">_xlfn.IFS(BB45=0,0,BB45&gt;0,(LOG(0.01*BB45/10^-CF45)))</f>
        <v>4.7133405724946646</v>
      </c>
      <c r="AN45" s="8" cm="1">
        <f t="array" ref="AN45">_xlfn.IFS(BC45=0,0,BC45&gt;0,(LOG(0.01*BC45/10^-CG45)))</f>
        <v>4.4391139687822019</v>
      </c>
      <c r="AO45" s="8" cm="1">
        <f t="array" ref="AO45">_xlfn.IFS(BD45=0,0,BD45&gt;0,(LOG(0.01*BD45/10^-CH45)))</f>
        <v>4.7815236779625758</v>
      </c>
      <c r="AP45" s="8" cm="1">
        <f t="array" ref="AP45">_xlfn.IFS(BE45=0,0,BE45&gt;0,(LOG(0.01*BE45/10^-CI45)))</f>
        <v>0</v>
      </c>
      <c r="AQ45" s="8" cm="1">
        <f t="array" ref="AQ45">_xlfn.IFS(BF45=0,0,BF45&gt;0,(LOG(0.01*BF45/10^-CJ45)))</f>
        <v>4.3652813747819277</v>
      </c>
      <c r="AR45" s="8" cm="1">
        <f t="array" ref="AR45">_xlfn.IFS(BG45=0,0,BG45&gt;0,(LOG(0.01*BG45/10^-CK45)))</f>
        <v>4.505926370176117</v>
      </c>
      <c r="AS45" s="8" cm="1">
        <f t="array" ref="AS45">_xlfn.IFS(BH45=0,0,BH45&gt;0,(LOG(0.01*BH45/10^-CL45)))</f>
        <v>4.9498843856640686</v>
      </c>
      <c r="AT45" s="8" cm="1">
        <f t="array" ref="AT45">_xlfn.IFS(BI45=0,0,BI45&gt;0,(LOG(0.01*BI45/10^-CM45)))</f>
        <v>5.1819861018489641</v>
      </c>
      <c r="AU45" s="8" cm="1">
        <f t="array" ref="AU45">_xlfn.IFS(BJ45=0,0,BJ45&gt;0,(LOG(0.01*BJ45/10^-CN45)))</f>
        <v>0</v>
      </c>
      <c r="AV45" s="8" cm="1">
        <f t="array" ref="AV45">_xlfn.IFS(BK45=0,0,BK45&gt;0,(LOG(0.01*BK45/10^-CO45)))</f>
        <v>4.0308914698717704</v>
      </c>
      <c r="AW45" s="8" cm="1">
        <f t="array" ref="AW45">_xlfn.IFS(BL45=0,0,BL45&gt;0,(LOG(0.01*BL45/10^-CP45)))</f>
        <v>4.2595583921471176</v>
      </c>
      <c r="AX45" s="8" cm="1">
        <f t="array" ref="AX45">_xlfn.IFS(BM45=0,0,BM45&gt;0,(LOG(0.01*BM45/10^-CQ45)))</f>
        <v>4.4659662076674831</v>
      </c>
      <c r="AY45" s="8" cm="1">
        <f t="array" ref="AY45">_xlfn.IFS(BN45=0,0,BN45&gt;0,(LOG(0.01*BN45/10^-CR45)))</f>
        <v>4.3935384557563744</v>
      </c>
      <c r="AZ45" s="32">
        <f t="shared" si="72"/>
        <v>0</v>
      </c>
      <c r="BA45" s="31">
        <f t="shared" si="54"/>
        <v>3.788732394366197</v>
      </c>
      <c r="BB45" s="31">
        <f t="shared" si="55"/>
        <v>2.5254604550379196</v>
      </c>
      <c r="BC45" s="31">
        <f t="shared" si="56"/>
        <v>6.9360780065005416</v>
      </c>
      <c r="BD45" s="31">
        <f t="shared" si="57"/>
        <v>3.2773564463705309</v>
      </c>
      <c r="BE45" s="31">
        <f t="shared" si="58"/>
        <v>0</v>
      </c>
      <c r="BF45" s="31">
        <f t="shared" si="59"/>
        <v>18.547328959700092</v>
      </c>
      <c r="BG45" s="31">
        <f t="shared" si="60"/>
        <v>26.972820993439552</v>
      </c>
      <c r="BH45" s="31">
        <f t="shared" si="61"/>
        <v>27.853795688847235</v>
      </c>
      <c r="BI45" s="31">
        <f t="shared" si="62"/>
        <v>44.564198687910029</v>
      </c>
      <c r="BJ45" s="31">
        <f t="shared" si="63"/>
        <v>0</v>
      </c>
      <c r="BK45" s="31">
        <f t="shared" si="64"/>
        <v>16.978193146417443</v>
      </c>
      <c r="BL45" s="31">
        <f t="shared" si="65"/>
        <v>36.522322927156765</v>
      </c>
      <c r="BM45" s="31">
        <f t="shared" si="66"/>
        <v>33.340046995636122</v>
      </c>
      <c r="BN45" s="31">
        <f t="shared" si="67"/>
        <v>33.538100033568313</v>
      </c>
      <c r="BO45" s="132"/>
      <c r="BP45" s="133">
        <v>34.97</v>
      </c>
      <c r="BQ45" s="133">
        <v>23.31</v>
      </c>
      <c r="BR45" s="133">
        <v>64.02</v>
      </c>
      <c r="BS45" s="133">
        <v>30.25</v>
      </c>
      <c r="BT45" s="133"/>
      <c r="BU45" s="133">
        <v>197.9</v>
      </c>
      <c r="BV45" s="133">
        <v>287.8</v>
      </c>
      <c r="BW45" s="133">
        <v>297.2</v>
      </c>
      <c r="BX45" s="133">
        <v>475.5</v>
      </c>
      <c r="BY45" s="133"/>
      <c r="BZ45" s="133">
        <v>119.9</v>
      </c>
      <c r="CA45" s="133">
        <v>1088</v>
      </c>
      <c r="CB45" s="133">
        <v>993.2</v>
      </c>
      <c r="CC45" s="133">
        <v>999.1</v>
      </c>
      <c r="CD45" s="36"/>
      <c r="CE45" s="34">
        <v>6.1219999999999999</v>
      </c>
      <c r="CF45" s="34">
        <v>6.3109999999999999</v>
      </c>
      <c r="CG45" s="34">
        <v>5.5979999999999999</v>
      </c>
      <c r="CH45" s="34">
        <v>6.266</v>
      </c>
      <c r="CI45" s="34"/>
      <c r="CJ45" s="34">
        <v>5.0970000000000004</v>
      </c>
      <c r="CK45" s="34">
        <v>5.0750000000000002</v>
      </c>
      <c r="CL45" s="34">
        <v>5.5049999999999999</v>
      </c>
      <c r="CM45" s="34">
        <v>5.5330000000000004</v>
      </c>
      <c r="CN45" s="34"/>
      <c r="CO45" s="34">
        <v>4.8010000000000002</v>
      </c>
      <c r="CP45" s="34">
        <v>4.6970000000000001</v>
      </c>
      <c r="CQ45" s="34">
        <v>4.9429999999999996</v>
      </c>
      <c r="CR45" s="34">
        <v>4.8680000000000003</v>
      </c>
      <c r="CS45" s="168" t="str">
        <f>IF(VLOOKUP($A45,'B-Ligands'!$A:$G,3,FALSE)="","",VLOOKUP($A45,'B-Ligands'!$A:$G,3,FALSE))</f>
        <v/>
      </c>
      <c r="CT45" s="169" t="str">
        <f>IF(VLOOKUP($A45,'B-Ligands'!$A:$G,4,FALSE)="","",VLOOKUP($A45,'B-Ligands'!$A:$G,4,FALSE))</f>
        <v>α-linolenic acid</v>
      </c>
      <c r="CU45" s="132">
        <v>7.1325576273436182</v>
      </c>
      <c r="CV45" s="133">
        <v>6.7137628918890666</v>
      </c>
      <c r="CW45" s="133">
        <v>4.3721227849822242</v>
      </c>
      <c r="CX45" s="133">
        <v>6.0633155255683722</v>
      </c>
      <c r="CY45" s="133">
        <v>6.0952932343491941</v>
      </c>
      <c r="CZ45" s="133">
        <v>5.8112452678465969</v>
      </c>
      <c r="DA45" s="133">
        <v>23.352241437779149</v>
      </c>
      <c r="DB45" s="133">
        <v>23.926779958030238</v>
      </c>
      <c r="DC45" s="133">
        <v>16.258166311120121</v>
      </c>
      <c r="DD45" s="133">
        <v>14.446376292460553</v>
      </c>
      <c r="DE45" s="133">
        <v>12.003454137811735</v>
      </c>
      <c r="DF45" s="133">
        <v>11.081135154676231</v>
      </c>
      <c r="DG45" s="133">
        <v>25.556013102899769</v>
      </c>
      <c r="DH45" s="133">
        <v>12.370705649835529</v>
      </c>
      <c r="DI45" s="133">
        <v>11.320263157511256</v>
      </c>
      <c r="DJ45" s="66">
        <f t="shared" si="73"/>
        <v>0</v>
      </c>
      <c r="DK45" s="67">
        <f t="shared" si="74"/>
        <v>5.2087034593145143</v>
      </c>
      <c r="DL45" s="67">
        <f t="shared" si="75"/>
        <v>5.331506260544046</v>
      </c>
      <c r="DM45" s="67">
        <f t="shared" si="76"/>
        <v>10.558579663227865</v>
      </c>
      <c r="DN45" s="67">
        <f t="shared" si="77"/>
        <v>4.9628457298051307</v>
      </c>
      <c r="DO45" s="67">
        <f t="shared" si="78"/>
        <v>0</v>
      </c>
      <c r="DP45" s="67">
        <f t="shared" si="79"/>
        <v>8.4745612333314728</v>
      </c>
      <c r="DQ45" s="67">
        <f t="shared" si="80"/>
        <v>12.028363219155588</v>
      </c>
      <c r="DR45" s="67">
        <f t="shared" si="81"/>
        <v>18.280044275148281</v>
      </c>
      <c r="DS45" s="67">
        <f t="shared" si="82"/>
        <v>32.914828630634496</v>
      </c>
      <c r="DT45" s="67">
        <f t="shared" si="83"/>
        <v>0</v>
      </c>
      <c r="DU45" s="67">
        <f t="shared" si="84"/>
        <v>10.82019110193799</v>
      </c>
      <c r="DV45" s="67">
        <f t="shared" si="85"/>
        <v>42.573150812657381</v>
      </c>
      <c r="DW45" s="67">
        <f t="shared" si="86"/>
        <v>80.286446716417089</v>
      </c>
      <c r="DX45" s="67">
        <f t="shared" si="87"/>
        <v>88.257665577065154</v>
      </c>
    </row>
    <row r="46" spans="1:128" s="28" customFormat="1">
      <c r="A46" s="33" t="s">
        <v>128</v>
      </c>
      <c r="B46" s="205" t="s">
        <v>5559</v>
      </c>
      <c r="C46" t="str">
        <f>IF(VLOOKUP($A46,'B-Ligands'!$A:$G,5,FALSE)="","",VLOOKUP($A46,'B-Ligands'!$A:$G,5,FALSE))</f>
        <v>Guide To Pharmacology</v>
      </c>
      <c r="D46" s="19">
        <f>IF(VLOOKUP($A46,'B-Ligands'!$A:$G,6,FALSE)="","",VLOOKUP($A46,'B-Ligands'!$A:$G,6,FALSE))</f>
        <v>3544</v>
      </c>
      <c r="E46" t="str">
        <f>IF(VLOOKUP($A46,'B-Ligands'!$A:$G,7,FALSE)="","",VLOOKUP($A46,'B-Ligands'!$A:$G,7,FALSE))</f>
        <v>Phys</v>
      </c>
      <c r="F46" s="20">
        <f t="shared" si="68"/>
        <v>1</v>
      </c>
      <c r="G46" s="19">
        <f t="shared" si="69"/>
        <v>1</v>
      </c>
      <c r="H46" s="19">
        <f t="shared" si="70"/>
        <v>1</v>
      </c>
      <c r="I46" s="19">
        <f t="shared" si="71"/>
        <v>1</v>
      </c>
      <c r="J46" s="189">
        <f t="shared" si="26"/>
        <v>4</v>
      </c>
      <c r="K46" s="147" t="str">
        <f t="shared" si="27"/>
        <v>Gs</v>
      </c>
      <c r="L46" s="20">
        <f t="shared" si="28"/>
        <v>1</v>
      </c>
      <c r="M46" s="19">
        <f t="shared" si="29"/>
        <v>2</v>
      </c>
      <c r="N46" s="19">
        <f t="shared" si="30"/>
        <v>3</v>
      </c>
      <c r="O46" s="19">
        <f t="shared" si="31"/>
        <v>4</v>
      </c>
      <c r="P46" s="20">
        <f t="shared" si="32"/>
        <v>100</v>
      </c>
      <c r="Q46" s="19">
        <f t="shared" si="33"/>
        <v>81.755774660837019</v>
      </c>
      <c r="R46" s="19">
        <f t="shared" si="34"/>
        <v>77.57314152366267</v>
      </c>
      <c r="S46" s="19">
        <f t="shared" si="35"/>
        <v>71.429449291867769</v>
      </c>
      <c r="T46" s="20">
        <f t="shared" si="36"/>
        <v>10.585127067577965</v>
      </c>
      <c r="U46" s="21">
        <f t="shared" si="37"/>
        <v>8.653952632932306</v>
      </c>
      <c r="V46" s="21">
        <f t="shared" si="38"/>
        <v>8.2112156005917782</v>
      </c>
      <c r="W46" s="21">
        <f t="shared" si="39"/>
        <v>7.5608979712153728</v>
      </c>
      <c r="X46" s="147" t="str">
        <f t="shared" si="40"/>
        <v>GsL</v>
      </c>
      <c r="Y46" s="32">
        <f t="shared" si="41"/>
        <v>100</v>
      </c>
      <c r="Z46" s="31">
        <f t="shared" si="42"/>
        <v>66.5182653262614</v>
      </c>
      <c r="AA46" s="31">
        <f t="shared" si="43"/>
        <v>63.604715016908308</v>
      </c>
      <c r="AB46" s="31">
        <f t="shared" si="44"/>
        <v>70.945286747248161</v>
      </c>
      <c r="AC46" s="31">
        <f t="shared" si="45"/>
        <v>76.674519965933371</v>
      </c>
      <c r="AD46" s="31">
        <f t="shared" si="46"/>
        <v>81.755774660837019</v>
      </c>
      <c r="AE46" s="31">
        <f t="shared" si="47"/>
        <v>0</v>
      </c>
      <c r="AF46" s="31">
        <f t="shared" si="48"/>
        <v>0</v>
      </c>
      <c r="AG46" s="31">
        <f t="shared" si="49"/>
        <v>0</v>
      </c>
      <c r="AH46" s="31">
        <f t="shared" si="50"/>
        <v>77.57314152366267</v>
      </c>
      <c r="AI46" s="31">
        <f t="shared" si="51"/>
        <v>0</v>
      </c>
      <c r="AJ46" s="31">
        <f t="shared" si="52"/>
        <v>71.429449291867769</v>
      </c>
      <c r="AK46" s="7" cm="1">
        <f t="array" ref="AK46">_xlfn.IFS(AZ46=0,0,AZ46&gt;0,(LOG(0.01*AZ46/10^-CD46)))</f>
        <v>10.585127067577965</v>
      </c>
      <c r="AL46" s="8" cm="1">
        <f t="array" ref="AL46">_xlfn.IFS(BA46=0,0,BA46&gt;0,(LOG(0.01*BA46/10^-CE46)))</f>
        <v>7.0410429079334227</v>
      </c>
      <c r="AM46" s="8" cm="1">
        <f t="array" ref="AM46">_xlfn.IFS(BB46=0,0,BB46&gt;0,(LOG(0.01*BB46/10^-CF46)))</f>
        <v>6.7326399055105881</v>
      </c>
      <c r="AN46" s="8" cm="1">
        <f t="array" ref="AN46">_xlfn.IFS(BC46=0,0,BC46&gt;0,(LOG(0.01*BC46/10^-CG46)))</f>
        <v>7.509648750653767</v>
      </c>
      <c r="AO46" s="8" cm="1">
        <f t="array" ref="AO46">_xlfn.IFS(BD46=0,0,BD46&gt;0,(LOG(0.01*BD46/10^-CH46)))</f>
        <v>8.1160953668494837</v>
      </c>
      <c r="AP46" s="8" cm="1">
        <f t="array" ref="AP46">_xlfn.IFS(BE46=0,0,BE46&gt;0,(LOG(0.01*BE46/10^-CI46)))</f>
        <v>8.653952632932306</v>
      </c>
      <c r="AQ46" s="8" cm="1">
        <f t="array" ref="AQ46">_xlfn.IFS(BF46=0,0,BF46&gt;0,(LOG(0.01*BF46/10^-CJ46)))</f>
        <v>0</v>
      </c>
      <c r="AR46" s="8" cm="1">
        <f t="array" ref="AR46">_xlfn.IFS(BG46=0,0,BG46&gt;0,(LOG(0.01*BG46/10^-CK46)))</f>
        <v>0</v>
      </c>
      <c r="AS46" s="8" cm="1">
        <f t="array" ref="AS46">_xlfn.IFS(BH46=0,0,BH46&gt;0,(LOG(0.01*BH46/10^-CL46)))</f>
        <v>0</v>
      </c>
      <c r="AT46" s="8" cm="1">
        <f t="array" ref="AT46">_xlfn.IFS(BI46=0,0,BI46&gt;0,(LOG(0.01*BI46/10^-CM46)))</f>
        <v>8.2112156005917782</v>
      </c>
      <c r="AU46" s="8" cm="1">
        <f t="array" ref="AU46">_xlfn.IFS(BJ46=0,0,BJ46&gt;0,(LOG(0.01*BJ46/10^-CN46)))</f>
        <v>0</v>
      </c>
      <c r="AV46" s="8" cm="1">
        <f t="array" ref="AV46">_xlfn.IFS(BK46=0,0,BK46&gt;0,(LOG(0.01*BK46/10^-CO46)))</f>
        <v>7.5608979712153728</v>
      </c>
      <c r="AW46" s="8" cm="1">
        <f t="array" ref="AW46">_xlfn.IFS(BL46=0,0,BL46&gt;0,(LOG(0.01*BL46/10^-CP46)))</f>
        <v>7.6010185398411592</v>
      </c>
      <c r="AX46" s="8" cm="1">
        <f t="array" ref="AX46">_xlfn.IFS(BM46=0,0,BM46&gt;0,(LOG(0.01*BM46/10^-CQ46)))</f>
        <v>7.4680784395920901</v>
      </c>
      <c r="AY46" s="8" cm="1">
        <f t="array" ref="AY46">_xlfn.IFS(BN46=0,0,BN46&gt;0,(LOG(0.01*BN46/10^-CR46)))</f>
        <v>7.9495242694568464</v>
      </c>
      <c r="AZ46" s="32">
        <f t="shared" si="72"/>
        <v>92.284139620330691</v>
      </c>
      <c r="BA46" s="31">
        <f t="shared" si="54"/>
        <v>4.9664138678223182</v>
      </c>
      <c r="BB46" s="31">
        <f t="shared" si="55"/>
        <v>2.0260021668472374</v>
      </c>
      <c r="BC46" s="31">
        <f t="shared" si="56"/>
        <v>9.854821235102925</v>
      </c>
      <c r="BD46" s="31">
        <f t="shared" si="57"/>
        <v>18.75406283856988</v>
      </c>
      <c r="BE46" s="31">
        <f t="shared" si="58"/>
        <v>2.7161430119176599</v>
      </c>
      <c r="BF46" s="31">
        <f t="shared" si="59"/>
        <v>0</v>
      </c>
      <c r="BG46" s="31">
        <f t="shared" si="60"/>
        <v>0</v>
      </c>
      <c r="BH46" s="31">
        <f t="shared" si="61"/>
        <v>0</v>
      </c>
      <c r="BI46" s="31">
        <f t="shared" si="62"/>
        <v>43.074039362699153</v>
      </c>
      <c r="BJ46" s="31">
        <f t="shared" si="63"/>
        <v>0</v>
      </c>
      <c r="BK46" s="31">
        <f t="shared" si="64"/>
        <v>12.55734919286321</v>
      </c>
      <c r="BL46" s="31">
        <f t="shared" si="65"/>
        <v>18.707620006713661</v>
      </c>
      <c r="BM46" s="31">
        <f t="shared" si="66"/>
        <v>22.134944612286002</v>
      </c>
      <c r="BN46" s="31">
        <f t="shared" si="67"/>
        <v>31.154749916079222</v>
      </c>
      <c r="BO46" s="134">
        <v>60.28</v>
      </c>
      <c r="BP46" s="135">
        <v>45.84</v>
      </c>
      <c r="BQ46" s="135">
        <v>18.7</v>
      </c>
      <c r="BR46" s="135">
        <v>90.96</v>
      </c>
      <c r="BS46" s="135">
        <v>173.1</v>
      </c>
      <c r="BT46" s="172">
        <v>25.07</v>
      </c>
      <c r="BU46" s="135"/>
      <c r="BV46" s="135"/>
      <c r="BW46" s="135"/>
      <c r="BX46" s="135">
        <v>459.6</v>
      </c>
      <c r="BY46" s="135"/>
      <c r="BZ46" s="135">
        <v>88.68</v>
      </c>
      <c r="CA46" s="135">
        <v>557.29999999999995</v>
      </c>
      <c r="CB46" s="135">
        <v>659.4</v>
      </c>
      <c r="CC46" s="135">
        <v>928.1</v>
      </c>
      <c r="CD46" s="30">
        <v>10.62</v>
      </c>
      <c r="CE46" s="29">
        <v>8.3450000000000006</v>
      </c>
      <c r="CF46" s="29">
        <v>8.4260000000000002</v>
      </c>
      <c r="CG46" s="29">
        <v>8.516</v>
      </c>
      <c r="CH46" s="29">
        <v>8.843</v>
      </c>
      <c r="CI46" s="38">
        <v>10.220000000000001</v>
      </c>
      <c r="CJ46" s="29"/>
      <c r="CK46" s="29"/>
      <c r="CL46" s="29"/>
      <c r="CM46" s="29">
        <v>8.577</v>
      </c>
      <c r="CN46" s="29"/>
      <c r="CO46" s="29">
        <v>8.4619999999999997</v>
      </c>
      <c r="CP46" s="29">
        <v>8.3290000000000006</v>
      </c>
      <c r="CQ46" s="29">
        <v>8.1229999999999993</v>
      </c>
      <c r="CR46" s="29">
        <v>8.4559999999999995</v>
      </c>
      <c r="CS46" s="168" t="str">
        <f>IF(VLOOKUP($A46,'B-Ligands'!$A:$G,3,FALSE)="","",VLOOKUP($A46,'B-Ligands'!$A:$G,3,FALSE))</f>
        <v>GLP-1 (7-36)</v>
      </c>
      <c r="CT46" s="169" t="str">
        <f>IF(VLOOKUP($A46,'B-Ligands'!$A:$G,4,FALSE)="","",VLOOKUP($A46,'B-Ligands'!$A:$G,4,FALSE))</f>
        <v>Glucagon-like peptide 1</v>
      </c>
      <c r="CU46" s="134">
        <v>4.1063860736863944</v>
      </c>
      <c r="CV46" s="135">
        <v>8.593836712914193</v>
      </c>
      <c r="CW46" s="135">
        <v>1.6723885438262829</v>
      </c>
      <c r="CX46" s="135">
        <v>4.4068977864317507</v>
      </c>
      <c r="CY46" s="135">
        <v>1.3990571103443705</v>
      </c>
      <c r="CZ46" s="135">
        <v>15.354546573988749</v>
      </c>
      <c r="DA46" s="135">
        <v>11.559654715748092</v>
      </c>
      <c r="DB46" s="135">
        <v>10</v>
      </c>
      <c r="DC46" s="135">
        <v>12.797793634812862</v>
      </c>
      <c r="DD46" s="135">
        <v>8.2487356764389972</v>
      </c>
      <c r="DE46" s="135">
        <v>7.0710753957218282</v>
      </c>
      <c r="DF46" s="135">
        <v>11.39799949635591</v>
      </c>
      <c r="DG46" s="135">
        <v>5.8258738589839512</v>
      </c>
      <c r="DH46" s="135">
        <v>14.325518683932946</v>
      </c>
      <c r="DI46" s="135">
        <v>9.5166170863917205</v>
      </c>
      <c r="DJ46" s="66">
        <f t="shared" si="73"/>
        <v>14.679574428296583</v>
      </c>
      <c r="DK46" s="67">
        <f t="shared" si="74"/>
        <v>5.3340552690645131</v>
      </c>
      <c r="DL46" s="67">
        <f t="shared" si="75"/>
        <v>11.181612113424306</v>
      </c>
      <c r="DM46" s="67">
        <f t="shared" si="76"/>
        <v>20.640369803913693</v>
      </c>
      <c r="DN46" s="67">
        <f t="shared" si="77"/>
        <v>123.7261858148109</v>
      </c>
      <c r="DO46" s="67">
        <f t="shared" si="78"/>
        <v>1.6327411479847695</v>
      </c>
      <c r="DP46" s="67">
        <f t="shared" si="79"/>
        <v>0</v>
      </c>
      <c r="DQ46" s="67">
        <f t="shared" si="80"/>
        <v>0</v>
      </c>
      <c r="DR46" s="67">
        <f t="shared" si="81"/>
        <v>0</v>
      </c>
      <c r="DS46" s="67">
        <f t="shared" si="82"/>
        <v>55.71762971054622</v>
      </c>
      <c r="DT46" s="67">
        <f t="shared" si="83"/>
        <v>0</v>
      </c>
      <c r="DU46" s="67">
        <f t="shared" si="84"/>
        <v>7.7803126792865864</v>
      </c>
      <c r="DV46" s="67">
        <f t="shared" si="85"/>
        <v>95.659469032375284</v>
      </c>
      <c r="DW46" s="67">
        <f t="shared" si="86"/>
        <v>46.029746953564924</v>
      </c>
      <c r="DX46" s="67">
        <f t="shared" si="87"/>
        <v>97.524150816904879</v>
      </c>
    </row>
    <row r="47" spans="1:128" s="28" customFormat="1">
      <c r="A47" s="33" t="s">
        <v>99</v>
      </c>
      <c r="B47" s="205" t="s">
        <v>5559</v>
      </c>
      <c r="C47" t="str">
        <f>IF(VLOOKUP($A47,'B-Ligands'!$A:$G,5,FALSE)="","",VLOOKUP($A47,'B-Ligands'!$A:$G,5,FALSE))</f>
        <v>Guide To Pharmacology</v>
      </c>
      <c r="D47" s="19">
        <f>IF(VLOOKUP($A47,'B-Ligands'!$A:$G,6,FALSE)="","",VLOOKUP($A47,'B-Ligands'!$A:$G,6,FALSE))</f>
        <v>2346</v>
      </c>
      <c r="E47" t="str">
        <f>IF(VLOOKUP($A47,'B-Ligands'!$A:$G,7,FALSE)="","",VLOOKUP($A47,'B-Ligands'!$A:$G,7,FALSE))</f>
        <v>Phys</v>
      </c>
      <c r="F47" s="20">
        <f t="shared" si="68"/>
        <v>1</v>
      </c>
      <c r="G47" s="19">
        <f t="shared" si="69"/>
        <v>1</v>
      </c>
      <c r="H47" s="19">
        <f t="shared" si="70"/>
        <v>1</v>
      </c>
      <c r="I47" s="19">
        <f t="shared" si="71"/>
        <v>1</v>
      </c>
      <c r="J47" s="189">
        <f t="shared" si="26"/>
        <v>4</v>
      </c>
      <c r="K47" s="147" t="str">
        <f t="shared" si="27"/>
        <v>Gq/11</v>
      </c>
      <c r="L47" s="20">
        <f t="shared" si="28"/>
        <v>4</v>
      </c>
      <c r="M47" s="19">
        <f t="shared" si="29"/>
        <v>3</v>
      </c>
      <c r="N47" s="19">
        <f t="shared" si="30"/>
        <v>1</v>
      </c>
      <c r="O47" s="19">
        <f t="shared" si="31"/>
        <v>2</v>
      </c>
      <c r="P47" s="20">
        <f t="shared" si="32"/>
        <v>87.550428544217255</v>
      </c>
      <c r="Q47" s="19">
        <f t="shared" si="33"/>
        <v>97.633243362869337</v>
      </c>
      <c r="R47" s="19">
        <f t="shared" si="34"/>
        <v>100</v>
      </c>
      <c r="S47" s="19">
        <f t="shared" si="35"/>
        <v>99.455215572085294</v>
      </c>
      <c r="T47" s="20">
        <f t="shared" si="36"/>
        <v>6.3450066721834757</v>
      </c>
      <c r="U47" s="21">
        <f t="shared" si="37"/>
        <v>7.0757344180382793</v>
      </c>
      <c r="V47" s="21">
        <f t="shared" si="38"/>
        <v>7.247259411162033</v>
      </c>
      <c r="W47" s="21">
        <f t="shared" si="39"/>
        <v>7.2077774704394386</v>
      </c>
      <c r="X47" s="147" t="str">
        <f t="shared" si="40"/>
        <v>Gq</v>
      </c>
      <c r="Y47" s="32">
        <f t="shared" si="41"/>
        <v>87.550428544217255</v>
      </c>
      <c r="Z47" s="31">
        <f t="shared" si="42"/>
        <v>87.794860410602752</v>
      </c>
      <c r="AA47" s="31">
        <f t="shared" si="43"/>
        <v>87.273677428098381</v>
      </c>
      <c r="AB47" s="31">
        <f t="shared" si="44"/>
        <v>92.158192293323921</v>
      </c>
      <c r="AC47" s="31">
        <f t="shared" si="45"/>
        <v>97.633243362869337</v>
      </c>
      <c r="AD47" s="31">
        <f t="shared" si="46"/>
        <v>0</v>
      </c>
      <c r="AE47" s="31">
        <f t="shared" si="47"/>
        <v>100</v>
      </c>
      <c r="AF47" s="31">
        <f t="shared" si="48"/>
        <v>99.995700803377318</v>
      </c>
      <c r="AG47" s="31">
        <f t="shared" si="49"/>
        <v>98.115078265934187</v>
      </c>
      <c r="AH47" s="31">
        <f t="shared" si="50"/>
        <v>84.370648539054287</v>
      </c>
      <c r="AI47" s="31">
        <f t="shared" si="51"/>
        <v>91.881455838306564</v>
      </c>
      <c r="AJ47" s="31">
        <f t="shared" si="52"/>
        <v>99.455215572085294</v>
      </c>
      <c r="AK47" s="7" cm="1">
        <f t="array" ref="AK47">_xlfn.IFS(AZ47=0,0,AZ47&gt;0,(LOG(0.01*AZ47/10^-CD47)))</f>
        <v>6.3450066721834757</v>
      </c>
      <c r="AL47" s="8" cm="1">
        <f t="array" ref="AL47">_xlfn.IFS(BA47=0,0,BA47&gt;0,(LOG(0.01*BA47/10^-CE47)))</f>
        <v>6.3627212836239773</v>
      </c>
      <c r="AM47" s="8" cm="1">
        <f t="array" ref="AM47">_xlfn.IFS(BB47=0,0,BB47&gt;0,(LOG(0.01*BB47/10^-CF47)))</f>
        <v>6.3249498008750553</v>
      </c>
      <c r="AN47" s="8" cm="1">
        <f t="array" ref="AN47">_xlfn.IFS(BC47=0,0,BC47&gt;0,(LOG(0.01*BC47/10^-CG47)))</f>
        <v>6.6789432641347215</v>
      </c>
      <c r="AO47" s="8" cm="1">
        <f t="array" ref="AO47">_xlfn.IFS(BD47=0,0,BD47&gt;0,(LOG(0.01*BD47/10^-CH47)))</f>
        <v>7.0757344180382793</v>
      </c>
      <c r="AP47" s="8" cm="1">
        <f t="array" ref="AP47">_xlfn.IFS(BE47=0,0,BE47&gt;0,(LOG(0.01*BE47/10^-CI47)))</f>
        <v>0</v>
      </c>
      <c r="AQ47" s="8" cm="1">
        <f t="array" ref="AQ47">_xlfn.IFS(BF47=0,0,BF47&gt;0,(LOG(0.01*BF47/10^-CJ47)))</f>
        <v>7.247259411162033</v>
      </c>
      <c r="AR47" s="8" cm="1">
        <f t="array" ref="AR47">_xlfn.IFS(BG47=0,0,BG47&gt;0,(LOG(0.01*BG47/10^-CK47)))</f>
        <v>7.2469478372301914</v>
      </c>
      <c r="AS47" s="8" cm="1">
        <f t="array" ref="AS47">_xlfn.IFS(BH47=0,0,BH47&gt;0,(LOG(0.01*BH47/10^-CL47)))</f>
        <v>7.11065424339691</v>
      </c>
      <c r="AT47" s="8" cm="1">
        <f t="array" ref="AT47">_xlfn.IFS(BI47=0,0,BI47&gt;0,(LOG(0.01*BI47/10^-CM47)))</f>
        <v>6.114559766505054</v>
      </c>
      <c r="AU47" s="8" cm="1">
        <f t="array" ref="AU47">_xlfn.IFS(BJ47=0,0,BJ47&gt;0,(LOG(0.01*BJ47/10^-CN47)))</f>
        <v>6.6588874553543596</v>
      </c>
      <c r="AV47" s="8" cm="1">
        <f t="array" ref="AV47">_xlfn.IFS(BK47=0,0,BK47&gt;0,(LOG(0.01*BK47/10^-CO47)))</f>
        <v>7.2077774704394386</v>
      </c>
      <c r="AW47" s="8" cm="1">
        <f t="array" ref="AW47">_xlfn.IFS(BL47=0,0,BL47&gt;0,(LOG(0.01*BL47/10^-CP47)))</f>
        <v>4.6587704651098845</v>
      </c>
      <c r="AX47" s="8" cm="1">
        <f t="array" ref="AX47">_xlfn.IFS(BM47=0,0,BM47&gt;0,(LOG(0.01*BM47/10^-CQ47)))</f>
        <v>4.5364999403822353</v>
      </c>
      <c r="AY47" s="8" cm="1">
        <f t="array" ref="AY47">_xlfn.IFS(BN47=0,0,BN47&gt;0,(LOG(0.01*BN47/10^-CR47)))</f>
        <v>4.761655552365009</v>
      </c>
      <c r="AZ47" s="32">
        <f t="shared" si="72"/>
        <v>68.707899571341102</v>
      </c>
      <c r="BA47" s="31">
        <f t="shared" si="54"/>
        <v>63.055254604550377</v>
      </c>
      <c r="BB47" s="31">
        <f t="shared" si="55"/>
        <v>49.198266522210183</v>
      </c>
      <c r="BC47" s="31">
        <f t="shared" si="56"/>
        <v>32.058504875406278</v>
      </c>
      <c r="BD47" s="31">
        <f t="shared" si="57"/>
        <v>46.316359696641385</v>
      </c>
      <c r="BE47" s="31">
        <f t="shared" si="58"/>
        <v>0</v>
      </c>
      <c r="BF47" s="31">
        <f t="shared" si="59"/>
        <v>70.187441424554834</v>
      </c>
      <c r="BG47" s="31">
        <f t="shared" si="60"/>
        <v>79.606373008434858</v>
      </c>
      <c r="BH47" s="31">
        <f t="shared" si="61"/>
        <v>81.59325210871603</v>
      </c>
      <c r="BI47" s="31">
        <f t="shared" si="62"/>
        <v>41.836925960637302</v>
      </c>
      <c r="BJ47" s="31">
        <f t="shared" si="63"/>
        <v>8.9719626168224291</v>
      </c>
      <c r="BK47" s="31">
        <f t="shared" si="64"/>
        <v>9.2849051260266187</v>
      </c>
      <c r="BL47" s="31">
        <f t="shared" si="65"/>
        <v>2.5572339711312524</v>
      </c>
      <c r="BM47" s="31">
        <f t="shared" si="66"/>
        <v>3.4474655924806981</v>
      </c>
      <c r="BN47" s="31">
        <f t="shared" si="67"/>
        <v>4.9278281302450493</v>
      </c>
      <c r="BO47" s="132">
        <v>44.88</v>
      </c>
      <c r="BP47" s="133">
        <v>582</v>
      </c>
      <c r="BQ47" s="133">
        <v>454.1</v>
      </c>
      <c r="BR47" s="133">
        <v>295.89999999999998</v>
      </c>
      <c r="BS47" s="133">
        <v>427.5</v>
      </c>
      <c r="BT47" s="173"/>
      <c r="BU47" s="133">
        <v>748.9</v>
      </c>
      <c r="BV47" s="133">
        <v>849.4</v>
      </c>
      <c r="BW47" s="133">
        <v>870.6</v>
      </c>
      <c r="BX47" s="133">
        <v>446.4</v>
      </c>
      <c r="BY47" s="133">
        <v>63.36</v>
      </c>
      <c r="BZ47" s="133">
        <v>65.569999999999993</v>
      </c>
      <c r="CA47" s="133">
        <v>76.180000000000007</v>
      </c>
      <c r="CB47" s="133">
        <v>102.7</v>
      </c>
      <c r="CC47" s="133">
        <v>146.80000000000001</v>
      </c>
      <c r="CD47" s="36">
        <v>6.508</v>
      </c>
      <c r="CE47" s="34">
        <v>6.5629999999999997</v>
      </c>
      <c r="CF47" s="34">
        <v>6.633</v>
      </c>
      <c r="CG47" s="34">
        <v>7.173</v>
      </c>
      <c r="CH47" s="34">
        <v>7.41</v>
      </c>
      <c r="CI47" s="37"/>
      <c r="CJ47" s="34">
        <v>7.4009999999999998</v>
      </c>
      <c r="CK47" s="34">
        <v>7.3460000000000001</v>
      </c>
      <c r="CL47" s="34">
        <v>7.1989999999999998</v>
      </c>
      <c r="CM47" s="34">
        <v>6.4930000000000003</v>
      </c>
      <c r="CN47" s="34">
        <v>7.7060000000000004</v>
      </c>
      <c r="CO47" s="34">
        <v>8.24</v>
      </c>
      <c r="CP47" s="34">
        <v>6.2510000000000003</v>
      </c>
      <c r="CQ47" s="34">
        <v>5.9989999999999997</v>
      </c>
      <c r="CR47" s="34">
        <v>6.069</v>
      </c>
      <c r="CS47" s="168" t="str">
        <f>IF(VLOOKUP($A47,'B-Ligands'!$A:$G,3,FALSE)="","",VLOOKUP($A47,'B-Ligands'!$A:$G,3,FALSE))</f>
        <v/>
      </c>
      <c r="CT47" s="169" t="str">
        <f>IF(VLOOKUP($A47,'B-Ligands'!$A:$G,4,FALSE)="","",VLOOKUP($A47,'B-Ligands'!$A:$G,4,FALSE))</f>
        <v>pH (proton)</v>
      </c>
      <c r="CU47" s="132">
        <v>9.5396756446227968</v>
      </c>
      <c r="CV47" s="133">
        <v>17.661614183227673</v>
      </c>
      <c r="CW47" s="133">
        <v>19.466205499569956</v>
      </c>
      <c r="CX47" s="133">
        <v>4.0172454413138468</v>
      </c>
      <c r="CY47" s="133">
        <v>6.5480185102093067</v>
      </c>
      <c r="CZ47" s="133">
        <v>13.311252099229383</v>
      </c>
      <c r="DA47" s="133">
        <v>12.394116384057398</v>
      </c>
      <c r="DB47" s="133">
        <v>11.032489917878232</v>
      </c>
      <c r="DC47" s="133">
        <v>8.6458582599938065</v>
      </c>
      <c r="DD47" s="133">
        <v>9.7214310498042824</v>
      </c>
      <c r="DE47" s="133">
        <v>5.9061744678686399</v>
      </c>
      <c r="DF47" s="133">
        <v>4.3639538560952218</v>
      </c>
      <c r="DG47" s="133">
        <v>15.369729971040725</v>
      </c>
      <c r="DH47" s="133">
        <v>15.289003741726258</v>
      </c>
      <c r="DI47" s="133">
        <v>15.041468525865426</v>
      </c>
      <c r="DJ47" s="66">
        <f t="shared" si="73"/>
        <v>4.7045624685675129</v>
      </c>
      <c r="DK47" s="67">
        <f t="shared" si="74"/>
        <v>32.952820391280852</v>
      </c>
      <c r="DL47" s="67">
        <f t="shared" si="75"/>
        <v>23.327607427653628</v>
      </c>
      <c r="DM47" s="67">
        <f t="shared" si="76"/>
        <v>73.657436251449298</v>
      </c>
      <c r="DN47" s="67">
        <f t="shared" si="77"/>
        <v>65.286926011810408</v>
      </c>
      <c r="DO47" s="67">
        <f t="shared" si="78"/>
        <v>0</v>
      </c>
      <c r="DP47" s="67">
        <f t="shared" si="79"/>
        <v>60.423831501478645</v>
      </c>
      <c r="DQ47" s="67">
        <f t="shared" si="80"/>
        <v>76.990779626595526</v>
      </c>
      <c r="DR47" s="67">
        <f t="shared" si="81"/>
        <v>100.69561330058443</v>
      </c>
      <c r="DS47" s="67">
        <f t="shared" si="82"/>
        <v>45.919165369072608</v>
      </c>
      <c r="DT47" s="67">
        <f t="shared" si="83"/>
        <v>10.727756239626411</v>
      </c>
      <c r="DU47" s="67">
        <f t="shared" si="84"/>
        <v>15.025365107474054</v>
      </c>
      <c r="DV47" s="67">
        <f t="shared" si="85"/>
        <v>4.9564956667122022</v>
      </c>
      <c r="DW47" s="67">
        <f t="shared" si="86"/>
        <v>6.7172460504875451</v>
      </c>
      <c r="DX47" s="67">
        <f t="shared" si="87"/>
        <v>9.7596853490443163</v>
      </c>
    </row>
    <row r="48" spans="1:128" s="28" customFormat="1">
      <c r="A48" s="33" t="s">
        <v>207</v>
      </c>
      <c r="B48" s="205" t="s">
        <v>5559</v>
      </c>
      <c r="C48" t="str">
        <f>IF(VLOOKUP($A48,'B-Ligands'!$A:$G,5,FALSE)="","",VLOOKUP($A48,'B-Ligands'!$A:$G,5,FALSE))</f>
        <v>Guide To Pharmacology</v>
      </c>
      <c r="D48" s="19">
        <f>IF(VLOOKUP($A48,'B-Ligands'!$A:$G,6,FALSE)="","",VLOOKUP($A48,'B-Ligands'!$A:$G,6,FALSE))</f>
        <v>1881</v>
      </c>
      <c r="E48" t="str">
        <f>IF(VLOOKUP($A48,'B-Ligands'!$A:$G,7,FALSE)="","",VLOOKUP($A48,'B-Ligands'!$A:$G,7,FALSE))</f>
        <v>Phys</v>
      </c>
      <c r="F48" s="20" t="str">
        <f t="shared" si="68"/>
        <v/>
      </c>
      <c r="G48" s="19">
        <f t="shared" si="69"/>
        <v>1</v>
      </c>
      <c r="H48" s="19">
        <f t="shared" si="70"/>
        <v>1</v>
      </c>
      <c r="I48" s="19">
        <f t="shared" si="71"/>
        <v>1</v>
      </c>
      <c r="J48" s="189">
        <f t="shared" si="26"/>
        <v>3</v>
      </c>
      <c r="K48" s="147" t="str">
        <f t="shared" si="27"/>
        <v>Gq/11</v>
      </c>
      <c r="L48" s="20">
        <f t="shared" si="28"/>
        <v>0</v>
      </c>
      <c r="M48" s="19">
        <f t="shared" si="29"/>
        <v>3</v>
      </c>
      <c r="N48" s="19">
        <f t="shared" si="30"/>
        <v>1</v>
      </c>
      <c r="O48" s="19">
        <f t="shared" si="31"/>
        <v>2</v>
      </c>
      <c r="P48" s="20">
        <f t="shared" si="32"/>
        <v>0</v>
      </c>
      <c r="Q48" s="19">
        <f t="shared" si="33"/>
        <v>77.590863600223486</v>
      </c>
      <c r="R48" s="19">
        <f t="shared" si="34"/>
        <v>100</v>
      </c>
      <c r="S48" s="19">
        <f t="shared" si="35"/>
        <v>96.488736783009401</v>
      </c>
      <c r="T48" s="20">
        <f t="shared" si="36"/>
        <v>0</v>
      </c>
      <c r="U48" s="21">
        <f t="shared" si="37"/>
        <v>6.5869343876746402</v>
      </c>
      <c r="V48" s="21">
        <f t="shared" si="38"/>
        <v>8.489317017545952</v>
      </c>
      <c r="W48" s="21">
        <f t="shared" si="39"/>
        <v>8.1912347517351378</v>
      </c>
      <c r="X48" s="147" t="str">
        <f t="shared" si="40"/>
        <v>G15</v>
      </c>
      <c r="Y48" s="32">
        <f t="shared" si="41"/>
        <v>0</v>
      </c>
      <c r="Z48" s="31">
        <f t="shared" si="42"/>
        <v>62.720544300717819</v>
      </c>
      <c r="AA48" s="31">
        <f t="shared" si="43"/>
        <v>0</v>
      </c>
      <c r="AB48" s="31">
        <f t="shared" si="44"/>
        <v>69.302354417181277</v>
      </c>
      <c r="AC48" s="31">
        <f t="shared" si="45"/>
        <v>71.673654936836158</v>
      </c>
      <c r="AD48" s="31">
        <f t="shared" si="46"/>
        <v>77.590863600223486</v>
      </c>
      <c r="AE48" s="31">
        <f t="shared" si="47"/>
        <v>96.494204342257902</v>
      </c>
      <c r="AF48" s="31">
        <f t="shared" si="48"/>
        <v>97.743350333030918</v>
      </c>
      <c r="AG48" s="31">
        <f t="shared" si="49"/>
        <v>93.145155879990199</v>
      </c>
      <c r="AH48" s="31">
        <f t="shared" si="50"/>
        <v>100</v>
      </c>
      <c r="AI48" s="31">
        <f t="shared" si="51"/>
        <v>88.896289521670582</v>
      </c>
      <c r="AJ48" s="31">
        <f t="shared" si="52"/>
        <v>96.488736783009401</v>
      </c>
      <c r="AK48" s="7" cm="1">
        <f t="array" ref="AK48">_xlfn.IFS(AZ48=0,0,AZ48&gt;0,(LOG(0.01*AZ48/10^-CD48)))</f>
        <v>0</v>
      </c>
      <c r="AL48" s="8" cm="1">
        <f t="array" ref="AL48">_xlfn.IFS(BA48=0,0,BA48&gt;0,(LOG(0.01*BA48/10^-CE48)))</f>
        <v>5.3245458408182857</v>
      </c>
      <c r="AM48" s="8" cm="1">
        <f t="array" ref="AM48">_xlfn.IFS(BB48=0,0,BB48&gt;0,(LOG(0.01*BB48/10^-CF48)))</f>
        <v>0</v>
      </c>
      <c r="AN48" s="8" cm="1">
        <f t="array" ref="AN48">_xlfn.IFS(BC48=0,0,BC48&gt;0,(LOG(0.01*BC48/10^-CG48)))</f>
        <v>5.883296567097779</v>
      </c>
      <c r="AO48" s="8" cm="1">
        <f t="array" ref="AO48">_xlfn.IFS(BD48=0,0,BD48&gt;0,(LOG(0.01*BD48/10^-CH48)))</f>
        <v>6.0846037856499953</v>
      </c>
      <c r="AP48" s="8" cm="1">
        <f t="array" ref="AP48">_xlfn.IFS(BE48=0,0,BE48&gt;0,(LOG(0.01*BE48/10^-CI48)))</f>
        <v>6.5869343876746402</v>
      </c>
      <c r="AQ48" s="8" cm="1">
        <f t="array" ref="AQ48">_xlfn.IFS(BF48=0,0,BF48&gt;0,(LOG(0.01*BF48/10^-CJ48)))</f>
        <v>8.1916989101728657</v>
      </c>
      <c r="AR48" s="8" cm="1">
        <f t="array" ref="AR48">_xlfn.IFS(BG48=0,0,BG48&gt;0,(LOG(0.01*BG48/10^-CK48)))</f>
        <v>8.2977428733415515</v>
      </c>
      <c r="AS48" s="8" cm="1">
        <f t="array" ref="AS48">_xlfn.IFS(BH48=0,0,BH48&gt;0,(LOG(0.01*BH48/10^-CL48)))</f>
        <v>7.9073875691397113</v>
      </c>
      <c r="AT48" s="8" cm="1">
        <f t="array" ref="AT48">_xlfn.IFS(BI48=0,0,BI48&gt;0,(LOG(0.01*BI48/10^-CM48)))</f>
        <v>8.489317017545952</v>
      </c>
      <c r="AU48" s="8" cm="1">
        <f t="array" ref="AU48">_xlfn.IFS(BJ48=0,0,BJ48&gt;0,(LOG(0.01*BJ48/10^-CN48)))</f>
        <v>7.5466878343300996</v>
      </c>
      <c r="AV48" s="8" cm="1">
        <f t="array" ref="AV48">_xlfn.IFS(BK48=0,0,BK48&gt;0,(LOG(0.01*BK48/10^-CO48)))</f>
        <v>8.1912347517351378</v>
      </c>
      <c r="AW48" s="8" cm="1">
        <f t="array" ref="AW48">_xlfn.IFS(BL48=0,0,BL48&gt;0,(LOG(0.01*BL48/10^-CP48)))</f>
        <v>0</v>
      </c>
      <c r="AX48" s="8" cm="1">
        <f t="array" ref="AX48">_xlfn.IFS(BM48=0,0,BM48&gt;0,(LOG(0.01*BM48/10^-CQ48)))</f>
        <v>0</v>
      </c>
      <c r="AY48" s="8" cm="1">
        <f t="array" ref="AY48">_xlfn.IFS(BN48=0,0,BN48&gt;0,(LOG(0.01*BN48/10^-CR48)))</f>
        <v>0</v>
      </c>
      <c r="AZ48" s="32">
        <f t="shared" si="72"/>
        <v>0</v>
      </c>
      <c r="BA48" s="31">
        <f t="shared" si="54"/>
        <v>3.1300108342361863</v>
      </c>
      <c r="BB48" s="31">
        <f t="shared" si="55"/>
        <v>0</v>
      </c>
      <c r="BC48" s="31">
        <f t="shared" si="56"/>
        <v>9.1895991332611047</v>
      </c>
      <c r="BD48" s="31">
        <f t="shared" si="57"/>
        <v>12.405200433369448</v>
      </c>
      <c r="BE48" s="31">
        <f t="shared" si="58"/>
        <v>13.271939328277357</v>
      </c>
      <c r="BF48" s="31">
        <f t="shared" si="59"/>
        <v>28.687910028116217</v>
      </c>
      <c r="BG48" s="31">
        <f t="shared" si="60"/>
        <v>43.027179006560452</v>
      </c>
      <c r="BH48" s="31">
        <f t="shared" si="61"/>
        <v>54.123711340206185</v>
      </c>
      <c r="BI48" s="31">
        <f t="shared" si="62"/>
        <v>40.955951265229615</v>
      </c>
      <c r="BJ48" s="31">
        <f t="shared" si="63"/>
        <v>14.712546020957236</v>
      </c>
      <c r="BK48" s="31">
        <f t="shared" si="64"/>
        <v>25.955819881053525</v>
      </c>
      <c r="BL48" s="31">
        <f t="shared" si="65"/>
        <v>0</v>
      </c>
      <c r="BM48" s="31">
        <f t="shared" si="66"/>
        <v>0</v>
      </c>
      <c r="BN48" s="31">
        <f t="shared" si="67"/>
        <v>0</v>
      </c>
      <c r="BO48" s="134"/>
      <c r="BP48" s="172">
        <v>28.89</v>
      </c>
      <c r="BQ48" s="135"/>
      <c r="BR48" s="135">
        <v>84.82</v>
      </c>
      <c r="BS48" s="135">
        <v>114.5</v>
      </c>
      <c r="BT48" s="135">
        <v>122.5</v>
      </c>
      <c r="BU48" s="135">
        <v>306.10000000000002</v>
      </c>
      <c r="BV48" s="135">
        <v>459.1</v>
      </c>
      <c r="BW48" s="135">
        <v>577.5</v>
      </c>
      <c r="BX48" s="135">
        <v>437</v>
      </c>
      <c r="BY48" s="135">
        <v>103.9</v>
      </c>
      <c r="BZ48" s="135">
        <v>183.3</v>
      </c>
      <c r="CA48" s="135"/>
      <c r="CB48" s="135"/>
      <c r="CC48" s="135"/>
      <c r="CD48" s="30"/>
      <c r="CE48" s="38">
        <v>6.8289999999999997</v>
      </c>
      <c r="CF48" s="29"/>
      <c r="CG48" s="29">
        <v>6.92</v>
      </c>
      <c r="CH48" s="29">
        <v>6.9909999999999997</v>
      </c>
      <c r="CI48" s="29">
        <v>7.4640000000000004</v>
      </c>
      <c r="CJ48" s="29">
        <v>8.734</v>
      </c>
      <c r="CK48" s="29">
        <v>8.6639999999999997</v>
      </c>
      <c r="CL48" s="29">
        <v>8.1739999999999995</v>
      </c>
      <c r="CM48" s="29">
        <v>8.8770000000000007</v>
      </c>
      <c r="CN48" s="29">
        <v>8.3789999999999996</v>
      </c>
      <c r="CO48" s="29">
        <v>8.7769999999999992</v>
      </c>
      <c r="CP48" s="29"/>
      <c r="CQ48" s="29"/>
      <c r="CR48" s="29"/>
      <c r="CS48" s="168" t="str">
        <f>IF(VLOOKUP($A48,'B-Ligands'!$A:$G,3,FALSE)="","",VLOOKUP($A48,'B-Ligands'!$A:$G,3,FALSE))</f>
        <v>PGD2</v>
      </c>
      <c r="CT48" s="169" t="str">
        <f>IF(VLOOKUP($A48,'B-Ligands'!$A:$G,4,FALSE)="","",VLOOKUP($A48,'B-Ligands'!$A:$G,4,FALSE))</f>
        <v>Prostaglandin F2α</v>
      </c>
      <c r="CU48" s="134">
        <v>9.6047343032843457</v>
      </c>
      <c r="CV48" s="135">
        <v>23.859597993804307</v>
      </c>
      <c r="CW48" s="135">
        <v>15.32753020675705</v>
      </c>
      <c r="CX48" s="135">
        <v>33.028798158136496</v>
      </c>
      <c r="CY48" s="135">
        <v>10.510953883209005</v>
      </c>
      <c r="CZ48" s="135">
        <v>16.140825630122229</v>
      </c>
      <c r="DA48" s="135">
        <v>12.738969254926522</v>
      </c>
      <c r="DB48" s="135">
        <v>13.205399343916611</v>
      </c>
      <c r="DC48" s="135">
        <v>12.815636985642829</v>
      </c>
      <c r="DD48" s="135">
        <v>12.181717339750156</v>
      </c>
      <c r="DE48" s="135">
        <v>17.963817510002631</v>
      </c>
      <c r="DF48" s="135">
        <v>0.85852886674713502</v>
      </c>
      <c r="DG48" s="135">
        <v>15.38096466656344</v>
      </c>
      <c r="DH48" s="135">
        <v>9.629801575603949</v>
      </c>
      <c r="DI48" s="135">
        <v>10.544511681688174</v>
      </c>
      <c r="DJ48" s="66">
        <f t="shared" si="73"/>
        <v>0</v>
      </c>
      <c r="DK48" s="67">
        <f t="shared" si="74"/>
        <v>1.2108334770561495</v>
      </c>
      <c r="DL48" s="67">
        <f t="shared" si="75"/>
        <v>0</v>
      </c>
      <c r="DM48" s="67">
        <f t="shared" si="76"/>
        <v>2.5680619559299638</v>
      </c>
      <c r="DN48" s="67">
        <f t="shared" si="77"/>
        <v>10.893397618546398</v>
      </c>
      <c r="DO48" s="67">
        <f t="shared" si="78"/>
        <v>7.5894506766363197</v>
      </c>
      <c r="DP48" s="67">
        <f t="shared" si="79"/>
        <v>24.028631663556489</v>
      </c>
      <c r="DQ48" s="67">
        <f t="shared" si="80"/>
        <v>34.766082270090202</v>
      </c>
      <c r="DR48" s="67">
        <f t="shared" si="81"/>
        <v>45.062137812343217</v>
      </c>
      <c r="DS48" s="67">
        <f t="shared" si="82"/>
        <v>35.873431291499884</v>
      </c>
      <c r="DT48" s="67">
        <f t="shared" si="83"/>
        <v>5.7838485579218508</v>
      </c>
      <c r="DU48" s="67">
        <f t="shared" si="84"/>
        <v>213.50476041009799</v>
      </c>
      <c r="DV48" s="67">
        <f t="shared" si="85"/>
        <v>0</v>
      </c>
      <c r="DW48" s="67">
        <f t="shared" si="86"/>
        <v>0</v>
      </c>
      <c r="DX48" s="67">
        <f t="shared" si="87"/>
        <v>0</v>
      </c>
    </row>
    <row r="49" spans="1:128" s="28" customFormat="1">
      <c r="A49" s="33" t="s">
        <v>58</v>
      </c>
      <c r="B49" s="205" t="s">
        <v>5559</v>
      </c>
      <c r="C49" t="str">
        <f>IF(VLOOKUP($A49,'B-Ligands'!$A:$G,5,FALSE)="","",VLOOKUP($A49,'B-Ligands'!$A:$G,5,FALSE))</f>
        <v>Guide To Pharmacology</v>
      </c>
      <c r="D49" s="19">
        <f>IF(VLOOKUP($A49,'B-Ligands'!$A:$G,6,FALSE)="","",VLOOKUP($A49,'B-Ligands'!$A:$G,6,FALSE))</f>
        <v>733</v>
      </c>
      <c r="E49" t="str">
        <f>IF(VLOOKUP($A49,'B-Ligands'!$A:$G,7,FALSE)="","",VLOOKUP($A49,'B-Ligands'!$A:$G,7,FALSE))</f>
        <v>Surr</v>
      </c>
      <c r="F49" s="20" t="str">
        <f t="shared" si="68"/>
        <v/>
      </c>
      <c r="G49" s="19">
        <f t="shared" si="69"/>
        <v>1</v>
      </c>
      <c r="H49" s="19">
        <f t="shared" si="70"/>
        <v>1</v>
      </c>
      <c r="I49" s="19">
        <f t="shared" si="71"/>
        <v>1</v>
      </c>
      <c r="J49" s="189">
        <f t="shared" si="26"/>
        <v>3</v>
      </c>
      <c r="K49" s="147" t="str">
        <f t="shared" si="27"/>
        <v>Gq/11</v>
      </c>
      <c r="L49" s="20">
        <f t="shared" si="28"/>
        <v>0</v>
      </c>
      <c r="M49" s="19">
        <f t="shared" si="29"/>
        <v>2</v>
      </c>
      <c r="N49" s="19">
        <f t="shared" si="30"/>
        <v>1</v>
      </c>
      <c r="O49" s="19">
        <f t="shared" si="31"/>
        <v>3</v>
      </c>
      <c r="P49" s="20">
        <f t="shared" si="32"/>
        <v>0</v>
      </c>
      <c r="Q49" s="19">
        <f t="shared" si="33"/>
        <v>99.931146389078279</v>
      </c>
      <c r="R49" s="19">
        <f t="shared" si="34"/>
        <v>100</v>
      </c>
      <c r="S49" s="19">
        <f t="shared" si="35"/>
        <v>91.161257551883978</v>
      </c>
      <c r="T49" s="20">
        <f t="shared" si="36"/>
        <v>0</v>
      </c>
      <c r="U49" s="21">
        <f t="shared" si="37"/>
        <v>7.5689863259802888</v>
      </c>
      <c r="V49" s="21">
        <f t="shared" si="38"/>
        <v>7.5742014371682638</v>
      </c>
      <c r="W49" s="21">
        <f t="shared" si="39"/>
        <v>6.9047372796354587</v>
      </c>
      <c r="X49" s="147" t="str">
        <f t="shared" si="40"/>
        <v>G15</v>
      </c>
      <c r="Y49" s="32">
        <f t="shared" si="41"/>
        <v>0</v>
      </c>
      <c r="Z49" s="31">
        <f t="shared" si="42"/>
        <v>99.931146389078279</v>
      </c>
      <c r="AA49" s="31">
        <f t="shared" si="43"/>
        <v>93.187043037309294</v>
      </c>
      <c r="AB49" s="31">
        <f t="shared" si="44"/>
        <v>97.259498635204892</v>
      </c>
      <c r="AC49" s="31">
        <f t="shared" si="45"/>
        <v>99.472412900246169</v>
      </c>
      <c r="AD49" s="31">
        <f t="shared" si="46"/>
        <v>92.309610704052517</v>
      </c>
      <c r="AE49" s="31">
        <f t="shared" si="47"/>
        <v>0</v>
      </c>
      <c r="AF49" s="31">
        <f t="shared" si="48"/>
        <v>0</v>
      </c>
      <c r="AG49" s="31">
        <f t="shared" si="49"/>
        <v>47.811109576703451</v>
      </c>
      <c r="AH49" s="31">
        <f t="shared" si="50"/>
        <v>100</v>
      </c>
      <c r="AI49" s="31">
        <f t="shared" si="51"/>
        <v>91.161257551883978</v>
      </c>
      <c r="AJ49" s="31">
        <f t="shared" si="52"/>
        <v>88.09540995511297</v>
      </c>
      <c r="AK49" s="7" cm="1">
        <f t="array" ref="AK49">_xlfn.IFS(AZ49=0,0,AZ49&gt;0,(LOG(0.01*AZ49/10^-CD49)))</f>
        <v>0</v>
      </c>
      <c r="AL49" s="8" cm="1">
        <f t="array" ref="AL49">_xlfn.IFS(BA49=0,0,BA49&gt;0,(LOG(0.01*BA49/10^-CE49)))</f>
        <v>7.5689863259802888</v>
      </c>
      <c r="AM49" s="8" cm="1">
        <f t="array" ref="AM49">_xlfn.IFS(BB49=0,0,BB49&gt;0,(LOG(0.01*BB49/10^-CF49)))</f>
        <v>7.0581743529864891</v>
      </c>
      <c r="AN49" s="8" cm="1">
        <f t="array" ref="AN49">_xlfn.IFS(BC49=0,0,BC49&gt;0,(LOG(0.01*BC49/10^-CG49)))</f>
        <v>7.3666303434103364</v>
      </c>
      <c r="AO49" s="8" cm="1">
        <f t="array" ref="AO49">_xlfn.IFS(BD49=0,0,BD49&gt;0,(LOG(0.01*BD49/10^-CH49)))</f>
        <v>7.5342409274763948</v>
      </c>
      <c r="AP49" s="8" cm="1">
        <f t="array" ref="AP49">_xlfn.IFS(BE49=0,0,BE49&gt;0,(LOG(0.01*BE49/10^-CI49)))</f>
        <v>6.9917158605907748</v>
      </c>
      <c r="AQ49" s="8" cm="1">
        <f t="array" ref="AQ49">_xlfn.IFS(BF49=0,0,BF49&gt;0,(LOG(0.01*BF49/10^-CJ49)))</f>
        <v>0</v>
      </c>
      <c r="AR49" s="8" cm="1">
        <f t="array" ref="AR49">_xlfn.IFS(BG49=0,0,BG49&gt;0,(LOG(0.01*BG49/10^-CK49)))</f>
        <v>0</v>
      </c>
      <c r="AS49" s="8" cm="1">
        <f t="array" ref="AS49">_xlfn.IFS(BH49=0,0,BH49&gt;0,(LOG(0.01*BH49/10^-CL49)))</f>
        <v>3.6213097486847663</v>
      </c>
      <c r="AT49" s="8" cm="1">
        <f t="array" ref="AT49">_xlfn.IFS(BI49=0,0,BI49&gt;0,(LOG(0.01*BI49/10^-CM49)))</f>
        <v>7.5742014371682638</v>
      </c>
      <c r="AU49" s="8" cm="1">
        <f t="array" ref="AU49">_xlfn.IFS(BJ49=0,0,BJ49&gt;0,(LOG(0.01*BJ49/10^-CN49)))</f>
        <v>6.9047372796354587</v>
      </c>
      <c r="AV49" s="8" cm="1">
        <f t="array" ref="AV49">_xlfn.IFS(BK49=0,0,BK49&gt;0,(LOG(0.01*BK49/10^-CO49)))</f>
        <v>6.6725238068994406</v>
      </c>
      <c r="AW49" s="8" cm="1">
        <f t="array" ref="AW49">_xlfn.IFS(BL49=0,0,BL49&gt;0,(LOG(0.01*BL49/10^-CP49)))</f>
        <v>0</v>
      </c>
      <c r="AX49" s="8" cm="1">
        <f t="array" ref="AX49">_xlfn.IFS(BM49=0,0,BM49&gt;0,(LOG(0.01*BM49/10^-CQ49)))</f>
        <v>4.2226052820548929</v>
      </c>
      <c r="AY49" s="8" cm="1">
        <f t="array" ref="AY49">_xlfn.IFS(BN49=0,0,BN49&gt;0,(LOG(0.01*BN49/10^-CR49)))</f>
        <v>5.067714455628292</v>
      </c>
      <c r="AZ49" s="32">
        <f t="shared" si="72"/>
        <v>0</v>
      </c>
      <c r="BA49" s="31">
        <f t="shared" si="54"/>
        <v>60.671722643553629</v>
      </c>
      <c r="BB49" s="31">
        <f t="shared" si="55"/>
        <v>33.976164680390035</v>
      </c>
      <c r="BC49" s="31">
        <f t="shared" si="56"/>
        <v>23.261105092091007</v>
      </c>
      <c r="BD49" s="31">
        <f t="shared" si="57"/>
        <v>32.827735644637052</v>
      </c>
      <c r="BE49" s="31">
        <f t="shared" si="58"/>
        <v>7.3066088840736727</v>
      </c>
      <c r="BF49" s="31">
        <f t="shared" si="59"/>
        <v>0</v>
      </c>
      <c r="BG49" s="31">
        <f t="shared" si="60"/>
        <v>0</v>
      </c>
      <c r="BH49" s="31">
        <f t="shared" si="61"/>
        <v>2.4395501405810682</v>
      </c>
      <c r="BI49" s="31">
        <f t="shared" si="62"/>
        <v>39.737582005623246</v>
      </c>
      <c r="BJ49" s="31">
        <f t="shared" si="63"/>
        <v>7.3406966864910785</v>
      </c>
      <c r="BK49" s="31">
        <f t="shared" si="64"/>
        <v>32.101387708864344</v>
      </c>
      <c r="BL49" s="31">
        <f t="shared" si="65"/>
        <v>0</v>
      </c>
      <c r="BM49" s="31">
        <f t="shared" si="66"/>
        <v>8.3484390735146015</v>
      </c>
      <c r="BN49" s="31">
        <f t="shared" si="67"/>
        <v>8.1604565290365887</v>
      </c>
      <c r="BO49" s="132"/>
      <c r="BP49" s="133">
        <v>560</v>
      </c>
      <c r="BQ49" s="133">
        <v>313.60000000000002</v>
      </c>
      <c r="BR49" s="133">
        <v>214.7</v>
      </c>
      <c r="BS49" s="133">
        <v>303</v>
      </c>
      <c r="BT49" s="133">
        <v>67.44</v>
      </c>
      <c r="BU49" s="133"/>
      <c r="BV49" s="133"/>
      <c r="BW49" s="172">
        <v>26.03</v>
      </c>
      <c r="BX49" s="133">
        <v>424</v>
      </c>
      <c r="BY49" s="133">
        <v>51.84</v>
      </c>
      <c r="BZ49" s="133">
        <v>226.7</v>
      </c>
      <c r="CA49" s="133"/>
      <c r="CB49" s="133">
        <v>248.7</v>
      </c>
      <c r="CC49" s="133">
        <v>243.1</v>
      </c>
      <c r="CD49" s="36"/>
      <c r="CE49" s="34">
        <v>7.7859999999999996</v>
      </c>
      <c r="CF49" s="34">
        <v>7.5270000000000001</v>
      </c>
      <c r="CG49" s="34">
        <v>8</v>
      </c>
      <c r="CH49" s="34">
        <v>8.0180000000000007</v>
      </c>
      <c r="CI49" s="34">
        <v>8.1280000000000001</v>
      </c>
      <c r="CJ49" s="34"/>
      <c r="CK49" s="34"/>
      <c r="CL49" s="38">
        <v>5.234</v>
      </c>
      <c r="CM49" s="34">
        <v>7.9749999999999996</v>
      </c>
      <c r="CN49" s="34">
        <v>8.0389999999999997</v>
      </c>
      <c r="CO49" s="34">
        <v>7.1660000000000004</v>
      </c>
      <c r="CP49" s="34"/>
      <c r="CQ49" s="34">
        <v>5.3010000000000002</v>
      </c>
      <c r="CR49" s="34">
        <v>6.1559999999999997</v>
      </c>
      <c r="CS49" s="168" t="str">
        <f>IF(VLOOKUP($A49,'B-Ligands'!$A:$G,3,FALSE)="","",VLOOKUP($A49,'B-Ligands'!$A:$G,3,FALSE))</f>
        <v/>
      </c>
      <c r="CT49" s="169" t="str">
        <f>IF(VLOOKUP($A49,'B-Ligands'!$A:$G,4,FALSE)="","",VLOOKUP($A49,'B-Ligands'!$A:$G,4,FALSE))</f>
        <v>WIN55212-2</v>
      </c>
      <c r="CU49" s="132">
        <v>17.646062658046599</v>
      </c>
      <c r="CV49" s="133">
        <v>16.788050591396214</v>
      </c>
      <c r="CW49" s="133">
        <v>5.6180917008959534</v>
      </c>
      <c r="CX49" s="133">
        <v>16.349151409591176</v>
      </c>
      <c r="CY49" s="133">
        <v>14.260369500480481</v>
      </c>
      <c r="CZ49" s="133">
        <v>8.8226707368834205</v>
      </c>
      <c r="DA49" s="133">
        <v>12.262987127035389</v>
      </c>
      <c r="DB49" s="133">
        <v>11.353750228861363</v>
      </c>
      <c r="DC49" s="133">
        <v>14.590137743729299</v>
      </c>
      <c r="DD49" s="133">
        <v>12.900168742818897</v>
      </c>
      <c r="DE49" s="133">
        <v>8.0556112506060913</v>
      </c>
      <c r="DF49" s="133">
        <v>10.625493577649943</v>
      </c>
      <c r="DG49" s="133">
        <v>9.5727162120476343</v>
      </c>
      <c r="DH49" s="133">
        <v>14.640723636620416</v>
      </c>
      <c r="DI49" s="133">
        <v>25.815430401345328</v>
      </c>
      <c r="DJ49" s="66">
        <f t="shared" si="73"/>
        <v>0</v>
      </c>
      <c r="DK49" s="67">
        <f t="shared" si="74"/>
        <v>33.357059353097078</v>
      </c>
      <c r="DL49" s="67">
        <f t="shared" si="75"/>
        <v>55.819665590361971</v>
      </c>
      <c r="DM49" s="67">
        <f t="shared" si="76"/>
        <v>13.132180051500834</v>
      </c>
      <c r="DN49" s="67">
        <f t="shared" si="77"/>
        <v>21.247696280926725</v>
      </c>
      <c r="DO49" s="67">
        <f t="shared" si="78"/>
        <v>7.643943881761925</v>
      </c>
      <c r="DP49" s="67">
        <f t="shared" si="79"/>
        <v>0</v>
      </c>
      <c r="DQ49" s="67">
        <f t="shared" si="80"/>
        <v>0</v>
      </c>
      <c r="DR49" s="67">
        <f t="shared" si="81"/>
        <v>1.7840818542777257</v>
      </c>
      <c r="DS49" s="67">
        <f t="shared" si="82"/>
        <v>32.86778711604272</v>
      </c>
      <c r="DT49" s="67">
        <f t="shared" si="83"/>
        <v>6.4352658522467356</v>
      </c>
      <c r="DU49" s="67">
        <f t="shared" si="84"/>
        <v>21.335479462041103</v>
      </c>
      <c r="DV49" s="67">
        <f t="shared" si="85"/>
        <v>0</v>
      </c>
      <c r="DW49" s="67">
        <f t="shared" si="86"/>
        <v>16.986865278840035</v>
      </c>
      <c r="DX49" s="67">
        <f t="shared" si="87"/>
        <v>9.4168486142044436</v>
      </c>
    </row>
    <row r="50" spans="1:128" s="28" customFormat="1">
      <c r="A50" s="33" t="s">
        <v>187</v>
      </c>
      <c r="B50" s="205" t="s">
        <v>5559</v>
      </c>
      <c r="C50" t="str">
        <f>IF(VLOOKUP($A50,'B-Ligands'!$A:$G,5,FALSE)="","",VLOOKUP($A50,'B-Ligands'!$A:$G,5,FALSE))</f>
        <v>Guide To Pharmacology</v>
      </c>
      <c r="D50" s="19">
        <f>IF(VLOOKUP($A50,'B-Ligands'!$A:$G,6,FALSE)="","",VLOOKUP($A50,'B-Ligands'!$A:$G,6,FALSE))</f>
        <v>1697</v>
      </c>
      <c r="E50" t="str">
        <f>IF(VLOOKUP($A50,'B-Ligands'!$A:$G,7,FALSE)="","",VLOOKUP($A50,'B-Ligands'!$A:$G,7,FALSE))</f>
        <v>Phys</v>
      </c>
      <c r="F50" s="20" t="str">
        <f t="shared" si="68"/>
        <v/>
      </c>
      <c r="G50" s="19">
        <f t="shared" si="69"/>
        <v>1</v>
      </c>
      <c r="H50" s="19">
        <f t="shared" si="70"/>
        <v>1</v>
      </c>
      <c r="I50" s="19">
        <f t="shared" si="71"/>
        <v>1</v>
      </c>
      <c r="J50" s="189">
        <f t="shared" si="26"/>
        <v>3</v>
      </c>
      <c r="K50" s="147" t="str">
        <f t="shared" si="27"/>
        <v>Gq/11</v>
      </c>
      <c r="L50" s="20">
        <f t="shared" si="28"/>
        <v>0</v>
      </c>
      <c r="M50" s="19">
        <f t="shared" si="29"/>
        <v>2</v>
      </c>
      <c r="N50" s="19">
        <f t="shared" si="30"/>
        <v>1</v>
      </c>
      <c r="O50" s="19">
        <f t="shared" si="31"/>
        <v>3</v>
      </c>
      <c r="P50" s="20">
        <f t="shared" si="32"/>
        <v>0</v>
      </c>
      <c r="Q50" s="19">
        <f t="shared" si="33"/>
        <v>92.19731942661268</v>
      </c>
      <c r="R50" s="19">
        <f t="shared" si="34"/>
        <v>100</v>
      </c>
      <c r="S50" s="19">
        <f t="shared" si="35"/>
        <v>72.787314524647272</v>
      </c>
      <c r="T50" s="20">
        <f t="shared" si="36"/>
        <v>0</v>
      </c>
      <c r="U50" s="21">
        <f t="shared" si="37"/>
        <v>8.4339665919326006</v>
      </c>
      <c r="V50" s="21">
        <f t="shared" si="38"/>
        <v>9.1477351449961386</v>
      </c>
      <c r="W50" s="21">
        <f t="shared" si="39"/>
        <v>6.658390751870038</v>
      </c>
      <c r="X50" s="147" t="str">
        <f t="shared" si="40"/>
        <v>Gq</v>
      </c>
      <c r="Y50" s="32">
        <f t="shared" si="41"/>
        <v>0</v>
      </c>
      <c r="Z50" s="31">
        <f t="shared" si="42"/>
        <v>73.552817792322031</v>
      </c>
      <c r="AA50" s="31">
        <f t="shared" si="43"/>
        <v>69.061707245620497</v>
      </c>
      <c r="AB50" s="31">
        <f t="shared" si="44"/>
        <v>77.756728111138557</v>
      </c>
      <c r="AC50" s="31">
        <f t="shared" si="45"/>
        <v>83.112521963669323</v>
      </c>
      <c r="AD50" s="31">
        <f t="shared" si="46"/>
        <v>92.19731942661268</v>
      </c>
      <c r="AE50" s="31">
        <f t="shared" si="47"/>
        <v>100</v>
      </c>
      <c r="AF50" s="31">
        <f t="shared" si="48"/>
        <v>99.672416504103595</v>
      </c>
      <c r="AG50" s="31">
        <f t="shared" si="49"/>
        <v>94.086939764235794</v>
      </c>
      <c r="AH50" s="31">
        <f t="shared" si="50"/>
        <v>79.035760806477512</v>
      </c>
      <c r="AI50" s="31">
        <f t="shared" si="51"/>
        <v>72.787314524647272</v>
      </c>
      <c r="AJ50" s="31">
        <f t="shared" si="52"/>
        <v>66.040641932563872</v>
      </c>
      <c r="AK50" s="7" cm="1">
        <f t="array" ref="AK50">_xlfn.IFS(AZ50=0,0,AZ50&gt;0,(LOG(0.01*AZ50/10^-CD50)))</f>
        <v>0</v>
      </c>
      <c r="AL50" s="8" cm="1">
        <f t="array" ref="AL50">_xlfn.IFS(BA50=0,0,BA50&gt;0,(LOG(0.01*BA50/10^-CE50)))</f>
        <v>6.7284169633232151</v>
      </c>
      <c r="AM50" s="8" cm="1">
        <f t="array" ref="AM50">_xlfn.IFS(BB50=0,0,BB50&gt;0,(LOG(0.01*BB50/10^-CF50)))</f>
        <v>6.3175820654419708</v>
      </c>
      <c r="AN50" s="8" cm="1">
        <f t="array" ref="AN50">_xlfn.IFS(BC50=0,0,BC50&gt;0,(LOG(0.01*BC50/10^-CG50)))</f>
        <v>7.1129795450217133</v>
      </c>
      <c r="AO50" s="8" cm="1">
        <f t="array" ref="AO50">_xlfn.IFS(BD50=0,0,BD50&gt;0,(LOG(0.01*BD50/10^-CH50)))</f>
        <v>7.6029133815632131</v>
      </c>
      <c r="AP50" s="8" cm="1">
        <f t="array" ref="AP50">_xlfn.IFS(BE50=0,0,BE50&gt;0,(LOG(0.01*BE50/10^-CI50)))</f>
        <v>8.4339665919326006</v>
      </c>
      <c r="AQ50" s="8" cm="1">
        <f t="array" ref="AQ50">_xlfn.IFS(BF50=0,0,BF50&gt;0,(LOG(0.01*BF50/10^-CJ50)))</f>
        <v>9.1477351449961386</v>
      </c>
      <c r="AR50" s="8" cm="1">
        <f t="array" ref="AR50">_xlfn.IFS(BG50=0,0,BG50&gt;0,(LOG(0.01*BG50/10^-CK50)))</f>
        <v>9.1177686744128152</v>
      </c>
      <c r="AS50" s="8" cm="1">
        <f t="array" ref="AS50">_xlfn.IFS(BH50=0,0,BH50&gt;0,(LOG(0.01*BH50/10^-CL50)))</f>
        <v>8.6068240556643456</v>
      </c>
      <c r="AT50" s="8" cm="1">
        <f t="array" ref="AT50">_xlfn.IFS(BI50=0,0,BI50&gt;0,(LOG(0.01*BI50/10^-CM50)))</f>
        <v>7.2299820684092264</v>
      </c>
      <c r="AU50" s="8" cm="1">
        <f t="array" ref="AU50">_xlfn.IFS(BJ50=0,0,BJ50&gt;0,(LOG(0.01*BJ50/10^-CN50)))</f>
        <v>6.658390751870038</v>
      </c>
      <c r="AV50" s="8" cm="1">
        <f t="array" ref="AV50">_xlfn.IFS(BK50=0,0,BK50&gt;0,(LOG(0.01*BK50/10^-CO50)))</f>
        <v>6.0412230120462027</v>
      </c>
      <c r="AW50" s="8" cm="1">
        <f t="array" ref="AW50">_xlfn.IFS(BL50=0,0,BL50&gt;0,(LOG(0.01*BL50/10^-CP50)))</f>
        <v>7.9278276111950614</v>
      </c>
      <c r="AX50" s="8" cm="1">
        <f t="array" ref="AX50">_xlfn.IFS(BM50=0,0,BM50&gt;0,(LOG(0.01*BM50/10^-CQ50)))</f>
        <v>7.7352926710945047</v>
      </c>
      <c r="AY50" s="8" cm="1">
        <f t="array" ref="AY50">_xlfn.IFS(BN50=0,0,BN50&gt;0,(LOG(0.01*BN50/10^-CR50)))</f>
        <v>8.0203929707897039</v>
      </c>
      <c r="AZ50" s="32">
        <f t="shared" si="72"/>
        <v>0</v>
      </c>
      <c r="BA50" s="31">
        <f t="shared" si="54"/>
        <v>14.669555796316359</v>
      </c>
      <c r="BB50" s="31">
        <f t="shared" si="55"/>
        <v>5.206933911159263</v>
      </c>
      <c r="BC50" s="31">
        <f t="shared" si="56"/>
        <v>13.001083423618635</v>
      </c>
      <c r="BD50" s="31">
        <f t="shared" si="57"/>
        <v>18.277356446370529</v>
      </c>
      <c r="BE50" s="31">
        <f t="shared" si="58"/>
        <v>15.666305525460455</v>
      </c>
      <c r="BF50" s="31">
        <f t="shared" si="59"/>
        <v>39.878163074039364</v>
      </c>
      <c r="BG50" s="31">
        <f t="shared" si="60"/>
        <v>54.798500468603571</v>
      </c>
      <c r="BH50" s="31">
        <f t="shared" si="61"/>
        <v>57.919400187441425</v>
      </c>
      <c r="BI50" s="31">
        <f t="shared" si="62"/>
        <v>37.066541705716965</v>
      </c>
      <c r="BJ50" s="31">
        <f t="shared" si="63"/>
        <v>10.242141036533559</v>
      </c>
      <c r="BK50" s="31">
        <f t="shared" si="64"/>
        <v>42.778249787595584</v>
      </c>
      <c r="BL50" s="31">
        <f t="shared" si="65"/>
        <v>28.630412890231622</v>
      </c>
      <c r="BM50" s="31">
        <f t="shared" si="66"/>
        <v>21.295736824437732</v>
      </c>
      <c r="BN50" s="31">
        <f t="shared" si="67"/>
        <v>28.999664316884861</v>
      </c>
      <c r="BO50" s="132"/>
      <c r="BP50" s="133">
        <v>135.4</v>
      </c>
      <c r="BQ50" s="133">
        <v>48.06</v>
      </c>
      <c r="BR50" s="133">
        <v>120</v>
      </c>
      <c r="BS50" s="133">
        <v>168.7</v>
      </c>
      <c r="BT50" s="133">
        <v>144.6</v>
      </c>
      <c r="BU50" s="133">
        <v>425.5</v>
      </c>
      <c r="BV50" s="133">
        <v>584.70000000000005</v>
      </c>
      <c r="BW50" s="133">
        <v>618</v>
      </c>
      <c r="BX50" s="133">
        <v>395.5</v>
      </c>
      <c r="BY50" s="133">
        <v>72.33</v>
      </c>
      <c r="BZ50" s="133">
        <v>302.10000000000002</v>
      </c>
      <c r="CA50" s="133">
        <v>852.9</v>
      </c>
      <c r="CB50" s="133">
        <v>634.4</v>
      </c>
      <c r="CC50" s="133">
        <v>863.9</v>
      </c>
      <c r="CD50" s="36"/>
      <c r="CE50" s="34">
        <v>7.5620000000000003</v>
      </c>
      <c r="CF50" s="34">
        <v>7.601</v>
      </c>
      <c r="CG50" s="34">
        <v>7.9989999999999997</v>
      </c>
      <c r="CH50" s="34">
        <v>8.3409999999999993</v>
      </c>
      <c r="CI50" s="34">
        <v>9.2390000000000008</v>
      </c>
      <c r="CJ50" s="34">
        <v>9.5470000000000006</v>
      </c>
      <c r="CK50" s="34">
        <v>9.3789999999999996</v>
      </c>
      <c r="CL50" s="34">
        <v>8.8439999999999994</v>
      </c>
      <c r="CM50" s="34">
        <v>7.6609999999999996</v>
      </c>
      <c r="CN50" s="34">
        <v>7.6479999999999997</v>
      </c>
      <c r="CO50" s="34">
        <v>6.41</v>
      </c>
      <c r="CP50" s="34">
        <v>8.4710000000000001</v>
      </c>
      <c r="CQ50" s="34">
        <v>8.407</v>
      </c>
      <c r="CR50" s="34">
        <v>8.5579999999999998</v>
      </c>
      <c r="CS50" s="168" t="str">
        <f>IF(VLOOKUP($A50,'B-Ligands'!$A:$G,3,FALSE)="","",VLOOKUP($A50,'B-Ligands'!$A:$G,3,FALSE))</f>
        <v/>
      </c>
      <c r="CT50" s="169" t="str">
        <f>IF(VLOOKUP($A50,'B-Ligands'!$A:$G,4,FALSE)="","",VLOOKUP($A50,'B-Ligands'!$A:$G,4,FALSE))</f>
        <v>Orexin-A</v>
      </c>
      <c r="CU50" s="132">
        <v>11.37268881066006</v>
      </c>
      <c r="CV50" s="133">
        <v>6.8685341136426734</v>
      </c>
      <c r="CW50" s="133">
        <v>1.7443275514931764</v>
      </c>
      <c r="CX50" s="133">
        <v>2.9700769484410716</v>
      </c>
      <c r="CY50" s="133">
        <v>15.123306222560503</v>
      </c>
      <c r="CZ50" s="133">
        <v>8.9767978464889566</v>
      </c>
      <c r="DA50" s="133">
        <v>2.1975896307443001</v>
      </c>
      <c r="DB50" s="133">
        <v>4.3904312605373752</v>
      </c>
      <c r="DC50" s="133">
        <v>2.9384298845258741</v>
      </c>
      <c r="DD50" s="133">
        <v>6.245069997114153</v>
      </c>
      <c r="DE50" s="133">
        <v>4.9880572052116001</v>
      </c>
      <c r="DF50" s="133">
        <v>8.9410075509901965</v>
      </c>
      <c r="DG50" s="133">
        <v>8.8652193462193978</v>
      </c>
      <c r="DH50" s="133">
        <v>5.9441550782757107</v>
      </c>
      <c r="DI50" s="133">
        <v>5.988108197876663</v>
      </c>
      <c r="DJ50" s="66">
        <f t="shared" si="73"/>
        <v>0</v>
      </c>
      <c r="DK50" s="67">
        <f t="shared" si="74"/>
        <v>19.713085464780733</v>
      </c>
      <c r="DL50" s="67">
        <f t="shared" si="75"/>
        <v>27.552164706026549</v>
      </c>
      <c r="DM50" s="67">
        <f t="shared" si="76"/>
        <v>40.402993620412893</v>
      </c>
      <c r="DN50" s="67">
        <f t="shared" si="77"/>
        <v>11.154968200560424</v>
      </c>
      <c r="DO50" s="67">
        <f t="shared" si="78"/>
        <v>16.108193865205127</v>
      </c>
      <c r="DP50" s="67">
        <f t="shared" si="79"/>
        <v>193.62122665999644</v>
      </c>
      <c r="DQ50" s="67">
        <f t="shared" si="80"/>
        <v>133.17598324690195</v>
      </c>
      <c r="DR50" s="67">
        <f t="shared" si="81"/>
        <v>210.31640171319469</v>
      </c>
      <c r="DS50" s="67">
        <f t="shared" si="82"/>
        <v>63.329954697507084</v>
      </c>
      <c r="DT50" s="67">
        <f t="shared" si="83"/>
        <v>14.500635623109632</v>
      </c>
      <c r="DU50" s="67">
        <f t="shared" si="84"/>
        <v>33.788138336438728</v>
      </c>
      <c r="DV50" s="67">
        <f t="shared" si="85"/>
        <v>96.207433419424873</v>
      </c>
      <c r="DW50" s="67">
        <f t="shared" si="86"/>
        <v>106.72669061387067</v>
      </c>
      <c r="DX50" s="67">
        <f t="shared" si="87"/>
        <v>144.26927026908635</v>
      </c>
    </row>
    <row r="51" spans="1:128" s="28" customFormat="1">
      <c r="A51" s="33" t="s">
        <v>112</v>
      </c>
      <c r="B51" s="205" t="s">
        <v>5559</v>
      </c>
      <c r="C51" t="str">
        <f>IF(VLOOKUP($A51,'B-Ligands'!$A:$G,5,FALSE)="","",VLOOKUP($A51,'B-Ligands'!$A:$G,5,FALSE))</f>
        <v>Guide To Pharmacology</v>
      </c>
      <c r="D51" s="19">
        <f>IF(VLOOKUP($A51,'B-Ligands'!$A:$G,6,FALSE)="","",VLOOKUP($A51,'B-Ligands'!$A:$G,6,FALSE))</f>
        <v>989</v>
      </c>
      <c r="E51" t="str">
        <f>IF(VLOOKUP($A51,'B-Ligands'!$A:$G,7,FALSE)="","",VLOOKUP($A51,'B-Ligands'!$A:$G,7,FALSE))</f>
        <v>Phys</v>
      </c>
      <c r="F51" s="20">
        <f t="shared" si="68"/>
        <v>1</v>
      </c>
      <c r="G51" s="19">
        <f t="shared" si="69"/>
        <v>1</v>
      </c>
      <c r="H51" s="19">
        <f t="shared" si="70"/>
        <v>1</v>
      </c>
      <c r="I51" s="19">
        <f t="shared" si="71"/>
        <v>1</v>
      </c>
      <c r="J51" s="189">
        <f t="shared" si="26"/>
        <v>4</v>
      </c>
      <c r="K51" s="147" t="str">
        <f t="shared" si="27"/>
        <v>G12/13</v>
      </c>
      <c r="L51" s="20">
        <f t="shared" si="28"/>
        <v>4</v>
      </c>
      <c r="M51" s="19">
        <f t="shared" si="29"/>
        <v>2</v>
      </c>
      <c r="N51" s="19">
        <f t="shared" si="30"/>
        <v>3</v>
      </c>
      <c r="O51" s="19">
        <f t="shared" si="31"/>
        <v>1</v>
      </c>
      <c r="P51" s="20">
        <f t="shared" si="32"/>
        <v>78.483355573336055</v>
      </c>
      <c r="Q51" s="19">
        <f t="shared" si="33"/>
        <v>96.066495241946029</v>
      </c>
      <c r="R51" s="19">
        <f t="shared" si="34"/>
        <v>92.900473004242102</v>
      </c>
      <c r="S51" s="19">
        <f t="shared" si="35"/>
        <v>100</v>
      </c>
      <c r="T51" s="20">
        <f t="shared" si="36"/>
        <v>8.1210014184564638</v>
      </c>
      <c r="U51" s="21">
        <f t="shared" si="37"/>
        <v>9.9404025022476876</v>
      </c>
      <c r="V51" s="21">
        <f t="shared" si="38"/>
        <v>9.6128009248758683</v>
      </c>
      <c r="W51" s="21">
        <f t="shared" si="39"/>
        <v>10.347418709522524</v>
      </c>
      <c r="X51" s="147" t="str">
        <f t="shared" si="40"/>
        <v>G12</v>
      </c>
      <c r="Y51" s="32">
        <f t="shared" si="41"/>
        <v>78.483355573336055</v>
      </c>
      <c r="Z51" s="31">
        <f t="shared" si="42"/>
        <v>90.169467236628918</v>
      </c>
      <c r="AA51" s="31">
        <f t="shared" si="43"/>
        <v>89.612895066859863</v>
      </c>
      <c r="AB51" s="31">
        <f t="shared" si="44"/>
        <v>90.508961720445797</v>
      </c>
      <c r="AC51" s="31">
        <f t="shared" si="45"/>
        <v>93.211089615901983</v>
      </c>
      <c r="AD51" s="31">
        <f t="shared" si="46"/>
        <v>96.066495241946029</v>
      </c>
      <c r="AE51" s="31">
        <f t="shared" si="47"/>
        <v>91.626734576649071</v>
      </c>
      <c r="AF51" s="31">
        <f t="shared" si="48"/>
        <v>91.346641461530567</v>
      </c>
      <c r="AG51" s="31">
        <f t="shared" si="49"/>
        <v>92.900473004242102</v>
      </c>
      <c r="AH51" s="31">
        <f t="shared" si="50"/>
        <v>79.279080195043477</v>
      </c>
      <c r="AI51" s="31">
        <f t="shared" si="51"/>
        <v>100</v>
      </c>
      <c r="AJ51" s="31">
        <f t="shared" si="52"/>
        <v>92.33130416926079</v>
      </c>
      <c r="AK51" s="7" cm="1">
        <f t="array" ref="AK51">_xlfn.IFS(AZ51=0,0,AZ51&gt;0,(LOG(0.01*AZ51/10^-CD51)))</f>
        <v>8.1210014184564638</v>
      </c>
      <c r="AL51" s="8" cm="1">
        <f t="array" ref="AL51">_xlfn.IFS(BA51=0,0,BA51&gt;0,(LOG(0.01*BA51/10^-CE51)))</f>
        <v>9.3302123231197225</v>
      </c>
      <c r="AM51" s="8" cm="1">
        <f t="array" ref="AM51">_xlfn.IFS(BB51=0,0,BB51&gt;0,(LOG(0.01*BB51/10^-CF51)))</f>
        <v>9.2726214702930445</v>
      </c>
      <c r="AN51" s="8" cm="1">
        <f t="array" ref="AN51">_xlfn.IFS(BC51=0,0,BC51&gt;0,(LOG(0.01*BC51/10^-CG51)))</f>
        <v>9.3653412388559865</v>
      </c>
      <c r="AO51" s="8" cm="1">
        <f t="array" ref="AO51">_xlfn.IFS(BD51=0,0,BD51&gt;0,(LOG(0.01*BD51/10^-CH51)))</f>
        <v>9.6449417262656478</v>
      </c>
      <c r="AP51" s="8" cm="1">
        <f t="array" ref="AP51">_xlfn.IFS(BE51=0,0,BE51&gt;0,(LOG(0.01*BE51/10^-CI51)))</f>
        <v>9.9404025022476876</v>
      </c>
      <c r="AQ51" s="8" cm="1">
        <f t="array" ref="AQ51">_xlfn.IFS(BF51=0,0,BF51&gt;0,(LOG(0.01*BF51/10^-CJ51)))</f>
        <v>9.4810018765087296</v>
      </c>
      <c r="AR51" s="8" cm="1">
        <f t="array" ref="AR51">_xlfn.IFS(BG51=0,0,BG51&gt;0,(LOG(0.01*BG51/10^-CK51)))</f>
        <v>9.4520194691108728</v>
      </c>
      <c r="AS51" s="8" cm="1">
        <f t="array" ref="AS51">_xlfn.IFS(BH51=0,0,BH51&gt;0,(LOG(0.01*BH51/10^-CL51)))</f>
        <v>9.6128009248758683</v>
      </c>
      <c r="AT51" s="8" cm="1">
        <f t="array" ref="AT51">_xlfn.IFS(BI51=0,0,BI51&gt;0,(LOG(0.01*BI51/10^-CM51)))</f>
        <v>8.2033383768392945</v>
      </c>
      <c r="AU51" s="8" cm="1">
        <f t="array" ref="AU51">_xlfn.IFS(BJ51=0,0,BJ51&gt;0,(LOG(0.01*BJ51/10^-CN51)))</f>
        <v>10.347418709522524</v>
      </c>
      <c r="AV51" s="8" cm="1">
        <f t="array" ref="AV51">_xlfn.IFS(BK51=0,0,BK51&gt;0,(LOG(0.01*BK51/10^-CO51)))</f>
        <v>9.5539066423562407</v>
      </c>
      <c r="AW51" s="8" cm="1">
        <f t="array" ref="AW51">_xlfn.IFS(BL51=0,0,BL51&gt;0,(LOG(0.01*BL51/10^-CP51)))</f>
        <v>7.5273806761869944</v>
      </c>
      <c r="AX51" s="8" cm="1">
        <f t="array" ref="AX51">_xlfn.IFS(BM51=0,0,BM51&gt;0,(LOG(0.01*BM51/10^-CQ51)))</f>
        <v>7.6996025285515728</v>
      </c>
      <c r="AY51" s="8" cm="1">
        <f t="array" ref="AY51">_xlfn.IFS(BN51=0,0,BN51&gt;0,(LOG(0.01*BN51/10^-CR51)))</f>
        <v>8.105861366717166</v>
      </c>
      <c r="AZ51" s="32">
        <f t="shared" si="72"/>
        <v>35.318432333129216</v>
      </c>
      <c r="BA51" s="31">
        <f t="shared" si="54"/>
        <v>90.61755146262189</v>
      </c>
      <c r="BB51" s="31">
        <f t="shared" si="55"/>
        <v>41.939328277356445</v>
      </c>
      <c r="BC51" s="31">
        <f t="shared" si="56"/>
        <v>40.303358613217767</v>
      </c>
      <c r="BD51" s="31">
        <f t="shared" si="57"/>
        <v>50.227518959913326</v>
      </c>
      <c r="BE51" s="31">
        <f t="shared" si="58"/>
        <v>30.227518959913326</v>
      </c>
      <c r="BF51" s="31">
        <f t="shared" si="59"/>
        <v>46.344892221180878</v>
      </c>
      <c r="BG51" s="31">
        <f t="shared" si="60"/>
        <v>59.568884723523901</v>
      </c>
      <c r="BH51" s="31">
        <f t="shared" si="61"/>
        <v>72.577319587628864</v>
      </c>
      <c r="BI51" s="31">
        <f t="shared" si="62"/>
        <v>36.419868791002813</v>
      </c>
      <c r="BJ51" s="31">
        <f t="shared" si="63"/>
        <v>10.409232512036251</v>
      </c>
      <c r="BK51" s="31">
        <f t="shared" si="64"/>
        <v>55.7065986972529</v>
      </c>
      <c r="BL51" s="31">
        <f t="shared" si="65"/>
        <v>19.741524001342732</v>
      </c>
      <c r="BM51" s="31">
        <f t="shared" si="66"/>
        <v>14.243034575360859</v>
      </c>
      <c r="BN51" s="31">
        <f t="shared" si="67"/>
        <v>53.071500503524675</v>
      </c>
      <c r="BO51" s="134">
        <v>23.07</v>
      </c>
      <c r="BP51" s="135">
        <v>836.4</v>
      </c>
      <c r="BQ51" s="135">
        <v>387.1</v>
      </c>
      <c r="BR51" s="135">
        <v>372</v>
      </c>
      <c r="BS51" s="135">
        <v>463.6</v>
      </c>
      <c r="BT51" s="135">
        <v>279</v>
      </c>
      <c r="BU51" s="135">
        <v>494.5</v>
      </c>
      <c r="BV51" s="135">
        <v>635.6</v>
      </c>
      <c r="BW51" s="135">
        <v>774.4</v>
      </c>
      <c r="BX51" s="135">
        <v>388.6</v>
      </c>
      <c r="BY51" s="135">
        <v>73.510000000000005</v>
      </c>
      <c r="BZ51" s="135">
        <v>393.4</v>
      </c>
      <c r="CA51" s="135">
        <v>588.1</v>
      </c>
      <c r="CB51" s="135">
        <v>424.3</v>
      </c>
      <c r="CC51" s="135">
        <v>1581</v>
      </c>
      <c r="CD51" s="30">
        <v>8.5730000000000004</v>
      </c>
      <c r="CE51" s="29">
        <v>9.3729999999999993</v>
      </c>
      <c r="CF51" s="29">
        <v>9.65</v>
      </c>
      <c r="CG51" s="29">
        <v>9.76</v>
      </c>
      <c r="CH51" s="29">
        <v>9.9440000000000008</v>
      </c>
      <c r="CI51" s="29">
        <v>10.46</v>
      </c>
      <c r="CJ51" s="29">
        <v>9.8149999999999995</v>
      </c>
      <c r="CK51" s="29">
        <v>9.6769999999999996</v>
      </c>
      <c r="CL51" s="29">
        <v>9.7520000000000007</v>
      </c>
      <c r="CM51" s="29">
        <v>8.6419999999999995</v>
      </c>
      <c r="CN51" s="29">
        <v>11.33</v>
      </c>
      <c r="CO51" s="29">
        <v>9.8079999999999998</v>
      </c>
      <c r="CP51" s="29">
        <v>8.2319999999999993</v>
      </c>
      <c r="CQ51" s="29">
        <v>8.5459999999999994</v>
      </c>
      <c r="CR51" s="29">
        <v>8.3810000000000002</v>
      </c>
      <c r="CS51" s="168" t="str">
        <f>IF(VLOOKUP($A51,'B-Ligands'!$A:$G,3,FALSE)="","",VLOOKUP($A51,'B-Ligands'!$A:$G,3,FALSE))</f>
        <v/>
      </c>
      <c r="CT51" s="169" t="str">
        <f>IF(VLOOKUP($A51,'B-Ligands'!$A:$G,4,FALSE)="","",VLOOKUP($A51,'B-Ligands'!$A:$G,4,FALSE))</f>
        <v>Endothelin-1</v>
      </c>
      <c r="CU51" s="134">
        <v>9.4812740092414298</v>
      </c>
      <c r="CV51" s="135">
        <v>28.987366975177466</v>
      </c>
      <c r="CW51" s="135">
        <v>8.3532505995441539</v>
      </c>
      <c r="CX51" s="135">
        <v>9.5279642549712733</v>
      </c>
      <c r="CY51" s="135">
        <v>22.876809863059837</v>
      </c>
      <c r="CZ51" s="135">
        <v>33.859330436205568</v>
      </c>
      <c r="DA51" s="135">
        <v>4.1448230013721199</v>
      </c>
      <c r="DB51" s="135">
        <v>6.0113550490603807</v>
      </c>
      <c r="DC51" s="135">
        <v>5.2929998687947597</v>
      </c>
      <c r="DD51" s="135">
        <v>21.631969868849566</v>
      </c>
      <c r="DE51" s="135">
        <v>9.0599052063932568</v>
      </c>
      <c r="DF51" s="135">
        <v>10.748892162515578</v>
      </c>
      <c r="DG51" s="135">
        <v>22.213476561541874</v>
      </c>
      <c r="DH51" s="135">
        <v>14.307065524451044</v>
      </c>
      <c r="DI51" s="135">
        <v>18.991108835162741</v>
      </c>
      <c r="DJ51" s="66">
        <f t="shared" si="73"/>
        <v>2.4332173057664606</v>
      </c>
      <c r="DK51" s="67">
        <f t="shared" si="74"/>
        <v>28.853948712079578</v>
      </c>
      <c r="DL51" s="67">
        <f t="shared" si="75"/>
        <v>46.341241099737211</v>
      </c>
      <c r="DM51" s="67">
        <f t="shared" si="76"/>
        <v>39.042967631402135</v>
      </c>
      <c r="DN51" s="67">
        <f t="shared" si="77"/>
        <v>20.265063301006613</v>
      </c>
      <c r="DO51" s="67">
        <f t="shared" si="78"/>
        <v>8.2399739275903414</v>
      </c>
      <c r="DP51" s="67">
        <f t="shared" si="79"/>
        <v>119.30545642993648</v>
      </c>
      <c r="DQ51" s="67">
        <f t="shared" si="80"/>
        <v>105.73323232660313</v>
      </c>
      <c r="DR51" s="67">
        <f t="shared" si="81"/>
        <v>146.30644609789766</v>
      </c>
      <c r="DS51" s="67">
        <f t="shared" si="82"/>
        <v>17.964152241150778</v>
      </c>
      <c r="DT51" s="67">
        <f t="shared" si="83"/>
        <v>8.1137714275560615</v>
      </c>
      <c r="DU51" s="67">
        <f t="shared" si="84"/>
        <v>36.599120546757078</v>
      </c>
      <c r="DV51" s="67">
        <f t="shared" si="85"/>
        <v>26.474919329744889</v>
      </c>
      <c r="DW51" s="67">
        <f t="shared" si="86"/>
        <v>29.65667552684814</v>
      </c>
      <c r="DX51" s="67">
        <f t="shared" si="87"/>
        <v>83.249483414718782</v>
      </c>
    </row>
    <row r="52" spans="1:128" s="28" customFormat="1">
      <c r="A52" s="33" t="s">
        <v>154</v>
      </c>
      <c r="B52" s="205" t="s">
        <v>5559</v>
      </c>
      <c r="C52" t="str">
        <f>IF(VLOOKUP($A52,'B-Ligands'!$A:$G,5,FALSE)="","",VLOOKUP($A52,'B-Ligands'!$A:$G,5,FALSE))</f>
        <v>Guide To Pharmacology</v>
      </c>
      <c r="D52" s="19">
        <f>IF(VLOOKUP($A52,'B-Ligands'!$A:$G,6,FALSE)="","",VLOOKUP($A52,'B-Ligands'!$A:$G,6,FALSE))</f>
        <v>911</v>
      </c>
      <c r="E52" t="str">
        <f>IF(VLOOKUP($A52,'B-Ligands'!$A:$G,7,FALSE)="","",VLOOKUP($A52,'B-Ligands'!$A:$G,7,FALSE))</f>
        <v>Phys</v>
      </c>
      <c r="F52" s="20" t="str">
        <f t="shared" si="68"/>
        <v/>
      </c>
      <c r="G52" s="19">
        <f t="shared" si="69"/>
        <v>1</v>
      </c>
      <c r="H52" s="19">
        <f t="shared" si="70"/>
        <v>1</v>
      </c>
      <c r="I52" s="19">
        <f t="shared" si="71"/>
        <v>1</v>
      </c>
      <c r="J52" s="189">
        <f t="shared" si="26"/>
        <v>3</v>
      </c>
      <c r="K52" s="147" t="str">
        <f t="shared" si="27"/>
        <v>Gi/o</v>
      </c>
      <c r="L52" s="20">
        <f t="shared" si="28"/>
        <v>0</v>
      </c>
      <c r="M52" s="19">
        <f t="shared" si="29"/>
        <v>1</v>
      </c>
      <c r="N52" s="19">
        <f t="shared" si="30"/>
        <v>3</v>
      </c>
      <c r="O52" s="19">
        <f t="shared" si="31"/>
        <v>2</v>
      </c>
      <c r="P52" s="20">
        <f t="shared" si="32"/>
        <v>0</v>
      </c>
      <c r="Q52" s="19">
        <f t="shared" si="33"/>
        <v>100</v>
      </c>
      <c r="R52" s="19">
        <f t="shared" si="34"/>
        <v>78.76358842316445</v>
      </c>
      <c r="S52" s="19">
        <f t="shared" si="35"/>
        <v>86.193492748403528</v>
      </c>
      <c r="T52" s="20">
        <f t="shared" si="36"/>
        <v>0</v>
      </c>
      <c r="U52" s="21">
        <f t="shared" si="37"/>
        <v>7.3053840739358717</v>
      </c>
      <c r="V52" s="21">
        <f t="shared" si="38"/>
        <v>5.7539826447262534</v>
      </c>
      <c r="W52" s="21">
        <f t="shared" si="39"/>
        <v>6.2967656920109425</v>
      </c>
      <c r="X52" s="147" t="str">
        <f t="shared" si="40"/>
        <v>Gi1</v>
      </c>
      <c r="Y52" s="32">
        <f t="shared" si="41"/>
        <v>0</v>
      </c>
      <c r="Z52" s="31">
        <f t="shared" si="42"/>
        <v>100</v>
      </c>
      <c r="AA52" s="31">
        <f t="shared" si="43"/>
        <v>95.58665614141222</v>
      </c>
      <c r="AB52" s="31">
        <f t="shared" si="44"/>
        <v>90.593070596471335</v>
      </c>
      <c r="AC52" s="31">
        <f t="shared" si="45"/>
        <v>95.428430295620544</v>
      </c>
      <c r="AD52" s="31">
        <f t="shared" si="46"/>
        <v>0</v>
      </c>
      <c r="AE52" s="31">
        <f t="shared" si="47"/>
        <v>0</v>
      </c>
      <c r="AF52" s="31">
        <f t="shared" si="48"/>
        <v>0</v>
      </c>
      <c r="AG52" s="31">
        <f t="shared" si="49"/>
        <v>0</v>
      </c>
      <c r="AH52" s="31">
        <f t="shared" si="50"/>
        <v>78.76358842316445</v>
      </c>
      <c r="AI52" s="31">
        <f t="shared" si="51"/>
        <v>86.193492748403528</v>
      </c>
      <c r="AJ52" s="31">
        <f t="shared" si="52"/>
        <v>85.630082214619193</v>
      </c>
      <c r="AK52" s="7" cm="1">
        <f t="array" ref="AK52">_xlfn.IFS(AZ52=0,0,AZ52&gt;0,(LOG(0.01*AZ52/10^-CD52)))</f>
        <v>0</v>
      </c>
      <c r="AL52" s="8" cm="1">
        <f t="array" ref="AL52">_xlfn.IFS(BA52=0,0,BA52&gt;0,(LOG(0.01*BA52/10^-CE52)))</f>
        <v>7.3053840739358717</v>
      </c>
      <c r="AM52" s="8" cm="1">
        <f t="array" ref="AM52">_xlfn.IFS(BB52=0,0,BB52&gt;0,(LOG(0.01*BB52/10^-CF52)))</f>
        <v>6.9829723545625733</v>
      </c>
      <c r="AN52" s="8" cm="1">
        <f t="array" ref="AN52">_xlfn.IFS(BC52=0,0,BC52&gt;0,(LOG(0.01*BC52/10^-CG52)))</f>
        <v>6.6181717514440983</v>
      </c>
      <c r="AO52" s="8" cm="1">
        <f t="array" ref="AO52">_xlfn.IFS(BD52=0,0,BD52&gt;0,(LOG(0.01*BD52/10^-CH52)))</f>
        <v>6.9714133488232584</v>
      </c>
      <c r="AP52" s="8" cm="1">
        <f t="array" ref="AP52">_xlfn.IFS(BE52=0,0,BE52&gt;0,(LOG(0.01*BE52/10^-CI52)))</f>
        <v>0</v>
      </c>
      <c r="AQ52" s="8" cm="1">
        <f t="array" ref="AQ52">_xlfn.IFS(BF52=0,0,BF52&gt;0,(LOG(0.01*BF52/10^-CJ52)))</f>
        <v>0</v>
      </c>
      <c r="AR52" s="8" cm="1">
        <f t="array" ref="AR52">_xlfn.IFS(BG52=0,0,BG52&gt;0,(LOG(0.01*BG52/10^-CK52)))</f>
        <v>0</v>
      </c>
      <c r="AS52" s="8" cm="1">
        <f t="array" ref="AS52">_xlfn.IFS(BH52=0,0,BH52&gt;0,(LOG(0.01*BH52/10^-CL52)))</f>
        <v>0</v>
      </c>
      <c r="AT52" s="8" cm="1">
        <f t="array" ref="AT52">_xlfn.IFS(BI52=0,0,BI52&gt;0,(LOG(0.01*BI52/10^-CM52)))</f>
        <v>5.7539826447262534</v>
      </c>
      <c r="AU52" s="8" cm="1">
        <f t="array" ref="AU52">_xlfn.IFS(BJ52=0,0,BJ52&gt;0,(LOG(0.01*BJ52/10^-CN52)))</f>
        <v>6.2967656920109425</v>
      </c>
      <c r="AV52" s="8" cm="1">
        <f t="array" ref="AV52">_xlfn.IFS(BK52=0,0,BK52&gt;0,(LOG(0.01*BK52/10^-CO52)))</f>
        <v>6.255606388604984</v>
      </c>
      <c r="AW52" s="8" cm="1">
        <f t="array" ref="AW52">_xlfn.IFS(BL52=0,0,BL52&gt;0,(LOG(0.01*BL52/10^-CP52)))</f>
        <v>6.4734478758250704</v>
      </c>
      <c r="AX52" s="8" cm="1">
        <f t="array" ref="AX52">_xlfn.IFS(BM52=0,0,BM52&gt;0,(LOG(0.01*BM52/10^-CQ52)))</f>
        <v>5.7157199571366739</v>
      </c>
      <c r="AY52" s="8" cm="1">
        <f t="array" ref="AY52">_xlfn.IFS(BN52=0,0,BN52&gt;0,(LOG(0.01*BN52/10^-CR52)))</f>
        <v>6.7308626552443984</v>
      </c>
      <c r="AZ52" s="32">
        <f t="shared" si="72"/>
        <v>0</v>
      </c>
      <c r="BA52" s="31">
        <f t="shared" si="54"/>
        <v>14.268689057421449</v>
      </c>
      <c r="BB52" s="31">
        <f t="shared" si="55"/>
        <v>10.8136511375948</v>
      </c>
      <c r="BC52" s="31">
        <f t="shared" si="56"/>
        <v>7.4160346695557964</v>
      </c>
      <c r="BD52" s="31">
        <f t="shared" si="57"/>
        <v>6.4182015167930659</v>
      </c>
      <c r="BE52" s="31">
        <f t="shared" si="58"/>
        <v>0</v>
      </c>
      <c r="BF52" s="31">
        <f t="shared" si="59"/>
        <v>0</v>
      </c>
      <c r="BG52" s="31">
        <f t="shared" si="60"/>
        <v>0</v>
      </c>
      <c r="BH52" s="31">
        <f t="shared" si="61"/>
        <v>0</v>
      </c>
      <c r="BI52" s="31">
        <f t="shared" si="62"/>
        <v>35.154639175257735</v>
      </c>
      <c r="BJ52" s="31">
        <f t="shared" si="63"/>
        <v>13.02463891248938</v>
      </c>
      <c r="BK52" s="31">
        <f t="shared" si="64"/>
        <v>24.808836023789294</v>
      </c>
      <c r="BL52" s="31">
        <f t="shared" si="65"/>
        <v>16.012084592145015</v>
      </c>
      <c r="BM52" s="31">
        <f t="shared" si="66"/>
        <v>7.6334340382678754</v>
      </c>
      <c r="BN52" s="31">
        <f t="shared" si="67"/>
        <v>18.700906344410875</v>
      </c>
      <c r="BO52" s="134"/>
      <c r="BP52" s="135">
        <v>131.69999999999999</v>
      </c>
      <c r="BQ52" s="135">
        <v>99.81</v>
      </c>
      <c r="BR52" s="135">
        <v>68.45</v>
      </c>
      <c r="BS52" s="135">
        <v>59.24</v>
      </c>
      <c r="BT52" s="135"/>
      <c r="BU52" s="135"/>
      <c r="BV52" s="135"/>
      <c r="BW52" s="135"/>
      <c r="BX52" s="135">
        <v>375.1</v>
      </c>
      <c r="BY52" s="135">
        <v>91.98</v>
      </c>
      <c r="BZ52" s="135">
        <v>175.2</v>
      </c>
      <c r="CA52" s="135">
        <v>477</v>
      </c>
      <c r="CB52" s="135">
        <v>227.4</v>
      </c>
      <c r="CC52" s="135">
        <v>557.1</v>
      </c>
      <c r="CD52" s="30"/>
      <c r="CE52" s="29">
        <v>8.1509999999999998</v>
      </c>
      <c r="CF52" s="29">
        <v>7.9489999999999998</v>
      </c>
      <c r="CG52" s="29">
        <v>7.7480000000000002</v>
      </c>
      <c r="CH52" s="29">
        <v>8.1639999999999997</v>
      </c>
      <c r="CI52" s="29"/>
      <c r="CJ52" s="29"/>
      <c r="CK52" s="29"/>
      <c r="CL52" s="29"/>
      <c r="CM52" s="29">
        <v>6.2080000000000002</v>
      </c>
      <c r="CN52" s="29">
        <v>7.1820000000000004</v>
      </c>
      <c r="CO52" s="29">
        <v>6.8609999999999998</v>
      </c>
      <c r="CP52" s="29">
        <v>7.2690000000000001</v>
      </c>
      <c r="CQ52" s="29">
        <v>6.8330000000000002</v>
      </c>
      <c r="CR52" s="29">
        <v>7.4589999999999996</v>
      </c>
      <c r="CS52" s="168" t="str">
        <f>IF(VLOOKUP($A52,'B-Ligands'!$A:$G,3,FALSE)="","",VLOOKUP($A52,'B-Ligands'!$A:$G,3,FALSE))</f>
        <v/>
      </c>
      <c r="CT52" s="169" t="str">
        <f>IF(VLOOKUP($A52,'B-Ligands'!$A:$G,4,FALSE)="","",VLOOKUP($A52,'B-Ligands'!$A:$G,4,FALSE))</f>
        <v>Sphingosine 1-phosphate</v>
      </c>
      <c r="CU52" s="134">
        <v>4.3360321487854243</v>
      </c>
      <c r="CV52" s="135">
        <v>11.62940357936464</v>
      </c>
      <c r="CW52" s="135">
        <v>9.3605555524655752</v>
      </c>
      <c r="CX52" s="135">
        <v>4.6367657782724452</v>
      </c>
      <c r="CY52" s="135">
        <v>6.8283920362670001</v>
      </c>
      <c r="CZ52" s="135">
        <v>3.3362449383749433</v>
      </c>
      <c r="DA52" s="135">
        <v>6.1882802490544977</v>
      </c>
      <c r="DB52" s="135">
        <v>3.331731199575704</v>
      </c>
      <c r="DC52" s="135">
        <v>3.5464921682503681</v>
      </c>
      <c r="DD52" s="135">
        <v>3.7910153769908201</v>
      </c>
      <c r="DE52" s="135">
        <v>3.7747036099705551</v>
      </c>
      <c r="DF52" s="135">
        <v>6.3640154107174345</v>
      </c>
      <c r="DG52" s="135">
        <v>2.6575065753787719</v>
      </c>
      <c r="DH52" s="135">
        <v>2.9550731154064596</v>
      </c>
      <c r="DI52" s="135">
        <v>9.9612986141446775</v>
      </c>
      <c r="DJ52" s="66">
        <f t="shared" si="73"/>
        <v>0</v>
      </c>
      <c r="DK52" s="67">
        <f t="shared" si="74"/>
        <v>11.324742417030752</v>
      </c>
      <c r="DL52" s="67">
        <f t="shared" si="75"/>
        <v>10.662828658039425</v>
      </c>
      <c r="DM52" s="67">
        <f t="shared" si="76"/>
        <v>14.762445047526843</v>
      </c>
      <c r="DN52" s="67">
        <f t="shared" si="77"/>
        <v>8.6755417212960424</v>
      </c>
      <c r="DO52" s="67">
        <f t="shared" si="78"/>
        <v>0</v>
      </c>
      <c r="DP52" s="67">
        <f t="shared" si="79"/>
        <v>0</v>
      </c>
      <c r="DQ52" s="67">
        <f t="shared" si="80"/>
        <v>0</v>
      </c>
      <c r="DR52" s="67">
        <f t="shared" si="81"/>
        <v>0</v>
      </c>
      <c r="DS52" s="67">
        <f t="shared" si="82"/>
        <v>98.9444680906944</v>
      </c>
      <c r="DT52" s="67">
        <f t="shared" si="83"/>
        <v>24.367476099856621</v>
      </c>
      <c r="DU52" s="67">
        <f t="shared" si="84"/>
        <v>27.529788772187963</v>
      </c>
      <c r="DV52" s="67">
        <f t="shared" si="85"/>
        <v>179.49155965193185</v>
      </c>
      <c r="DW52" s="67">
        <f t="shared" si="86"/>
        <v>76.952410691443063</v>
      </c>
      <c r="DX52" s="67">
        <f t="shared" si="87"/>
        <v>55.926443085336132</v>
      </c>
    </row>
    <row r="53" spans="1:128" s="28" customFormat="1">
      <c r="A53" s="33" t="s">
        <v>135</v>
      </c>
      <c r="B53" s="205" t="s">
        <v>5559</v>
      </c>
      <c r="C53" t="str">
        <f>IF(VLOOKUP($A53,'B-Ligands'!$A:$G,5,FALSE)="","",VLOOKUP($A53,'B-Ligands'!$A:$G,5,FALSE))</f>
        <v>Guide To Pharmacology</v>
      </c>
      <c r="D53" s="19">
        <f>IF(VLOOKUP($A53,'B-Ligands'!$A:$G,6,FALSE)="","",VLOOKUP($A53,'B-Ligands'!$A:$G,6,FALSE))</f>
        <v>1204</v>
      </c>
      <c r="E53" t="str">
        <f>IF(VLOOKUP($A53,'B-Ligands'!$A:$G,7,FALSE)="","",VLOOKUP($A53,'B-Ligands'!$A:$G,7,FALSE))</f>
        <v>Phys</v>
      </c>
      <c r="F53" s="20">
        <f t="shared" si="68"/>
        <v>1</v>
      </c>
      <c r="G53" s="19">
        <f t="shared" si="69"/>
        <v>1</v>
      </c>
      <c r="H53" s="19">
        <f t="shared" si="70"/>
        <v>1</v>
      </c>
      <c r="I53" s="19">
        <f t="shared" si="71"/>
        <v>1</v>
      </c>
      <c r="J53" s="189">
        <f t="shared" si="26"/>
        <v>4</v>
      </c>
      <c r="K53" s="147" t="str">
        <f t="shared" si="27"/>
        <v>Gq/11</v>
      </c>
      <c r="L53" s="20">
        <f t="shared" si="28"/>
        <v>4</v>
      </c>
      <c r="M53" s="19">
        <f t="shared" si="29"/>
        <v>2</v>
      </c>
      <c r="N53" s="19">
        <f t="shared" si="30"/>
        <v>1</v>
      </c>
      <c r="O53" s="19">
        <f t="shared" si="31"/>
        <v>3</v>
      </c>
      <c r="P53" s="20">
        <f t="shared" si="32"/>
        <v>67.663287878216281</v>
      </c>
      <c r="Q53" s="19">
        <f t="shared" si="33"/>
        <v>83.080986624306718</v>
      </c>
      <c r="R53" s="19">
        <f t="shared" si="34"/>
        <v>100</v>
      </c>
      <c r="S53" s="19">
        <f t="shared" si="35"/>
        <v>71.139157658250113</v>
      </c>
      <c r="T53" s="20">
        <f t="shared" si="36"/>
        <v>5.5098873499854024</v>
      </c>
      <c r="U53" s="21">
        <f t="shared" si="37"/>
        <v>6.7653655561267634</v>
      </c>
      <c r="V53" s="21">
        <f t="shared" si="38"/>
        <v>8.1430972729294044</v>
      </c>
      <c r="W53" s="21">
        <f t="shared" si="39"/>
        <v>5.7929308072539154</v>
      </c>
      <c r="X53" s="147" t="str">
        <f t="shared" si="40"/>
        <v>G15</v>
      </c>
      <c r="Y53" s="32">
        <f t="shared" si="41"/>
        <v>67.663287878216281</v>
      </c>
      <c r="Z53" s="31">
        <f t="shared" si="42"/>
        <v>78.680135890052313</v>
      </c>
      <c r="AA53" s="31">
        <f t="shared" si="43"/>
        <v>74.659171304664</v>
      </c>
      <c r="AB53" s="31">
        <f t="shared" si="44"/>
        <v>73.195785385005522</v>
      </c>
      <c r="AC53" s="31">
        <f t="shared" si="45"/>
        <v>74.770010799159564</v>
      </c>
      <c r="AD53" s="31">
        <f t="shared" si="46"/>
        <v>83.080986624306718</v>
      </c>
      <c r="AE53" s="31">
        <f t="shared" si="47"/>
        <v>92.325379613357171</v>
      </c>
      <c r="AF53" s="31">
        <f t="shared" si="48"/>
        <v>94.839694689673635</v>
      </c>
      <c r="AG53" s="31">
        <f t="shared" si="49"/>
        <v>95.264108556608747</v>
      </c>
      <c r="AH53" s="31">
        <f t="shared" si="50"/>
        <v>100</v>
      </c>
      <c r="AI53" s="31">
        <f t="shared" si="51"/>
        <v>71.139157658250113</v>
      </c>
      <c r="AJ53" s="31">
        <f t="shared" si="52"/>
        <v>66.956868949822564</v>
      </c>
      <c r="AK53" s="7" cm="1">
        <f t="array" ref="AK53">_xlfn.IFS(AZ53=0,0,AZ53&gt;0,(LOG(0.01*AZ53/10^-CD53)))</f>
        <v>5.5098873499854024</v>
      </c>
      <c r="AL53" s="8" cm="1">
        <f t="array" ref="AL53">_xlfn.IFS(BA53=0,0,BA53&gt;0,(LOG(0.01*BA53/10^-CE53)))</f>
        <v>6.407</v>
      </c>
      <c r="AM53" s="8" cm="1">
        <f t="array" ref="AM53">_xlfn.IFS(BB53=0,0,BB53&gt;0,(LOG(0.01*BB53/10^-CF53)))</f>
        <v>6.079568942501786</v>
      </c>
      <c r="AN53" s="8" cm="1">
        <f t="array" ref="AN53">_xlfn.IFS(BC53=0,0,BC53&gt;0,(LOG(0.01*BC53/10^-CG53)))</f>
        <v>5.9604040035856443</v>
      </c>
      <c r="AO53" s="8" cm="1">
        <f t="array" ref="AO53">_xlfn.IFS(BD53=0,0,BD53&gt;0,(LOG(0.01*BD53/10^-CH53)))</f>
        <v>6.088594710355383</v>
      </c>
      <c r="AP53" s="8" cm="1">
        <f t="array" ref="AP53">_xlfn.IFS(BE53=0,0,BE53&gt;0,(LOG(0.01*BE53/10^-CI53)))</f>
        <v>6.7653655561267634</v>
      </c>
      <c r="AQ53" s="8" cm="1">
        <f t="array" ref="AQ53">_xlfn.IFS(BF53=0,0,BF53&gt;0,(LOG(0.01*BF53/10^-CJ53)))</f>
        <v>7.518145469517008</v>
      </c>
      <c r="AR53" s="8" cm="1">
        <f t="array" ref="AR53">_xlfn.IFS(BG53=0,0,BG53&gt;0,(LOG(0.01*BG53/10^-CK53)))</f>
        <v>7.7228885919293875</v>
      </c>
      <c r="AS53" s="8" cm="1">
        <f t="array" ref="AS53">_xlfn.IFS(BH53=0,0,BH53&gt;0,(LOG(0.01*BH53/10^-CL53)))</f>
        <v>7.757449025953715</v>
      </c>
      <c r="AT53" s="8" cm="1">
        <f t="array" ref="AT53">_xlfn.IFS(BI53=0,0,BI53&gt;0,(LOG(0.01*BI53/10^-CM53)))</f>
        <v>8.1430972729294044</v>
      </c>
      <c r="AU53" s="8" cm="1">
        <f t="array" ref="AU53">_xlfn.IFS(BJ53=0,0,BJ53&gt;0,(LOG(0.01*BJ53/10^-CN53)))</f>
        <v>5.7929308072539154</v>
      </c>
      <c r="AV53" s="8" cm="1">
        <f t="array" ref="AV53">_xlfn.IFS(BK53=0,0,BK53&gt;0,(LOG(0.01*BK53/10^-CO53)))</f>
        <v>5.452362969491916</v>
      </c>
      <c r="AW53" s="8" cm="1">
        <f t="array" ref="AW53">_xlfn.IFS(BL53=0,0,BL53&gt;0,(LOG(0.01*BL53/10^-CP53)))</f>
        <v>3.424303668858022</v>
      </c>
      <c r="AX53" s="8" cm="1">
        <f t="array" ref="AX53">_xlfn.IFS(BM53=0,0,BM53&gt;0,(LOG(0.01*BM53/10^-CQ53)))</f>
        <v>4.0755221036071676</v>
      </c>
      <c r="AY53" s="8" cm="1">
        <f t="array" ref="AY53">_xlfn.IFS(BN53=0,0,BN53&gt;0,(LOG(0.01*BN53/10^-CR53)))</f>
        <v>5.0642504497077017</v>
      </c>
      <c r="AZ53" s="32">
        <f t="shared" si="72"/>
        <v>49.418248622167795</v>
      </c>
      <c r="BA53" s="31">
        <f t="shared" si="54"/>
        <v>100</v>
      </c>
      <c r="BB53" s="31">
        <f t="shared" si="55"/>
        <v>49.609967497291443</v>
      </c>
      <c r="BC53" s="31">
        <f t="shared" si="56"/>
        <v>35.027085590465873</v>
      </c>
      <c r="BD53" s="31">
        <f t="shared" si="57"/>
        <v>52.795232936078008</v>
      </c>
      <c r="BE53" s="31">
        <f t="shared" si="58"/>
        <v>37.356446370530875</v>
      </c>
      <c r="BF53" s="31">
        <f t="shared" si="59"/>
        <v>44.273664479850048</v>
      </c>
      <c r="BG53" s="31">
        <f t="shared" si="60"/>
        <v>49.990627928772255</v>
      </c>
      <c r="BH53" s="31">
        <f t="shared" si="61"/>
        <v>39.943767572633554</v>
      </c>
      <c r="BI53" s="31">
        <f t="shared" si="62"/>
        <v>34.601686972820993</v>
      </c>
      <c r="BJ53" s="31">
        <f t="shared" si="63"/>
        <v>10.254885301614273</v>
      </c>
      <c r="BK53" s="31">
        <f t="shared" si="64"/>
        <v>54.120645709430754</v>
      </c>
      <c r="BL53" s="31">
        <f t="shared" si="65"/>
        <v>12.980866062437059</v>
      </c>
      <c r="BM53" s="31">
        <f t="shared" si="66"/>
        <v>32.547834843907353</v>
      </c>
      <c r="BN53" s="31">
        <f t="shared" si="67"/>
        <v>34.138972809667671</v>
      </c>
      <c r="BO53" s="134">
        <v>32.28</v>
      </c>
      <c r="BP53" s="135">
        <v>923</v>
      </c>
      <c r="BQ53" s="135">
        <v>457.9</v>
      </c>
      <c r="BR53" s="135">
        <v>323.3</v>
      </c>
      <c r="BS53" s="135">
        <v>487.3</v>
      </c>
      <c r="BT53" s="135">
        <v>344.8</v>
      </c>
      <c r="BU53" s="135">
        <v>472.4</v>
      </c>
      <c r="BV53" s="135">
        <v>533.4</v>
      </c>
      <c r="BW53" s="135">
        <v>426.2</v>
      </c>
      <c r="BX53" s="135">
        <v>369.2</v>
      </c>
      <c r="BY53" s="135">
        <v>72.42</v>
      </c>
      <c r="BZ53" s="135">
        <v>382.2</v>
      </c>
      <c r="CA53" s="135">
        <v>386.7</v>
      </c>
      <c r="CB53" s="135">
        <v>969.6</v>
      </c>
      <c r="CC53" s="135">
        <v>1017</v>
      </c>
      <c r="CD53" s="30">
        <v>5.8159999999999998</v>
      </c>
      <c r="CE53" s="29">
        <v>6.407</v>
      </c>
      <c r="CF53" s="29">
        <v>6.3840000000000003</v>
      </c>
      <c r="CG53" s="29">
        <v>6.4160000000000004</v>
      </c>
      <c r="CH53" s="29">
        <v>6.3659999999999997</v>
      </c>
      <c r="CI53" s="29">
        <v>7.1929999999999996</v>
      </c>
      <c r="CJ53" s="29">
        <v>7.8719999999999999</v>
      </c>
      <c r="CK53" s="29">
        <v>8.0239999999999991</v>
      </c>
      <c r="CL53" s="29">
        <v>8.1560000000000006</v>
      </c>
      <c r="CM53" s="29">
        <v>8.6039999999999992</v>
      </c>
      <c r="CN53" s="29">
        <v>6.782</v>
      </c>
      <c r="CO53" s="29">
        <v>5.7190000000000003</v>
      </c>
      <c r="CP53" s="29">
        <v>4.3109999999999999</v>
      </c>
      <c r="CQ53" s="29">
        <v>4.5629999999999997</v>
      </c>
      <c r="CR53" s="29">
        <v>5.5309999999999997</v>
      </c>
      <c r="CS53" s="168" t="str">
        <f>IF(VLOOKUP($A53,'B-Ligands'!$A:$G,3,FALSE)="","",VLOOKUP($A53,'B-Ligands'!$A:$G,3,FALSE))</f>
        <v/>
      </c>
      <c r="CT53" s="169" t="str">
        <f>IF(VLOOKUP($A53,'B-Ligands'!$A:$G,4,FALSE)="","",VLOOKUP($A53,'B-Ligands'!$A:$G,4,FALSE))</f>
        <v>Histamine</v>
      </c>
      <c r="CU53" s="134">
        <v>11.051974073212369</v>
      </c>
      <c r="CV53" s="135">
        <v>23.750346726362508</v>
      </c>
      <c r="CW53" s="135">
        <v>9.4249631281497717</v>
      </c>
      <c r="CX53" s="135">
        <v>7.4133243848498598</v>
      </c>
      <c r="CY53" s="135">
        <v>11.667531426933509</v>
      </c>
      <c r="CZ53" s="135">
        <v>20.818407004959873</v>
      </c>
      <c r="DA53" s="135">
        <v>13.822749008947863</v>
      </c>
      <c r="DB53" s="135">
        <v>13.594343183408499</v>
      </c>
      <c r="DC53" s="135">
        <v>15.414685413534386</v>
      </c>
      <c r="DD53" s="135">
        <v>8.8729738593480505</v>
      </c>
      <c r="DE53" s="135">
        <v>23.553307520993854</v>
      </c>
      <c r="DF53" s="135">
        <v>19.953313730658657</v>
      </c>
      <c r="DG53" s="135">
        <v>15.805882602514084</v>
      </c>
      <c r="DH53" s="135">
        <v>12.953273532400988</v>
      </c>
      <c r="DI53" s="135">
        <v>7.9450200133319848</v>
      </c>
      <c r="DJ53" s="66">
        <f t="shared" si="73"/>
        <v>2.9207451796543609</v>
      </c>
      <c r="DK53" s="67">
        <f t="shared" si="74"/>
        <v>38.862590539593455</v>
      </c>
      <c r="DL53" s="67">
        <f t="shared" si="75"/>
        <v>48.583744442710724</v>
      </c>
      <c r="DM53" s="67">
        <f t="shared" si="76"/>
        <v>43.610664152334635</v>
      </c>
      <c r="DN53" s="67">
        <f t="shared" si="77"/>
        <v>41.765475675095175</v>
      </c>
      <c r="DO53" s="67">
        <f t="shared" si="78"/>
        <v>16.562266263593237</v>
      </c>
      <c r="DP53" s="67">
        <f t="shared" si="79"/>
        <v>34.175546390533597</v>
      </c>
      <c r="DQ53" s="67">
        <f t="shared" si="80"/>
        <v>39.23690852905635</v>
      </c>
      <c r="DR53" s="67">
        <f t="shared" si="81"/>
        <v>27.648958675847403</v>
      </c>
      <c r="DS53" s="67">
        <f t="shared" si="82"/>
        <v>41.609499346268478</v>
      </c>
      <c r="DT53" s="67">
        <f t="shared" si="83"/>
        <v>3.0747274001942029</v>
      </c>
      <c r="DU53" s="67">
        <f t="shared" si="84"/>
        <v>19.154713104758244</v>
      </c>
      <c r="DV53" s="67">
        <f t="shared" si="85"/>
        <v>24.465574604387577</v>
      </c>
      <c r="DW53" s="67">
        <f t="shared" si="86"/>
        <v>74.853665181598089</v>
      </c>
      <c r="DX53" s="67">
        <f t="shared" si="87"/>
        <v>128.00471217107611</v>
      </c>
    </row>
    <row r="54" spans="1:128" s="28" customFormat="1">
      <c r="A54" s="33" t="s">
        <v>210</v>
      </c>
      <c r="B54" s="205" t="s">
        <v>5559</v>
      </c>
      <c r="C54" t="str">
        <f>IF(VLOOKUP($A54,'B-Ligands'!$A:$G,5,FALSE)="","",VLOOKUP($A54,'B-Ligands'!$A:$G,5,FALSE))</f>
        <v>Guide To Pharmacology</v>
      </c>
      <c r="D54" s="19">
        <f>IF(VLOOKUP($A54,'B-Ligands'!$A:$G,6,FALSE)="","",VLOOKUP($A54,'B-Ligands'!$A:$G,6,FALSE))</f>
        <v>3742</v>
      </c>
      <c r="E54" t="str">
        <f>IF(VLOOKUP($A54,'B-Ligands'!$A:$G,7,FALSE)="","",VLOOKUP($A54,'B-Ligands'!$A:$G,7,FALSE))</f>
        <v>Phys</v>
      </c>
      <c r="F54" s="20" t="str">
        <f t="shared" si="68"/>
        <v/>
      </c>
      <c r="G54" s="19">
        <f t="shared" si="69"/>
        <v>1</v>
      </c>
      <c r="H54" s="19">
        <f t="shared" si="70"/>
        <v>1</v>
      </c>
      <c r="I54" s="19">
        <f t="shared" si="71"/>
        <v>1</v>
      </c>
      <c r="J54" s="189">
        <f t="shared" si="26"/>
        <v>3</v>
      </c>
      <c r="K54" s="147" t="str">
        <f t="shared" si="27"/>
        <v>G12/13</v>
      </c>
      <c r="L54" s="20">
        <f t="shared" si="28"/>
        <v>0</v>
      </c>
      <c r="M54" s="19">
        <f t="shared" si="29"/>
        <v>3</v>
      </c>
      <c r="N54" s="19">
        <f t="shared" si="30"/>
        <v>2</v>
      </c>
      <c r="O54" s="19">
        <f t="shared" si="31"/>
        <v>1</v>
      </c>
      <c r="P54" s="20">
        <f t="shared" si="32"/>
        <v>0</v>
      </c>
      <c r="Q54" s="19">
        <f t="shared" si="33"/>
        <v>85.646514815681201</v>
      </c>
      <c r="R54" s="19">
        <f t="shared" si="34"/>
        <v>93.21441120615593</v>
      </c>
      <c r="S54" s="19">
        <f t="shared" si="35"/>
        <v>100</v>
      </c>
      <c r="T54" s="20">
        <f t="shared" si="36"/>
        <v>0</v>
      </c>
      <c r="U54" s="21">
        <f t="shared" si="37"/>
        <v>5.6051607910693377</v>
      </c>
      <c r="V54" s="21">
        <f t="shared" si="38"/>
        <v>6.1004439466075882</v>
      </c>
      <c r="W54" s="21">
        <f t="shared" si="39"/>
        <v>6.5445287565199051</v>
      </c>
      <c r="X54" s="147" t="str">
        <f t="shared" si="40"/>
        <v>G13</v>
      </c>
      <c r="Y54" s="32">
        <f t="shared" si="41"/>
        <v>0</v>
      </c>
      <c r="Z54" s="31">
        <f t="shared" si="42"/>
        <v>57.948911066794786</v>
      </c>
      <c r="AA54" s="31">
        <f t="shared" si="43"/>
        <v>66.040428719563337</v>
      </c>
      <c r="AB54" s="31">
        <f t="shared" si="44"/>
        <v>73.103805905799405</v>
      </c>
      <c r="AC54" s="31">
        <f t="shared" si="45"/>
        <v>82.245546193748737</v>
      </c>
      <c r="AD54" s="31">
        <f t="shared" si="46"/>
        <v>85.646514815681201</v>
      </c>
      <c r="AE54" s="31">
        <f t="shared" si="47"/>
        <v>92.729090858357651</v>
      </c>
      <c r="AF54" s="31">
        <f t="shared" si="48"/>
        <v>93.21441120615593</v>
      </c>
      <c r="AG54" s="31">
        <f t="shared" si="49"/>
        <v>81.344469286862576</v>
      </c>
      <c r="AH54" s="31">
        <f t="shared" si="50"/>
        <v>87.31915532530175</v>
      </c>
      <c r="AI54" s="31">
        <f t="shared" si="51"/>
        <v>0</v>
      </c>
      <c r="AJ54" s="31">
        <f t="shared" si="52"/>
        <v>100</v>
      </c>
      <c r="AK54" s="7" cm="1">
        <f t="array" ref="AK54">_xlfn.IFS(AZ54=0,0,AZ54&gt;0,(LOG(0.01*AZ54/10^-CD54)))</f>
        <v>0</v>
      </c>
      <c r="AL54" s="8" cm="1">
        <f t="array" ref="AL54">_xlfn.IFS(BA54=0,0,BA54&gt;0,(LOG(0.01*BA54/10^-CE54)))</f>
        <v>3.79248314885653</v>
      </c>
      <c r="AM54" s="8" cm="1">
        <f t="array" ref="AM54">_xlfn.IFS(BB54=0,0,BB54&gt;0,(LOG(0.01*BB54/10^-CF54)))</f>
        <v>4.3220348484808531</v>
      </c>
      <c r="AN54" s="8" cm="1">
        <f t="array" ref="AN54">_xlfn.IFS(BC54=0,0,BC54&gt;0,(LOG(0.01*BC54/10^-CG54)))</f>
        <v>4.7842995996155384</v>
      </c>
      <c r="AO54" s="8" cm="1">
        <f t="array" ref="AO54">_xlfn.IFS(BD54=0,0,BD54&gt;0,(LOG(0.01*BD54/10^-CH54)))</f>
        <v>5.382583421606749</v>
      </c>
      <c r="AP54" s="8" cm="1">
        <f t="array" ref="AP54">_xlfn.IFS(BE54=0,0,BE54&gt;0,(LOG(0.01*BE54/10^-CI54)))</f>
        <v>5.6051607910693377</v>
      </c>
      <c r="AQ54" s="8" cm="1">
        <f t="array" ref="AQ54">_xlfn.IFS(BF54=0,0,BF54&gt;0,(LOG(0.01*BF54/10^-CJ54)))</f>
        <v>6.0686820168846873</v>
      </c>
      <c r="AR54" s="8" cm="1">
        <f t="array" ref="AR54">_xlfn.IFS(BG54=0,0,BG54&gt;0,(LOG(0.01*BG54/10^-CK54)))</f>
        <v>6.1004439466075882</v>
      </c>
      <c r="AS54" s="8" cm="1">
        <f t="array" ref="AS54">_xlfn.IFS(BH54=0,0,BH54&gt;0,(LOG(0.01*BH54/10^-CL54)))</f>
        <v>5.3236121843172235</v>
      </c>
      <c r="AT54" s="8" cm="1">
        <f t="array" ref="AT54">_xlfn.IFS(BI54=0,0,BI54&gt;0,(LOG(0.01*BI54/10^-CM54)))</f>
        <v>5.7146272302146546</v>
      </c>
      <c r="AU54" s="8" cm="1">
        <f t="array" ref="AU54">_xlfn.IFS(BJ54=0,0,BJ54&gt;0,(LOG(0.01*BJ54/10^-CN54)))</f>
        <v>0</v>
      </c>
      <c r="AV54" s="8" cm="1">
        <f t="array" ref="AV54">_xlfn.IFS(BK54=0,0,BK54&gt;0,(LOG(0.01*BK54/10^-CO54)))</f>
        <v>6.5445287565199051</v>
      </c>
      <c r="AW54" s="8" cm="1">
        <f t="array" ref="AW54">_xlfn.IFS(BL54=0,0,BL54&gt;0,(LOG(0.01*BL54/10^-CP54)))</f>
        <v>4.2567772051578503</v>
      </c>
      <c r="AX54" s="8" cm="1">
        <f t="array" ref="AX54">_xlfn.IFS(BM54=0,0,BM54&gt;0,(LOG(0.01*BM54/10^-CQ54)))</f>
        <v>4.2887895493694481</v>
      </c>
      <c r="AY54" s="8" cm="1">
        <f t="array" ref="AY54">_xlfn.IFS(BN54=0,0,BN54&gt;0,(LOG(0.01*BN54/10^-CR54)))</f>
        <v>4.3745650933870861</v>
      </c>
      <c r="AZ54" s="32">
        <f t="shared" si="72"/>
        <v>0</v>
      </c>
      <c r="BA54" s="31">
        <f t="shared" si="54"/>
        <v>62.15601300108343</v>
      </c>
      <c r="BB54" s="31">
        <f t="shared" si="55"/>
        <v>19.14409534127844</v>
      </c>
      <c r="BC54" s="31">
        <f t="shared" si="56"/>
        <v>7.9122426868905746</v>
      </c>
      <c r="BD54" s="31">
        <f t="shared" si="57"/>
        <v>23.965330444203683</v>
      </c>
      <c r="BE54" s="31">
        <f t="shared" si="58"/>
        <v>15.601300108342361</v>
      </c>
      <c r="BF54" s="31">
        <f t="shared" si="59"/>
        <v>22.268041237113401</v>
      </c>
      <c r="BG54" s="31">
        <f t="shared" si="60"/>
        <v>35.763823805060916</v>
      </c>
      <c r="BH54" s="31">
        <f t="shared" si="61"/>
        <v>37.985004686035616</v>
      </c>
      <c r="BI54" s="31">
        <f t="shared" si="62"/>
        <v>31.162136832239923</v>
      </c>
      <c r="BJ54" s="31">
        <f t="shared" si="63"/>
        <v>0</v>
      </c>
      <c r="BK54" s="31">
        <f t="shared" si="64"/>
        <v>27.386009629000281</v>
      </c>
      <c r="BL54" s="31">
        <f t="shared" si="65"/>
        <v>14.954682779456194</v>
      </c>
      <c r="BM54" s="31">
        <f t="shared" si="66"/>
        <v>14.749916079221215</v>
      </c>
      <c r="BN54" s="31">
        <f t="shared" si="67"/>
        <v>15.760322255790534</v>
      </c>
      <c r="BO54" s="132"/>
      <c r="BP54" s="133">
        <v>573.70000000000005</v>
      </c>
      <c r="BQ54" s="133">
        <v>176.7</v>
      </c>
      <c r="BR54" s="133">
        <v>73.03</v>
      </c>
      <c r="BS54" s="133">
        <v>221.2</v>
      </c>
      <c r="BT54" s="133">
        <v>144</v>
      </c>
      <c r="BU54" s="133">
        <v>237.6</v>
      </c>
      <c r="BV54" s="133">
        <v>381.6</v>
      </c>
      <c r="BW54" s="133">
        <v>405.3</v>
      </c>
      <c r="BX54" s="133">
        <v>332.5</v>
      </c>
      <c r="BY54" s="133"/>
      <c r="BZ54" s="133">
        <v>193.4</v>
      </c>
      <c r="CA54" s="133">
        <v>445.5</v>
      </c>
      <c r="CB54" s="133">
        <v>439.4</v>
      </c>
      <c r="CC54" s="133">
        <v>469.5</v>
      </c>
      <c r="CD54" s="36"/>
      <c r="CE54" s="34">
        <v>3.9990000000000001</v>
      </c>
      <c r="CF54" s="34">
        <v>5.04</v>
      </c>
      <c r="CG54" s="34">
        <v>5.8860000000000001</v>
      </c>
      <c r="CH54" s="34">
        <v>6.0030000000000001</v>
      </c>
      <c r="CI54" s="34">
        <v>6.4119999999999999</v>
      </c>
      <c r="CJ54" s="34">
        <v>6.7210000000000001</v>
      </c>
      <c r="CK54" s="34">
        <v>6.5469999999999997</v>
      </c>
      <c r="CL54" s="34">
        <v>5.7439999999999998</v>
      </c>
      <c r="CM54" s="34">
        <v>6.2210000000000001</v>
      </c>
      <c r="CN54" s="34"/>
      <c r="CO54" s="34">
        <v>7.1070000000000002</v>
      </c>
      <c r="CP54" s="34">
        <v>5.0819999999999999</v>
      </c>
      <c r="CQ54" s="34">
        <v>5.12</v>
      </c>
      <c r="CR54" s="34">
        <v>5.1769999999999996</v>
      </c>
      <c r="CS54" s="168" t="str">
        <f>IF(VLOOKUP($A54,'B-Ligands'!$A:$G,3,FALSE)="","",VLOOKUP($A54,'B-Ligands'!$A:$G,3,FALSE))</f>
        <v/>
      </c>
      <c r="CT54" s="169" t="str">
        <f>IF(VLOOKUP($A54,'B-Ligands'!$A:$G,4,FALSE)="","",VLOOKUP($A54,'B-Ligands'!$A:$G,4,FALSE))</f>
        <v>PAR1 peptide</v>
      </c>
      <c r="CU54" s="132">
        <v>4.5925538432106787</v>
      </c>
      <c r="CV54" s="133">
        <v>8.4048186820969413</v>
      </c>
      <c r="CW54" s="133">
        <v>9.5111570703134163</v>
      </c>
      <c r="CX54" s="133">
        <v>8.0754477711253703</v>
      </c>
      <c r="CY54" s="133">
        <v>2.0313643173668652</v>
      </c>
      <c r="CZ54" s="133">
        <v>4.6117642594424941</v>
      </c>
      <c r="DA54" s="133">
        <v>10.381848075465973</v>
      </c>
      <c r="DB54" s="133">
        <v>8.6527060207648798</v>
      </c>
      <c r="DC54" s="133">
        <v>4.1998965905920675</v>
      </c>
      <c r="DD54" s="133">
        <v>9.9447892606183235</v>
      </c>
      <c r="DE54" s="133">
        <v>11.379519513656101</v>
      </c>
      <c r="DF54" s="133">
        <v>6.0120071957214325</v>
      </c>
      <c r="DG54" s="133">
        <v>12.193311826867324</v>
      </c>
      <c r="DH54" s="133">
        <v>2.903652771662482</v>
      </c>
      <c r="DI54" s="133">
        <v>8.990554235939193</v>
      </c>
      <c r="DJ54" s="66">
        <f t="shared" si="73"/>
        <v>0</v>
      </c>
      <c r="DK54" s="67">
        <f t="shared" si="74"/>
        <v>68.258462401102747</v>
      </c>
      <c r="DL54" s="67">
        <f t="shared" si="75"/>
        <v>18.578181255309381</v>
      </c>
      <c r="DM54" s="67">
        <f t="shared" si="76"/>
        <v>9.0434613745044086</v>
      </c>
      <c r="DN54" s="67">
        <f t="shared" si="77"/>
        <v>108.89233315209957</v>
      </c>
      <c r="DO54" s="67">
        <f t="shared" si="78"/>
        <v>31.224492818591695</v>
      </c>
      <c r="DP54" s="67">
        <f t="shared" si="79"/>
        <v>22.886098724704723</v>
      </c>
      <c r="DQ54" s="67">
        <f t="shared" si="80"/>
        <v>44.101810356694337</v>
      </c>
      <c r="DR54" s="67">
        <f t="shared" si="81"/>
        <v>96.502376012754183</v>
      </c>
      <c r="DS54" s="67">
        <f t="shared" si="82"/>
        <v>33.434594870372003</v>
      </c>
      <c r="DT54" s="67">
        <f t="shared" si="83"/>
        <v>0</v>
      </c>
      <c r="DU54" s="67">
        <f t="shared" si="84"/>
        <v>32.168956839844945</v>
      </c>
      <c r="DV54" s="67">
        <f t="shared" si="85"/>
        <v>36.536423108475262</v>
      </c>
      <c r="DW54" s="67">
        <f t="shared" si="86"/>
        <v>151.32663391718913</v>
      </c>
      <c r="DX54" s="67">
        <f t="shared" si="87"/>
        <v>52.221474636480401</v>
      </c>
    </row>
    <row r="55" spans="1:128" s="28" customFormat="1">
      <c r="A55" s="33" t="s">
        <v>148</v>
      </c>
      <c r="B55" s="205" t="s">
        <v>5559</v>
      </c>
      <c r="C55" t="str">
        <f>IF(VLOOKUP($A55,'B-Ligands'!$A:$G,5,FALSE)="","",VLOOKUP($A55,'B-Ligands'!$A:$G,5,FALSE))</f>
        <v>Guide To Pharmacology</v>
      </c>
      <c r="D55" s="19">
        <f>IF(VLOOKUP($A55,'B-Ligands'!$A:$G,6,FALSE)="","",VLOOKUP($A55,'B-Ligands'!$A:$G,6,FALSE))</f>
        <v>2936</v>
      </c>
      <c r="E55" t="str">
        <f>IF(VLOOKUP($A55,'B-Ligands'!$A:$G,7,FALSE)="","",VLOOKUP($A55,'B-Ligands'!$A:$G,7,FALSE))</f>
        <v>Phys</v>
      </c>
      <c r="F55" s="20" t="str">
        <f t="shared" si="68"/>
        <v/>
      </c>
      <c r="G55" s="19">
        <f t="shared" si="69"/>
        <v>1</v>
      </c>
      <c r="H55" s="19">
        <f t="shared" si="70"/>
        <v>1</v>
      </c>
      <c r="I55" s="19">
        <f t="shared" si="71"/>
        <v>1</v>
      </c>
      <c r="J55" s="189">
        <f t="shared" si="26"/>
        <v>3</v>
      </c>
      <c r="K55" s="147" t="str">
        <f t="shared" si="27"/>
        <v>Gi/o</v>
      </c>
      <c r="L55" s="20">
        <f t="shared" si="28"/>
        <v>0</v>
      </c>
      <c r="M55" s="19">
        <f t="shared" si="29"/>
        <v>1</v>
      </c>
      <c r="N55" s="19">
        <f t="shared" si="30"/>
        <v>3</v>
      </c>
      <c r="O55" s="19">
        <f t="shared" si="31"/>
        <v>2</v>
      </c>
      <c r="P55" s="20">
        <f t="shared" si="32"/>
        <v>0</v>
      </c>
      <c r="Q55" s="19">
        <f t="shared" si="33"/>
        <v>100</v>
      </c>
      <c r="R55" s="19">
        <f t="shared" si="34"/>
        <v>72.921557779886498</v>
      </c>
      <c r="S55" s="19">
        <f t="shared" si="35"/>
        <v>93.24507927518097</v>
      </c>
      <c r="T55" s="20">
        <f t="shared" si="36"/>
        <v>0</v>
      </c>
      <c r="U55" s="21">
        <f t="shared" si="37"/>
        <v>8.3457416512809246</v>
      </c>
      <c r="V55" s="21">
        <f t="shared" si="38"/>
        <v>6.0858448203988731</v>
      </c>
      <c r="W55" s="21">
        <f t="shared" si="39"/>
        <v>7.7819934188386961</v>
      </c>
      <c r="X55" s="147" t="str">
        <f t="shared" si="40"/>
        <v>Gi1</v>
      </c>
      <c r="Y55" s="32">
        <f t="shared" si="41"/>
        <v>0</v>
      </c>
      <c r="Z55" s="31">
        <f t="shared" si="42"/>
        <v>100</v>
      </c>
      <c r="AA55" s="31">
        <f t="shared" si="43"/>
        <v>0</v>
      </c>
      <c r="AB55" s="31">
        <f t="shared" si="44"/>
        <v>95.218550862545527</v>
      </c>
      <c r="AC55" s="31">
        <f t="shared" si="45"/>
        <v>0</v>
      </c>
      <c r="AD55" s="31">
        <f t="shared" si="46"/>
        <v>0</v>
      </c>
      <c r="AE55" s="31">
        <f t="shared" si="47"/>
        <v>72.921557779886498</v>
      </c>
      <c r="AF55" s="31">
        <f t="shared" si="48"/>
        <v>66.342593920023859</v>
      </c>
      <c r="AG55" s="31">
        <f t="shared" si="49"/>
        <v>55.230990185635335</v>
      </c>
      <c r="AH55" s="31">
        <f t="shared" si="50"/>
        <v>69.129532774024099</v>
      </c>
      <c r="AI55" s="31">
        <f t="shared" si="51"/>
        <v>0</v>
      </c>
      <c r="AJ55" s="31">
        <f t="shared" si="52"/>
        <v>93.24507927518097</v>
      </c>
      <c r="AK55" s="7" cm="1">
        <f t="array" ref="AK55">_xlfn.IFS(AZ55=0,0,AZ55&gt;0,(LOG(0.01*AZ55/10^-CD55)))</f>
        <v>0</v>
      </c>
      <c r="AL55" s="8" cm="1">
        <f t="array" ref="AL55">_xlfn.IFS(BA55=0,0,BA55&gt;0,(LOG(0.01*BA55/10^-CE55)))</f>
        <v>8.3457416512809246</v>
      </c>
      <c r="AM55" s="8" cm="1">
        <f t="array" ref="AM55">_xlfn.IFS(BB55=0,0,BB55&gt;0,(LOG(0.01*BB55/10^-CF55)))</f>
        <v>0</v>
      </c>
      <c r="AN55" s="8" cm="1">
        <f t="array" ref="AN55">_xlfn.IFS(BC55=0,0,BC55&gt;0,(LOG(0.01*BC55/10^-CG55)))</f>
        <v>7.9466942590815739</v>
      </c>
      <c r="AO55" s="8" cm="1">
        <f t="array" ref="AO55">_xlfn.IFS(BD55=0,0,BD55&gt;0,(LOG(0.01*BD55/10^-CH55)))</f>
        <v>0</v>
      </c>
      <c r="AP55" s="8" cm="1">
        <f t="array" ref="AP55">_xlfn.IFS(BE55=0,0,BE55&gt;0,(LOG(0.01*BE55/10^-CI55)))</f>
        <v>0</v>
      </c>
      <c r="AQ55" s="8" cm="1">
        <f t="array" ref="AQ55">_xlfn.IFS(BF55=0,0,BF55&gt;0,(LOG(0.01*BF55/10^-CJ55)))</f>
        <v>6.0858448203988731</v>
      </c>
      <c r="AR55" s="8" cm="1">
        <f t="array" ref="AR55">_xlfn.IFS(BG55=0,0,BG55&gt;0,(LOG(0.01*BG55/10^-CK55)))</f>
        <v>5.5367814933235975</v>
      </c>
      <c r="AS55" s="8" cm="1">
        <f t="array" ref="AS55">_xlfn.IFS(BH55=0,0,BH55&gt;0,(LOG(0.01*BH55/10^-CL55)))</f>
        <v>4.6094357523374478</v>
      </c>
      <c r="AT55" s="8" cm="1">
        <f t="array" ref="AT55">_xlfn.IFS(BI55=0,0,BI55&gt;0,(LOG(0.01*BI55/10^-CM55)))</f>
        <v>5.7693722100576261</v>
      </c>
      <c r="AU55" s="8" cm="1">
        <f t="array" ref="AU55">_xlfn.IFS(BJ55=0,0,BJ55&gt;0,(LOG(0.01*BJ55/10^-CN55)))</f>
        <v>0</v>
      </c>
      <c r="AV55" s="8" cm="1">
        <f t="array" ref="AV55">_xlfn.IFS(BK55=0,0,BK55&gt;0,(LOG(0.01*BK55/10^-CO55)))</f>
        <v>7.7819934188386961</v>
      </c>
      <c r="AW55" s="8" cm="1">
        <f t="array" ref="AW55">_xlfn.IFS(BL55=0,0,BL55&gt;0,(LOG(0.01*BL55/10^-CP55)))</f>
        <v>6.515428023567976</v>
      </c>
      <c r="AX55" s="8" cm="1">
        <f t="array" ref="AX55">_xlfn.IFS(BM55=0,0,BM55&gt;0,(LOG(0.01*BM55/10^-CQ55)))</f>
        <v>5.6959951672172044</v>
      </c>
      <c r="AY55" s="8" cm="1">
        <f t="array" ref="AY55">_xlfn.IFS(BN55=0,0,BN55&gt;0,(LOG(0.01*BN55/10^-CR55)))</f>
        <v>6.3554174816758575</v>
      </c>
      <c r="AZ55" s="32">
        <f t="shared" si="72"/>
        <v>0</v>
      </c>
      <c r="BA55" s="31">
        <f t="shared" si="54"/>
        <v>14.084507042253522</v>
      </c>
      <c r="BB55" s="31">
        <f t="shared" si="55"/>
        <v>0</v>
      </c>
      <c r="BC55" s="31">
        <f t="shared" si="56"/>
        <v>11.473456121343446</v>
      </c>
      <c r="BD55" s="31">
        <f t="shared" si="57"/>
        <v>0</v>
      </c>
      <c r="BE55" s="31">
        <f t="shared" si="58"/>
        <v>0</v>
      </c>
      <c r="BF55" s="31">
        <f t="shared" si="59"/>
        <v>3.7225866916588566</v>
      </c>
      <c r="BG55" s="31">
        <f t="shared" si="60"/>
        <v>4.1283973758200565</v>
      </c>
      <c r="BH55" s="31">
        <f t="shared" si="61"/>
        <v>9.5595126522961582</v>
      </c>
      <c r="BI55" s="31">
        <f t="shared" si="62"/>
        <v>28.93158388003749</v>
      </c>
      <c r="BJ55" s="31">
        <f t="shared" si="63"/>
        <v>0</v>
      </c>
      <c r="BK55" s="31">
        <f t="shared" si="64"/>
        <v>26.791277258566975</v>
      </c>
      <c r="BL55" s="31">
        <f t="shared" si="65"/>
        <v>9.7146693521315868</v>
      </c>
      <c r="BM55" s="31">
        <f t="shared" si="66"/>
        <v>13.121852970795569</v>
      </c>
      <c r="BN55" s="31">
        <f t="shared" si="67"/>
        <v>7.7878482712319572</v>
      </c>
      <c r="BO55" s="132"/>
      <c r="BP55" s="133">
        <v>130</v>
      </c>
      <c r="BQ55" s="173"/>
      <c r="BR55" s="133">
        <v>105.9</v>
      </c>
      <c r="BS55" s="173"/>
      <c r="BT55" s="133"/>
      <c r="BU55" s="133">
        <v>39.72</v>
      </c>
      <c r="BV55" s="133">
        <v>44.05</v>
      </c>
      <c r="BW55" s="133">
        <v>102</v>
      </c>
      <c r="BX55" s="133">
        <v>308.7</v>
      </c>
      <c r="BY55" s="133"/>
      <c r="BZ55" s="133">
        <v>189.2</v>
      </c>
      <c r="CA55" s="133">
        <v>289.39999999999998</v>
      </c>
      <c r="CB55" s="133">
        <v>390.9</v>
      </c>
      <c r="CC55" s="133">
        <v>232</v>
      </c>
      <c r="CD55" s="36"/>
      <c r="CE55" s="34">
        <v>9.1969999999999992</v>
      </c>
      <c r="CF55" s="37"/>
      <c r="CG55" s="34">
        <v>8.8870000000000005</v>
      </c>
      <c r="CH55" s="37"/>
      <c r="CI55" s="34"/>
      <c r="CJ55" s="34">
        <v>7.5149999999999997</v>
      </c>
      <c r="CK55" s="34">
        <v>6.9210000000000003</v>
      </c>
      <c r="CL55" s="34">
        <v>5.6289999999999996</v>
      </c>
      <c r="CM55" s="34">
        <v>6.3079999999999998</v>
      </c>
      <c r="CN55" s="34"/>
      <c r="CO55" s="34">
        <v>8.3539999999999992</v>
      </c>
      <c r="CP55" s="34">
        <v>7.5279999999999996</v>
      </c>
      <c r="CQ55" s="34">
        <v>6.5780000000000003</v>
      </c>
      <c r="CR55" s="34">
        <v>7.4640000000000004</v>
      </c>
      <c r="CS55" s="168" t="str">
        <f>IF(VLOOKUP($A55,'B-Ligands'!$A:$G,3,FALSE)="","",VLOOKUP($A55,'B-Ligands'!$A:$G,3,FALSE))</f>
        <v>O-LPA</v>
      </c>
      <c r="CT55" s="169" t="str">
        <f>IF(VLOOKUP($A55,'B-Ligands'!$A:$G,4,FALSE)="","",VLOOKUP($A55,'B-Ligands'!$A:$G,4,FALSE))</f>
        <v>Lysophosphatidic acid</v>
      </c>
      <c r="CU55" s="132">
        <v>19.580682044039225</v>
      </c>
      <c r="CV55" s="133">
        <v>37.417095008065445</v>
      </c>
      <c r="CW55" s="133">
        <v>16.604117206574173</v>
      </c>
      <c r="CX55" s="133">
        <v>6.0500459190256031</v>
      </c>
      <c r="CY55" s="133">
        <v>11.264101080733864</v>
      </c>
      <c r="CZ55" s="133">
        <v>4.0516202041006446</v>
      </c>
      <c r="DA55" s="133">
        <v>10.819520480836202</v>
      </c>
      <c r="DB55" s="133">
        <v>10.214349631436344</v>
      </c>
      <c r="DC55" s="133">
        <v>11.147797648534938</v>
      </c>
      <c r="DD55" s="133">
        <v>14.431300116274157</v>
      </c>
      <c r="DE55" s="133">
        <v>5.9979145151353697</v>
      </c>
      <c r="DF55" s="133">
        <v>6.6633682682485658</v>
      </c>
      <c r="DG55" s="133">
        <v>3.0274945937596525</v>
      </c>
      <c r="DH55" s="133">
        <v>14.800554196760531</v>
      </c>
      <c r="DI55" s="133">
        <v>20.103178762368692</v>
      </c>
      <c r="DJ55" s="66">
        <f t="shared" si="73"/>
        <v>0</v>
      </c>
      <c r="DK55" s="67">
        <f t="shared" si="74"/>
        <v>3.4743477539338059</v>
      </c>
      <c r="DL55" s="67">
        <f t="shared" si="75"/>
        <v>0</v>
      </c>
      <c r="DM55" s="67">
        <f t="shared" si="76"/>
        <v>17.503999377422222</v>
      </c>
      <c r="DN55" s="67">
        <f t="shared" si="77"/>
        <v>0</v>
      </c>
      <c r="DO55" s="67">
        <f t="shared" si="78"/>
        <v>0</v>
      </c>
      <c r="DP55" s="67">
        <f t="shared" si="79"/>
        <v>3.6711423644285373</v>
      </c>
      <c r="DQ55" s="67">
        <f t="shared" si="80"/>
        <v>4.3125604262095028</v>
      </c>
      <c r="DR55" s="67">
        <f t="shared" si="81"/>
        <v>9.1497893320125883</v>
      </c>
      <c r="DS55" s="67">
        <f t="shared" si="82"/>
        <v>21.391004103080043</v>
      </c>
      <c r="DT55" s="67">
        <f t="shared" si="83"/>
        <v>0</v>
      </c>
      <c r="DU55" s="67">
        <f t="shared" si="84"/>
        <v>28.394048232566064</v>
      </c>
      <c r="DV55" s="67">
        <f t="shared" si="85"/>
        <v>95.590591836734731</v>
      </c>
      <c r="DW55" s="67">
        <f t="shared" si="86"/>
        <v>26.411173176579979</v>
      </c>
      <c r="DX55" s="67">
        <f t="shared" si="87"/>
        <v>11.540463463135628</v>
      </c>
    </row>
    <row r="56" spans="1:128" s="28" customFormat="1">
      <c r="A56" s="33" t="s">
        <v>181</v>
      </c>
      <c r="B56" s="205" t="s">
        <v>5559</v>
      </c>
      <c r="C56" t="str">
        <f>IF(VLOOKUP($A56,'B-Ligands'!$A:$G,5,FALSE)="","",VLOOKUP($A56,'B-Ligands'!$A:$G,5,FALSE))</f>
        <v>Guide To Pharmacology</v>
      </c>
      <c r="D56" s="19">
        <f>IF(VLOOKUP($A56,'B-Ligands'!$A:$G,6,FALSE)="","",VLOOKUP($A56,'B-Ligands'!$A:$G,6,FALSE))</f>
        <v>1611</v>
      </c>
      <c r="E56" t="str">
        <f>IF(VLOOKUP($A56,'B-Ligands'!$A:$G,7,FALSE)="","",VLOOKUP($A56,'B-Ligands'!$A:$G,7,FALSE))</f>
        <v>Surr</v>
      </c>
      <c r="F56" s="20" t="str">
        <f t="shared" si="68"/>
        <v/>
      </c>
      <c r="G56" s="19">
        <f t="shared" si="69"/>
        <v>1</v>
      </c>
      <c r="H56" s="19">
        <f t="shared" si="70"/>
        <v>1</v>
      </c>
      <c r="I56" s="19">
        <f t="shared" si="71"/>
        <v>1</v>
      </c>
      <c r="J56" s="189">
        <f t="shared" si="26"/>
        <v>3</v>
      </c>
      <c r="K56" s="147" t="str">
        <f t="shared" si="27"/>
        <v>Gi/o</v>
      </c>
      <c r="L56" s="20">
        <f t="shared" si="28"/>
        <v>0</v>
      </c>
      <c r="M56" s="19">
        <f t="shared" si="29"/>
        <v>1</v>
      </c>
      <c r="N56" s="19">
        <f t="shared" si="30"/>
        <v>2</v>
      </c>
      <c r="O56" s="19">
        <f t="shared" si="31"/>
        <v>3</v>
      </c>
      <c r="P56" s="20">
        <f t="shared" si="32"/>
        <v>0</v>
      </c>
      <c r="Q56" s="19">
        <f t="shared" si="33"/>
        <v>100</v>
      </c>
      <c r="R56" s="19">
        <f t="shared" si="34"/>
        <v>71.696629718921727</v>
      </c>
      <c r="S56" s="19">
        <f t="shared" si="35"/>
        <v>50.356254256366682</v>
      </c>
      <c r="T56" s="20">
        <f t="shared" si="36"/>
        <v>0</v>
      </c>
      <c r="U56" s="21">
        <f t="shared" si="37"/>
        <v>9.3238474554123094</v>
      </c>
      <c r="V56" s="21">
        <f t="shared" si="38"/>
        <v>6.684884385664069</v>
      </c>
      <c r="W56" s="21">
        <f t="shared" si="39"/>
        <v>4.6951403311231976</v>
      </c>
      <c r="X56" s="147" t="str">
        <f t="shared" si="40"/>
        <v>Gz</v>
      </c>
      <c r="Y56" s="32">
        <f t="shared" si="41"/>
        <v>0</v>
      </c>
      <c r="Z56" s="31">
        <f t="shared" si="42"/>
        <v>96.032338680868335</v>
      </c>
      <c r="AA56" s="31">
        <f t="shared" si="43"/>
        <v>92.128967422911913</v>
      </c>
      <c r="AB56" s="31">
        <f t="shared" si="44"/>
        <v>94.600513817210171</v>
      </c>
      <c r="AC56" s="31">
        <f t="shared" si="45"/>
        <v>99.468156176223019</v>
      </c>
      <c r="AD56" s="31">
        <f t="shared" si="46"/>
        <v>100</v>
      </c>
      <c r="AE56" s="31">
        <f t="shared" si="47"/>
        <v>0</v>
      </c>
      <c r="AF56" s="31">
        <f t="shared" si="48"/>
        <v>0</v>
      </c>
      <c r="AG56" s="31">
        <f t="shared" si="49"/>
        <v>57.330967984970329</v>
      </c>
      <c r="AH56" s="31">
        <f t="shared" si="50"/>
        <v>71.696629718921727</v>
      </c>
      <c r="AI56" s="31">
        <f t="shared" si="51"/>
        <v>0</v>
      </c>
      <c r="AJ56" s="31">
        <f t="shared" si="52"/>
        <v>50.356254256366682</v>
      </c>
      <c r="AK56" s="7" cm="1">
        <f t="array" ref="AK56">_xlfn.IFS(AZ56=0,0,AZ56&gt;0,(LOG(0.01*AZ56/10^-CD56)))</f>
        <v>0</v>
      </c>
      <c r="AL56" s="8" cm="1">
        <f t="array" ref="AL56">_xlfn.IFS(BA56=0,0,BA56&gt;0,(LOG(0.01*BA56/10^-CE56)))</f>
        <v>8.9539087664690733</v>
      </c>
      <c r="AM56" s="8" cm="1">
        <f t="array" ref="AM56">_xlfn.IFS(BB56=0,0,BB56&gt;0,(LOG(0.01*BB56/10^-CF56)))</f>
        <v>8.5899643847588081</v>
      </c>
      <c r="AN56" s="8" cm="1">
        <f t="array" ref="AN56">_xlfn.IFS(BC56=0,0,BC56&gt;0,(LOG(0.01*BC56/10^-CG56)))</f>
        <v>8.8204076003529206</v>
      </c>
      <c r="AO56" s="8" cm="1">
        <f t="array" ref="AO56">_xlfn.IFS(BD56=0,0,BD56&gt;0,(LOG(0.01*BD56/10^-CH56)))</f>
        <v>9.2742591485823116</v>
      </c>
      <c r="AP56" s="8" cm="1">
        <f t="array" ref="AP56">_xlfn.IFS(BE56=0,0,BE56&gt;0,(LOG(0.01*BE56/10^-CI56)))</f>
        <v>9.3238474554123094</v>
      </c>
      <c r="AQ56" s="8" cm="1">
        <f t="array" ref="AQ56">_xlfn.IFS(BF56=0,0,BF56&gt;0,(LOG(0.01*BF56/10^-CJ56)))</f>
        <v>0</v>
      </c>
      <c r="AR56" s="8" cm="1">
        <f t="array" ref="AR56">_xlfn.IFS(BG56=0,0,BG56&gt;0,(LOG(0.01*BG56/10^-CK56)))</f>
        <v>0</v>
      </c>
      <c r="AS56" s="8" cm="1">
        <f t="array" ref="AS56">_xlfn.IFS(BH56=0,0,BH56&gt;0,(LOG(0.01*BH56/10^-CL56)))</f>
        <v>5.3454519996299013</v>
      </c>
      <c r="AT56" s="8" cm="1">
        <f t="array" ref="AT56">_xlfn.IFS(BI56=0,0,BI56&gt;0,(LOG(0.01*BI56/10^-CM56)))</f>
        <v>6.684884385664069</v>
      </c>
      <c r="AU56" s="8" cm="1">
        <f t="array" ref="AU56">_xlfn.IFS(BJ56=0,0,BJ56&gt;0,(LOG(0.01*BJ56/10^-CN56)))</f>
        <v>0</v>
      </c>
      <c r="AV56" s="8" cm="1">
        <f t="array" ref="AV56">_xlfn.IFS(BK56=0,0,BK56&gt;0,(LOG(0.01*BK56/10^-CO56)))</f>
        <v>4.6951403311231976</v>
      </c>
      <c r="AW56" s="8" cm="1">
        <f t="array" ref="AW56">_xlfn.IFS(BL56=0,0,BL56&gt;0,(LOG(0.01*BL56/10^-CP56)))</f>
        <v>6.4909684171262487</v>
      </c>
      <c r="AX56" s="8" cm="1">
        <f t="array" ref="AX56">_xlfn.IFS(BM56=0,0,BM56&gt;0,(LOG(0.01*BM56/10^-CQ56)))</f>
        <v>6.0999230630496353</v>
      </c>
      <c r="AY56" s="8" cm="1">
        <f t="array" ref="AY56">_xlfn.IFS(BN56=0,0,BN56&gt;0,(LOG(0.01*BN56/10^-CR56)))</f>
        <v>7.0084238095576659</v>
      </c>
      <c r="AZ56" s="32">
        <f t="shared" si="72"/>
        <v>0</v>
      </c>
      <c r="BA56" s="31">
        <f t="shared" si="54"/>
        <v>60.660888407367281</v>
      </c>
      <c r="BB56" s="31">
        <f t="shared" si="55"/>
        <v>29.989165763813652</v>
      </c>
      <c r="BC56" s="31">
        <f t="shared" si="56"/>
        <v>20.249187432286025</v>
      </c>
      <c r="BD56" s="31">
        <f t="shared" si="57"/>
        <v>27.118093174431202</v>
      </c>
      <c r="BE56" s="31">
        <f t="shared" si="58"/>
        <v>10.564463705308775</v>
      </c>
      <c r="BF56" s="31">
        <f t="shared" si="59"/>
        <v>0</v>
      </c>
      <c r="BG56" s="31">
        <f t="shared" si="60"/>
        <v>0</v>
      </c>
      <c r="BH56" s="31">
        <f t="shared" si="61"/>
        <v>3.1293345829428305</v>
      </c>
      <c r="BI56" s="31">
        <f t="shared" si="62"/>
        <v>27.853795688847235</v>
      </c>
      <c r="BJ56" s="31">
        <f t="shared" si="63"/>
        <v>0</v>
      </c>
      <c r="BK56" s="31">
        <f t="shared" si="64"/>
        <v>4.956103086944208</v>
      </c>
      <c r="BL56" s="31">
        <f t="shared" si="65"/>
        <v>26.179926149714671</v>
      </c>
      <c r="BM56" s="31">
        <f t="shared" si="66"/>
        <v>16.327626720375964</v>
      </c>
      <c r="BN56" s="31">
        <f t="shared" si="67"/>
        <v>32.766028868747902</v>
      </c>
      <c r="BO56" s="132"/>
      <c r="BP56" s="133">
        <v>559.9</v>
      </c>
      <c r="BQ56" s="133">
        <v>276.8</v>
      </c>
      <c r="BR56" s="133">
        <v>186.9</v>
      </c>
      <c r="BS56" s="133">
        <v>250.3</v>
      </c>
      <c r="BT56" s="133">
        <v>97.51</v>
      </c>
      <c r="BU56" s="133"/>
      <c r="BV56" s="133"/>
      <c r="BW56" s="133">
        <v>33.39</v>
      </c>
      <c r="BX56" s="133">
        <v>297.2</v>
      </c>
      <c r="BY56" s="133"/>
      <c r="BZ56" s="172">
        <v>35</v>
      </c>
      <c r="CA56" s="133">
        <v>779.9</v>
      </c>
      <c r="CB56" s="133">
        <v>486.4</v>
      </c>
      <c r="CC56" s="133">
        <v>976.1</v>
      </c>
      <c r="CD56" s="36"/>
      <c r="CE56" s="34">
        <v>9.1709999999999994</v>
      </c>
      <c r="CF56" s="34">
        <v>9.1129999999999995</v>
      </c>
      <c r="CG56" s="34">
        <v>9.5139999999999993</v>
      </c>
      <c r="CH56" s="34">
        <v>9.8409999999999993</v>
      </c>
      <c r="CI56" s="34">
        <v>10.3</v>
      </c>
      <c r="CJ56" s="34"/>
      <c r="CK56" s="34"/>
      <c r="CL56" s="34">
        <v>6.85</v>
      </c>
      <c r="CM56" s="34">
        <v>7.24</v>
      </c>
      <c r="CN56" s="34"/>
      <c r="CO56" s="38">
        <v>6</v>
      </c>
      <c r="CP56" s="34">
        <v>7.0730000000000004</v>
      </c>
      <c r="CQ56" s="34">
        <v>6.8869999999999996</v>
      </c>
      <c r="CR56" s="34">
        <v>7.4930000000000003</v>
      </c>
      <c r="CS56" s="168" t="str">
        <f>IF(VLOOKUP($A56,'B-Ligands'!$A:$G,3,FALSE)="","",VLOOKUP($A56,'B-Ligands'!$A:$G,3,FALSE))</f>
        <v>SNC-80</v>
      </c>
      <c r="CT56" s="169" t="str">
        <f>IF(VLOOKUP($A56,'B-Ligands'!$A:$G,4,FALSE)="","",VLOOKUP($A56,'B-Ligands'!$A:$G,4,FALSE))</f>
        <v>NSC707484</v>
      </c>
      <c r="CU56" s="132">
        <v>8.3319276785893788</v>
      </c>
      <c r="CV56" s="133">
        <v>18.113972661786583</v>
      </c>
      <c r="CW56" s="133">
        <v>12.712647138851777</v>
      </c>
      <c r="CX56" s="133">
        <v>0.86675891719617204</v>
      </c>
      <c r="CY56" s="133">
        <v>6.6066699265058491</v>
      </c>
      <c r="CZ56" s="133">
        <v>8.980151235329668</v>
      </c>
      <c r="DA56" s="133">
        <v>6.5463228824030146</v>
      </c>
      <c r="DB56" s="133">
        <v>20.832347739045606</v>
      </c>
      <c r="DC56" s="133">
        <v>9.9786358415619762</v>
      </c>
      <c r="DD56" s="133">
        <v>20.964960352218611</v>
      </c>
      <c r="DE56" s="133">
        <v>16.755258961589945</v>
      </c>
      <c r="DF56" s="133">
        <v>18.605460899418055</v>
      </c>
      <c r="DG56" s="133">
        <v>16.969527867122778</v>
      </c>
      <c r="DH56" s="133">
        <v>22.567237697443016</v>
      </c>
      <c r="DI56" s="133">
        <v>10.575857944703147</v>
      </c>
      <c r="DJ56" s="66">
        <f t="shared" si="73"/>
        <v>0</v>
      </c>
      <c r="DK56" s="67">
        <f t="shared" si="74"/>
        <v>30.909840179960664</v>
      </c>
      <c r="DL56" s="67">
        <f t="shared" si="75"/>
        <v>21.773592626043811</v>
      </c>
      <c r="DM56" s="67">
        <f t="shared" si="76"/>
        <v>215.63089377215977</v>
      </c>
      <c r="DN56" s="67">
        <f t="shared" si="77"/>
        <v>37.885955070314715</v>
      </c>
      <c r="DO56" s="67">
        <f t="shared" si="78"/>
        <v>10.858391740261192</v>
      </c>
      <c r="DP56" s="67">
        <f t="shared" si="79"/>
        <v>0</v>
      </c>
      <c r="DQ56" s="67">
        <f t="shared" si="80"/>
        <v>0</v>
      </c>
      <c r="DR56" s="67">
        <f t="shared" si="81"/>
        <v>3.3461487652377739</v>
      </c>
      <c r="DS56" s="67">
        <f t="shared" si="82"/>
        <v>14.17603444065416</v>
      </c>
      <c r="DT56" s="67">
        <f t="shared" si="83"/>
        <v>0</v>
      </c>
      <c r="DU56" s="67">
        <f t="shared" si="84"/>
        <v>1.8811681252730876</v>
      </c>
      <c r="DV56" s="67">
        <f t="shared" si="85"/>
        <v>45.958850835856154</v>
      </c>
      <c r="DW56" s="67">
        <f t="shared" si="86"/>
        <v>21.553368937799224</v>
      </c>
      <c r="DX56" s="67">
        <f t="shared" si="87"/>
        <v>92.295112614374105</v>
      </c>
    </row>
    <row r="57" spans="1:128" s="28" customFormat="1">
      <c r="A57" s="33" t="s">
        <v>131</v>
      </c>
      <c r="B57" s="205" t="s">
        <v>5559</v>
      </c>
      <c r="C57" t="str">
        <f>IF(VLOOKUP($A57,'B-Ligands'!$A:$G,5,FALSE)="","",VLOOKUP($A57,'B-Ligands'!$A:$G,5,FALSE))</f>
        <v>Guide To Pharmacology</v>
      </c>
      <c r="D57" s="19">
        <f>IF(VLOOKUP($A57,'B-Ligands'!$A:$G,6,FALSE)="","",VLOOKUP($A57,'B-Ligands'!$A:$G,6,FALSE))</f>
        <v>1162</v>
      </c>
      <c r="E57" t="str">
        <f>IF(VLOOKUP($A57,'B-Ligands'!$A:$G,7,FALSE)="","",VLOOKUP($A57,'B-Ligands'!$A:$G,7,FALSE))</f>
        <v>Phys</v>
      </c>
      <c r="F57" s="20" t="str">
        <f t="shared" si="68"/>
        <v/>
      </c>
      <c r="G57" s="19" t="str">
        <f t="shared" si="69"/>
        <v/>
      </c>
      <c r="H57" s="19">
        <f t="shared" si="70"/>
        <v>1</v>
      </c>
      <c r="I57" s="19" t="str">
        <f t="shared" si="71"/>
        <v/>
      </c>
      <c r="J57" s="189">
        <f t="shared" si="26"/>
        <v>1</v>
      </c>
      <c r="K57" s="147" t="str">
        <f t="shared" si="27"/>
        <v>Gq/11</v>
      </c>
      <c r="L57" s="20">
        <f t="shared" si="28"/>
        <v>0</v>
      </c>
      <c r="M57" s="19">
        <f t="shared" si="29"/>
        <v>0</v>
      </c>
      <c r="N57" s="19">
        <f t="shared" si="30"/>
        <v>1</v>
      </c>
      <c r="O57" s="19">
        <f t="shared" si="31"/>
        <v>0</v>
      </c>
      <c r="P57" s="20">
        <f t="shared" si="32"/>
        <v>0</v>
      </c>
      <c r="Q57" s="19">
        <f t="shared" si="33"/>
        <v>0</v>
      </c>
      <c r="R57" s="19">
        <f t="shared" si="34"/>
        <v>100</v>
      </c>
      <c r="S57" s="19">
        <f t="shared" si="35"/>
        <v>0</v>
      </c>
      <c r="T57" s="20">
        <f t="shared" si="36"/>
        <v>0</v>
      </c>
      <c r="U57" s="21">
        <f t="shared" si="37"/>
        <v>0</v>
      </c>
      <c r="V57" s="21">
        <f t="shared" si="38"/>
        <v>8.8968540327309871</v>
      </c>
      <c r="W57" s="21">
        <f t="shared" si="39"/>
        <v>0</v>
      </c>
      <c r="X57" s="147" t="str">
        <f t="shared" si="40"/>
        <v>Gq</v>
      </c>
      <c r="Y57" s="32">
        <f t="shared" si="41"/>
        <v>0</v>
      </c>
      <c r="Z57" s="31">
        <f t="shared" si="42"/>
        <v>0</v>
      </c>
      <c r="AA57" s="31">
        <f t="shared" si="43"/>
        <v>0</v>
      </c>
      <c r="AB57" s="31">
        <f t="shared" si="44"/>
        <v>0</v>
      </c>
      <c r="AC57" s="31">
        <f t="shared" si="45"/>
        <v>0</v>
      </c>
      <c r="AD57" s="31">
        <f t="shared" si="46"/>
        <v>0</v>
      </c>
      <c r="AE57" s="31">
        <f t="shared" si="47"/>
        <v>100</v>
      </c>
      <c r="AF57" s="31">
        <f t="shared" si="48"/>
        <v>99.583404459909474</v>
      </c>
      <c r="AG57" s="31">
        <f t="shared" si="49"/>
        <v>92.265835568862727</v>
      </c>
      <c r="AH57" s="31">
        <f t="shared" si="50"/>
        <v>93.668947374185393</v>
      </c>
      <c r="AI57" s="31">
        <f t="shared" si="51"/>
        <v>0</v>
      </c>
      <c r="AJ57" s="31">
        <f t="shared" si="52"/>
        <v>0</v>
      </c>
      <c r="AK57" s="7" cm="1">
        <f t="array" ref="AK57">_xlfn.IFS(AZ57=0,0,AZ57&gt;0,(LOG(0.01*AZ57/10^-CD57)))</f>
        <v>0</v>
      </c>
      <c r="AL57" s="8" cm="1">
        <f t="array" ref="AL57">_xlfn.IFS(BA57=0,0,BA57&gt;0,(LOG(0.01*BA57/10^-CE57)))</f>
        <v>0</v>
      </c>
      <c r="AM57" s="8" cm="1">
        <f t="array" ref="AM57">_xlfn.IFS(BB57=0,0,BB57&gt;0,(LOG(0.01*BB57/10^-CF57)))</f>
        <v>0</v>
      </c>
      <c r="AN57" s="8" cm="1">
        <f t="array" ref="AN57">_xlfn.IFS(BC57=0,0,BC57&gt;0,(LOG(0.01*BC57/10^-CG57)))</f>
        <v>0</v>
      </c>
      <c r="AO57" s="8" cm="1">
        <f t="array" ref="AO57">_xlfn.IFS(BD57=0,0,BD57&gt;0,(LOG(0.01*BD57/10^-CH57)))</f>
        <v>0</v>
      </c>
      <c r="AP57" s="8" cm="1">
        <f t="array" ref="AP57">_xlfn.IFS(BE57=0,0,BE57&gt;0,(LOG(0.01*BE57/10^-CI57)))</f>
        <v>0</v>
      </c>
      <c r="AQ57" s="8" cm="1">
        <f t="array" ref="AQ57">_xlfn.IFS(BF57=0,0,BF57&gt;0,(LOG(0.01*BF57/10^-CJ57)))</f>
        <v>8.8968540327309871</v>
      </c>
      <c r="AR57" s="8" cm="1">
        <f t="array" ref="AR57">_xlfn.IFS(BG57=0,0,BG57&gt;0,(LOG(0.01*BG57/10^-CK57)))</f>
        <v>8.8597901356222657</v>
      </c>
      <c r="AS57" s="8" cm="1">
        <f t="array" ref="AS57">_xlfn.IFS(BH57=0,0,BH57&gt;0,(LOG(0.01*BH57/10^-CL57)))</f>
        <v>8.2087567126413052</v>
      </c>
      <c r="AT57" s="8" cm="1">
        <f t="array" ref="AT57">_xlfn.IFS(BI57=0,0,BI57&gt;0,(LOG(0.01*BI57/10^-CM57)))</f>
        <v>8.3335895218768794</v>
      </c>
      <c r="AU57" s="8" cm="1">
        <f t="array" ref="AU57">_xlfn.IFS(BJ57=0,0,BJ57&gt;0,(LOG(0.01*BJ57/10^-CN57)))</f>
        <v>0</v>
      </c>
      <c r="AV57" s="8" cm="1">
        <f t="array" ref="AV57">_xlfn.IFS(BK57=0,0,BK57&gt;0,(LOG(0.01*BK57/10^-CO57)))</f>
        <v>0</v>
      </c>
      <c r="AW57" s="8" cm="1">
        <f t="array" ref="AW57">_xlfn.IFS(BL57=0,0,BL57&gt;0,(LOG(0.01*BL57/10^-CP57)))</f>
        <v>0</v>
      </c>
      <c r="AX57" s="8" cm="1">
        <f t="array" ref="AX57">_xlfn.IFS(BM57=0,0,BM57&gt;0,(LOG(0.01*BM57/10^-CQ57)))</f>
        <v>0</v>
      </c>
      <c r="AY57" s="8" cm="1">
        <f t="array" ref="AY57">_xlfn.IFS(BN57=0,0,BN57&gt;0,(LOG(0.01*BN57/10^-CR57)))</f>
        <v>0</v>
      </c>
      <c r="AZ57" s="32">
        <f t="shared" si="72"/>
        <v>0</v>
      </c>
      <c r="BA57" s="31">
        <f t="shared" si="54"/>
        <v>0</v>
      </c>
      <c r="BB57" s="31">
        <f t="shared" si="55"/>
        <v>0</v>
      </c>
      <c r="BC57" s="31">
        <f t="shared" si="56"/>
        <v>0</v>
      </c>
      <c r="BD57" s="31">
        <f t="shared" si="57"/>
        <v>0</v>
      </c>
      <c r="BE57" s="31">
        <f t="shared" si="58"/>
        <v>0</v>
      </c>
      <c r="BF57" s="31">
        <f t="shared" si="59"/>
        <v>26.476101218369259</v>
      </c>
      <c r="BG57" s="31">
        <f t="shared" si="60"/>
        <v>36.626054358013121</v>
      </c>
      <c r="BH57" s="31">
        <f t="shared" si="61"/>
        <v>17.731958762886599</v>
      </c>
      <c r="BI57" s="31">
        <f t="shared" si="62"/>
        <v>24.807872539831301</v>
      </c>
      <c r="BJ57" s="31">
        <f t="shared" si="63"/>
        <v>0</v>
      </c>
      <c r="BK57" s="31">
        <f t="shared" si="64"/>
        <v>0</v>
      </c>
      <c r="BL57" s="31">
        <f t="shared" si="65"/>
        <v>0</v>
      </c>
      <c r="BM57" s="31">
        <f t="shared" si="66"/>
        <v>0</v>
      </c>
      <c r="BN57" s="31">
        <f t="shared" si="67"/>
        <v>0</v>
      </c>
      <c r="BO57" s="134"/>
      <c r="BP57" s="135"/>
      <c r="BQ57" s="135"/>
      <c r="BR57" s="135"/>
      <c r="BS57" s="135"/>
      <c r="BT57" s="135"/>
      <c r="BU57" s="135">
        <v>282.5</v>
      </c>
      <c r="BV57" s="135">
        <v>390.8</v>
      </c>
      <c r="BW57" s="135">
        <v>189.2</v>
      </c>
      <c r="BX57" s="135">
        <v>264.7</v>
      </c>
      <c r="BY57" s="135"/>
      <c r="BZ57" s="135"/>
      <c r="CA57" s="135"/>
      <c r="CB57" s="135"/>
      <c r="CC57" s="135"/>
      <c r="CD57" s="30"/>
      <c r="CE57" s="29"/>
      <c r="CF57" s="29"/>
      <c r="CG57" s="29"/>
      <c r="CH57" s="29"/>
      <c r="CI57" s="29"/>
      <c r="CJ57" s="29">
        <v>9.4740000000000002</v>
      </c>
      <c r="CK57" s="29">
        <v>9.2959999999999994</v>
      </c>
      <c r="CL57" s="29">
        <v>8.9600000000000009</v>
      </c>
      <c r="CM57" s="29">
        <v>8.9390000000000001</v>
      </c>
      <c r="CN57" s="29"/>
      <c r="CO57" s="29"/>
      <c r="CP57" s="29"/>
      <c r="CQ57" s="29"/>
      <c r="CR57" s="29"/>
      <c r="CS57" s="168" t="str">
        <f>IF(VLOOKUP($A57,'B-Ligands'!$A:$G,3,FALSE)="","",VLOOKUP($A57,'B-Ligands'!$A:$G,3,FALSE))</f>
        <v>GnRH I</v>
      </c>
      <c r="CT57" s="169" t="str">
        <f>IF(VLOOKUP($A57,'B-Ligands'!$A:$G,4,FALSE)="","",VLOOKUP($A57,'B-Ligands'!$A:$G,4,FALSE))</f>
        <v>Gonadotropin releasing hormone</v>
      </c>
      <c r="CU57" s="134">
        <v>17.185388822543747</v>
      </c>
      <c r="CV57" s="135">
        <v>18.395515929492046</v>
      </c>
      <c r="CW57" s="135">
        <v>33.10328500242845</v>
      </c>
      <c r="CX57" s="135">
        <v>16.171091455276457</v>
      </c>
      <c r="CY57" s="135">
        <v>13.147157142965137</v>
      </c>
      <c r="CZ57" s="135">
        <v>18.771573742325764</v>
      </c>
      <c r="DA57" s="135">
        <v>15.687665874930602</v>
      </c>
      <c r="DB57" s="135">
        <v>14.520680132952146</v>
      </c>
      <c r="DC57" s="135">
        <v>16.302480432803808</v>
      </c>
      <c r="DD57" s="135">
        <v>9.7456536107090042</v>
      </c>
      <c r="DE57" s="135">
        <v>14.91221134034925</v>
      </c>
      <c r="DF57" s="135">
        <v>17.037176797387236</v>
      </c>
      <c r="DG57" s="135">
        <v>10.022528918758518</v>
      </c>
      <c r="DH57" s="135">
        <v>13.336476489854331</v>
      </c>
      <c r="DI57" s="135">
        <v>16.453555937168552</v>
      </c>
      <c r="DJ57" s="66">
        <f t="shared" si="73"/>
        <v>0</v>
      </c>
      <c r="DK57" s="67">
        <f t="shared" si="74"/>
        <v>0</v>
      </c>
      <c r="DL57" s="67">
        <f t="shared" si="75"/>
        <v>0</v>
      </c>
      <c r="DM57" s="67">
        <f t="shared" si="76"/>
        <v>0</v>
      </c>
      <c r="DN57" s="67">
        <f t="shared" si="77"/>
        <v>0</v>
      </c>
      <c r="DO57" s="67">
        <f t="shared" si="78"/>
        <v>0</v>
      </c>
      <c r="DP57" s="67">
        <f t="shared" si="79"/>
        <v>18.007777718637172</v>
      </c>
      <c r="DQ57" s="67">
        <f t="shared" si="80"/>
        <v>26.913339900184685</v>
      </c>
      <c r="DR57" s="67">
        <f t="shared" si="81"/>
        <v>11.605595895658444</v>
      </c>
      <c r="DS57" s="67">
        <f t="shared" si="82"/>
        <v>27.160825797167117</v>
      </c>
      <c r="DT57" s="67">
        <f t="shared" si="83"/>
        <v>0</v>
      </c>
      <c r="DU57" s="67">
        <f t="shared" si="84"/>
        <v>0</v>
      </c>
      <c r="DV57" s="67">
        <f t="shared" si="85"/>
        <v>0</v>
      </c>
      <c r="DW57" s="67">
        <f t="shared" si="86"/>
        <v>0</v>
      </c>
      <c r="DX57" s="67">
        <f t="shared" si="87"/>
        <v>0</v>
      </c>
    </row>
    <row r="58" spans="1:128" s="28" customFormat="1">
      <c r="A58" s="33" t="s">
        <v>38</v>
      </c>
      <c r="B58" s="205" t="s">
        <v>5559</v>
      </c>
      <c r="C58" t="str">
        <f>IF(VLOOKUP($A58,'B-Ligands'!$A:$G,5,FALSE)="","",VLOOKUP($A58,'B-Ligands'!$A:$G,5,FALSE))</f>
        <v>Guide To Pharmacology</v>
      </c>
      <c r="D58" s="19">
        <f>IF(VLOOKUP($A58,'B-Ligands'!$A:$G,6,FALSE)="","",VLOOKUP($A58,'B-Ligands'!$A:$G,6,FALSE))</f>
        <v>484</v>
      </c>
      <c r="E58" t="str">
        <f>IF(VLOOKUP($A58,'B-Ligands'!$A:$G,7,FALSE)="","",VLOOKUP($A58,'B-Ligands'!$A:$G,7,FALSE))</f>
        <v>Phys</v>
      </c>
      <c r="F58" s="20" t="str">
        <f t="shared" si="68"/>
        <v/>
      </c>
      <c r="G58" s="19">
        <f t="shared" si="69"/>
        <v>1</v>
      </c>
      <c r="H58" s="19">
        <f t="shared" si="70"/>
        <v>1</v>
      </c>
      <c r="I58" s="19" t="str">
        <f t="shared" si="71"/>
        <v/>
      </c>
      <c r="J58" s="189">
        <f t="shared" si="26"/>
        <v>2</v>
      </c>
      <c r="K58" s="147" t="str">
        <f t="shared" si="27"/>
        <v>Gi/o</v>
      </c>
      <c r="L58" s="20">
        <f t="shared" si="28"/>
        <v>0</v>
      </c>
      <c r="M58" s="19">
        <f t="shared" si="29"/>
        <v>1</v>
      </c>
      <c r="N58" s="19">
        <f t="shared" si="30"/>
        <v>2</v>
      </c>
      <c r="O58" s="19">
        <f t="shared" si="31"/>
        <v>0</v>
      </c>
      <c r="P58" s="20">
        <f t="shared" si="32"/>
        <v>0</v>
      </c>
      <c r="Q58" s="19">
        <f t="shared" si="33"/>
        <v>100</v>
      </c>
      <c r="R58" s="19">
        <f t="shared" si="34"/>
        <v>72.472613714003998</v>
      </c>
      <c r="S58" s="19">
        <f t="shared" si="35"/>
        <v>0</v>
      </c>
      <c r="T58" s="20">
        <f t="shared" si="36"/>
        <v>0</v>
      </c>
      <c r="U58" s="21">
        <f t="shared" si="37"/>
        <v>8.1912866160341817</v>
      </c>
      <c r="V58" s="21">
        <f t="shared" si="38"/>
        <v>5.9364395074453622</v>
      </c>
      <c r="W58" s="21">
        <f t="shared" si="39"/>
        <v>0</v>
      </c>
      <c r="X58" s="147" t="str">
        <f t="shared" si="40"/>
        <v>Gz</v>
      </c>
      <c r="Y58" s="32">
        <f t="shared" si="41"/>
        <v>0</v>
      </c>
      <c r="Z58" s="31">
        <f t="shared" si="42"/>
        <v>91.545447726681388</v>
      </c>
      <c r="AA58" s="31">
        <f t="shared" si="43"/>
        <v>87.250124072763057</v>
      </c>
      <c r="AB58" s="31">
        <f t="shared" si="44"/>
        <v>92.800460277227032</v>
      </c>
      <c r="AC58" s="31">
        <f t="shared" si="45"/>
        <v>99.399864214579026</v>
      </c>
      <c r="AD58" s="31">
        <f t="shared" si="46"/>
        <v>100</v>
      </c>
      <c r="AE58" s="31">
        <f t="shared" si="47"/>
        <v>0</v>
      </c>
      <c r="AF58" s="31">
        <f t="shared" si="48"/>
        <v>0</v>
      </c>
      <c r="AG58" s="31">
        <f t="shared" si="49"/>
        <v>0</v>
      </c>
      <c r="AH58" s="31">
        <f t="shared" si="50"/>
        <v>72.472613714003998</v>
      </c>
      <c r="AI58" s="31">
        <f t="shared" si="51"/>
        <v>0</v>
      </c>
      <c r="AJ58" s="31">
        <f t="shared" si="52"/>
        <v>0</v>
      </c>
      <c r="AK58" s="7" cm="1">
        <f t="array" ref="AK58">_xlfn.IFS(AZ58=0,0,AZ58&gt;0,(LOG(0.01*AZ58/10^-CD58)))</f>
        <v>0</v>
      </c>
      <c r="AL58" s="8" cm="1">
        <f t="array" ref="AL58">_xlfn.IFS(BA58=0,0,BA58&gt;0,(LOG(0.01*BA58/10^-CE58)))</f>
        <v>7.4987500072242206</v>
      </c>
      <c r="AM58" s="8" cm="1">
        <f t="array" ref="AM58">_xlfn.IFS(BB58=0,0,BB58&gt;0,(LOG(0.01*BB58/10^-CF58)))</f>
        <v>7.146907735645458</v>
      </c>
      <c r="AN58" s="8" cm="1">
        <f t="array" ref="AN58">_xlfn.IFS(BC58=0,0,BC58&gt;0,(LOG(0.01*BC58/10^-CG58)))</f>
        <v>7.6015516823066154</v>
      </c>
      <c r="AO58" s="8" cm="1">
        <f t="array" ref="AO58">_xlfn.IFS(BD58=0,0,BD58&gt;0,(LOG(0.01*BD58/10^-CH58)))</f>
        <v>8.1421277737649618</v>
      </c>
      <c r="AP58" s="8" cm="1">
        <f t="array" ref="AP58">_xlfn.IFS(BE58=0,0,BE58&gt;0,(LOG(0.01*BE58/10^-CI58)))</f>
        <v>8.1912866160341817</v>
      </c>
      <c r="AQ58" s="8" cm="1">
        <f t="array" ref="AQ58">_xlfn.IFS(BF58=0,0,BF58&gt;0,(LOG(0.01*BF58/10^-CJ58)))</f>
        <v>0</v>
      </c>
      <c r="AR58" s="8" cm="1">
        <f t="array" ref="AR58">_xlfn.IFS(BG58=0,0,BG58&gt;0,(LOG(0.01*BG58/10^-CK58)))</f>
        <v>0</v>
      </c>
      <c r="AS58" s="8" cm="1">
        <f t="array" ref="AS58">_xlfn.IFS(BH58=0,0,BH58&gt;0,(LOG(0.01*BH58/10^-CL58)))</f>
        <v>0</v>
      </c>
      <c r="AT58" s="8" cm="1">
        <f t="array" ref="AT58">_xlfn.IFS(BI58=0,0,BI58&gt;0,(LOG(0.01*BI58/10^-CM58)))</f>
        <v>5.9364395074453622</v>
      </c>
      <c r="AU58" s="8" cm="1">
        <f t="array" ref="AU58">_xlfn.IFS(BJ58=0,0,BJ58&gt;0,(LOG(0.01*BJ58/10^-CN58)))</f>
        <v>0</v>
      </c>
      <c r="AV58" s="8" cm="1">
        <f t="array" ref="AV58">_xlfn.IFS(BK58=0,0,BK58&gt;0,(LOG(0.01*BK58/10^-CO58)))</f>
        <v>0</v>
      </c>
      <c r="AW58" s="8" cm="1">
        <f t="array" ref="AW58">_xlfn.IFS(BL58=0,0,BL58&gt;0,(LOG(0.01*BL58/10^-CP58)))</f>
        <v>5.6421512971280094</v>
      </c>
      <c r="AX58" s="8" cm="1">
        <f t="array" ref="AX58">_xlfn.IFS(BM58=0,0,BM58&gt;0,(LOG(0.01*BM58/10^-CQ58)))</f>
        <v>5.0683694627801748</v>
      </c>
      <c r="AY58" s="8" cm="1">
        <f t="array" ref="AY58">_xlfn.IFS(BN58=0,0,BN58&gt;0,(LOG(0.01*BN58/10^-CR58)))</f>
        <v>5.9056283915038588</v>
      </c>
      <c r="AZ58" s="32">
        <f t="shared" si="72"/>
        <v>0</v>
      </c>
      <c r="BA58" s="31">
        <f t="shared" si="54"/>
        <v>67.258938244853724</v>
      </c>
      <c r="BB58" s="31">
        <f t="shared" si="55"/>
        <v>34.507042253521128</v>
      </c>
      <c r="BC58" s="31">
        <f t="shared" si="56"/>
        <v>20.823401950162513</v>
      </c>
      <c r="BD58" s="31">
        <f t="shared" si="57"/>
        <v>37.594799566630556</v>
      </c>
      <c r="BE58" s="31">
        <f t="shared" si="58"/>
        <v>17.269772481040086</v>
      </c>
      <c r="BF58" s="31">
        <f t="shared" si="59"/>
        <v>0</v>
      </c>
      <c r="BG58" s="31">
        <f t="shared" si="60"/>
        <v>0</v>
      </c>
      <c r="BH58" s="31">
        <f t="shared" si="61"/>
        <v>0</v>
      </c>
      <c r="BI58" s="31">
        <f t="shared" si="62"/>
        <v>24.742268041237114</v>
      </c>
      <c r="BJ58" s="31">
        <f t="shared" si="63"/>
        <v>0</v>
      </c>
      <c r="BK58" s="31">
        <f t="shared" si="64"/>
        <v>0</v>
      </c>
      <c r="BL58" s="31">
        <f t="shared" si="65"/>
        <v>5.025176233635448</v>
      </c>
      <c r="BM58" s="31">
        <f t="shared" si="66"/>
        <v>2.5431352802954015</v>
      </c>
      <c r="BN58" s="31">
        <f t="shared" si="67"/>
        <v>12.06780798925814</v>
      </c>
      <c r="BO58" s="132"/>
      <c r="BP58" s="133">
        <v>620.79999999999995</v>
      </c>
      <c r="BQ58" s="133">
        <v>318.5</v>
      </c>
      <c r="BR58" s="133">
        <v>192.2</v>
      </c>
      <c r="BS58" s="133">
        <v>347</v>
      </c>
      <c r="BT58" s="133">
        <v>159.4</v>
      </c>
      <c r="BU58" s="133"/>
      <c r="BV58" s="133"/>
      <c r="BW58" s="133"/>
      <c r="BX58" s="133">
        <v>264</v>
      </c>
      <c r="BY58" s="133"/>
      <c r="BZ58" s="133"/>
      <c r="CA58" s="133">
        <v>149.69999999999999</v>
      </c>
      <c r="CB58" s="133">
        <v>75.760000000000005</v>
      </c>
      <c r="CC58" s="133">
        <v>359.5</v>
      </c>
      <c r="CD58" s="36"/>
      <c r="CE58" s="34">
        <v>7.6710000000000003</v>
      </c>
      <c r="CF58" s="34">
        <v>7.609</v>
      </c>
      <c r="CG58" s="34">
        <v>8.2829999999999995</v>
      </c>
      <c r="CH58" s="34">
        <v>8.5670000000000002</v>
      </c>
      <c r="CI58" s="34">
        <v>8.9540000000000006</v>
      </c>
      <c r="CJ58" s="34"/>
      <c r="CK58" s="34"/>
      <c r="CL58" s="34"/>
      <c r="CM58" s="34">
        <v>6.5430000000000001</v>
      </c>
      <c r="CN58" s="34"/>
      <c r="CO58" s="34"/>
      <c r="CP58" s="34">
        <v>6.9409999999999998</v>
      </c>
      <c r="CQ58" s="34">
        <v>6.6630000000000003</v>
      </c>
      <c r="CR58" s="34">
        <v>6.8239999999999998</v>
      </c>
      <c r="CS58" s="168" t="str">
        <f>IF(VLOOKUP($A58,'B-Ligands'!$A:$G,3,FALSE)="","",VLOOKUP($A58,'B-Ligands'!$A:$G,3,FALSE))</f>
        <v/>
      </c>
      <c r="CT58" s="169" t="str">
        <f>IF(VLOOKUP($A58,'B-Ligands'!$A:$G,4,FALSE)="","",VLOOKUP($A58,'B-Ligands'!$A:$G,4,FALSE))</f>
        <v>Noradrenaline</v>
      </c>
      <c r="CU58" s="132">
        <v>14.996128647323188</v>
      </c>
      <c r="CV58" s="133">
        <v>26.073457095334788</v>
      </c>
      <c r="CW58" s="133">
        <v>4.0588257059475215</v>
      </c>
      <c r="CX58" s="133">
        <v>69.442158401327021</v>
      </c>
      <c r="CY58" s="133">
        <v>54.124123153321385</v>
      </c>
      <c r="CZ58" s="133">
        <v>43.637241210790819</v>
      </c>
      <c r="DA58" s="133">
        <v>11.525209703045952</v>
      </c>
      <c r="DB58" s="133">
        <v>16.945176226087131</v>
      </c>
      <c r="DC58" s="133">
        <v>3.2654559488472441</v>
      </c>
      <c r="DD58" s="133">
        <v>5.2628458043660196</v>
      </c>
      <c r="DE58" s="133">
        <v>29.818111371445191</v>
      </c>
      <c r="DF58" s="133">
        <v>30.086201407545204</v>
      </c>
      <c r="DG58" s="133">
        <v>38.298844125026136</v>
      </c>
      <c r="DH58" s="133">
        <v>21.979576310363878</v>
      </c>
      <c r="DI58" s="133">
        <v>11.069270491425817</v>
      </c>
      <c r="DJ58" s="66">
        <f t="shared" si="73"/>
        <v>0</v>
      </c>
      <c r="DK58" s="67">
        <f t="shared" si="74"/>
        <v>23.809654305913927</v>
      </c>
      <c r="DL58" s="67">
        <f t="shared" si="75"/>
        <v>78.470972412856312</v>
      </c>
      <c r="DM58" s="67">
        <f t="shared" si="76"/>
        <v>2.7677711123150672</v>
      </c>
      <c r="DN58" s="67">
        <f t="shared" si="77"/>
        <v>6.4111893141811755</v>
      </c>
      <c r="DO58" s="67">
        <f t="shared" si="78"/>
        <v>3.6528432040424872</v>
      </c>
      <c r="DP58" s="67">
        <f t="shared" si="79"/>
        <v>0</v>
      </c>
      <c r="DQ58" s="67">
        <f t="shared" si="80"/>
        <v>0</v>
      </c>
      <c r="DR58" s="67">
        <f t="shared" si="81"/>
        <v>0</v>
      </c>
      <c r="DS58" s="67">
        <f t="shared" si="82"/>
        <v>50.162974522450853</v>
      </c>
      <c r="DT58" s="67">
        <f t="shared" si="83"/>
        <v>0</v>
      </c>
      <c r="DU58" s="67">
        <f t="shared" si="84"/>
        <v>0</v>
      </c>
      <c r="DV58" s="67">
        <f t="shared" si="85"/>
        <v>3.9087341516445266</v>
      </c>
      <c r="DW58" s="67">
        <f t="shared" si="86"/>
        <v>3.4468362324289852</v>
      </c>
      <c r="DX58" s="67">
        <f t="shared" si="87"/>
        <v>32.477298325889343</v>
      </c>
    </row>
    <row r="59" spans="1:128" s="28" customFormat="1">
      <c r="A59" s="33" t="s">
        <v>129</v>
      </c>
      <c r="B59" s="205" t="s">
        <v>5559</v>
      </c>
      <c r="C59" t="str">
        <f>IF(VLOOKUP($A59,'B-Ligands'!$A:$G,5,FALSE)="","",VLOOKUP($A59,'B-Ligands'!$A:$G,5,FALSE))</f>
        <v>Guide To Pharmacology</v>
      </c>
      <c r="D59" s="19">
        <f>IF(VLOOKUP($A59,'B-Ligands'!$A:$G,6,FALSE)="","",VLOOKUP($A59,'B-Ligands'!$A:$G,6,FALSE))</f>
        <v>1140</v>
      </c>
      <c r="E59" t="str">
        <f>IF(VLOOKUP($A59,'B-Ligands'!$A:$G,7,FALSE)="","",VLOOKUP($A59,'B-Ligands'!$A:$G,7,FALSE))</f>
        <v>Phys</v>
      </c>
      <c r="F59" s="20">
        <f t="shared" si="68"/>
        <v>1</v>
      </c>
      <c r="G59" s="19">
        <f t="shared" si="69"/>
        <v>1</v>
      </c>
      <c r="H59" s="19">
        <f t="shared" si="70"/>
        <v>1</v>
      </c>
      <c r="I59" s="19" t="str">
        <f t="shared" si="71"/>
        <v/>
      </c>
      <c r="J59" s="189">
        <f t="shared" si="26"/>
        <v>3</v>
      </c>
      <c r="K59" s="147" t="str">
        <f t="shared" si="27"/>
        <v>Gs</v>
      </c>
      <c r="L59" s="20">
        <f t="shared" si="28"/>
        <v>1</v>
      </c>
      <c r="M59" s="19">
        <f t="shared" si="29"/>
        <v>2</v>
      </c>
      <c r="N59" s="19">
        <f t="shared" si="30"/>
        <v>3</v>
      </c>
      <c r="O59" s="19">
        <f t="shared" si="31"/>
        <v>0</v>
      </c>
      <c r="P59" s="20">
        <f t="shared" si="32"/>
        <v>100</v>
      </c>
      <c r="Q59" s="19">
        <f t="shared" si="33"/>
        <v>84.513473934796508</v>
      </c>
      <c r="R59" s="19">
        <f t="shared" si="34"/>
        <v>75.390238646550273</v>
      </c>
      <c r="S59" s="19">
        <f t="shared" si="35"/>
        <v>0</v>
      </c>
      <c r="T59" s="20">
        <f t="shared" si="36"/>
        <v>10.086426137456842</v>
      </c>
      <c r="U59" s="21">
        <f t="shared" si="37"/>
        <v>8.5243891246320906</v>
      </c>
      <c r="V59" s="21">
        <f t="shared" si="38"/>
        <v>7.6041807359367359</v>
      </c>
      <c r="W59" s="21">
        <f t="shared" si="39"/>
        <v>0</v>
      </c>
      <c r="X59" s="147" t="str">
        <f t="shared" si="40"/>
        <v>GsL</v>
      </c>
      <c r="Y59" s="32">
        <f t="shared" si="41"/>
        <v>100</v>
      </c>
      <c r="Z59" s="31">
        <f t="shared" si="42"/>
        <v>76.893713149541639</v>
      </c>
      <c r="AA59" s="31">
        <f t="shared" si="43"/>
        <v>72.655480587144865</v>
      </c>
      <c r="AB59" s="31">
        <f t="shared" si="44"/>
        <v>83.577339258225152</v>
      </c>
      <c r="AC59" s="31">
        <f t="shared" si="45"/>
        <v>84.513473934796508</v>
      </c>
      <c r="AD59" s="31">
        <f t="shared" si="46"/>
        <v>76.751309826888772</v>
      </c>
      <c r="AE59" s="31">
        <f t="shared" si="47"/>
        <v>0</v>
      </c>
      <c r="AF59" s="31">
        <f t="shared" si="48"/>
        <v>0</v>
      </c>
      <c r="AG59" s="31">
        <f t="shared" si="49"/>
        <v>0</v>
      </c>
      <c r="AH59" s="31">
        <f t="shared" si="50"/>
        <v>75.390238646550273</v>
      </c>
      <c r="AI59" s="31">
        <f t="shared" si="51"/>
        <v>0</v>
      </c>
      <c r="AJ59" s="31">
        <f t="shared" si="52"/>
        <v>0</v>
      </c>
      <c r="AK59" s="7" cm="1">
        <f t="array" ref="AK59">_xlfn.IFS(AZ59=0,0,AZ59&gt;0,(LOG(0.01*AZ59/10^-CD59)))</f>
        <v>10.086426137456842</v>
      </c>
      <c r="AL59" s="8" cm="1">
        <f t="array" ref="AL59">_xlfn.IFS(BA59=0,0,BA59&gt;0,(LOG(0.01*BA59/10^-CE59)))</f>
        <v>7.7558275811764572</v>
      </c>
      <c r="AM59" s="8" cm="1">
        <f t="array" ref="AM59">_xlfn.IFS(BB59=0,0,BB59&gt;0,(LOG(0.01*BB59/10^-CF59)))</f>
        <v>7.328341384236662</v>
      </c>
      <c r="AN59" s="8" cm="1">
        <f t="array" ref="AN59">_xlfn.IFS(BC59=0,0,BC59&gt;0,(LOG(0.01*BC59/10^-CG59)))</f>
        <v>8.429966591932601</v>
      </c>
      <c r="AO59" s="8" cm="1">
        <f t="array" ref="AO59">_xlfn.IFS(BD59=0,0,BD59&gt;0,(LOG(0.01*BD59/10^-CH59)))</f>
        <v>8.5243891246320906</v>
      </c>
      <c r="AP59" s="8" cm="1">
        <f t="array" ref="AP59">_xlfn.IFS(BE59=0,0,BE59&gt;0,(LOG(0.01*BE59/10^-CI59)))</f>
        <v>7.7414641752197904</v>
      </c>
      <c r="AQ59" s="8" cm="1">
        <f t="array" ref="AQ59">_xlfn.IFS(BF59=0,0,BF59&gt;0,(LOG(0.01*BF59/10^-CJ59)))</f>
        <v>0</v>
      </c>
      <c r="AR59" s="8" cm="1">
        <f t="array" ref="AR59">_xlfn.IFS(BG59=0,0,BG59&gt;0,(LOG(0.01*BG59/10^-CK59)))</f>
        <v>0</v>
      </c>
      <c r="AS59" s="8" cm="1">
        <f t="array" ref="AS59">_xlfn.IFS(BH59=0,0,BH59&gt;0,(LOG(0.01*BH59/10^-CL59)))</f>
        <v>0</v>
      </c>
      <c r="AT59" s="8" cm="1">
        <f t="array" ref="AT59">_xlfn.IFS(BI59=0,0,BI59&gt;0,(LOG(0.01*BI59/10^-CM59)))</f>
        <v>7.6041807359367359</v>
      </c>
      <c r="AU59" s="8" cm="1">
        <f t="array" ref="AU59">_xlfn.IFS(BJ59=0,0,BJ59&gt;0,(LOG(0.01*BJ59/10^-CN59)))</f>
        <v>0</v>
      </c>
      <c r="AV59" s="8" cm="1">
        <f t="array" ref="AV59">_xlfn.IFS(BK59=0,0,BK59&gt;0,(LOG(0.01*BK59/10^-CO59)))</f>
        <v>0</v>
      </c>
      <c r="AW59" s="8" cm="1">
        <f t="array" ref="AW59">_xlfn.IFS(BL59=0,0,BL59&gt;0,(LOG(0.01*BL59/10^-CP59)))</f>
        <v>8.0803304492814867</v>
      </c>
      <c r="AX59" s="8" cm="1">
        <f t="array" ref="AX59">_xlfn.IFS(BM59=0,0,BM59&gt;0,(LOG(0.01*BM59/10^-CQ59)))</f>
        <v>7.1309013805108936</v>
      </c>
      <c r="AY59" s="8" cm="1">
        <f t="array" ref="AY59">_xlfn.IFS(BN59=0,0,BN59&gt;0,(LOG(0.01*BN59/10^-CR59)))</f>
        <v>7.971226631113022</v>
      </c>
      <c r="AZ59" s="32">
        <f t="shared" si="72"/>
        <v>96.92284139620331</v>
      </c>
      <c r="BA59" s="31">
        <f t="shared" si="54"/>
        <v>11.744312026002167</v>
      </c>
      <c r="BB59" s="31">
        <f t="shared" si="55"/>
        <v>5.0855904658721558</v>
      </c>
      <c r="BC59" s="31">
        <f t="shared" si="56"/>
        <v>15.666305525460455</v>
      </c>
      <c r="BD59" s="31">
        <f t="shared" si="57"/>
        <v>21.202600216684722</v>
      </c>
      <c r="BE59" s="31">
        <f t="shared" si="58"/>
        <v>5.1105092091007585</v>
      </c>
      <c r="BF59" s="31">
        <f t="shared" si="59"/>
        <v>0</v>
      </c>
      <c r="BG59" s="31">
        <f t="shared" si="60"/>
        <v>0</v>
      </c>
      <c r="BH59" s="31">
        <f t="shared" si="61"/>
        <v>0</v>
      </c>
      <c r="BI59" s="31">
        <f t="shared" si="62"/>
        <v>23.130271790065603</v>
      </c>
      <c r="BJ59" s="31">
        <f t="shared" si="63"/>
        <v>0</v>
      </c>
      <c r="BK59" s="31">
        <f t="shared" si="64"/>
        <v>0</v>
      </c>
      <c r="BL59" s="31">
        <f t="shared" si="65"/>
        <v>20.339039946290701</v>
      </c>
      <c r="BM59" s="31">
        <f t="shared" si="66"/>
        <v>7.7072843235985227</v>
      </c>
      <c r="BN59" s="31">
        <f t="shared" si="67"/>
        <v>23.346760657938905</v>
      </c>
      <c r="BO59" s="132">
        <v>63.31</v>
      </c>
      <c r="BP59" s="133">
        <v>108.4</v>
      </c>
      <c r="BQ59" s="133">
        <v>46.94</v>
      </c>
      <c r="BR59" s="133">
        <v>144.6</v>
      </c>
      <c r="BS59" s="133">
        <v>195.7</v>
      </c>
      <c r="BT59" s="133">
        <v>47.17</v>
      </c>
      <c r="BU59" s="133"/>
      <c r="BV59" s="133"/>
      <c r="BW59" s="133"/>
      <c r="BX59" s="133">
        <v>246.8</v>
      </c>
      <c r="BY59" s="133"/>
      <c r="BZ59" s="133"/>
      <c r="CA59" s="133">
        <v>605.9</v>
      </c>
      <c r="CB59" s="133">
        <v>229.6</v>
      </c>
      <c r="CC59" s="133">
        <v>695.5</v>
      </c>
      <c r="CD59" s="36">
        <v>10.1</v>
      </c>
      <c r="CE59" s="34">
        <v>8.6859999999999999</v>
      </c>
      <c r="CF59" s="34">
        <v>8.6219999999999999</v>
      </c>
      <c r="CG59" s="34">
        <v>9.2349999999999994</v>
      </c>
      <c r="CH59" s="34">
        <v>9.1980000000000004</v>
      </c>
      <c r="CI59" s="34">
        <v>9.0329999999999995</v>
      </c>
      <c r="CJ59" s="34"/>
      <c r="CK59" s="34"/>
      <c r="CL59" s="34"/>
      <c r="CM59" s="34">
        <v>8.24</v>
      </c>
      <c r="CN59" s="34"/>
      <c r="CO59" s="34"/>
      <c r="CP59" s="34">
        <v>8.7720000000000002</v>
      </c>
      <c r="CQ59" s="34">
        <v>8.2439999999999998</v>
      </c>
      <c r="CR59" s="34">
        <v>8.6029999999999998</v>
      </c>
      <c r="CS59" s="168" t="str">
        <f>IF(VLOOKUP($A59,'B-Ligands'!$A:$G,3,FALSE)="","",VLOOKUP($A59,'B-Ligands'!$A:$G,3,FALSE))</f>
        <v>GLP-2 (1-33)</v>
      </c>
      <c r="CT59" s="169" t="str">
        <f>IF(VLOOKUP($A59,'B-Ligands'!$A:$G,4,FALSE)="","",VLOOKUP($A59,'B-Ligands'!$A:$G,4,FALSE))</f>
        <v>Glucagon-like peptide 2</v>
      </c>
      <c r="CU59" s="132">
        <v>13.865304774337574</v>
      </c>
      <c r="CV59" s="133">
        <v>0.94596224907899518</v>
      </c>
      <c r="CW59" s="133">
        <v>19.52420476906611</v>
      </c>
      <c r="CX59" s="133">
        <v>1.2539824690993027</v>
      </c>
      <c r="CY59" s="133">
        <v>6.8290668975353315</v>
      </c>
      <c r="CZ59" s="133">
        <v>14.269926005873092</v>
      </c>
      <c r="DA59" s="133">
        <v>4</v>
      </c>
      <c r="DB59" s="133">
        <v>6.6197230579166213</v>
      </c>
      <c r="DC59" s="133">
        <v>12.781095274706482</v>
      </c>
      <c r="DD59" s="133">
        <v>6.2264550742163189</v>
      </c>
      <c r="DE59" s="133">
        <v>4.3676723672654783</v>
      </c>
      <c r="DF59" s="133">
        <v>6.9501425669212731</v>
      </c>
      <c r="DG59" s="133">
        <v>33.375131536577229</v>
      </c>
      <c r="DH59" s="133">
        <v>16.741812132474628</v>
      </c>
      <c r="DI59" s="133">
        <v>9.0521549141490691</v>
      </c>
      <c r="DJ59" s="66">
        <f t="shared" si="73"/>
        <v>4.5660734495484387</v>
      </c>
      <c r="DK59" s="67">
        <f t="shared" si="74"/>
        <v>114.5923107455293</v>
      </c>
      <c r="DL59" s="67">
        <f t="shared" si="75"/>
        <v>2.4041952312634578</v>
      </c>
      <c r="DM59" s="67">
        <f t="shared" si="76"/>
        <v>115.31261685329761</v>
      </c>
      <c r="DN59" s="67">
        <f t="shared" si="77"/>
        <v>28.656916521147242</v>
      </c>
      <c r="DO59" s="67">
        <f t="shared" si="78"/>
        <v>3.3055532299597199</v>
      </c>
      <c r="DP59" s="67">
        <f t="shared" si="79"/>
        <v>0</v>
      </c>
      <c r="DQ59" s="67">
        <f t="shared" si="80"/>
        <v>0</v>
      </c>
      <c r="DR59" s="67">
        <f t="shared" si="81"/>
        <v>0</v>
      </c>
      <c r="DS59" s="67">
        <f t="shared" si="82"/>
        <v>39.637321245919857</v>
      </c>
      <c r="DT59" s="67">
        <f t="shared" si="83"/>
        <v>0</v>
      </c>
      <c r="DU59" s="67">
        <f t="shared" si="84"/>
        <v>0</v>
      </c>
      <c r="DV59" s="67">
        <f t="shared" si="85"/>
        <v>18.154235567160786</v>
      </c>
      <c r="DW59" s="67">
        <f t="shared" si="86"/>
        <v>13.714166553968045</v>
      </c>
      <c r="DX59" s="67">
        <f t="shared" si="87"/>
        <v>76.832533976290122</v>
      </c>
    </row>
    <row r="60" spans="1:128" s="28" customFormat="1">
      <c r="A60" s="33" t="s">
        <v>183</v>
      </c>
      <c r="B60" s="205" t="s">
        <v>5559</v>
      </c>
      <c r="C60" t="str">
        <f>IF(VLOOKUP($A60,'B-Ligands'!$A:$G,5,FALSE)="","",VLOOKUP($A60,'B-Ligands'!$A:$G,5,FALSE))</f>
        <v>Guide To Pharmacology</v>
      </c>
      <c r="D60" s="19">
        <f>IF(VLOOKUP($A60,'B-Ligands'!$A:$G,6,FALSE)="","",VLOOKUP($A60,'B-Ligands'!$A:$G,6,FALSE))</f>
        <v>1647</v>
      </c>
      <c r="E60" t="str">
        <f>IF(VLOOKUP($A60,'B-Ligands'!$A:$G,7,FALSE)="","",VLOOKUP($A60,'B-Ligands'!$A:$G,7,FALSE))</f>
        <v>Surr</v>
      </c>
      <c r="F60" s="20" t="str">
        <f t="shared" si="68"/>
        <v/>
      </c>
      <c r="G60" s="19">
        <f t="shared" si="69"/>
        <v>1</v>
      </c>
      <c r="H60" s="19">
        <f t="shared" si="70"/>
        <v>1</v>
      </c>
      <c r="I60" s="19" t="str">
        <f t="shared" si="71"/>
        <v/>
      </c>
      <c r="J60" s="189">
        <f t="shared" si="26"/>
        <v>2</v>
      </c>
      <c r="K60" s="147" t="str">
        <f t="shared" si="27"/>
        <v>Gi/o</v>
      </c>
      <c r="L60" s="20">
        <f t="shared" si="28"/>
        <v>0</v>
      </c>
      <c r="M60" s="19">
        <f t="shared" si="29"/>
        <v>1</v>
      </c>
      <c r="N60" s="19">
        <f t="shared" si="30"/>
        <v>2</v>
      </c>
      <c r="O60" s="19">
        <f t="shared" si="31"/>
        <v>0</v>
      </c>
      <c r="P60" s="20">
        <f t="shared" si="32"/>
        <v>0</v>
      </c>
      <c r="Q60" s="19">
        <f t="shared" si="33"/>
        <v>100</v>
      </c>
      <c r="R60" s="19">
        <f t="shared" si="34"/>
        <v>64.029355735391675</v>
      </c>
      <c r="S60" s="19">
        <f t="shared" si="35"/>
        <v>0</v>
      </c>
      <c r="T60" s="20">
        <f t="shared" si="36"/>
        <v>0</v>
      </c>
      <c r="U60" s="21">
        <f t="shared" si="37"/>
        <v>8.9069898395809375</v>
      </c>
      <c r="V60" s="21">
        <f t="shared" si="38"/>
        <v>5.7030882097004705</v>
      </c>
      <c r="W60" s="21">
        <f t="shared" si="39"/>
        <v>0</v>
      </c>
      <c r="X60" s="147" t="str">
        <f t="shared" si="40"/>
        <v>Gz</v>
      </c>
      <c r="Y60" s="32">
        <f t="shared" si="41"/>
        <v>0</v>
      </c>
      <c r="Z60" s="31">
        <f t="shared" si="42"/>
        <v>91.977493533628689</v>
      </c>
      <c r="AA60" s="31">
        <f t="shared" si="43"/>
        <v>90.44944531595111</v>
      </c>
      <c r="AB60" s="31">
        <f t="shared" si="44"/>
        <v>91.417217075731301</v>
      </c>
      <c r="AC60" s="31">
        <f t="shared" si="45"/>
        <v>96.085532760139074</v>
      </c>
      <c r="AD60" s="31">
        <f t="shared" si="46"/>
        <v>100</v>
      </c>
      <c r="AE60" s="31">
        <f t="shared" si="47"/>
        <v>0</v>
      </c>
      <c r="AF60" s="31">
        <f t="shared" si="48"/>
        <v>0</v>
      </c>
      <c r="AG60" s="31">
        <f t="shared" si="49"/>
        <v>0</v>
      </c>
      <c r="AH60" s="31">
        <f t="shared" si="50"/>
        <v>64.029355735391675</v>
      </c>
      <c r="AI60" s="31">
        <f t="shared" si="51"/>
        <v>0</v>
      </c>
      <c r="AJ60" s="31">
        <f t="shared" si="52"/>
        <v>0</v>
      </c>
      <c r="AK60" s="7" cm="1">
        <f t="array" ref="AK60">_xlfn.IFS(AZ60=0,0,AZ60&gt;0,(LOG(0.01*AZ60/10^-CD60)))</f>
        <v>0</v>
      </c>
      <c r="AL60" s="8" cm="1">
        <f t="array" ref="AL60">_xlfn.IFS(BA60=0,0,BA60&gt;0,(LOG(0.01*BA60/10^-CE60)))</f>
        <v>8.192426003741522</v>
      </c>
      <c r="AM60" s="8" cm="1">
        <f t="array" ref="AM60">_xlfn.IFS(BB60=0,0,BB60&gt;0,(LOG(0.01*BB60/10^-CF60)))</f>
        <v>8.0563229042490807</v>
      </c>
      <c r="AN60" s="8" cm="1">
        <f t="array" ref="AN60">_xlfn.IFS(BC60=0,0,BC60&gt;0,(LOG(0.01*BC60/10^-CG60)))</f>
        <v>8.1425222365630372</v>
      </c>
      <c r="AO60" s="8" cm="1">
        <f t="array" ref="AO60">_xlfn.IFS(BD60=0,0,BD60&gt;0,(LOG(0.01*BD60/10^-CH60)))</f>
        <v>8.5583286402528014</v>
      </c>
      <c r="AP60" s="8" cm="1">
        <f t="array" ref="AP60">_xlfn.IFS(BE60=0,0,BE60&gt;0,(LOG(0.01*BE60/10^-CI60)))</f>
        <v>8.9069898395809375</v>
      </c>
      <c r="AQ60" s="8" cm="1">
        <f t="array" ref="AQ60">_xlfn.IFS(BF60=0,0,BF60&gt;0,(LOG(0.01*BF60/10^-CJ60)))</f>
        <v>0</v>
      </c>
      <c r="AR60" s="8" cm="1">
        <f t="array" ref="AR60">_xlfn.IFS(BG60=0,0,BG60&gt;0,(LOG(0.01*BG60/10^-CK60)))</f>
        <v>0</v>
      </c>
      <c r="AS60" s="8" cm="1">
        <f t="array" ref="AS60">_xlfn.IFS(BH60=0,0,BH60&gt;0,(LOG(0.01*BH60/10^-CL60)))</f>
        <v>0</v>
      </c>
      <c r="AT60" s="8" cm="1">
        <f t="array" ref="AT60">_xlfn.IFS(BI60=0,0,BI60&gt;0,(LOG(0.01*BI60/10^-CM60)))</f>
        <v>5.7030882097004705</v>
      </c>
      <c r="AU60" s="8" cm="1">
        <f t="array" ref="AU60">_xlfn.IFS(BJ60=0,0,BJ60&gt;0,(LOG(0.01*BJ60/10^-CN60)))</f>
        <v>0</v>
      </c>
      <c r="AV60" s="8" cm="1">
        <f t="array" ref="AV60">_xlfn.IFS(BK60=0,0,BK60&gt;0,(LOG(0.01*BK60/10^-CO60)))</f>
        <v>0</v>
      </c>
      <c r="AW60" s="8" cm="1">
        <f t="array" ref="AW60">_xlfn.IFS(BL60=0,0,BL60&gt;0,(LOG(0.01*BL60/10^-CP60)))</f>
        <v>6.6283900288944642</v>
      </c>
      <c r="AX60" s="8" cm="1">
        <f t="array" ref="AX60">_xlfn.IFS(BM60=0,0,BM60&gt;0,(LOG(0.01*BM60/10^-CQ60)))</f>
        <v>5.1924054004669005</v>
      </c>
      <c r="AY60" s="8" cm="1">
        <f t="array" ref="AY60">_xlfn.IFS(BN60=0,0,BN60&gt;0,(LOG(0.01*BN60/10^-CR60)))</f>
        <v>7.0283863148382499</v>
      </c>
      <c r="AZ60" s="32">
        <f t="shared" si="72"/>
        <v>0</v>
      </c>
      <c r="BA60" s="31">
        <f t="shared" si="54"/>
        <v>72.849404117009755</v>
      </c>
      <c r="BB60" s="31">
        <f t="shared" si="55"/>
        <v>41.050920910075838</v>
      </c>
      <c r="BC60" s="31">
        <f t="shared" si="56"/>
        <v>24.463705308775733</v>
      </c>
      <c r="BD60" s="31">
        <f t="shared" si="57"/>
        <v>36.00216684723727</v>
      </c>
      <c r="BE60" s="31">
        <f t="shared" si="58"/>
        <v>8.3174431202600214</v>
      </c>
      <c r="BF60" s="31">
        <f t="shared" si="59"/>
        <v>0</v>
      </c>
      <c r="BG60" s="31">
        <f t="shared" si="60"/>
        <v>0</v>
      </c>
      <c r="BH60" s="31">
        <f t="shared" si="61"/>
        <v>0</v>
      </c>
      <c r="BI60" s="31">
        <f t="shared" si="62"/>
        <v>22.03373945641987</v>
      </c>
      <c r="BJ60" s="31">
        <f t="shared" si="63"/>
        <v>0</v>
      </c>
      <c r="BK60" s="31">
        <f t="shared" si="64"/>
        <v>0</v>
      </c>
      <c r="BL60" s="31">
        <f t="shared" si="65"/>
        <v>33.836858006042299</v>
      </c>
      <c r="BM60" s="31">
        <f t="shared" si="66"/>
        <v>12.514266532393421</v>
      </c>
      <c r="BN60" s="31">
        <f t="shared" si="67"/>
        <v>40.214837193689156</v>
      </c>
      <c r="BO60" s="134"/>
      <c r="BP60" s="135">
        <v>672.4</v>
      </c>
      <c r="BQ60" s="135">
        <v>378.9</v>
      </c>
      <c r="BR60" s="135">
        <v>225.8</v>
      </c>
      <c r="BS60" s="135">
        <v>332.3</v>
      </c>
      <c r="BT60" s="135">
        <v>76.77</v>
      </c>
      <c r="BU60" s="135"/>
      <c r="BV60" s="135"/>
      <c r="BW60" s="135"/>
      <c r="BX60" s="135">
        <v>235.1</v>
      </c>
      <c r="BY60" s="135"/>
      <c r="BZ60" s="135"/>
      <c r="CA60" s="135">
        <v>1008</v>
      </c>
      <c r="CB60" s="135">
        <v>372.8</v>
      </c>
      <c r="CC60" s="135">
        <v>1198</v>
      </c>
      <c r="CD60" s="30"/>
      <c r="CE60" s="29">
        <v>8.33</v>
      </c>
      <c r="CF60" s="29">
        <v>8.4429999999999996</v>
      </c>
      <c r="CG60" s="29">
        <v>8.7539999999999996</v>
      </c>
      <c r="CH60" s="29">
        <v>9.0020000000000007</v>
      </c>
      <c r="CI60" s="29">
        <v>9.9870000000000001</v>
      </c>
      <c r="CJ60" s="29"/>
      <c r="CK60" s="29"/>
      <c r="CL60" s="29"/>
      <c r="CM60" s="29">
        <v>6.36</v>
      </c>
      <c r="CN60" s="29"/>
      <c r="CO60" s="29"/>
      <c r="CP60" s="29">
        <v>7.0990000000000002</v>
      </c>
      <c r="CQ60" s="29">
        <v>6.0949999999999998</v>
      </c>
      <c r="CR60" s="29">
        <v>7.4240000000000004</v>
      </c>
      <c r="CS60" s="168" t="str">
        <f>IF(VLOOKUP($A60,'B-Ligands'!$A:$G,3,FALSE)="","",VLOOKUP($A60,'B-Ligands'!$A:$G,3,FALSE))</f>
        <v>DAMGO</v>
      </c>
      <c r="CT60" s="169" t="str">
        <f>IF(VLOOKUP($A60,'B-Ligands'!$A:$G,4,FALSE)="","",VLOOKUP($A60,'B-Ligands'!$A:$G,4,FALSE))</f>
        <v>2-Ala-4-mephe-5-gly-enkephalin</v>
      </c>
      <c r="CU60" s="134">
        <v>19.817578980714938</v>
      </c>
      <c r="CV60" s="135">
        <v>2.0781275362904883</v>
      </c>
      <c r="CW60" s="135">
        <v>14.428534690111791</v>
      </c>
      <c r="CX60" s="135">
        <v>14.262828609845357</v>
      </c>
      <c r="CY60" s="135">
        <v>2.1788990825688073</v>
      </c>
      <c r="CZ60" s="135">
        <v>4.8323489330900724</v>
      </c>
      <c r="DA60" s="135">
        <v>11.166392814775813</v>
      </c>
      <c r="DB60" s="135">
        <v>14.525353697565661</v>
      </c>
      <c r="DC60" s="135">
        <v>13.03969136317594</v>
      </c>
      <c r="DD60" s="135">
        <v>17.433073061714435</v>
      </c>
      <c r="DE60" s="135">
        <v>15.638925985466917</v>
      </c>
      <c r="DF60" s="135">
        <v>12.714042094816824</v>
      </c>
      <c r="DG60" s="135">
        <v>5.9916151145812533</v>
      </c>
      <c r="DH60" s="135">
        <v>13.787507752492447</v>
      </c>
      <c r="DI60" s="135">
        <v>12.947831247190249</v>
      </c>
      <c r="DJ60" s="66">
        <f t="shared" si="73"/>
        <v>0</v>
      </c>
      <c r="DK60" s="67">
        <f t="shared" si="74"/>
        <v>323.56050735954898</v>
      </c>
      <c r="DL60" s="67">
        <f t="shared" si="75"/>
        <v>26.26046290477916</v>
      </c>
      <c r="DM60" s="67">
        <f t="shared" si="76"/>
        <v>15.831361799028743</v>
      </c>
      <c r="DN60" s="67">
        <f t="shared" si="77"/>
        <v>152.50821052631579</v>
      </c>
      <c r="DO60" s="67">
        <f t="shared" si="78"/>
        <v>15.886683901137287</v>
      </c>
      <c r="DP60" s="67">
        <f t="shared" si="79"/>
        <v>0</v>
      </c>
      <c r="DQ60" s="67">
        <f t="shared" si="80"/>
        <v>0</v>
      </c>
      <c r="DR60" s="67">
        <f t="shared" si="81"/>
        <v>0</v>
      </c>
      <c r="DS60" s="67">
        <f t="shared" si="82"/>
        <v>13.485860993510881</v>
      </c>
      <c r="DT60" s="67">
        <f t="shared" si="83"/>
        <v>0</v>
      </c>
      <c r="DU60" s="67">
        <f t="shared" si="84"/>
        <v>0</v>
      </c>
      <c r="DV60" s="67">
        <f t="shared" si="85"/>
        <v>168.23510534695751</v>
      </c>
      <c r="DW60" s="67">
        <f t="shared" si="86"/>
        <v>27.038969383905282</v>
      </c>
      <c r="DX60" s="67">
        <f t="shared" si="87"/>
        <v>92.525147812686598</v>
      </c>
    </row>
    <row r="61" spans="1:128" s="28" customFormat="1">
      <c r="A61" s="33" t="s">
        <v>43</v>
      </c>
      <c r="B61" s="205" t="s">
        <v>5559</v>
      </c>
      <c r="C61" t="str">
        <f>IF(VLOOKUP($A61,'B-Ligands'!$A:$G,5,FALSE)="","",VLOOKUP($A61,'B-Ligands'!$A:$G,5,FALSE))</f>
        <v>Guide To Pharmacology</v>
      </c>
      <c r="D61" s="19">
        <f>IF(VLOOKUP($A61,'B-Ligands'!$A:$G,6,FALSE)="","",VLOOKUP($A61,'B-Ligands'!$A:$G,6,FALSE))</f>
        <v>2504</v>
      </c>
      <c r="E61" t="str">
        <f>IF(VLOOKUP($A61,'B-Ligands'!$A:$G,7,FALSE)="","",VLOOKUP($A61,'B-Ligands'!$A:$G,7,FALSE))</f>
        <v>Phys</v>
      </c>
      <c r="F61" s="20" t="str">
        <f t="shared" si="68"/>
        <v/>
      </c>
      <c r="G61" s="19">
        <f t="shared" si="69"/>
        <v>1</v>
      </c>
      <c r="H61" s="19">
        <f t="shared" si="70"/>
        <v>1</v>
      </c>
      <c r="I61" s="19">
        <f t="shared" si="71"/>
        <v>1</v>
      </c>
      <c r="J61" s="189">
        <f t="shared" si="26"/>
        <v>3</v>
      </c>
      <c r="K61" s="147" t="str">
        <f t="shared" si="27"/>
        <v>Gq/11</v>
      </c>
      <c r="L61" s="20">
        <f t="shared" si="28"/>
        <v>0</v>
      </c>
      <c r="M61" s="19">
        <f t="shared" si="29"/>
        <v>3</v>
      </c>
      <c r="N61" s="19">
        <f t="shared" si="30"/>
        <v>1</v>
      </c>
      <c r="O61" s="19">
        <f t="shared" si="31"/>
        <v>2</v>
      </c>
      <c r="P61" s="20">
        <f t="shared" si="32"/>
        <v>0</v>
      </c>
      <c r="Q61" s="19">
        <f t="shared" si="33"/>
        <v>79.325126033420673</v>
      </c>
      <c r="R61" s="19">
        <f t="shared" si="34"/>
        <v>100</v>
      </c>
      <c r="S61" s="19">
        <f t="shared" si="35"/>
        <v>96.4449422742466</v>
      </c>
      <c r="T61" s="20">
        <f t="shared" si="36"/>
        <v>0</v>
      </c>
      <c r="U61" s="21">
        <f t="shared" si="37"/>
        <v>7.10920378963859</v>
      </c>
      <c r="V61" s="21">
        <f t="shared" si="38"/>
        <v>8.9621084076732416</v>
      </c>
      <c r="W61" s="21">
        <f t="shared" si="39"/>
        <v>8.6435002803358589</v>
      </c>
      <c r="X61" s="147" t="str">
        <f t="shared" si="40"/>
        <v>G11</v>
      </c>
      <c r="Y61" s="32">
        <f t="shared" si="41"/>
        <v>0</v>
      </c>
      <c r="Z61" s="31">
        <f t="shared" si="42"/>
        <v>76.613229790681615</v>
      </c>
      <c r="AA61" s="31">
        <f t="shared" si="43"/>
        <v>76.140586451135761</v>
      </c>
      <c r="AB61" s="31">
        <f t="shared" si="44"/>
        <v>79.325126033420673</v>
      </c>
      <c r="AC61" s="31">
        <f t="shared" si="45"/>
        <v>76.816535380158285</v>
      </c>
      <c r="AD61" s="31">
        <f t="shared" si="46"/>
        <v>71.03339661214612</v>
      </c>
      <c r="AE61" s="31">
        <f t="shared" si="47"/>
        <v>97.289710316902259</v>
      </c>
      <c r="AF61" s="31">
        <f t="shared" si="48"/>
        <v>100</v>
      </c>
      <c r="AG61" s="31">
        <f t="shared" si="49"/>
        <v>91.419508682110859</v>
      </c>
      <c r="AH61" s="31">
        <f t="shared" si="50"/>
        <v>91.989231784211398</v>
      </c>
      <c r="AI61" s="31">
        <f t="shared" si="51"/>
        <v>92.695063924187252</v>
      </c>
      <c r="AJ61" s="31">
        <f t="shared" si="52"/>
        <v>96.4449422742466</v>
      </c>
      <c r="AK61" s="7" cm="1">
        <f t="array" ref="AK61">_xlfn.IFS(AZ61=0,0,AZ61&gt;0,(LOG(0.01*AZ61/10^-CD61)))</f>
        <v>0</v>
      </c>
      <c r="AL61" s="8" cm="1">
        <f t="array" ref="AL61">_xlfn.IFS(BA61=0,0,BA61&gt;0,(LOG(0.01*BA61/10^-CE61)))</f>
        <v>6.8661607084606979</v>
      </c>
      <c r="AM61" s="8" cm="1">
        <f t="array" ref="AM61">_xlfn.IFS(BB61=0,0,BB61&gt;0,(LOG(0.01*BB61/10^-CF61)))</f>
        <v>6.8238018999889514</v>
      </c>
      <c r="AN61" s="8" cm="1">
        <f t="array" ref="AN61">_xlfn.IFS(BC61=0,0,BC61&gt;0,(LOG(0.01*BC61/10^-CG61)))</f>
        <v>7.10920378963859</v>
      </c>
      <c r="AO61" s="8" cm="1">
        <f t="array" ref="AO61">_xlfn.IFS(BD61=0,0,BD61&gt;0,(LOG(0.01*BD61/10^-CH61)))</f>
        <v>6.8843811757884561</v>
      </c>
      <c r="AP61" s="8" cm="1">
        <f t="array" ref="AP61">_xlfn.IFS(BE61=0,0,BE61&gt;0,(LOG(0.01*BE61/10^-CI61)))</f>
        <v>6.3660900100330275</v>
      </c>
      <c r="AQ61" s="8" cm="1">
        <f t="array" ref="AQ61">_xlfn.IFS(BF61=0,0,BF61&gt;0,(LOG(0.01*BF61/10^-CJ61)))</f>
        <v>8.7192093081120383</v>
      </c>
      <c r="AR61" s="8" cm="1">
        <f t="array" ref="AR61">_xlfn.IFS(BG61=0,0,BG61&gt;0,(LOG(0.01*BG61/10^-CK61)))</f>
        <v>8.9621084076732416</v>
      </c>
      <c r="AS61" s="8" cm="1">
        <f t="array" ref="AS61">_xlfn.IFS(BH61=0,0,BH61&gt;0,(LOG(0.01*BH61/10^-CL61)))</f>
        <v>8.1931154738530267</v>
      </c>
      <c r="AT61" s="8" cm="1">
        <f t="array" ref="AT61">_xlfn.IFS(BI61=0,0,BI61&gt;0,(LOG(0.01*BI61/10^-CM61)))</f>
        <v>8.2441746758868355</v>
      </c>
      <c r="AU61" s="8" cm="1">
        <f t="array" ref="AU61">_xlfn.IFS(BJ61=0,0,BJ61&gt;0,(LOG(0.01*BJ61/10^-CN61)))</f>
        <v>8.3074321174476715</v>
      </c>
      <c r="AV61" s="8" cm="1">
        <f t="array" ref="AV61">_xlfn.IFS(BK61=0,0,BK61&gt;0,(LOG(0.01*BK61/10^-CO61)))</f>
        <v>8.6435002803358589</v>
      </c>
      <c r="AW61" s="8" cm="1">
        <f t="array" ref="AW61">_xlfn.IFS(BL61=0,0,BL61&gt;0,(LOG(0.01*BL61/10^-CP61)))</f>
        <v>7.4835750400061158</v>
      </c>
      <c r="AX61" s="8" cm="1">
        <f t="array" ref="AX61">_xlfn.IFS(BM61=0,0,BM61&gt;0,(LOG(0.01*BM61/10^-CQ61)))</f>
        <v>7.2587374944502638</v>
      </c>
      <c r="AY61" s="8" cm="1">
        <f t="array" ref="AY61">_xlfn.IFS(BN61=0,0,BN61&gt;0,(LOG(0.01*BN61/10^-CR61)))</f>
        <v>7.7095350048891289</v>
      </c>
      <c r="AZ61" s="32">
        <f t="shared" si="72"/>
        <v>0</v>
      </c>
      <c r="BA61" s="31">
        <f t="shared" si="54"/>
        <v>3.9642470205850491</v>
      </c>
      <c r="BB61" s="31">
        <f t="shared" si="55"/>
        <v>4.5687973997833149</v>
      </c>
      <c r="BC61" s="31">
        <f t="shared" si="56"/>
        <v>4.8775731310942581</v>
      </c>
      <c r="BD61" s="31">
        <f t="shared" si="57"/>
        <v>4.1245937161430115</v>
      </c>
      <c r="BE61" s="31">
        <f t="shared" si="58"/>
        <v>3.2069339111592634</v>
      </c>
      <c r="BF61" s="31">
        <f t="shared" si="59"/>
        <v>23.345829428303656</v>
      </c>
      <c r="BG61" s="31">
        <f t="shared" si="60"/>
        <v>42.277413308341146</v>
      </c>
      <c r="BH61" s="31">
        <f t="shared" si="61"/>
        <v>22.136832239925024</v>
      </c>
      <c r="BI61" s="31">
        <f t="shared" si="62"/>
        <v>21.143392689784442</v>
      </c>
      <c r="BJ61" s="31">
        <f t="shared" si="63"/>
        <v>17.275559331634096</v>
      </c>
      <c r="BK61" s="31">
        <f t="shared" si="64"/>
        <v>82.129708297932595</v>
      </c>
      <c r="BL61" s="31">
        <f t="shared" si="65"/>
        <v>6.9754951325948307</v>
      </c>
      <c r="BM61" s="31">
        <f t="shared" si="66"/>
        <v>3.0181268882175227</v>
      </c>
      <c r="BN61" s="31">
        <f t="shared" si="67"/>
        <v>7.4051695199731453</v>
      </c>
      <c r="BO61" s="132"/>
      <c r="BP61" s="133">
        <v>36.590000000000003</v>
      </c>
      <c r="BQ61" s="133">
        <v>42.17</v>
      </c>
      <c r="BR61" s="133">
        <v>45.02</v>
      </c>
      <c r="BS61" s="133">
        <v>38.07</v>
      </c>
      <c r="BT61" s="133">
        <v>29.6</v>
      </c>
      <c r="BU61" s="133">
        <v>249.1</v>
      </c>
      <c r="BV61" s="133">
        <v>451.1</v>
      </c>
      <c r="BW61" s="133">
        <v>236.2</v>
      </c>
      <c r="BX61" s="133">
        <v>225.6</v>
      </c>
      <c r="BY61" s="133">
        <v>122</v>
      </c>
      <c r="BZ61" s="133">
        <v>580</v>
      </c>
      <c r="CA61" s="133">
        <v>207.8</v>
      </c>
      <c r="CB61" s="133">
        <v>89.91</v>
      </c>
      <c r="CC61" s="133">
        <v>220.6</v>
      </c>
      <c r="CD61" s="36"/>
      <c r="CE61" s="34">
        <v>8.2680000000000007</v>
      </c>
      <c r="CF61" s="34">
        <v>8.1639999999999997</v>
      </c>
      <c r="CG61" s="34">
        <v>8.4209999999999994</v>
      </c>
      <c r="CH61" s="34">
        <v>8.2690000000000001</v>
      </c>
      <c r="CI61" s="34">
        <v>7.86</v>
      </c>
      <c r="CJ61" s="34">
        <v>9.3510000000000009</v>
      </c>
      <c r="CK61" s="34">
        <v>9.3360000000000003</v>
      </c>
      <c r="CL61" s="34">
        <v>8.8480000000000008</v>
      </c>
      <c r="CM61" s="34">
        <v>8.9190000000000005</v>
      </c>
      <c r="CN61" s="34">
        <v>9.07</v>
      </c>
      <c r="CO61" s="34">
        <v>8.7289999999999992</v>
      </c>
      <c r="CP61" s="34">
        <v>8.64</v>
      </c>
      <c r="CQ61" s="34">
        <v>8.7789999999999999</v>
      </c>
      <c r="CR61" s="34">
        <v>8.84</v>
      </c>
      <c r="CS61" s="168" t="str">
        <f>IF(VLOOKUP($A61,'B-Ligands'!$A:$G,3,FALSE)="","",VLOOKUP($A61,'B-Ligands'!$A:$G,3,FALSE))</f>
        <v/>
      </c>
      <c r="CT61" s="169" t="str">
        <f>IF(VLOOKUP($A61,'B-Ligands'!$A:$G,4,FALSE)="","",VLOOKUP($A61,'B-Ligands'!$A:$G,4,FALSE))</f>
        <v>Angiotensin II</v>
      </c>
      <c r="CU61" s="132">
        <v>10.836233725759925</v>
      </c>
      <c r="CV61" s="133">
        <v>17.556483289856153</v>
      </c>
      <c r="CW61" s="133">
        <v>18.573687325294319</v>
      </c>
      <c r="CX61" s="133">
        <v>21.814684831429357</v>
      </c>
      <c r="CY61" s="133">
        <v>10.703663594973618</v>
      </c>
      <c r="CZ61" s="133">
        <v>7.9029341797801615</v>
      </c>
      <c r="DA61" s="133">
        <v>10.285467318948603</v>
      </c>
      <c r="DB61" s="133">
        <v>7.7593195238368784</v>
      </c>
      <c r="DC61" s="133">
        <v>10.321765562534692</v>
      </c>
      <c r="DD61" s="133">
        <v>17.429148727620472</v>
      </c>
      <c r="DE61" s="133">
        <v>13.737452415709376</v>
      </c>
      <c r="DF61" s="133">
        <v>11.696180839388978</v>
      </c>
      <c r="DG61" s="133">
        <v>19.835095207494209</v>
      </c>
      <c r="DH61" s="133">
        <v>11.34894906336211</v>
      </c>
      <c r="DI61" s="133">
        <v>10.469206812390471</v>
      </c>
      <c r="DJ61" s="66">
        <f t="shared" si="73"/>
        <v>0</v>
      </c>
      <c r="DK61" s="67">
        <f t="shared" si="74"/>
        <v>2.0841303691577631</v>
      </c>
      <c r="DL61" s="67">
        <f t="shared" si="75"/>
        <v>2.2704161678532926</v>
      </c>
      <c r="DM61" s="67">
        <f t="shared" si="76"/>
        <v>2.0637474411336783</v>
      </c>
      <c r="DN61" s="67">
        <f t="shared" si="77"/>
        <v>3.5567261304697082</v>
      </c>
      <c r="DO61" s="67">
        <f t="shared" si="78"/>
        <v>3.7454443282258736</v>
      </c>
      <c r="DP61" s="67">
        <f t="shared" si="79"/>
        <v>24.218637060961797</v>
      </c>
      <c r="DQ61" s="67">
        <f t="shared" si="80"/>
        <v>58.136541305485146</v>
      </c>
      <c r="DR61" s="67">
        <f t="shared" si="81"/>
        <v>22.883681921370524</v>
      </c>
      <c r="DS61" s="67">
        <f t="shared" si="82"/>
        <v>12.943833547216521</v>
      </c>
      <c r="DT61" s="67">
        <f t="shared" si="83"/>
        <v>8.8808314895771847</v>
      </c>
      <c r="DU61" s="67">
        <f t="shared" si="84"/>
        <v>49.588836558233304</v>
      </c>
      <c r="DV61" s="67">
        <f t="shared" si="85"/>
        <v>10.476380265696321</v>
      </c>
      <c r="DW61" s="67">
        <f t="shared" si="86"/>
        <v>7.922319458658694</v>
      </c>
      <c r="DX61" s="67">
        <f t="shared" si="87"/>
        <v>21.071319341873771</v>
      </c>
    </row>
    <row r="62" spans="1:128" s="28" customFormat="1">
      <c r="A62" s="33" t="s">
        <v>191</v>
      </c>
      <c r="B62" s="205" t="s">
        <v>5559</v>
      </c>
      <c r="C62" t="str">
        <f>IF(VLOOKUP($A62,'B-Ligands'!$A:$G,5,FALSE)="","",VLOOKUP($A62,'B-Ligands'!$A:$G,5,FALSE))</f>
        <v>Guide To Pharmacology</v>
      </c>
      <c r="D62" s="19">
        <f>IF(VLOOKUP($A62,'B-Ligands'!$A:$G,6,FALSE)="","",VLOOKUP($A62,'B-Ligands'!$A:$G,6,FALSE))</f>
        <v>1734</v>
      </c>
      <c r="E62" t="str">
        <f>IF(VLOOKUP($A62,'B-Ligands'!$A:$G,7,FALSE)="","",VLOOKUP($A62,'B-Ligands'!$A:$G,7,FALSE))</f>
        <v>Phys</v>
      </c>
      <c r="F62" s="20" t="str">
        <f t="shared" si="68"/>
        <v/>
      </c>
      <c r="G62" s="19">
        <f t="shared" si="69"/>
        <v>1</v>
      </c>
      <c r="H62" s="19">
        <f t="shared" si="70"/>
        <v>1</v>
      </c>
      <c r="I62" s="19" t="str">
        <f t="shared" si="71"/>
        <v/>
      </c>
      <c r="J62" s="189">
        <f t="shared" si="26"/>
        <v>2</v>
      </c>
      <c r="K62" s="147" t="str">
        <f t="shared" si="27"/>
        <v>Gq/11</v>
      </c>
      <c r="L62" s="20">
        <f t="shared" si="28"/>
        <v>0</v>
      </c>
      <c r="M62" s="19">
        <f t="shared" si="29"/>
        <v>2</v>
      </c>
      <c r="N62" s="19">
        <f t="shared" si="30"/>
        <v>1</v>
      </c>
      <c r="O62" s="19">
        <f t="shared" si="31"/>
        <v>0</v>
      </c>
      <c r="P62" s="20">
        <f t="shared" si="32"/>
        <v>0</v>
      </c>
      <c r="Q62" s="19">
        <f t="shared" si="33"/>
        <v>96.173388094367525</v>
      </c>
      <c r="R62" s="19">
        <f t="shared" si="34"/>
        <v>100</v>
      </c>
      <c r="S62" s="19">
        <f t="shared" si="35"/>
        <v>0</v>
      </c>
      <c r="T62" s="20">
        <f t="shared" si="36"/>
        <v>0</v>
      </c>
      <c r="U62" s="21">
        <f t="shared" si="37"/>
        <v>5.1393541461367249</v>
      </c>
      <c r="V62" s="21">
        <f t="shared" si="38"/>
        <v>5.3438422498892031</v>
      </c>
      <c r="W62" s="21">
        <f t="shared" si="39"/>
        <v>0</v>
      </c>
      <c r="X62" s="147" t="str">
        <f t="shared" si="40"/>
        <v>G15</v>
      </c>
      <c r="Y62" s="32">
        <f t="shared" si="41"/>
        <v>0</v>
      </c>
      <c r="Z62" s="31">
        <f t="shared" si="42"/>
        <v>95.289489614005475</v>
      </c>
      <c r="AA62" s="31">
        <f t="shared" si="43"/>
        <v>93.308624745861408</v>
      </c>
      <c r="AB62" s="31">
        <f t="shared" si="44"/>
        <v>91.896982815656884</v>
      </c>
      <c r="AC62" s="31">
        <f t="shared" si="45"/>
        <v>96.173388094367525</v>
      </c>
      <c r="AD62" s="31">
        <f t="shared" si="46"/>
        <v>94.174680258143312</v>
      </c>
      <c r="AE62" s="31">
        <f t="shared" si="47"/>
        <v>90.554126586799541</v>
      </c>
      <c r="AF62" s="31">
        <f t="shared" si="48"/>
        <v>90.256054319718316</v>
      </c>
      <c r="AG62" s="31">
        <f t="shared" si="49"/>
        <v>87.667904856832195</v>
      </c>
      <c r="AH62" s="31">
        <f t="shared" si="50"/>
        <v>100</v>
      </c>
      <c r="AI62" s="31">
        <f t="shared" si="51"/>
        <v>0</v>
      </c>
      <c r="AJ62" s="31">
        <f t="shared" si="52"/>
        <v>0</v>
      </c>
      <c r="AK62" s="7" cm="1">
        <f t="array" ref="AK62">_xlfn.IFS(AZ62=0,0,AZ62&gt;0,(LOG(0.01*AZ62/10^-CD62)))</f>
        <v>0</v>
      </c>
      <c r="AL62" s="8" cm="1">
        <f t="array" ref="AL62">_xlfn.IFS(BA62=0,0,BA62&gt;0,(LOG(0.01*BA62/10^-CE62)))</f>
        <v>5.0921200056970086</v>
      </c>
      <c r="AM62" s="8" cm="1">
        <f t="array" ref="AM62">_xlfn.IFS(BB62=0,0,BB62&gt;0,(LOG(0.01*BB62/10^-CF62)))</f>
        <v>4.9862657119599136</v>
      </c>
      <c r="AN62" s="8" cm="1">
        <f t="array" ref="AN62">_xlfn.IFS(BC62=0,0,BC62&gt;0,(LOG(0.01*BC62/10^-CG62)))</f>
        <v>4.9108297940764931</v>
      </c>
      <c r="AO62" s="8" cm="1">
        <f t="array" ref="AO62">_xlfn.IFS(BD62=0,0,BD62&gt;0,(LOG(0.01*BD62/10^-CH62)))</f>
        <v>5.1393541461367249</v>
      </c>
      <c r="AP62" s="8" cm="1">
        <f t="array" ref="AP62">_xlfn.IFS(BE62=0,0,BE62&gt;0,(LOG(0.01*BE62/10^-CI62)))</f>
        <v>5.0325463523327292</v>
      </c>
      <c r="AQ62" s="8" cm="1">
        <f t="array" ref="AQ62">_xlfn.IFS(BF62=0,0,BF62&gt;0,(LOG(0.01*BF62/10^-CJ62)))</f>
        <v>4.8390696755635458</v>
      </c>
      <c r="AR62" s="8" cm="1">
        <f t="array" ref="AR62">_xlfn.IFS(BG62=0,0,BG62&gt;0,(LOG(0.01*BG62/10^-CK62)))</f>
        <v>4.8231411638200568</v>
      </c>
      <c r="AS62" s="8" cm="1">
        <f t="array" ref="AS62">_xlfn.IFS(BH62=0,0,BH62&gt;0,(LOG(0.01*BH62/10^-CL62)))</f>
        <v>4.6848345393320674</v>
      </c>
      <c r="AT62" s="8" cm="1">
        <f t="array" ref="AT62">_xlfn.IFS(BI62=0,0,BI62&gt;0,(LOG(0.01*BI62/10^-CM62)))</f>
        <v>5.3438422498892031</v>
      </c>
      <c r="AU62" s="8" cm="1">
        <f t="array" ref="AU62">_xlfn.IFS(BJ62=0,0,BJ62&gt;0,(LOG(0.01*BJ62/10^-CN62)))</f>
        <v>0</v>
      </c>
      <c r="AV62" s="8" cm="1">
        <f t="array" ref="AV62">_xlfn.IFS(BK62=0,0,BK62&gt;0,(LOG(0.01*BK62/10^-CO62)))</f>
        <v>0</v>
      </c>
      <c r="AW62" s="8" cm="1">
        <f t="array" ref="AW62">_xlfn.IFS(BL62=0,0,BL62&gt;0,(LOG(0.01*BL62/10^-CP62)))</f>
        <v>4.0273963922251985</v>
      </c>
      <c r="AX62" s="8" cm="1">
        <f t="array" ref="AX62">_xlfn.IFS(BM62=0,0,BM62&gt;0,(LOG(0.01*BM62/10^-CQ62)))</f>
        <v>4.0503775484951738</v>
      </c>
      <c r="AY62" s="8" cm="1">
        <f t="array" ref="AY62">_xlfn.IFS(BN62=0,0,BN62&gt;0,(LOG(0.01*BN62/10^-CR62)))</f>
        <v>3.8621877460420024</v>
      </c>
      <c r="AZ62" s="32">
        <f t="shared" si="72"/>
        <v>0</v>
      </c>
      <c r="BA62" s="31">
        <f t="shared" si="54"/>
        <v>6.4138678223185268</v>
      </c>
      <c r="BB62" s="31">
        <f t="shared" si="55"/>
        <v>2.8071505958829901</v>
      </c>
      <c r="BC62" s="31">
        <f t="shared" si="56"/>
        <v>9.2860238353196092</v>
      </c>
      <c r="BD62" s="31">
        <f t="shared" si="57"/>
        <v>5.9068255687973998</v>
      </c>
      <c r="BE62" s="31">
        <f t="shared" si="58"/>
        <v>9.943661971830986</v>
      </c>
      <c r="BF62" s="31">
        <f t="shared" si="59"/>
        <v>2.7357075913776945</v>
      </c>
      <c r="BG62" s="31">
        <f t="shared" si="60"/>
        <v>2.4498594189315841</v>
      </c>
      <c r="BH62" s="31">
        <f t="shared" si="61"/>
        <v>2.5051546391752577</v>
      </c>
      <c r="BI62" s="31">
        <f t="shared" si="62"/>
        <v>18.52858481724461</v>
      </c>
      <c r="BJ62" s="31">
        <f t="shared" si="63"/>
        <v>0</v>
      </c>
      <c r="BK62" s="31">
        <f t="shared" si="64"/>
        <v>0</v>
      </c>
      <c r="BL62" s="31">
        <f t="shared" si="65"/>
        <v>6.2000671366230282</v>
      </c>
      <c r="BM62" s="31">
        <f t="shared" si="66"/>
        <v>11.597851628063108</v>
      </c>
      <c r="BN62" s="31">
        <f t="shared" si="67"/>
        <v>3.178247734138973</v>
      </c>
      <c r="BO62" s="134"/>
      <c r="BP62" s="135">
        <v>59.2</v>
      </c>
      <c r="BQ62" s="135">
        <v>25.91</v>
      </c>
      <c r="BR62" s="135">
        <v>85.71</v>
      </c>
      <c r="BS62" s="135">
        <v>54.52</v>
      </c>
      <c r="BT62" s="135">
        <v>91.78</v>
      </c>
      <c r="BU62" s="135">
        <v>29.19</v>
      </c>
      <c r="BV62" s="135">
        <v>26.14</v>
      </c>
      <c r="BW62" s="135">
        <v>26.73</v>
      </c>
      <c r="BX62" s="135">
        <v>197.7</v>
      </c>
      <c r="BY62" s="135"/>
      <c r="BZ62" s="135"/>
      <c r="CA62" s="135">
        <v>184.7</v>
      </c>
      <c r="CB62" s="135">
        <v>345.5</v>
      </c>
      <c r="CC62" s="135">
        <v>94.68</v>
      </c>
      <c r="CD62" s="30"/>
      <c r="CE62" s="29">
        <v>6.2850000000000001</v>
      </c>
      <c r="CF62" s="29">
        <v>6.5380000000000003</v>
      </c>
      <c r="CG62" s="29">
        <v>5.9429999999999996</v>
      </c>
      <c r="CH62" s="29">
        <v>6.3680000000000003</v>
      </c>
      <c r="CI62" s="29">
        <v>6.0350000000000001</v>
      </c>
      <c r="CJ62" s="29">
        <v>6.4020000000000001</v>
      </c>
      <c r="CK62" s="29">
        <v>6.4340000000000002</v>
      </c>
      <c r="CL62" s="29">
        <v>6.2859999999999996</v>
      </c>
      <c r="CM62" s="29">
        <v>6.0759999999999996</v>
      </c>
      <c r="CN62" s="29"/>
      <c r="CO62" s="29"/>
      <c r="CP62" s="29">
        <v>5.2350000000000003</v>
      </c>
      <c r="CQ62" s="29">
        <v>4.9859999999999998</v>
      </c>
      <c r="CR62" s="29">
        <v>5.36</v>
      </c>
      <c r="CS62" s="168" t="str">
        <f>IF(VLOOKUP($A62,'B-Ligands'!$A:$G,3,FALSE)="","",VLOOKUP($A62,'B-Ligands'!$A:$G,3,FALSE))</f>
        <v>UTP</v>
      </c>
      <c r="CT62" s="169" t="str">
        <f>IF(VLOOKUP($A62,'B-Ligands'!$A:$G,4,FALSE)="","",VLOOKUP($A62,'B-Ligands'!$A:$G,4,FALSE))</f>
        <v>Uridine 5'-triphosphate</v>
      </c>
      <c r="CU62" s="134">
        <v>9.9850762959537551</v>
      </c>
      <c r="CV62" s="135">
        <v>11.492962125774026</v>
      </c>
      <c r="CW62" s="135">
        <v>7.9594017916138915</v>
      </c>
      <c r="CX62" s="135">
        <v>21.255675965501059</v>
      </c>
      <c r="CY62" s="135">
        <v>5.413115612247843</v>
      </c>
      <c r="CZ62" s="135">
        <v>8.7180776087644922</v>
      </c>
      <c r="DA62" s="135">
        <v>8.6006331531115645</v>
      </c>
      <c r="DB62" s="135">
        <v>5.3857124824955607</v>
      </c>
      <c r="DC62" s="135">
        <v>3.400828128734902</v>
      </c>
      <c r="DD62" s="135">
        <v>6.9700990867766457</v>
      </c>
      <c r="DE62" s="135">
        <v>6.6677738357757317</v>
      </c>
      <c r="DF62" s="135">
        <v>7.6536112396806724</v>
      </c>
      <c r="DG62" s="135">
        <v>9.0453926673085299</v>
      </c>
      <c r="DH62" s="135">
        <v>12.111059164607973</v>
      </c>
      <c r="DI62" s="135">
        <v>7.4251100227170133</v>
      </c>
      <c r="DJ62" s="66">
        <f t="shared" si="73"/>
        <v>0</v>
      </c>
      <c r="DK62" s="67">
        <f t="shared" si="74"/>
        <v>5.1509784294197356</v>
      </c>
      <c r="DL62" s="67">
        <f t="shared" si="75"/>
        <v>3.2552697650342322</v>
      </c>
      <c r="DM62" s="67">
        <f t="shared" si="76"/>
        <v>4.0323347109313898</v>
      </c>
      <c r="DN62" s="67">
        <f t="shared" si="77"/>
        <v>10.071833654659391</v>
      </c>
      <c r="DO62" s="67">
        <f t="shared" si="78"/>
        <v>10.527550237420618</v>
      </c>
      <c r="DP62" s="67">
        <f t="shared" si="79"/>
        <v>3.3939361765987601</v>
      </c>
      <c r="DQ62" s="67">
        <f t="shared" si="80"/>
        <v>4.8535825269097153</v>
      </c>
      <c r="DR62" s="67">
        <f t="shared" si="81"/>
        <v>7.8598503035622329</v>
      </c>
      <c r="DS62" s="67">
        <f t="shared" si="82"/>
        <v>28.364015710345843</v>
      </c>
      <c r="DT62" s="67">
        <f t="shared" si="83"/>
        <v>0</v>
      </c>
      <c r="DU62" s="67">
        <f t="shared" si="84"/>
        <v>0</v>
      </c>
      <c r="DV62" s="67">
        <f t="shared" si="85"/>
        <v>20.419235161292093</v>
      </c>
      <c r="DW62" s="67">
        <f t="shared" si="86"/>
        <v>28.527645295438006</v>
      </c>
      <c r="DX62" s="67">
        <f t="shared" si="87"/>
        <v>12.751326203965727</v>
      </c>
    </row>
    <row r="63" spans="1:128" s="28" customFormat="1">
      <c r="A63" s="33" t="s">
        <v>227</v>
      </c>
      <c r="B63" s="205" t="s">
        <v>5559</v>
      </c>
      <c r="C63" t="str">
        <f>IF(VLOOKUP($A63,'B-Ligands'!$A:$G,5,FALSE)="","",VLOOKUP($A63,'B-Ligands'!$A:$G,5,FALSE))</f>
        <v>Guide To Pharmacology</v>
      </c>
      <c r="D63" s="19">
        <f>IF(VLOOKUP($A63,'B-Ligands'!$A:$G,6,FALSE)="","",VLOOKUP($A63,'B-Ligands'!$A:$G,6,FALSE))</f>
        <v>2174</v>
      </c>
      <c r="E63" t="str">
        <f>IF(VLOOKUP($A63,'B-Ligands'!$A:$G,7,FALSE)="","",VLOOKUP($A63,'B-Ligands'!$A:$G,7,FALSE))</f>
        <v>Phys</v>
      </c>
      <c r="F63" s="20" t="str">
        <f t="shared" si="68"/>
        <v/>
      </c>
      <c r="G63" s="19" t="str">
        <f t="shared" si="69"/>
        <v/>
      </c>
      <c r="H63" s="19">
        <f t="shared" si="70"/>
        <v>1</v>
      </c>
      <c r="I63" s="19" t="str">
        <f t="shared" si="71"/>
        <v/>
      </c>
      <c r="J63" s="189">
        <f t="shared" si="26"/>
        <v>1</v>
      </c>
      <c r="K63" s="147" t="str">
        <f t="shared" si="27"/>
        <v>Gq/11</v>
      </c>
      <c r="L63" s="20">
        <f t="shared" si="28"/>
        <v>0</v>
      </c>
      <c r="M63" s="19">
        <f t="shared" si="29"/>
        <v>0</v>
      </c>
      <c r="N63" s="19">
        <f t="shared" si="30"/>
        <v>1</v>
      </c>
      <c r="O63" s="19">
        <f t="shared" si="31"/>
        <v>0</v>
      </c>
      <c r="P63" s="20">
        <f t="shared" si="32"/>
        <v>0</v>
      </c>
      <c r="Q63" s="19">
        <f t="shared" si="33"/>
        <v>0</v>
      </c>
      <c r="R63" s="19">
        <f t="shared" si="34"/>
        <v>100</v>
      </c>
      <c r="S63" s="19">
        <f t="shared" si="35"/>
        <v>0</v>
      </c>
      <c r="T63" s="20">
        <f t="shared" si="36"/>
        <v>0</v>
      </c>
      <c r="U63" s="21">
        <f t="shared" si="37"/>
        <v>0</v>
      </c>
      <c r="V63" s="21">
        <f t="shared" si="38"/>
        <v>7.5953853014160035</v>
      </c>
      <c r="W63" s="21">
        <f t="shared" si="39"/>
        <v>0</v>
      </c>
      <c r="X63" s="147" t="str">
        <f t="shared" si="40"/>
        <v>Gq</v>
      </c>
      <c r="Y63" s="32">
        <f t="shared" si="41"/>
        <v>0</v>
      </c>
      <c r="Z63" s="31">
        <f t="shared" si="42"/>
        <v>0</v>
      </c>
      <c r="AA63" s="31">
        <f t="shared" si="43"/>
        <v>0</v>
      </c>
      <c r="AB63" s="31">
        <f t="shared" si="44"/>
        <v>0</v>
      </c>
      <c r="AC63" s="31">
        <f t="shared" si="45"/>
        <v>0</v>
      </c>
      <c r="AD63" s="31">
        <f t="shared" si="46"/>
        <v>0</v>
      </c>
      <c r="AE63" s="31">
        <f t="shared" si="47"/>
        <v>100</v>
      </c>
      <c r="AF63" s="31">
        <f t="shared" si="48"/>
        <v>99.869210713867858</v>
      </c>
      <c r="AG63" s="31">
        <f t="shared" si="49"/>
        <v>89.771682901471792</v>
      </c>
      <c r="AH63" s="31">
        <f t="shared" si="50"/>
        <v>95.796809780309559</v>
      </c>
      <c r="AI63" s="31">
        <f t="shared" si="51"/>
        <v>0</v>
      </c>
      <c r="AJ63" s="31">
        <f t="shared" si="52"/>
        <v>0</v>
      </c>
      <c r="AK63" s="7" cm="1">
        <f t="array" ref="AK63">_xlfn.IFS(AZ63=0,0,AZ63&gt;0,(LOG(0.01*AZ63/10^-CD63)))</f>
        <v>0</v>
      </c>
      <c r="AL63" s="8" cm="1">
        <f t="array" ref="AL63">_xlfn.IFS(BA63=0,0,BA63&gt;0,(LOG(0.01*BA63/10^-CE63)))</f>
        <v>0</v>
      </c>
      <c r="AM63" s="8" cm="1">
        <f t="array" ref="AM63">_xlfn.IFS(BB63=0,0,BB63&gt;0,(LOG(0.01*BB63/10^-CF63)))</f>
        <v>0</v>
      </c>
      <c r="AN63" s="8" cm="1">
        <f t="array" ref="AN63">_xlfn.IFS(BC63=0,0,BC63&gt;0,(LOG(0.01*BC63/10^-CG63)))</f>
        <v>0</v>
      </c>
      <c r="AO63" s="8" cm="1">
        <f t="array" ref="AO63">_xlfn.IFS(BD63=0,0,BD63&gt;0,(LOG(0.01*BD63/10^-CH63)))</f>
        <v>0</v>
      </c>
      <c r="AP63" s="8" cm="1">
        <f t="array" ref="AP63">_xlfn.IFS(BE63=0,0,BE63&gt;0,(LOG(0.01*BE63/10^-CI63)))</f>
        <v>0</v>
      </c>
      <c r="AQ63" s="8" cm="1">
        <f t="array" ref="AQ63">_xlfn.IFS(BF63=0,0,BF63&gt;0,(LOG(0.01*BF63/10^-CJ63)))</f>
        <v>7.5953853014160035</v>
      </c>
      <c r="AR63" s="8" cm="1">
        <f t="array" ref="AR63">_xlfn.IFS(BG63=0,0,BG63&gt;0,(LOG(0.01*BG63/10^-CK63)))</f>
        <v>7.5854513512012955</v>
      </c>
      <c r="AS63" s="8" cm="1">
        <f t="array" ref="AS63">_xlfn.IFS(BH63=0,0,BH63&gt;0,(LOG(0.01*BH63/10^-CL63)))</f>
        <v>6.818505207932172</v>
      </c>
      <c r="AT63" s="8" cm="1">
        <f t="array" ref="AT63">_xlfn.IFS(BI63=0,0,BI63&gt;0,(LOG(0.01*BI63/10^-CM63)))</f>
        <v>7.2761368092790804</v>
      </c>
      <c r="AU63" s="8" cm="1">
        <f t="array" ref="AU63">_xlfn.IFS(BJ63=0,0,BJ63&gt;0,(LOG(0.01*BJ63/10^-CN63)))</f>
        <v>0</v>
      </c>
      <c r="AV63" s="8" cm="1">
        <f t="array" ref="AV63">_xlfn.IFS(BK63=0,0,BK63&gt;0,(LOG(0.01*BK63/10^-CO63)))</f>
        <v>0</v>
      </c>
      <c r="AW63" s="8" cm="1">
        <f t="array" ref="AW63">_xlfn.IFS(BL63=0,0,BL63&gt;0,(LOG(0.01*BL63/10^-CP63)))</f>
        <v>6.7251561531598858</v>
      </c>
      <c r="AX63" s="8" cm="1">
        <f t="array" ref="AX63">_xlfn.IFS(BM63=0,0,BM63&gt;0,(LOG(0.01*BM63/10^-CQ63)))</f>
        <v>6.9892520052042943</v>
      </c>
      <c r="AY63" s="8" cm="1">
        <f t="array" ref="AY63">_xlfn.IFS(BN63=0,0,BN63&gt;0,(LOG(0.01*BN63/10^-CR63)))</f>
        <v>7.4872795211372223</v>
      </c>
      <c r="AZ63" s="32">
        <f t="shared" si="72"/>
        <v>0</v>
      </c>
      <c r="BA63" s="31">
        <f t="shared" si="54"/>
        <v>0</v>
      </c>
      <c r="BB63" s="31">
        <f t="shared" si="55"/>
        <v>0</v>
      </c>
      <c r="BC63" s="31">
        <f t="shared" si="56"/>
        <v>0</v>
      </c>
      <c r="BD63" s="31">
        <f t="shared" si="57"/>
        <v>0</v>
      </c>
      <c r="BE63" s="31">
        <f t="shared" si="58"/>
        <v>0</v>
      </c>
      <c r="BF63" s="31">
        <f t="shared" si="59"/>
        <v>16.26991565135895</v>
      </c>
      <c r="BG63" s="31">
        <f t="shared" si="60"/>
        <v>24.686035613870661</v>
      </c>
      <c r="BH63" s="31">
        <f t="shared" si="61"/>
        <v>5.1227741330834116</v>
      </c>
      <c r="BI63" s="31">
        <f t="shared" si="62"/>
        <v>17.994376757263357</v>
      </c>
      <c r="BJ63" s="31">
        <f t="shared" si="63"/>
        <v>0</v>
      </c>
      <c r="BK63" s="31">
        <f t="shared" si="64"/>
        <v>0</v>
      </c>
      <c r="BL63" s="31">
        <f t="shared" si="65"/>
        <v>4.3068143672373287</v>
      </c>
      <c r="BM63" s="31">
        <f t="shared" si="66"/>
        <v>5.5622692178583417</v>
      </c>
      <c r="BN63" s="31">
        <f t="shared" si="67"/>
        <v>7.713997985901309</v>
      </c>
      <c r="BO63" s="134"/>
      <c r="BP63" s="135"/>
      <c r="BQ63" s="135"/>
      <c r="BR63" s="135"/>
      <c r="BS63" s="135"/>
      <c r="BT63" s="135"/>
      <c r="BU63" s="135">
        <v>173.6</v>
      </c>
      <c r="BV63" s="135">
        <v>263.39999999999998</v>
      </c>
      <c r="BW63" s="135">
        <v>54.66</v>
      </c>
      <c r="BX63" s="135">
        <v>192</v>
      </c>
      <c r="BY63" s="135"/>
      <c r="BZ63" s="135"/>
      <c r="CA63" s="135">
        <v>128.30000000000001</v>
      </c>
      <c r="CB63" s="135">
        <v>165.7</v>
      </c>
      <c r="CC63" s="135">
        <v>229.8</v>
      </c>
      <c r="CD63" s="30"/>
      <c r="CE63" s="29"/>
      <c r="CF63" s="29"/>
      <c r="CG63" s="29"/>
      <c r="CH63" s="29"/>
      <c r="CI63" s="29"/>
      <c r="CJ63" s="29">
        <v>8.3840000000000003</v>
      </c>
      <c r="CK63" s="29">
        <v>8.1929999999999996</v>
      </c>
      <c r="CL63" s="29">
        <v>8.109</v>
      </c>
      <c r="CM63" s="29">
        <v>8.0210000000000008</v>
      </c>
      <c r="CN63" s="29"/>
      <c r="CO63" s="29"/>
      <c r="CP63" s="29">
        <v>8.0909999999999993</v>
      </c>
      <c r="CQ63" s="29">
        <v>8.2439999999999998</v>
      </c>
      <c r="CR63" s="29">
        <v>8.6</v>
      </c>
      <c r="CS63" s="168" t="str">
        <f>IF(VLOOKUP($A63,'B-Ligands'!$A:$G,3,FALSE)="","",VLOOKUP($A63,'B-Ligands'!$A:$G,3,FALSE))</f>
        <v/>
      </c>
      <c r="CT63" s="169" t="str">
        <f>IF(VLOOKUP($A63,'B-Ligands'!$A:$G,4,FALSE)="","",VLOOKUP($A63,'B-Ligands'!$A:$G,4,FALSE))</f>
        <v>Oxytocin</v>
      </c>
      <c r="CU63" s="134">
        <v>20.718812724616242</v>
      </c>
      <c r="CV63" s="135">
        <v>16.262646900505672</v>
      </c>
      <c r="CW63" s="135">
        <v>14.285325989085061</v>
      </c>
      <c r="CX63" s="135">
        <v>23.632746533025198</v>
      </c>
      <c r="CY63" s="135">
        <v>7.0846922199808198</v>
      </c>
      <c r="CZ63" s="135">
        <v>4.8804232740718598</v>
      </c>
      <c r="DA63" s="135">
        <v>11.08019050553477</v>
      </c>
      <c r="DB63" s="135">
        <v>10.964519965065481</v>
      </c>
      <c r="DC63" s="135">
        <v>8.8469103421354394</v>
      </c>
      <c r="DD63" s="135">
        <v>8.3291418627957139</v>
      </c>
      <c r="DE63" s="135">
        <v>11.226969109312662</v>
      </c>
      <c r="DF63" s="135">
        <v>3.9999635366517339</v>
      </c>
      <c r="DG63" s="135">
        <v>15.921609642611035</v>
      </c>
      <c r="DH63" s="135">
        <v>12.934766282115694</v>
      </c>
      <c r="DI63" s="135">
        <v>8.2651094797712119</v>
      </c>
      <c r="DJ63" s="66">
        <f t="shared" si="73"/>
        <v>0</v>
      </c>
      <c r="DK63" s="67">
        <f t="shared" si="74"/>
        <v>0</v>
      </c>
      <c r="DL63" s="67">
        <f t="shared" si="75"/>
        <v>0</v>
      </c>
      <c r="DM63" s="67">
        <f t="shared" si="76"/>
        <v>0</v>
      </c>
      <c r="DN63" s="67">
        <f t="shared" si="77"/>
        <v>0</v>
      </c>
      <c r="DO63" s="67">
        <f t="shared" si="78"/>
        <v>0</v>
      </c>
      <c r="DP63" s="67">
        <f t="shared" si="79"/>
        <v>15.667600653010743</v>
      </c>
      <c r="DQ63" s="67">
        <f t="shared" si="80"/>
        <v>24.022939521222071</v>
      </c>
      <c r="DR63" s="67">
        <f t="shared" si="81"/>
        <v>6.1784281614869787</v>
      </c>
      <c r="DS63" s="67">
        <f t="shared" si="82"/>
        <v>23.051594409457486</v>
      </c>
      <c r="DT63" s="67">
        <f t="shared" si="83"/>
        <v>0</v>
      </c>
      <c r="DU63" s="67">
        <f t="shared" si="84"/>
        <v>0</v>
      </c>
      <c r="DV63" s="67">
        <f t="shared" si="85"/>
        <v>8.0582304729184209</v>
      </c>
      <c r="DW63" s="67">
        <f t="shared" si="86"/>
        <v>12.810436337694462</v>
      </c>
      <c r="DX63" s="67">
        <f t="shared" si="87"/>
        <v>27.8036244483432</v>
      </c>
    </row>
    <row r="64" spans="1:128" s="28" customFormat="1">
      <c r="A64" s="33" t="s">
        <v>182</v>
      </c>
      <c r="B64" s="205" t="s">
        <v>5559</v>
      </c>
      <c r="C64" t="str">
        <f>IF(VLOOKUP($A64,'B-Ligands'!$A:$G,5,FALSE)="","",VLOOKUP($A64,'B-Ligands'!$A:$G,5,FALSE))</f>
        <v>Guide To Pharmacology</v>
      </c>
      <c r="D64" s="19">
        <f>IF(VLOOKUP($A64,'B-Ligands'!$A:$G,6,FALSE)="","",VLOOKUP($A64,'B-Ligands'!$A:$G,6,FALSE))</f>
        <v>1620</v>
      </c>
      <c r="E64" t="str">
        <f>IF(VLOOKUP($A64,'B-Ligands'!$A:$G,7,FALSE)="","",VLOOKUP($A64,'B-Ligands'!$A:$G,7,FALSE))</f>
        <v>Phys</v>
      </c>
      <c r="F64" s="20" t="str">
        <f t="shared" si="68"/>
        <v/>
      </c>
      <c r="G64" s="19">
        <f t="shared" si="69"/>
        <v>1</v>
      </c>
      <c r="H64" s="19">
        <f t="shared" si="70"/>
        <v>1</v>
      </c>
      <c r="I64" s="19">
        <f t="shared" si="71"/>
        <v>1</v>
      </c>
      <c r="J64" s="189">
        <f t="shared" si="26"/>
        <v>3</v>
      </c>
      <c r="K64" s="147" t="str">
        <f t="shared" si="27"/>
        <v>Gi/o</v>
      </c>
      <c r="L64" s="20">
        <f t="shared" si="28"/>
        <v>0</v>
      </c>
      <c r="M64" s="19">
        <f t="shared" si="29"/>
        <v>1</v>
      </c>
      <c r="N64" s="19">
        <f t="shared" si="30"/>
        <v>3</v>
      </c>
      <c r="O64" s="19">
        <f t="shared" si="31"/>
        <v>2</v>
      </c>
      <c r="P64" s="20">
        <f t="shared" si="32"/>
        <v>0</v>
      </c>
      <c r="Q64" s="19">
        <f t="shared" si="33"/>
        <v>100</v>
      </c>
      <c r="R64" s="19">
        <f t="shared" si="34"/>
        <v>73.643315517486698</v>
      </c>
      <c r="S64" s="19">
        <f t="shared" si="35"/>
        <v>77.858356479246993</v>
      </c>
      <c r="T64" s="20">
        <f t="shared" si="36"/>
        <v>0</v>
      </c>
      <c r="U64" s="21">
        <f t="shared" si="37"/>
        <v>10.157554748291302</v>
      </c>
      <c r="V64" s="21">
        <f t="shared" si="38"/>
        <v>7.4803600921456148</v>
      </c>
      <c r="W64" s="21">
        <f t="shared" si="39"/>
        <v>7.9085051854993216</v>
      </c>
      <c r="X64" s="147" t="str">
        <f t="shared" si="40"/>
        <v>GoB</v>
      </c>
      <c r="Y64" s="32">
        <f t="shared" si="41"/>
        <v>0</v>
      </c>
      <c r="Z64" s="31">
        <f t="shared" si="42"/>
        <v>98.820848302932902</v>
      </c>
      <c r="AA64" s="31">
        <f t="shared" si="43"/>
        <v>95.802536799876918</v>
      </c>
      <c r="AB64" s="31">
        <f t="shared" si="44"/>
        <v>95.936991077428274</v>
      </c>
      <c r="AC64" s="31">
        <f t="shared" si="45"/>
        <v>100</v>
      </c>
      <c r="AD64" s="31">
        <f t="shared" si="46"/>
        <v>96.476089342485295</v>
      </c>
      <c r="AE64" s="31">
        <f t="shared" si="47"/>
        <v>0</v>
      </c>
      <c r="AF64" s="31">
        <f t="shared" si="48"/>
        <v>0</v>
      </c>
      <c r="AG64" s="31">
        <f t="shared" si="49"/>
        <v>0</v>
      </c>
      <c r="AH64" s="31">
        <f t="shared" si="50"/>
        <v>73.643315517486698</v>
      </c>
      <c r="AI64" s="31">
        <f t="shared" si="51"/>
        <v>77.858356479246993</v>
      </c>
      <c r="AJ64" s="31">
        <f t="shared" si="52"/>
        <v>0</v>
      </c>
      <c r="AK64" s="7" cm="1">
        <f t="array" ref="AK64">_xlfn.IFS(AZ64=0,0,AZ64&gt;0,(LOG(0.01*AZ64/10^-CD64)))</f>
        <v>0</v>
      </c>
      <c r="AL64" s="8" cm="1">
        <f t="array" ref="AL64">_xlfn.IFS(BA64=0,0,BA64&gt;0,(LOG(0.01*BA64/10^-CE64)))</f>
        <v>10.037781769096306</v>
      </c>
      <c r="AM64" s="8" cm="1">
        <f t="array" ref="AM64">_xlfn.IFS(BB64=0,0,BB64&gt;0,(LOG(0.01*BB64/10^-CF64)))</f>
        <v>9.7311951256994202</v>
      </c>
      <c r="AN64" s="8" cm="1">
        <f t="array" ref="AN64">_xlfn.IFS(BC64=0,0,BC64&gt;0,(LOG(0.01*BC64/10^-CG64)))</f>
        <v>9.7448523925531187</v>
      </c>
      <c r="AO64" s="8" cm="1">
        <f t="array" ref="AO64">_xlfn.IFS(BD64=0,0,BD64&gt;0,(LOG(0.01*BD64/10^-CH64)))</f>
        <v>10.157554748291302</v>
      </c>
      <c r="AP64" s="8" cm="1">
        <f t="array" ref="AP64">_xlfn.IFS(BE64=0,0,BE64&gt;0,(LOG(0.01*BE64/10^-CI64)))</f>
        <v>9.7996115939733741</v>
      </c>
      <c r="AQ64" s="8" cm="1">
        <f t="array" ref="AQ64">_xlfn.IFS(BF64=0,0,BF64&gt;0,(LOG(0.01*BF64/10^-CJ64)))</f>
        <v>0</v>
      </c>
      <c r="AR64" s="8" cm="1">
        <f t="array" ref="AR64">_xlfn.IFS(BG64=0,0,BG64&gt;0,(LOG(0.01*BG64/10^-CK64)))</f>
        <v>0</v>
      </c>
      <c r="AS64" s="8" cm="1">
        <f t="array" ref="AS64">_xlfn.IFS(BH64=0,0,BH64&gt;0,(LOG(0.01*BH64/10^-CL64)))</f>
        <v>0</v>
      </c>
      <c r="AT64" s="8" cm="1">
        <f t="array" ref="AT64">_xlfn.IFS(BI64=0,0,BI64&gt;0,(LOG(0.01*BI64/10^-CM64)))</f>
        <v>7.4803600921456148</v>
      </c>
      <c r="AU64" s="8" cm="1">
        <f t="array" ref="AU64">_xlfn.IFS(BJ64=0,0,BJ64&gt;0,(LOG(0.01*BJ64/10^-CN64)))</f>
        <v>7.9085051854993216</v>
      </c>
      <c r="AV64" s="8" cm="1">
        <f t="array" ref="AV64">_xlfn.IFS(BK64=0,0,BK64&gt;0,(LOG(0.01*BK64/10^-CO64)))</f>
        <v>0</v>
      </c>
      <c r="AW64" s="8" cm="1">
        <f t="array" ref="AW64">_xlfn.IFS(BL64=0,0,BL64&gt;0,(LOG(0.01*BL64/10^-CP64)))</f>
        <v>7.2130344797563657</v>
      </c>
      <c r="AX64" s="8" cm="1">
        <f t="array" ref="AX64">_xlfn.IFS(BM64=0,0,BM64&gt;0,(LOG(0.01*BM64/10^-CQ64)))</f>
        <v>7.1822715839485873</v>
      </c>
      <c r="AY64" s="8" cm="1">
        <f t="array" ref="AY64">_xlfn.IFS(BN64=0,0,BN64&gt;0,(LOG(0.01*BN64/10^-CR64)))</f>
        <v>7.2869124727628076</v>
      </c>
      <c r="AZ64" s="32">
        <f t="shared" si="72"/>
        <v>0</v>
      </c>
      <c r="BA64" s="31">
        <f t="shared" si="54"/>
        <v>75.471289274106169</v>
      </c>
      <c r="BB64" s="31">
        <f t="shared" si="55"/>
        <v>32.448537378114843</v>
      </c>
      <c r="BC64" s="31">
        <f t="shared" si="56"/>
        <v>24.257854821235103</v>
      </c>
      <c r="BD64" s="31">
        <f t="shared" si="57"/>
        <v>32.177681473456119</v>
      </c>
      <c r="BE64" s="31">
        <f t="shared" si="58"/>
        <v>3.5449620801733479</v>
      </c>
      <c r="BF64" s="31">
        <f t="shared" si="59"/>
        <v>0</v>
      </c>
      <c r="BG64" s="31">
        <f t="shared" si="60"/>
        <v>0</v>
      </c>
      <c r="BH64" s="31">
        <f t="shared" si="61"/>
        <v>0</v>
      </c>
      <c r="BI64" s="31">
        <f t="shared" si="62"/>
        <v>16.457357075913777</v>
      </c>
      <c r="BJ64" s="31">
        <f t="shared" si="63"/>
        <v>4.4208439535542334</v>
      </c>
      <c r="BK64" s="31">
        <f t="shared" si="64"/>
        <v>0</v>
      </c>
      <c r="BL64" s="31">
        <f t="shared" si="65"/>
        <v>7.0963410540449816</v>
      </c>
      <c r="BM64" s="31">
        <f t="shared" si="66"/>
        <v>5.6529036589459549</v>
      </c>
      <c r="BN64" s="31">
        <f t="shared" si="67"/>
        <v>7.8147029204431018</v>
      </c>
      <c r="BO64" s="134"/>
      <c r="BP64" s="135">
        <v>696.6</v>
      </c>
      <c r="BQ64" s="135">
        <v>299.5</v>
      </c>
      <c r="BR64" s="135">
        <v>223.9</v>
      </c>
      <c r="BS64" s="135">
        <v>297</v>
      </c>
      <c r="BT64" s="135">
        <v>32.72</v>
      </c>
      <c r="BU64" s="135"/>
      <c r="BV64" s="135"/>
      <c r="BW64" s="135"/>
      <c r="BX64" s="135">
        <v>175.6</v>
      </c>
      <c r="BY64" s="176">
        <v>31.22</v>
      </c>
      <c r="BZ64" s="176"/>
      <c r="CA64" s="135">
        <v>211.4</v>
      </c>
      <c r="CB64" s="135">
        <v>168.4</v>
      </c>
      <c r="CC64" s="135">
        <v>232.8</v>
      </c>
      <c r="CD64" s="30"/>
      <c r="CE64" s="29">
        <v>10.16</v>
      </c>
      <c r="CF64" s="29">
        <v>10.220000000000001</v>
      </c>
      <c r="CG64" s="29">
        <v>10.36</v>
      </c>
      <c r="CH64" s="29">
        <v>10.65</v>
      </c>
      <c r="CI64" s="29">
        <v>11.25</v>
      </c>
      <c r="CJ64" s="29"/>
      <c r="CK64" s="29"/>
      <c r="CL64" s="29"/>
      <c r="CM64" s="29">
        <v>8.2639999999999993</v>
      </c>
      <c r="CN64" s="39">
        <v>9.2629999999999999</v>
      </c>
      <c r="CO64" s="39"/>
      <c r="CP64" s="29">
        <v>8.3620000000000001</v>
      </c>
      <c r="CQ64" s="29">
        <v>8.43</v>
      </c>
      <c r="CR64" s="29">
        <v>8.3940000000000001</v>
      </c>
      <c r="CS64" s="168" t="str">
        <f>IF(VLOOKUP($A64,'B-Ligands'!$A:$G,3,FALSE)="","",VLOOKUP($A64,'B-Ligands'!$A:$G,3,FALSE))</f>
        <v/>
      </c>
      <c r="CT64" s="169" t="str">
        <f>IF(VLOOKUP($A64,'B-Ligands'!$A:$G,4,FALSE)="","",VLOOKUP($A64,'B-Ligands'!$A:$G,4,FALSE))</f>
        <v>Dynorphin A</v>
      </c>
      <c r="CU64" s="134">
        <v>2.8663122959623952</v>
      </c>
      <c r="CV64" s="135">
        <v>4.9554653128976369</v>
      </c>
      <c r="CW64" s="135">
        <v>8.9625914785619809</v>
      </c>
      <c r="CX64" s="135">
        <v>20.519103227154535</v>
      </c>
      <c r="CY64" s="135">
        <v>7.4712737344811675</v>
      </c>
      <c r="CZ64" s="135">
        <v>6.9546827105519524</v>
      </c>
      <c r="DA64" s="135">
        <v>7.2134383047218256</v>
      </c>
      <c r="DB64" s="135">
        <v>14.525353697565661</v>
      </c>
      <c r="DC64" s="135">
        <v>19.360852709298555</v>
      </c>
      <c r="DD64" s="135">
        <v>4.8833375266994219</v>
      </c>
      <c r="DE64" s="135">
        <v>25.48866689289467</v>
      </c>
      <c r="DF64" s="135">
        <v>18.071626253715728</v>
      </c>
      <c r="DG64" s="135">
        <v>6.4233490918305174</v>
      </c>
      <c r="DH64" s="135">
        <v>16.753785727477133</v>
      </c>
      <c r="DI64" s="135">
        <v>11.288350948703709</v>
      </c>
      <c r="DJ64" s="66">
        <f t="shared" si="73"/>
        <v>0</v>
      </c>
      <c r="DK64" s="67">
        <f t="shared" si="74"/>
        <v>140.57206660027515</v>
      </c>
      <c r="DL64" s="67">
        <f t="shared" si="75"/>
        <v>33.416674263954491</v>
      </c>
      <c r="DM64" s="67">
        <f t="shared" si="76"/>
        <v>10.911782913772548</v>
      </c>
      <c r="DN64" s="67">
        <f t="shared" si="77"/>
        <v>39.752257855216271</v>
      </c>
      <c r="DO64" s="67">
        <f t="shared" si="78"/>
        <v>4.7047437477421887</v>
      </c>
      <c r="DP64" s="67">
        <f t="shared" si="79"/>
        <v>0</v>
      </c>
      <c r="DQ64" s="67">
        <f t="shared" si="80"/>
        <v>0</v>
      </c>
      <c r="DR64" s="67">
        <f t="shared" si="81"/>
        <v>0</v>
      </c>
      <c r="DS64" s="67">
        <f t="shared" si="82"/>
        <v>35.959013490244146</v>
      </c>
      <c r="DT64" s="67">
        <f t="shared" si="83"/>
        <v>1.2248580959996389</v>
      </c>
      <c r="DU64" s="67">
        <f t="shared" si="84"/>
        <v>0</v>
      </c>
      <c r="DV64" s="67">
        <f t="shared" si="85"/>
        <v>32.911180285821196</v>
      </c>
      <c r="DW64" s="67">
        <f t="shared" si="86"/>
        <v>10.051459576913098</v>
      </c>
      <c r="DX64" s="67">
        <f t="shared" si="87"/>
        <v>20.623029976467329</v>
      </c>
    </row>
    <row r="65" spans="1:128" s="28" customFormat="1">
      <c r="A65" s="33" t="s">
        <v>2896</v>
      </c>
      <c r="B65" s="205" t="s">
        <v>5559</v>
      </c>
      <c r="C65" t="str">
        <f>IF(VLOOKUP($A65,'B-Ligands'!$A:$G,5,FALSE)="","",VLOOKUP($A65,'B-Ligands'!$A:$G,5,FALSE))</f>
        <v>Guide To Pharmacology</v>
      </c>
      <c r="D65" s="19">
        <f>IF(VLOOKUP($A65,'B-Ligands'!$A:$G,6,FALSE)="","",VLOOKUP($A65,'B-Ligands'!$A:$G,6,FALSE))</f>
        <v>912</v>
      </c>
      <c r="E65" t="str">
        <f>IF(VLOOKUP($A65,'B-Ligands'!$A:$G,7,FALSE)="","",VLOOKUP($A65,'B-Ligands'!$A:$G,7,FALSE))</f>
        <v>Phys</v>
      </c>
      <c r="F65" s="20">
        <f t="shared" si="68"/>
        <v>1</v>
      </c>
      <c r="G65" s="19">
        <f t="shared" si="69"/>
        <v>1</v>
      </c>
      <c r="H65" s="19">
        <f t="shared" si="70"/>
        <v>1</v>
      </c>
      <c r="I65" s="19">
        <f t="shared" si="71"/>
        <v>1</v>
      </c>
      <c r="J65" s="189">
        <f t="shared" si="26"/>
        <v>4</v>
      </c>
      <c r="K65" s="147" t="str">
        <f t="shared" si="27"/>
        <v>G12/13</v>
      </c>
      <c r="L65" s="20">
        <f t="shared" si="28"/>
        <v>2</v>
      </c>
      <c r="M65" s="19">
        <f t="shared" si="29"/>
        <v>3</v>
      </c>
      <c r="N65" s="19">
        <f t="shared" si="30"/>
        <v>4</v>
      </c>
      <c r="O65" s="19">
        <f t="shared" si="31"/>
        <v>1</v>
      </c>
      <c r="P65" s="20">
        <f t="shared" si="32"/>
        <v>86.934586177187072</v>
      </c>
      <c r="Q65" s="19">
        <f t="shared" si="33"/>
        <v>75.446992411417966</v>
      </c>
      <c r="R65" s="19">
        <f t="shared" si="34"/>
        <v>72.764316810908596</v>
      </c>
      <c r="S65" s="19">
        <f t="shared" si="35"/>
        <v>100</v>
      </c>
      <c r="T65" s="20">
        <f t="shared" si="36"/>
        <v>7.4060046387396206</v>
      </c>
      <c r="U65" s="21">
        <f t="shared" si="37"/>
        <v>6.4273702832042874</v>
      </c>
      <c r="V65" s="21">
        <f t="shared" si="38"/>
        <v>6.1988316909676842</v>
      </c>
      <c r="W65" s="21">
        <f t="shared" si="39"/>
        <v>8.5190543423591585</v>
      </c>
      <c r="X65" s="147" t="str">
        <f t="shared" si="40"/>
        <v>G13</v>
      </c>
      <c r="Y65" s="32">
        <f t="shared" si="41"/>
        <v>86.934586177187072</v>
      </c>
      <c r="Z65" s="31">
        <f t="shared" si="42"/>
        <v>73.229335279835155</v>
      </c>
      <c r="AA65" s="31">
        <f t="shared" si="43"/>
        <v>72.311150116377576</v>
      </c>
      <c r="AB65" s="31">
        <f t="shared" si="44"/>
        <v>0</v>
      </c>
      <c r="AC65" s="31">
        <f t="shared" si="45"/>
        <v>75.446992411417966</v>
      </c>
      <c r="AD65" s="31">
        <f t="shared" si="46"/>
        <v>69.530222428590179</v>
      </c>
      <c r="AE65" s="31">
        <f t="shared" si="47"/>
        <v>0</v>
      </c>
      <c r="AF65" s="31">
        <f t="shared" si="48"/>
        <v>0</v>
      </c>
      <c r="AG65" s="31">
        <f t="shared" si="49"/>
        <v>0</v>
      </c>
      <c r="AH65" s="31">
        <f t="shared" si="50"/>
        <v>72.764316810908596</v>
      </c>
      <c r="AI65" s="31">
        <f t="shared" si="51"/>
        <v>91.501799534617945</v>
      </c>
      <c r="AJ65" s="31">
        <f t="shared" si="52"/>
        <v>100</v>
      </c>
      <c r="AK65" s="7" cm="1">
        <f t="array" ref="AK65">_xlfn.IFS(AZ65=0,0,AZ65&gt;0,(LOG(0.01*AZ65/10^-CD65)))</f>
        <v>7.4060046387396206</v>
      </c>
      <c r="AL65" s="8" cm="1">
        <f t="array" ref="AL65">_xlfn.IFS(BA65=0,0,BA65&gt;0,(LOG(0.01*BA65/10^-CE65)))</f>
        <v>6.2384468670375437</v>
      </c>
      <c r="AM65" s="8" cm="1">
        <f t="array" ref="AM65">_xlfn.IFS(BB65=0,0,BB65&gt;0,(LOG(0.01*BB65/10^-CF65)))</f>
        <v>6.1602261739991135</v>
      </c>
      <c r="AN65" s="8" cm="1">
        <f t="array" ref="AN65">_xlfn.IFS(BC65=0,0,BC65&gt;0,(LOG(0.01*BC65/10^-CG65)))</f>
        <v>0</v>
      </c>
      <c r="AO65" s="8" cm="1">
        <f t="array" ref="AO65">_xlfn.IFS(BD65=0,0,BD65&gt;0,(LOG(0.01*BD65/10^-CH65)))</f>
        <v>6.4273702832042874</v>
      </c>
      <c r="AP65" s="8" cm="1">
        <f t="array" ref="AP65">_xlfn.IFS(BE65=0,0,BE65&gt;0,(LOG(0.01*BE65/10^-CI65)))</f>
        <v>5.9233174330547937</v>
      </c>
      <c r="AQ65" s="8" cm="1">
        <f t="array" ref="AQ65">_xlfn.IFS(BF65=0,0,BF65&gt;0,(LOG(0.01*BF65/10^-CJ65)))</f>
        <v>0</v>
      </c>
      <c r="AR65" s="8" cm="1">
        <f t="array" ref="AR65">_xlfn.IFS(BG65=0,0,BG65&gt;0,(LOG(0.01*BG65/10^-CK65)))</f>
        <v>0</v>
      </c>
      <c r="AS65" s="8" cm="1">
        <f t="array" ref="AS65">_xlfn.IFS(BH65=0,0,BH65&gt;0,(LOG(0.01*BH65/10^-CL65)))</f>
        <v>0</v>
      </c>
      <c r="AT65" s="8" cm="1">
        <f t="array" ref="AT65">_xlfn.IFS(BI65=0,0,BI65&gt;0,(LOG(0.01*BI65/10^-CM65)))</f>
        <v>6.1988316909676842</v>
      </c>
      <c r="AU65" s="8" cm="1">
        <f t="array" ref="AU65">_xlfn.IFS(BJ65=0,0,BJ65&gt;0,(LOG(0.01*BJ65/10^-CN65)))</f>
        <v>7.7950880265906424</v>
      </c>
      <c r="AV65" s="8" cm="1">
        <f t="array" ref="AV65">_xlfn.IFS(BK65=0,0,BK65&gt;0,(LOG(0.01*BK65/10^-CO65)))</f>
        <v>8.5190543423591585</v>
      </c>
      <c r="AW65" s="8" cm="1">
        <f t="array" ref="AW65">_xlfn.IFS(BL65=0,0,BL65&gt;0,(LOG(0.01*BL65/10^-CP65)))</f>
        <v>6.3807971171390667</v>
      </c>
      <c r="AX65" s="8" cm="1">
        <f t="array" ref="AX65">_xlfn.IFS(BM65=0,0,BM65&gt;0,(LOG(0.01*BM65/10^-CQ65)))</f>
        <v>5.815508622193625</v>
      </c>
      <c r="AY65" s="8" cm="1">
        <f t="array" ref="AY65">_xlfn.IFS(BN65=0,0,BN65&gt;0,(LOG(0.01*BN65/10^-CR65)))</f>
        <v>5.9792467587068394</v>
      </c>
      <c r="AZ65" s="32">
        <f t="shared" si="72"/>
        <v>39.084507042253527</v>
      </c>
      <c r="BA65" s="31">
        <f t="shared" si="54"/>
        <v>3.1365113759479955</v>
      </c>
      <c r="BB65" s="31">
        <f t="shared" si="55"/>
        <v>4.6262188515709646</v>
      </c>
      <c r="BC65" s="31">
        <f t="shared" si="56"/>
        <v>0</v>
      </c>
      <c r="BD65" s="31">
        <f t="shared" si="57"/>
        <v>3.3835319609967498</v>
      </c>
      <c r="BE65" s="31">
        <f t="shared" si="58"/>
        <v>6.939328277356446</v>
      </c>
      <c r="BF65" s="31">
        <f t="shared" si="59"/>
        <v>0</v>
      </c>
      <c r="BG65" s="31">
        <f t="shared" si="60"/>
        <v>0</v>
      </c>
      <c r="BH65" s="31">
        <f t="shared" si="61"/>
        <v>0</v>
      </c>
      <c r="BI65" s="31">
        <f t="shared" si="62"/>
        <v>16.026241799437674</v>
      </c>
      <c r="BJ65" s="31">
        <f t="shared" si="63"/>
        <v>14.896629849900878</v>
      </c>
      <c r="BK65" s="31">
        <f t="shared" si="64"/>
        <v>51.529311809685638</v>
      </c>
      <c r="BL65" s="31">
        <f t="shared" si="65"/>
        <v>9.8355152735817395</v>
      </c>
      <c r="BM65" s="31">
        <f t="shared" si="66"/>
        <v>8.6002014098690829</v>
      </c>
      <c r="BN65" s="31">
        <f t="shared" si="67"/>
        <v>16.189996643168847</v>
      </c>
      <c r="BO65" s="134">
        <v>25.53</v>
      </c>
      <c r="BP65" s="135">
        <v>28.95</v>
      </c>
      <c r="BQ65" s="135">
        <v>42.7</v>
      </c>
      <c r="BR65" s="135"/>
      <c r="BS65" s="135">
        <v>31.23</v>
      </c>
      <c r="BT65" s="135">
        <v>64.05</v>
      </c>
      <c r="BU65" s="135"/>
      <c r="BV65" s="135"/>
      <c r="BW65" s="135"/>
      <c r="BX65" s="135">
        <v>171</v>
      </c>
      <c r="BY65" s="135">
        <v>105.2</v>
      </c>
      <c r="BZ65" s="135">
        <v>363.9</v>
      </c>
      <c r="CA65" s="135">
        <v>293</v>
      </c>
      <c r="CB65" s="135">
        <v>256.2</v>
      </c>
      <c r="CC65" s="135">
        <v>482.3</v>
      </c>
      <c r="CD65" s="30">
        <v>7.8140000000000001</v>
      </c>
      <c r="CE65" s="29">
        <v>7.742</v>
      </c>
      <c r="CF65" s="29">
        <v>7.4950000000000001</v>
      </c>
      <c r="CG65" s="29"/>
      <c r="CH65" s="29">
        <v>7.8979999999999997</v>
      </c>
      <c r="CI65" s="29">
        <v>7.0819999999999999</v>
      </c>
      <c r="CJ65" s="29"/>
      <c r="CK65" s="29"/>
      <c r="CL65" s="29"/>
      <c r="CM65" s="29">
        <v>6.9939999999999998</v>
      </c>
      <c r="CN65" s="29">
        <v>8.6219999999999999</v>
      </c>
      <c r="CO65" s="29">
        <v>8.8070000000000004</v>
      </c>
      <c r="CP65" s="29">
        <v>7.3879999999999999</v>
      </c>
      <c r="CQ65" s="29">
        <v>6.8810000000000002</v>
      </c>
      <c r="CR65" s="29">
        <v>6.77</v>
      </c>
      <c r="CS65" s="168" t="str">
        <f>IF(VLOOKUP($A65,'B-Ligands'!$A:$G,3,FALSE)="","",VLOOKUP($A65,'B-Ligands'!$A:$G,3,FALSE))</f>
        <v>CRF</v>
      </c>
      <c r="CT65" s="169" t="str">
        <f>IF(VLOOKUP($A65,'B-Ligands'!$A:$G,4,FALSE)="","",VLOOKUP($A65,'B-Ligands'!$A:$G,4,FALSE))</f>
        <v>Corticotropin-releasing factor</v>
      </c>
      <c r="CU65" s="134">
        <v>10.125937058488562</v>
      </c>
      <c r="CV65" s="135">
        <v>9.5155900948537759</v>
      </c>
      <c r="CW65" s="135">
        <v>22.182567778567634</v>
      </c>
      <c r="CX65" s="135">
        <v>10.602523824019753</v>
      </c>
      <c r="CY65" s="135">
        <v>3.6745055917755334</v>
      </c>
      <c r="CZ65" s="135">
        <v>7.8745701936990367</v>
      </c>
      <c r="DA65" s="135">
        <v>5.3487653644973303</v>
      </c>
      <c r="DB65" s="135">
        <v>6.1021068836392356</v>
      </c>
      <c r="DC65" s="135">
        <v>11.463664793019358</v>
      </c>
      <c r="DD65" s="135">
        <v>7.6841644222111762</v>
      </c>
      <c r="DE65" s="135">
        <v>6.5082852616786351</v>
      </c>
      <c r="DF65" s="135">
        <v>18.556477497456189</v>
      </c>
      <c r="DG65" s="135">
        <v>7.6496222247696668</v>
      </c>
      <c r="DH65" s="135">
        <v>8.7834103591318939</v>
      </c>
      <c r="DI65" s="135">
        <v>2.1738973884989736</v>
      </c>
      <c r="DJ65" s="66">
        <f t="shared" si="73"/>
        <v>2.521248142521114</v>
      </c>
      <c r="DK65" s="67">
        <f t="shared" si="74"/>
        <v>3.0423756920400287</v>
      </c>
      <c r="DL65" s="67">
        <f t="shared" si="75"/>
        <v>1.9249349501032929</v>
      </c>
      <c r="DM65" s="67">
        <f t="shared" si="76"/>
        <v>0</v>
      </c>
      <c r="DN65" s="67">
        <f t="shared" si="77"/>
        <v>8.4991025921692938</v>
      </c>
      <c r="DO65" s="67">
        <f t="shared" si="78"/>
        <v>8.1337772633293213</v>
      </c>
      <c r="DP65" s="67">
        <f t="shared" si="79"/>
        <v>0</v>
      </c>
      <c r="DQ65" s="67">
        <f t="shared" si="80"/>
        <v>0</v>
      </c>
      <c r="DR65" s="67">
        <f t="shared" si="81"/>
        <v>0</v>
      </c>
      <c r="DS65" s="67">
        <f t="shared" si="82"/>
        <v>22.253558175528141</v>
      </c>
      <c r="DT65" s="67">
        <f t="shared" si="83"/>
        <v>16.16401183571762</v>
      </c>
      <c r="DU65" s="67">
        <f t="shared" si="84"/>
        <v>19.610402892999769</v>
      </c>
      <c r="DV65" s="67">
        <f t="shared" si="85"/>
        <v>38.302545065723471</v>
      </c>
      <c r="DW65" s="67">
        <f t="shared" si="86"/>
        <v>29.168624659968803</v>
      </c>
      <c r="DX65" s="67">
        <f t="shared" si="87"/>
        <v>221.85959767540689</v>
      </c>
    </row>
    <row r="66" spans="1:128" s="28" customFormat="1">
      <c r="A66" s="33" t="s">
        <v>68</v>
      </c>
      <c r="B66" s="205" t="s">
        <v>5559</v>
      </c>
      <c r="C66" t="str">
        <f>IF(VLOOKUP($A66,'B-Ligands'!$A:$G,5,FALSE)="","",VLOOKUP($A66,'B-Ligands'!$A:$G,5,FALSE))</f>
        <v>Guide To Pharmacology</v>
      </c>
      <c r="D66" s="19">
        <f>IF(VLOOKUP($A66,'B-Ligands'!$A:$G,6,FALSE)="","",VLOOKUP($A66,'B-Ligands'!$A:$G,6,FALSE))</f>
        <v>771</v>
      </c>
      <c r="E66" t="str">
        <f>IF(VLOOKUP($A66,'B-Ligands'!$A:$G,7,FALSE)="","",VLOOKUP($A66,'B-Ligands'!$A:$G,7,FALSE))</f>
        <v>Phys</v>
      </c>
      <c r="F66" s="20" t="str">
        <f t="shared" si="68"/>
        <v/>
      </c>
      <c r="G66" s="19">
        <f t="shared" si="69"/>
        <v>1</v>
      </c>
      <c r="H66" s="19">
        <f t="shared" si="70"/>
        <v>1</v>
      </c>
      <c r="I66" s="19">
        <f t="shared" si="71"/>
        <v>1</v>
      </c>
      <c r="J66" s="189">
        <f t="shared" si="26"/>
        <v>3</v>
      </c>
      <c r="K66" s="147" t="str">
        <f t="shared" si="27"/>
        <v>G12/13</v>
      </c>
      <c r="L66" s="20">
        <f t="shared" si="28"/>
        <v>0</v>
      </c>
      <c r="M66" s="19">
        <f t="shared" si="29"/>
        <v>2</v>
      </c>
      <c r="N66" s="19">
        <f t="shared" si="30"/>
        <v>3</v>
      </c>
      <c r="O66" s="19">
        <f t="shared" si="31"/>
        <v>1</v>
      </c>
      <c r="P66" s="20">
        <f t="shared" si="32"/>
        <v>0</v>
      </c>
      <c r="Q66" s="19">
        <f t="shared" si="33"/>
        <v>95.398500761056781</v>
      </c>
      <c r="R66" s="19">
        <f t="shared" si="34"/>
        <v>95.013008353729617</v>
      </c>
      <c r="S66" s="19">
        <f t="shared" si="35"/>
        <v>100</v>
      </c>
      <c r="T66" s="20">
        <f t="shared" si="36"/>
        <v>0</v>
      </c>
      <c r="U66" s="21">
        <f t="shared" si="37"/>
        <v>8.1842599210687919</v>
      </c>
      <c r="V66" s="21">
        <f t="shared" si="38"/>
        <v>8.151188436359968</v>
      </c>
      <c r="W66" s="21">
        <f t="shared" si="39"/>
        <v>8.5790236280209342</v>
      </c>
      <c r="X66" s="147" t="str">
        <f t="shared" si="40"/>
        <v>G12</v>
      </c>
      <c r="Y66" s="32">
        <f t="shared" si="41"/>
        <v>0</v>
      </c>
      <c r="Z66" s="31">
        <f t="shared" si="42"/>
        <v>85.590747666162983</v>
      </c>
      <c r="AA66" s="31">
        <f t="shared" si="43"/>
        <v>93.98654979752159</v>
      </c>
      <c r="AB66" s="31">
        <f t="shared" si="44"/>
        <v>83.182412067330276</v>
      </c>
      <c r="AC66" s="31">
        <f t="shared" si="45"/>
        <v>91.378260569709752</v>
      </c>
      <c r="AD66" s="31">
        <f t="shared" si="46"/>
        <v>95.398500761056781</v>
      </c>
      <c r="AE66" s="31">
        <f t="shared" si="47"/>
        <v>0</v>
      </c>
      <c r="AF66" s="31">
        <f t="shared" si="48"/>
        <v>0</v>
      </c>
      <c r="AG66" s="31">
        <f t="shared" si="49"/>
        <v>0</v>
      </c>
      <c r="AH66" s="31">
        <f t="shared" si="50"/>
        <v>95.013008353729617</v>
      </c>
      <c r="AI66" s="31">
        <f t="shared" si="51"/>
        <v>100</v>
      </c>
      <c r="AJ66" s="31">
        <f t="shared" si="52"/>
        <v>0</v>
      </c>
      <c r="AK66" s="7" cm="1">
        <f t="array" ref="AK66">_xlfn.IFS(AZ66=0,0,AZ66&gt;0,(LOG(0.01*AZ66/10^-CD66)))</f>
        <v>0</v>
      </c>
      <c r="AL66" s="8" cm="1">
        <f t="array" ref="AL66">_xlfn.IFS(BA66=0,0,BA66&gt;0,(LOG(0.01*BA66/10^-CE66)))</f>
        <v>7.3428504656798985</v>
      </c>
      <c r="AM66" s="8" cm="1">
        <f t="array" ref="AM66">_xlfn.IFS(BB66=0,0,BB66&gt;0,(LOG(0.01*BB66/10^-CF66)))</f>
        <v>8.0631283142910384</v>
      </c>
      <c r="AN66" s="8" cm="1">
        <f t="array" ref="AN66">_xlfn.IFS(BC66=0,0,BC66&gt;0,(LOG(0.01*BC66/10^-CG66)))</f>
        <v>7.136238785614001</v>
      </c>
      <c r="AO66" s="8" cm="1">
        <f t="array" ref="AO66">_xlfn.IFS(BD66=0,0,BD66&gt;0,(LOG(0.01*BD66/10^-CH66)))</f>
        <v>7.839362565149937</v>
      </c>
      <c r="AP66" s="8" cm="1">
        <f t="array" ref="AP66">_xlfn.IFS(BE66=0,0,BE66&gt;0,(LOG(0.01*BE66/10^-CI66)))</f>
        <v>8.1842599210687919</v>
      </c>
      <c r="AQ66" s="8" cm="1">
        <f t="array" ref="AQ66">_xlfn.IFS(BF66=0,0,BF66&gt;0,(LOG(0.01*BF66/10^-CJ66)))</f>
        <v>0</v>
      </c>
      <c r="AR66" s="8" cm="1">
        <f t="array" ref="AR66">_xlfn.IFS(BG66=0,0,BG66&gt;0,(LOG(0.01*BG66/10^-CK66)))</f>
        <v>0</v>
      </c>
      <c r="AS66" s="8" cm="1">
        <f t="array" ref="AS66">_xlfn.IFS(BH66=0,0,BH66&gt;0,(LOG(0.01*BH66/10^-CL66)))</f>
        <v>0</v>
      </c>
      <c r="AT66" s="8" cm="1">
        <f t="array" ref="AT66">_xlfn.IFS(BI66=0,0,BI66&gt;0,(LOG(0.01*BI66/10^-CM66)))</f>
        <v>8.151188436359968</v>
      </c>
      <c r="AU66" s="8" cm="1">
        <f t="array" ref="AU66">_xlfn.IFS(BJ66=0,0,BJ66&gt;0,(LOG(0.01*BJ66/10^-CN66)))</f>
        <v>8.5790236280209342</v>
      </c>
      <c r="AV66" s="8" cm="1">
        <f t="array" ref="AV66">_xlfn.IFS(BK66=0,0,BK66&gt;0,(LOG(0.01*BK66/10^-CO66)))</f>
        <v>0</v>
      </c>
      <c r="AW66" s="8" cm="1">
        <f t="array" ref="AW66">_xlfn.IFS(BL66=0,0,BL66&gt;0,(LOG(0.01*BL66/10^-CP66)))</f>
        <v>6.2792012683444183</v>
      </c>
      <c r="AX66" s="8" cm="1">
        <f t="array" ref="AX66">_xlfn.IFS(BM66=0,0,BM66&gt;0,(LOG(0.01*BM66/10^-CQ66)))</f>
        <v>6.0551875631449184</v>
      </c>
      <c r="AY66" s="8" cm="1">
        <f t="array" ref="AY66">_xlfn.IFS(BN66=0,0,BN66&gt;0,(LOG(0.01*BN66/10^-CR66)))</f>
        <v>6.3432604254693556</v>
      </c>
      <c r="AZ66" s="32">
        <f t="shared" ref="AZ66:AZ101" si="88">IF(BO66="",0,100*BO66/MAX(BO:BO))</f>
        <v>0</v>
      </c>
      <c r="BA66" s="31">
        <f t="shared" si="54"/>
        <v>46.435536294691225</v>
      </c>
      <c r="BB66" s="31">
        <f t="shared" si="55"/>
        <v>24.106175514626219</v>
      </c>
      <c r="BC66" s="31">
        <f t="shared" si="56"/>
        <v>6.4008667388949076</v>
      </c>
      <c r="BD66" s="31">
        <f t="shared" si="57"/>
        <v>14.940411700975082</v>
      </c>
      <c r="BE66" s="31">
        <f t="shared" si="58"/>
        <v>13.748645720476706</v>
      </c>
      <c r="BF66" s="31">
        <f t="shared" si="59"/>
        <v>0</v>
      </c>
      <c r="BG66" s="31">
        <f t="shared" si="60"/>
        <v>0</v>
      </c>
      <c r="BH66" s="31">
        <f t="shared" si="61"/>
        <v>0</v>
      </c>
      <c r="BI66" s="31">
        <f t="shared" si="62"/>
        <v>13.683223992502343</v>
      </c>
      <c r="BJ66" s="31">
        <f t="shared" si="63"/>
        <v>4.7536108751062018</v>
      </c>
      <c r="BK66" s="31">
        <f t="shared" si="64"/>
        <v>0</v>
      </c>
      <c r="BL66" s="31">
        <f t="shared" si="65"/>
        <v>5.0956696878147039</v>
      </c>
      <c r="BM66" s="31">
        <f t="shared" si="66"/>
        <v>1.7831487076200068</v>
      </c>
      <c r="BN66" s="31">
        <f t="shared" si="67"/>
        <v>6.7338032896945288</v>
      </c>
      <c r="BO66" s="132"/>
      <c r="BP66" s="133">
        <v>428.6</v>
      </c>
      <c r="BQ66" s="133">
        <v>222.5</v>
      </c>
      <c r="BR66" s="133">
        <v>59.08</v>
      </c>
      <c r="BS66" s="133">
        <v>137.9</v>
      </c>
      <c r="BT66" s="133">
        <v>126.9</v>
      </c>
      <c r="BU66" s="133"/>
      <c r="BV66" s="133"/>
      <c r="BW66" s="133"/>
      <c r="BX66" s="133">
        <v>146</v>
      </c>
      <c r="BY66" s="133">
        <v>33.57</v>
      </c>
      <c r="BZ66" s="133"/>
      <c r="CA66" s="133">
        <v>151.80000000000001</v>
      </c>
      <c r="CB66" s="133">
        <v>53.12</v>
      </c>
      <c r="CC66" s="133">
        <v>200.6</v>
      </c>
      <c r="CD66" s="36"/>
      <c r="CE66" s="34">
        <v>7.6760000000000002</v>
      </c>
      <c r="CF66" s="34">
        <v>8.6809999999999992</v>
      </c>
      <c r="CG66" s="34">
        <v>8.33</v>
      </c>
      <c r="CH66" s="34">
        <v>8.6649999999999991</v>
      </c>
      <c r="CI66" s="34">
        <v>9.0459999999999994</v>
      </c>
      <c r="CJ66" s="34"/>
      <c r="CK66" s="34"/>
      <c r="CL66" s="34"/>
      <c r="CM66" s="34">
        <v>9.0150000000000006</v>
      </c>
      <c r="CN66" s="34">
        <v>9.9019999999999992</v>
      </c>
      <c r="CO66" s="34"/>
      <c r="CP66" s="34">
        <v>7.5720000000000001</v>
      </c>
      <c r="CQ66" s="34">
        <v>7.8040000000000003</v>
      </c>
      <c r="CR66" s="34">
        <v>7.5149999999999997</v>
      </c>
      <c r="CS66" s="168" t="str">
        <f>IF(VLOOKUP($A66,'B-Ligands'!$A:$G,3,FALSE)="","",VLOOKUP($A66,'B-Ligands'!$A:$G,3,FALSE))</f>
        <v>CCL2</v>
      </c>
      <c r="CT66" s="169" t="str">
        <f>IF(VLOOKUP($A66,'B-Ligands'!$A:$G,4,FALSE)="","",VLOOKUP($A66,'B-Ligands'!$A:$G,4,FALSE))</f>
        <v>Liver and activation-regulated chemokine (LARC)</v>
      </c>
      <c r="CU66" s="132">
        <v>10.070443674026267</v>
      </c>
      <c r="CV66" s="133">
        <v>32.558087101997629</v>
      </c>
      <c r="CW66" s="133">
        <v>12.925208455168956</v>
      </c>
      <c r="CX66" s="133">
        <v>23.081150748950307</v>
      </c>
      <c r="CY66" s="133">
        <v>3.847057017852876</v>
      </c>
      <c r="CZ66" s="133">
        <v>13.776939093882136</v>
      </c>
      <c r="DA66" s="133">
        <v>5.964120387469741</v>
      </c>
      <c r="DB66" s="133">
        <v>11.558785960070015</v>
      </c>
      <c r="DC66" s="133">
        <v>12.079901529999312</v>
      </c>
      <c r="DD66" s="133">
        <v>11.51364099616602</v>
      </c>
      <c r="DE66" s="133">
        <v>3.9936235755561507</v>
      </c>
      <c r="DF66" s="133">
        <v>0.60011221877725207</v>
      </c>
      <c r="DG66" s="133">
        <v>24.911165544014946</v>
      </c>
      <c r="DH66" s="133">
        <v>4.8633452226364531</v>
      </c>
      <c r="DI66" s="133">
        <v>17.635088533848275</v>
      </c>
      <c r="DJ66" s="66">
        <f t="shared" ref="DJ66:DJ101" si="89">IF(BO66="",0,BO66/CU66)</f>
        <v>0</v>
      </c>
      <c r="DK66" s="67">
        <f t="shared" ref="DK66:DK101" si="90">IF(BP66="",0,BP66/CV66)</f>
        <v>13.164164057221376</v>
      </c>
      <c r="DL66" s="67">
        <f t="shared" ref="DL66:DL101" si="91">IF(BQ66="",0,BQ66/CW66)</f>
        <v>17.214422558192428</v>
      </c>
      <c r="DM66" s="67">
        <f t="shared" ref="DM66:DM101" si="92">IF(BR66="",0,BR66/CX66)</f>
        <v>2.5596644050638098</v>
      </c>
      <c r="DN66" s="67">
        <f t="shared" ref="DN66:DN101" si="93">IF(BS66="",0,BS66/CY66)</f>
        <v>35.845582573913845</v>
      </c>
      <c r="DO66" s="67">
        <f t="shared" ref="DO66:DO101" si="94">IF(BT66="",0,BT66/CZ66)</f>
        <v>9.2110445676828121</v>
      </c>
      <c r="DP66" s="67">
        <f t="shared" ref="DP66:DP101" si="95">IF(BU66="",0,BU66/DA66)</f>
        <v>0</v>
      </c>
      <c r="DQ66" s="67">
        <f t="shared" ref="DQ66:DQ101" si="96">IF(BV66="",0,BV66/DB66)</f>
        <v>0</v>
      </c>
      <c r="DR66" s="67">
        <f t="shared" ref="DR66:DR101" si="97">IF(BW66="",0,BW66/DC66)</f>
        <v>0</v>
      </c>
      <c r="DS66" s="67">
        <f t="shared" ref="DS66:DS101" si="98">IF(BX66="",0,BX66/DD66)</f>
        <v>12.680610768445639</v>
      </c>
      <c r="DT66" s="67">
        <f t="shared" ref="DT66:DT101" si="99">IF(BY66="",0,BY66/DE66)</f>
        <v>8.4058998963929774</v>
      </c>
      <c r="DU66" s="67">
        <f t="shared" ref="DU66:DU101" si="100">IF(BZ66="",0,BZ66/DF66)</f>
        <v>0</v>
      </c>
      <c r="DV66" s="67">
        <f t="shared" ref="DV66:DV101" si="101">IF(CA66="",0,CA66/DG66)</f>
        <v>6.0936530541611234</v>
      </c>
      <c r="DW66" s="67">
        <f t="shared" ref="DW66:DW101" si="102">IF(CB66="",0,CB66/DH66)</f>
        <v>10.922522989474984</v>
      </c>
      <c r="DX66" s="67">
        <f t="shared" ref="DX66:DX101" si="103">IF(CC66="",0,CC66/DI66)</f>
        <v>11.375049215940946</v>
      </c>
    </row>
    <row r="67" spans="1:128" s="28" customFormat="1">
      <c r="A67" s="33" t="s">
        <v>39</v>
      </c>
      <c r="B67" s="205" t="s">
        <v>5559</v>
      </c>
      <c r="C67" t="str">
        <f>IF(VLOOKUP($A67,'B-Ligands'!$A:$G,5,FALSE)="","",VLOOKUP($A67,'B-Ligands'!$A:$G,5,FALSE))</f>
        <v>Guide To Pharmacology</v>
      </c>
      <c r="D67" s="19">
        <f>IF(VLOOKUP($A67,'B-Ligands'!$A:$G,6,FALSE)="","",VLOOKUP($A67,'B-Ligands'!$A:$G,6,FALSE))</f>
        <v>484</v>
      </c>
      <c r="E67" t="str">
        <f>IF(VLOOKUP($A67,'B-Ligands'!$A:$G,7,FALSE)="","",VLOOKUP($A67,'B-Ligands'!$A:$G,7,FALSE))</f>
        <v>Phys</v>
      </c>
      <c r="F67" s="20" t="str">
        <f t="shared" si="68"/>
        <v/>
      </c>
      <c r="G67" s="19">
        <f t="shared" si="69"/>
        <v>1</v>
      </c>
      <c r="H67" s="19">
        <f t="shared" si="70"/>
        <v>1</v>
      </c>
      <c r="I67" s="19">
        <f t="shared" si="71"/>
        <v>1</v>
      </c>
      <c r="J67" s="189">
        <f t="shared" ref="J67:J101" si="104">COUNTIF(L67:O67,"&gt;0")</f>
        <v>3</v>
      </c>
      <c r="K67" s="147" t="str">
        <f t="shared" ref="K67:K101" si="105">SUBSTITUTE(INDEX(T$1:W$1,1,MATCH(MAX(T67:W67),T67:W67,0)),"-fam","")</f>
        <v>Gi/o</v>
      </c>
      <c r="L67" s="20">
        <f t="shared" ref="L67:L101" si="106">IF(T67=0,0,_xlfn.RANK.EQ(T67,$T67:$W67,0))</f>
        <v>0</v>
      </c>
      <c r="M67" s="19">
        <f t="shared" ref="M67:M101" si="107">IF(U67=0,0,_xlfn.RANK.EQ(U67,$T67:$W67,0))</f>
        <v>1</v>
      </c>
      <c r="N67" s="19">
        <f t="shared" ref="N67:N101" si="108">IF(V67=0,0,_xlfn.RANK.EQ(V67,$T67:$W67,0))</f>
        <v>3</v>
      </c>
      <c r="O67" s="19">
        <f t="shared" ref="O67:O101" si="109">IF(W67=0,0,_xlfn.RANK.EQ(W67,$T67:$W67,0))</f>
        <v>2</v>
      </c>
      <c r="P67" s="20">
        <f t="shared" ref="P67:P101" si="110">T67/MAX($T67:$W67)*100</f>
        <v>0</v>
      </c>
      <c r="Q67" s="19">
        <f t="shared" ref="Q67:Q101" si="111">U67/MAX($T67:$W67)*100</f>
        <v>100</v>
      </c>
      <c r="R67" s="19">
        <f t="shared" ref="R67:R101" si="112">V67/MAX($T67:$W67)*100</f>
        <v>55.196049739824794</v>
      </c>
      <c r="S67" s="19">
        <f t="shared" ref="S67:S101" si="113">W67/MAX($T67:$W67)*100</f>
        <v>55.472750162709374</v>
      </c>
      <c r="T67" s="20">
        <f t="shared" ref="T67:T101" si="114">AK67</f>
        <v>0</v>
      </c>
      <c r="U67" s="21">
        <f t="shared" ref="U67:U101" si="115">MAX(AL67:AP67)</f>
        <v>9.5008843963581864</v>
      </c>
      <c r="V67" s="21">
        <f t="shared" ref="V67:V101" si="116">MAX(AQ67:AT67)</f>
        <v>5.244112877137117</v>
      </c>
      <c r="W67" s="21">
        <f t="shared" ref="W67:W101" si="117">MAX(AU67:AV67)</f>
        <v>5.2704018644396156</v>
      </c>
      <c r="X67" s="147" t="str">
        <f t="shared" ref="X67:X101" si="118">INDEX(AK$1:AV$1,1,MATCH(MAX(AK67:AV67),AK67:AV67,0))</f>
        <v>Gz</v>
      </c>
      <c r="Y67" s="32">
        <f t="shared" ref="Y67:Y101" si="119">AK67/MAX($AK67:$AV67)*100</f>
        <v>0</v>
      </c>
      <c r="Z67" s="31">
        <f t="shared" ref="Z67:Z101" si="120">AL67/MAX($AK67:$AV67)*100</f>
        <v>89.587863612184094</v>
      </c>
      <c r="AA67" s="31">
        <f t="shared" ref="AA67:AA101" si="121">AM67/MAX($AK67:$AV67)*100</f>
        <v>88.205643106134787</v>
      </c>
      <c r="AB67" s="31">
        <f t="shared" ref="AB67:AB101" si="122">AN67/MAX($AK67:$AV67)*100</f>
        <v>93.441610703788811</v>
      </c>
      <c r="AC67" s="31">
        <f t="shared" ref="AC67:AC101" si="123">AO67/MAX($AK67:$AV67)*100</f>
        <v>98.425225183061343</v>
      </c>
      <c r="AD67" s="31">
        <f t="shared" ref="AD67:AD101" si="124">AP67/MAX($AK67:$AV67)*100</f>
        <v>100</v>
      </c>
      <c r="AE67" s="31">
        <f t="shared" ref="AE67:AE101" si="125">AQ67/MAX($AK67:$AV67)*100</f>
        <v>0</v>
      </c>
      <c r="AF67" s="31">
        <f t="shared" ref="AF67:AF101" si="126">AR67/MAX($AK67:$AV67)*100</f>
        <v>0</v>
      </c>
      <c r="AG67" s="31">
        <f t="shared" ref="AG67:AG101" si="127">AS67/MAX($AK67:$AV67)*100</f>
        <v>0</v>
      </c>
      <c r="AH67" s="31">
        <f t="shared" ref="AH67:AH101" si="128">AT67/MAX($AK67:$AV67)*100</f>
        <v>55.196049739824794</v>
      </c>
      <c r="AI67" s="31">
        <f t="shared" ref="AI67:AI101" si="129">AU67/MAX($AK67:$AV67)*100</f>
        <v>0</v>
      </c>
      <c r="AJ67" s="31">
        <f t="shared" ref="AJ67:AJ101" si="130">AV67/MAX($AK67:$AV67)*100</f>
        <v>55.472750162709374</v>
      </c>
      <c r="AK67" s="7" cm="1">
        <f t="array" ref="AK67">_xlfn.IFS(AZ67=0,0,AZ67&gt;0,(LOG(0.01*AZ67/10^-CD67)))</f>
        <v>0</v>
      </c>
      <c r="AL67" s="8" cm="1">
        <f t="array" ref="AL67">_xlfn.IFS(BA67=0,0,BA67&gt;0,(LOG(0.01*BA67/10^-CE67)))</f>
        <v>8.5116393549606517</v>
      </c>
      <c r="AM67" s="8" cm="1">
        <f t="array" ref="AM67">_xlfn.IFS(BB67=0,0,BB67&gt;0,(LOG(0.01*BB67/10^-CF67)))</f>
        <v>8.3803161825781505</v>
      </c>
      <c r="AN67" s="8" cm="1">
        <f t="array" ref="AN67">_xlfn.IFS(BC67=0,0,BC67&gt;0,(LOG(0.01*BC67/10^-CG67)))</f>
        <v>8.8777794110620327</v>
      </c>
      <c r="AO67" s="8" cm="1">
        <f t="array" ref="AO67">_xlfn.IFS(BD67=0,0,BD67&gt;0,(LOG(0.01*BD67/10^-CH67)))</f>
        <v>9.3512668614978836</v>
      </c>
      <c r="AP67" s="8" cm="1">
        <f t="array" ref="AP67">_xlfn.IFS(BE67=0,0,BE67&gt;0,(LOG(0.01*BE67/10^-CI67)))</f>
        <v>9.5008843963581864</v>
      </c>
      <c r="AQ67" s="8" cm="1">
        <f t="array" ref="AQ67">_xlfn.IFS(BF67=0,0,BF67&gt;0,(LOG(0.01*BF67/10^-CJ67)))</f>
        <v>0</v>
      </c>
      <c r="AR67" s="8" cm="1">
        <f t="array" ref="AR67">_xlfn.IFS(BG67=0,0,BG67&gt;0,(LOG(0.01*BG67/10^-CK67)))</f>
        <v>0</v>
      </c>
      <c r="AS67" s="8" cm="1">
        <f t="array" ref="AS67">_xlfn.IFS(BH67=0,0,BH67&gt;0,(LOG(0.01*BH67/10^-CL67)))</f>
        <v>0</v>
      </c>
      <c r="AT67" s="8" cm="1">
        <f t="array" ref="AT67">_xlfn.IFS(BI67=0,0,BI67&gt;0,(LOG(0.01*BI67/10^-CM67)))</f>
        <v>5.244112877137117</v>
      </c>
      <c r="AU67" s="8" cm="1">
        <f t="array" ref="AU67">_xlfn.IFS(BJ67=0,0,BJ67&gt;0,(LOG(0.01*BJ67/10^-CN67)))</f>
        <v>0</v>
      </c>
      <c r="AV67" s="8" cm="1">
        <f t="array" ref="AV67">_xlfn.IFS(BK67=0,0,BK67&gt;0,(LOG(0.01*BK67/10^-CO67)))</f>
        <v>5.2704018644396156</v>
      </c>
      <c r="AW67" s="8" cm="1">
        <f t="array" ref="AW67">_xlfn.IFS(BL67=0,0,BL67&gt;0,(LOG(0.01*BL67/10^-CP67)))</f>
        <v>4.7970977897434688</v>
      </c>
      <c r="AX67" s="8" cm="1">
        <f t="array" ref="AX67">_xlfn.IFS(BM67=0,0,BM67&gt;0,(LOG(0.01*BM67/10^-CQ67)))</f>
        <v>4.4280754492049015</v>
      </c>
      <c r="AY67" s="8" cm="1">
        <f t="array" ref="AY67">_xlfn.IFS(BN67=0,0,BN67&gt;0,(LOG(0.01*BN67/10^-CR67)))</f>
        <v>6.0524301580995674</v>
      </c>
      <c r="AZ67" s="32">
        <f t="shared" si="88"/>
        <v>0</v>
      </c>
      <c r="BA67" s="31">
        <f t="shared" ref="BA67:BA101" si="131">IF(BP67="",0,100*BP67/MAX($BP:$BT))</f>
        <v>82.156013001083423</v>
      </c>
      <c r="BB67" s="31">
        <f t="shared" ref="BB67:BB101" si="132">IF(BQ67="",0,100*BQ67/MAX($BP:$BT))</f>
        <v>41.430119176598048</v>
      </c>
      <c r="BC67" s="31">
        <f t="shared" ref="BC67:BC101" si="133">IF(BR67="",0,100*BR67/MAX($BP:$BT))</f>
        <v>30.184182015167934</v>
      </c>
      <c r="BD67" s="31">
        <f t="shared" ref="BD67:BD101" si="134">IF(BS67="",0,100*BS67/MAX($BP:$BT))</f>
        <v>39.198266522210183</v>
      </c>
      <c r="BE67" s="31">
        <f t="shared" ref="BE67:BE101" si="135">IF(BT67="",0,100*BT67/MAX($BP:$BT))</f>
        <v>14.821235102925245</v>
      </c>
      <c r="BF67" s="31">
        <f t="shared" ref="BF67:BF101" si="136">IF(BU67="",0,100*BU67/MAX($BU:$BX))</f>
        <v>0</v>
      </c>
      <c r="BG67" s="31">
        <f t="shared" ref="BG67:BG101" si="137">IF(BV67="",0,100*BV67/MAX($BU:$BX))</f>
        <v>0</v>
      </c>
      <c r="BH67" s="31">
        <f t="shared" ref="BH67:BH101" si="138">IF(BW67="",0,100*BW67/MAX($BU:$BX))</f>
        <v>0</v>
      </c>
      <c r="BI67" s="31">
        <f t="shared" ref="BI67:BI101" si="139">IF(BX67="",0,100*BX67/MAX($BU:$BX))</f>
        <v>12.193064667291472</v>
      </c>
      <c r="BJ67" s="31">
        <f t="shared" ref="BJ67:BJ101" si="140">IF(BY67="",0,100*BY67/MAX($BY:$BZ))</f>
        <v>0</v>
      </c>
      <c r="BK67" s="31">
        <f t="shared" ref="BK67:BK101" si="141">IF(BZ67="",0,100*BZ67/MAX($BY:$BZ))</f>
        <v>4.9249504389691303</v>
      </c>
      <c r="BL67" s="31">
        <f t="shared" ref="BL67:BL101" si="142">IF(CA67="",0,100*CA67/MAX($CA:$CC))</f>
        <v>4.8539778449144011</v>
      </c>
      <c r="BM67" s="31">
        <f t="shared" ref="BM67:BM101" si="143">IF(CB67="",0,100*CB67/MAX($CA:$CC))</f>
        <v>2.9859013091641491</v>
      </c>
      <c r="BN67" s="31">
        <f t="shared" ref="BN67:BN101" si="144">IF(CC67="",0,100*CC67/MAX($CA:$CC))</f>
        <v>8.4222893588452497</v>
      </c>
      <c r="BO67" s="134"/>
      <c r="BP67" s="135">
        <v>758.3</v>
      </c>
      <c r="BQ67" s="135">
        <v>382.4</v>
      </c>
      <c r="BR67" s="135">
        <v>278.60000000000002</v>
      </c>
      <c r="BS67" s="135">
        <v>361.8</v>
      </c>
      <c r="BT67" s="135">
        <v>136.80000000000001</v>
      </c>
      <c r="BU67" s="135"/>
      <c r="BV67" s="135"/>
      <c r="BW67" s="135"/>
      <c r="BX67" s="135">
        <v>130.1</v>
      </c>
      <c r="BY67" s="135"/>
      <c r="BZ67" s="135">
        <v>34.78</v>
      </c>
      <c r="CA67" s="135">
        <v>144.6</v>
      </c>
      <c r="CB67" s="135">
        <v>88.95</v>
      </c>
      <c r="CC67" s="135">
        <v>250.9</v>
      </c>
      <c r="CD67" s="30"/>
      <c r="CE67" s="29">
        <v>8.5969999999999995</v>
      </c>
      <c r="CF67" s="29">
        <v>8.7629999999999999</v>
      </c>
      <c r="CG67" s="29">
        <v>9.3979999999999997</v>
      </c>
      <c r="CH67" s="29">
        <v>9.7579999999999991</v>
      </c>
      <c r="CI67" s="29">
        <v>10.33</v>
      </c>
      <c r="CJ67" s="29"/>
      <c r="CK67" s="29"/>
      <c r="CL67" s="29"/>
      <c r="CM67" s="29">
        <v>6.1580000000000004</v>
      </c>
      <c r="CN67" s="29"/>
      <c r="CO67" s="29">
        <v>6.5780000000000003</v>
      </c>
      <c r="CP67" s="29">
        <v>6.1109999999999998</v>
      </c>
      <c r="CQ67" s="29">
        <v>5.9530000000000003</v>
      </c>
      <c r="CR67" s="29">
        <v>7.1269999999999998</v>
      </c>
      <c r="CS67" s="168" t="str">
        <f>IF(VLOOKUP($A67,'B-Ligands'!$A:$G,3,FALSE)="","",VLOOKUP($A67,'B-Ligands'!$A:$G,3,FALSE))</f>
        <v/>
      </c>
      <c r="CT67" s="169" t="str">
        <f>IF(VLOOKUP($A67,'B-Ligands'!$A:$G,4,FALSE)="","",VLOOKUP($A67,'B-Ligands'!$A:$G,4,FALSE))</f>
        <v>Noradrenaline</v>
      </c>
      <c r="CU67" s="134">
        <v>9.3096593360188447</v>
      </c>
      <c r="CV67" s="135">
        <v>21.062408489213322</v>
      </c>
      <c r="CW67" s="135">
        <v>14.714173101334438</v>
      </c>
      <c r="CX67" s="135">
        <v>15.198403140563148</v>
      </c>
      <c r="CY67" s="135">
        <v>8.2495430382952346</v>
      </c>
      <c r="CZ67" s="135">
        <v>16.555621847556353</v>
      </c>
      <c r="DA67" s="135">
        <v>22.741676711120956</v>
      </c>
      <c r="DB67" s="135">
        <v>20.858314250712112</v>
      </c>
      <c r="DC67" s="135">
        <v>22.925613178514155</v>
      </c>
      <c r="DD67" s="135">
        <v>19.144580066399385</v>
      </c>
      <c r="DE67" s="135">
        <v>3.3815557046512859</v>
      </c>
      <c r="DF67" s="135">
        <v>7.8417833294899397</v>
      </c>
      <c r="DG67" s="135">
        <v>34.169972865493691</v>
      </c>
      <c r="DH67" s="135">
        <v>22.490867715187584</v>
      </c>
      <c r="DI67" s="135">
        <v>26.179696688121332</v>
      </c>
      <c r="DJ67" s="66">
        <f t="shared" si="89"/>
        <v>0</v>
      </c>
      <c r="DK67" s="67">
        <f t="shared" si="90"/>
        <v>36.00253030836182</v>
      </c>
      <c r="DL67" s="67">
        <f t="shared" si="91"/>
        <v>25.988548412912163</v>
      </c>
      <c r="DM67" s="67">
        <f t="shared" si="92"/>
        <v>18.330873146563807</v>
      </c>
      <c r="DN67" s="67">
        <f t="shared" si="93"/>
        <v>43.856974661564507</v>
      </c>
      <c r="DO67" s="67">
        <f t="shared" si="94"/>
        <v>8.2630541612782729</v>
      </c>
      <c r="DP67" s="67">
        <f t="shared" si="95"/>
        <v>0</v>
      </c>
      <c r="DQ67" s="67">
        <f t="shared" si="96"/>
        <v>0</v>
      </c>
      <c r="DR67" s="67">
        <f t="shared" si="97"/>
        <v>0</v>
      </c>
      <c r="DS67" s="67">
        <f t="shared" si="98"/>
        <v>6.795657024012673</v>
      </c>
      <c r="DT67" s="67">
        <f t="shared" si="99"/>
        <v>0</v>
      </c>
      <c r="DU67" s="67">
        <f t="shared" si="100"/>
        <v>4.435215631271749</v>
      </c>
      <c r="DV67" s="67">
        <f t="shared" si="101"/>
        <v>4.2317856256193664</v>
      </c>
      <c r="DW67" s="67">
        <f t="shared" si="102"/>
        <v>3.9549385611269257</v>
      </c>
      <c r="DX67" s="67">
        <f t="shared" si="103"/>
        <v>9.5837626764347625</v>
      </c>
    </row>
    <row r="68" spans="1:128" s="28" customFormat="1">
      <c r="A68" s="33" t="s">
        <v>16</v>
      </c>
      <c r="B68" s="205" t="s">
        <v>5559</v>
      </c>
      <c r="C68" t="str">
        <f>IF(VLOOKUP($A68,'B-Ligands'!$A:$G,5,FALSE)="","",VLOOKUP($A68,'B-Ligands'!$A:$G,5,FALSE))</f>
        <v>Guide To Pharmacology</v>
      </c>
      <c r="D68" s="19">
        <f>IF(VLOOKUP($A68,'B-Ligands'!$A:$G,6,FALSE)="","",VLOOKUP($A68,'B-Ligands'!$A:$G,6,FALSE))</f>
        <v>5</v>
      </c>
      <c r="E68" t="str">
        <f>IF(VLOOKUP($A68,'B-Ligands'!$A:$G,7,FALSE)="","",VLOOKUP($A68,'B-Ligands'!$A:$G,7,FALSE))</f>
        <v>Phys</v>
      </c>
      <c r="F68" s="20" t="str">
        <f t="shared" si="68"/>
        <v/>
      </c>
      <c r="G68" s="19">
        <f t="shared" si="69"/>
        <v>1</v>
      </c>
      <c r="H68" s="19">
        <f t="shared" si="70"/>
        <v>1</v>
      </c>
      <c r="I68" s="19" t="str">
        <f t="shared" si="71"/>
        <v/>
      </c>
      <c r="J68" s="189">
        <f t="shared" si="104"/>
        <v>2</v>
      </c>
      <c r="K68" s="147" t="str">
        <f t="shared" si="105"/>
        <v>Gi/o</v>
      </c>
      <c r="L68" s="20">
        <f t="shared" si="106"/>
        <v>0</v>
      </c>
      <c r="M68" s="19">
        <f t="shared" si="107"/>
        <v>1</v>
      </c>
      <c r="N68" s="19">
        <f t="shared" si="108"/>
        <v>2</v>
      </c>
      <c r="O68" s="19">
        <f t="shared" si="109"/>
        <v>0</v>
      </c>
      <c r="P68" s="20">
        <f t="shared" si="110"/>
        <v>0</v>
      </c>
      <c r="Q68" s="19">
        <f t="shared" si="111"/>
        <v>100</v>
      </c>
      <c r="R68" s="19">
        <f t="shared" si="112"/>
        <v>71.455451087044409</v>
      </c>
      <c r="S68" s="19">
        <f t="shared" si="113"/>
        <v>0</v>
      </c>
      <c r="T68" s="20">
        <f t="shared" si="114"/>
        <v>0</v>
      </c>
      <c r="U68" s="21">
        <f t="shared" si="115"/>
        <v>8.7220563519054046</v>
      </c>
      <c r="V68" s="21">
        <f t="shared" si="116"/>
        <v>6.2323847103202166</v>
      </c>
      <c r="W68" s="21">
        <f t="shared" si="117"/>
        <v>0</v>
      </c>
      <c r="X68" s="147" t="str">
        <f t="shared" si="118"/>
        <v>GoB</v>
      </c>
      <c r="Y68" s="32">
        <f t="shared" si="119"/>
        <v>0</v>
      </c>
      <c r="Z68" s="31">
        <f t="shared" si="120"/>
        <v>99.059170312259255</v>
      </c>
      <c r="AA68" s="31">
        <f t="shared" si="121"/>
        <v>98.325467262645418</v>
      </c>
      <c r="AB68" s="31">
        <f t="shared" si="122"/>
        <v>98.011498425285723</v>
      </c>
      <c r="AC68" s="31">
        <f t="shared" si="123"/>
        <v>100</v>
      </c>
      <c r="AD68" s="31">
        <f t="shared" si="124"/>
        <v>92.69295918097977</v>
      </c>
      <c r="AE68" s="31">
        <f t="shared" si="125"/>
        <v>0</v>
      </c>
      <c r="AF68" s="31">
        <f t="shared" si="126"/>
        <v>0</v>
      </c>
      <c r="AG68" s="31">
        <f t="shared" si="127"/>
        <v>0</v>
      </c>
      <c r="AH68" s="31">
        <f t="shared" si="128"/>
        <v>71.455451087044409</v>
      </c>
      <c r="AI68" s="31">
        <f t="shared" si="129"/>
        <v>0</v>
      </c>
      <c r="AJ68" s="31">
        <f t="shared" si="130"/>
        <v>0</v>
      </c>
      <c r="AK68" s="7" cm="1">
        <f t="array" ref="AK68">_xlfn.IFS(AZ68=0,0,AZ68&gt;0,(LOG(0.01*AZ68/10^-CD68)))</f>
        <v>0</v>
      </c>
      <c r="AL68" s="8" cm="1">
        <f t="array" ref="AL68">_xlfn.IFS(BA68=0,0,BA68&gt;0,(LOG(0.01*BA68/10^-CE68)))</f>
        <v>8.6399966563652004</v>
      </c>
      <c r="AM68" s="8" cm="1">
        <f t="array" ref="AM68">_xlfn.IFS(BB68=0,0,BB68&gt;0,(LOG(0.01*BB68/10^-CF68)))</f>
        <v>8.5760026629222335</v>
      </c>
      <c r="AN68" s="8" cm="1">
        <f t="array" ref="AN68">_xlfn.IFS(BC68=0,0,BC68&gt;0,(LOG(0.01*BC68/10^-CG68)))</f>
        <v>8.5486181240002992</v>
      </c>
      <c r="AO68" s="8" cm="1">
        <f t="array" ref="AO68">_xlfn.IFS(BD68=0,0,BD68&gt;0,(LOG(0.01*BD68/10^-CH68)))</f>
        <v>8.7220563519054046</v>
      </c>
      <c r="AP68" s="8" cm="1">
        <f t="array" ref="AP68">_xlfn.IFS(BE68=0,0,BE68&gt;0,(LOG(0.01*BE68/10^-CI68)))</f>
        <v>8.0847321340137306</v>
      </c>
      <c r="AQ68" s="8" cm="1">
        <f t="array" ref="AQ68">_xlfn.IFS(BF68=0,0,BF68&gt;0,(LOG(0.01*BF68/10^-CJ68)))</f>
        <v>0</v>
      </c>
      <c r="AR68" s="8" cm="1">
        <f t="array" ref="AR68">_xlfn.IFS(BG68=0,0,BG68&gt;0,(LOG(0.01*BG68/10^-CK68)))</f>
        <v>0</v>
      </c>
      <c r="AS68" s="8" cm="1">
        <f t="array" ref="AS68">_xlfn.IFS(BH68=0,0,BH68&gt;0,(LOG(0.01*BH68/10^-CL68)))</f>
        <v>0</v>
      </c>
      <c r="AT68" s="8" cm="1">
        <f t="array" ref="AT68">_xlfn.IFS(BI68=0,0,BI68&gt;0,(LOG(0.01*BI68/10^-CM68)))</f>
        <v>6.2323847103202166</v>
      </c>
      <c r="AU68" s="8" cm="1">
        <f t="array" ref="AU68">_xlfn.IFS(BJ68=0,0,BJ68&gt;0,(LOG(0.01*BJ68/10^-CN68)))</f>
        <v>0</v>
      </c>
      <c r="AV68" s="8" cm="1">
        <f t="array" ref="AV68">_xlfn.IFS(BK68=0,0,BK68&gt;0,(LOG(0.01*BK68/10^-CO68)))</f>
        <v>0</v>
      </c>
      <c r="AW68" s="8" cm="1">
        <f t="array" ref="AW68">_xlfn.IFS(BL68=0,0,BL68&gt;0,(LOG(0.01*BL68/10^-CP68)))</f>
        <v>5.6864339119800142</v>
      </c>
      <c r="AX68" s="8" cm="1">
        <f t="array" ref="AX68">_xlfn.IFS(BM68=0,0,BM68&gt;0,(LOG(0.01*BM68/10^-CQ68)))</f>
        <v>5.3912216419432113</v>
      </c>
      <c r="AY68" s="8" cm="1">
        <f t="array" ref="AY68">_xlfn.IFS(BN68=0,0,BN68&gt;0,(LOG(0.01*BN68/10^-CR68)))</f>
        <v>5.9727070342931352</v>
      </c>
      <c r="AZ68" s="32">
        <f t="shared" si="88"/>
        <v>0</v>
      </c>
      <c r="BA68" s="31">
        <f t="shared" si="131"/>
        <v>19.23076923076923</v>
      </c>
      <c r="BB68" s="31">
        <f t="shared" si="132"/>
        <v>17.378114842903575</v>
      </c>
      <c r="BC68" s="31">
        <f t="shared" si="133"/>
        <v>9.4106175514626216</v>
      </c>
      <c r="BD68" s="31">
        <f t="shared" si="134"/>
        <v>13.336944745395449</v>
      </c>
      <c r="BE68" s="31">
        <f t="shared" si="135"/>
        <v>14.214517876489705</v>
      </c>
      <c r="BF68" s="31">
        <f t="shared" si="136"/>
        <v>0</v>
      </c>
      <c r="BG68" s="31">
        <f t="shared" si="137"/>
        <v>0</v>
      </c>
      <c r="BH68" s="31">
        <f t="shared" si="138"/>
        <v>0</v>
      </c>
      <c r="BI68" s="31">
        <f t="shared" si="139"/>
        <v>12.005623242736645</v>
      </c>
      <c r="BJ68" s="31">
        <f t="shared" si="140"/>
        <v>0</v>
      </c>
      <c r="BK68" s="31">
        <f t="shared" si="141"/>
        <v>0</v>
      </c>
      <c r="BL68" s="31">
        <f t="shared" si="142"/>
        <v>1.2202081235313864</v>
      </c>
      <c r="BM68" s="31">
        <f t="shared" si="143"/>
        <v>0.84961396441758974</v>
      </c>
      <c r="BN68" s="31">
        <f t="shared" si="144"/>
        <v>1.9395770392749245</v>
      </c>
      <c r="BO68" s="171"/>
      <c r="BP68" s="135">
        <v>177.5</v>
      </c>
      <c r="BQ68" s="135">
        <v>160.4</v>
      </c>
      <c r="BR68" s="135">
        <v>86.86</v>
      </c>
      <c r="BS68" s="135">
        <v>123.1</v>
      </c>
      <c r="BT68" s="135">
        <v>131.19999999999999</v>
      </c>
      <c r="BU68" s="135"/>
      <c r="BV68" s="135"/>
      <c r="BW68" s="135"/>
      <c r="BX68" s="135">
        <v>128.1</v>
      </c>
      <c r="BY68" s="135"/>
      <c r="BZ68" s="135"/>
      <c r="CA68" s="135">
        <v>36.35</v>
      </c>
      <c r="CB68" s="135">
        <v>25.31</v>
      </c>
      <c r="CC68" s="135">
        <v>57.78</v>
      </c>
      <c r="CD68" s="30"/>
      <c r="CE68" s="29">
        <v>9.3559999999999999</v>
      </c>
      <c r="CF68" s="29">
        <v>9.3360000000000003</v>
      </c>
      <c r="CG68" s="29">
        <v>9.5749999999999993</v>
      </c>
      <c r="CH68" s="29">
        <v>9.5969999999999995</v>
      </c>
      <c r="CI68" s="29">
        <v>8.9320000000000004</v>
      </c>
      <c r="CJ68" s="29"/>
      <c r="CK68" s="29"/>
      <c r="CL68" s="29"/>
      <c r="CM68" s="29">
        <v>7.1529999999999996</v>
      </c>
      <c r="CN68" s="29"/>
      <c r="CO68" s="29"/>
      <c r="CP68" s="29">
        <v>7.6</v>
      </c>
      <c r="CQ68" s="29">
        <v>7.4619999999999997</v>
      </c>
      <c r="CR68" s="29">
        <v>7.6849999999999996</v>
      </c>
      <c r="CS68" s="168" t="str">
        <f>IF(VLOOKUP($A68,'B-Ligands'!$A:$G,3,FALSE)="","",VLOOKUP($A68,'B-Ligands'!$A:$G,3,FALSE))</f>
        <v/>
      </c>
      <c r="CT68" s="169" t="str">
        <f>IF(VLOOKUP($A68,'B-Ligands'!$A:$G,4,FALSE)="","",VLOOKUP($A68,'B-Ligands'!$A:$G,4,FALSE))</f>
        <v>Serotonin</v>
      </c>
      <c r="CU68" s="134">
        <v>17.707059020231551</v>
      </c>
      <c r="CV68" s="135">
        <v>28.674288771074391</v>
      </c>
      <c r="CW68" s="135">
        <v>24.15863720239922</v>
      </c>
      <c r="CX68" s="135">
        <v>27.578322529955269</v>
      </c>
      <c r="CY68" s="135">
        <v>23.159112806052779</v>
      </c>
      <c r="CZ68" s="135">
        <v>6.6853749633612729</v>
      </c>
      <c r="DA68" s="135">
        <v>14.433078730644798</v>
      </c>
      <c r="DB68" s="135">
        <v>4.6374719560184934</v>
      </c>
      <c r="DC68" s="135">
        <v>16.451910451682586</v>
      </c>
      <c r="DD68" s="135">
        <v>14.025889442416508</v>
      </c>
      <c r="DE68" s="135">
        <v>14.765139373389566</v>
      </c>
      <c r="DF68" s="135">
        <v>11.996497157732517</v>
      </c>
      <c r="DG68" s="135">
        <v>17.129424145490724</v>
      </c>
      <c r="DH68" s="135">
        <v>12.240649945886991</v>
      </c>
      <c r="DI68" s="135">
        <v>27.096512508791626</v>
      </c>
      <c r="DJ68" s="66">
        <f t="shared" si="89"/>
        <v>0</v>
      </c>
      <c r="DK68" s="67">
        <f t="shared" si="90"/>
        <v>6.1902145652887377</v>
      </c>
      <c r="DL68" s="67">
        <f t="shared" si="91"/>
        <v>6.6394473602207373</v>
      </c>
      <c r="DM68" s="67">
        <f t="shared" si="92"/>
        <v>3.1495751746921381</v>
      </c>
      <c r="DN68" s="67">
        <f t="shared" si="93"/>
        <v>5.3154022362992697</v>
      </c>
      <c r="DO68" s="67">
        <f t="shared" si="94"/>
        <v>19.624927654624067</v>
      </c>
      <c r="DP68" s="67">
        <f t="shared" si="95"/>
        <v>0</v>
      </c>
      <c r="DQ68" s="67">
        <f t="shared" si="96"/>
        <v>0</v>
      </c>
      <c r="DR68" s="67">
        <f t="shared" si="97"/>
        <v>0</v>
      </c>
      <c r="DS68" s="67">
        <f t="shared" si="98"/>
        <v>9.1331106327278846</v>
      </c>
      <c r="DT68" s="67">
        <f t="shared" si="99"/>
        <v>0</v>
      </c>
      <c r="DU68" s="67">
        <f t="shared" si="100"/>
        <v>0</v>
      </c>
      <c r="DV68" s="67">
        <f t="shared" si="101"/>
        <v>2.1220795101608272</v>
      </c>
      <c r="DW68" s="67">
        <f t="shared" si="102"/>
        <v>2.067700662292403</v>
      </c>
      <c r="DX68" s="67">
        <f t="shared" si="103"/>
        <v>2.1323777361109824</v>
      </c>
    </row>
    <row r="69" spans="1:128" s="28" customFormat="1">
      <c r="A69" s="33" t="s">
        <v>125</v>
      </c>
      <c r="B69" s="205" t="s">
        <v>5559</v>
      </c>
      <c r="C69" t="str">
        <f>IF(VLOOKUP($A69,'B-Ligands'!$A:$G,5,FALSE)="","",VLOOKUP($A69,'B-Ligands'!$A:$G,5,FALSE))</f>
        <v>Guide To Pharmacology</v>
      </c>
      <c r="D69" s="19">
        <f>IF(VLOOKUP($A69,'B-Ligands'!$A:$G,6,FALSE)="","",VLOOKUP($A69,'B-Ligands'!$A:$G,6,FALSE))</f>
        <v>1099</v>
      </c>
      <c r="E69" t="str">
        <f>IF(VLOOKUP($A69,'B-Ligands'!$A:$G,7,FALSE)="","",VLOOKUP($A69,'B-Ligands'!$A:$G,7,FALSE))</f>
        <v>Phys</v>
      </c>
      <c r="F69" s="20" t="str">
        <f t="shared" si="68"/>
        <v/>
      </c>
      <c r="G69" s="19">
        <f t="shared" si="69"/>
        <v>1</v>
      </c>
      <c r="H69" s="19">
        <f t="shared" si="70"/>
        <v>1</v>
      </c>
      <c r="I69" s="19">
        <f t="shared" si="71"/>
        <v>1</v>
      </c>
      <c r="J69" s="189">
        <f t="shared" si="104"/>
        <v>3</v>
      </c>
      <c r="K69" s="147" t="str">
        <f t="shared" si="105"/>
        <v>G12/13</v>
      </c>
      <c r="L69" s="20">
        <f t="shared" si="106"/>
        <v>0</v>
      </c>
      <c r="M69" s="19">
        <f t="shared" si="107"/>
        <v>3</v>
      </c>
      <c r="N69" s="19">
        <f t="shared" si="108"/>
        <v>2</v>
      </c>
      <c r="O69" s="19">
        <f t="shared" si="109"/>
        <v>1</v>
      </c>
      <c r="P69" s="20">
        <f t="shared" si="110"/>
        <v>0</v>
      </c>
      <c r="Q69" s="19">
        <f t="shared" si="111"/>
        <v>88.453418590621908</v>
      </c>
      <c r="R69" s="19">
        <f t="shared" si="112"/>
        <v>89.536302952529212</v>
      </c>
      <c r="S69" s="19">
        <f t="shared" si="113"/>
        <v>100</v>
      </c>
      <c r="T69" s="20">
        <f t="shared" si="114"/>
        <v>0</v>
      </c>
      <c r="U69" s="21">
        <f t="shared" si="115"/>
        <v>8.2463025238083709</v>
      </c>
      <c r="V69" s="21">
        <f t="shared" si="116"/>
        <v>8.3472572657377651</v>
      </c>
      <c r="W69" s="21">
        <f t="shared" si="117"/>
        <v>9.3227629357930422</v>
      </c>
      <c r="X69" s="147" t="str">
        <f t="shared" si="118"/>
        <v>G12</v>
      </c>
      <c r="Y69" s="32">
        <f t="shared" si="119"/>
        <v>0</v>
      </c>
      <c r="Z69" s="31">
        <f t="shared" si="120"/>
        <v>84.934717600902104</v>
      </c>
      <c r="AA69" s="31">
        <f t="shared" si="121"/>
        <v>82.204585717218052</v>
      </c>
      <c r="AB69" s="31">
        <f t="shared" si="122"/>
        <v>84.760797319527825</v>
      </c>
      <c r="AC69" s="31">
        <f t="shared" si="123"/>
        <v>87.539009910867634</v>
      </c>
      <c r="AD69" s="31">
        <f t="shared" si="124"/>
        <v>88.453418590621908</v>
      </c>
      <c r="AE69" s="31">
        <f t="shared" si="125"/>
        <v>89.536302952529212</v>
      </c>
      <c r="AF69" s="31">
        <f t="shared" si="126"/>
        <v>88.428006753879529</v>
      </c>
      <c r="AG69" s="31">
        <f t="shared" si="127"/>
        <v>89.067631340010522</v>
      </c>
      <c r="AH69" s="31">
        <f t="shared" si="128"/>
        <v>88.801364456348225</v>
      </c>
      <c r="AI69" s="31">
        <f t="shared" si="129"/>
        <v>100</v>
      </c>
      <c r="AJ69" s="31">
        <f t="shared" si="130"/>
        <v>89.923741069559583</v>
      </c>
      <c r="AK69" s="7" cm="1">
        <f t="array" ref="AK69">_xlfn.IFS(AZ69=0,0,AZ69&gt;0,(LOG(0.01*AZ69/10^-CD69)))</f>
        <v>0</v>
      </c>
      <c r="AL69" s="8" cm="1">
        <f t="array" ref="AL69">_xlfn.IFS(BA69=0,0,BA69&gt;0,(LOG(0.01*BA69/10^-CE69)))</f>
        <v>7.9182623721173897</v>
      </c>
      <c r="AM69" s="8" cm="1">
        <f t="array" ref="AM69">_xlfn.IFS(BB69=0,0,BB69&gt;0,(LOG(0.01*BB69/10^-CF69)))</f>
        <v>7.6637386487670254</v>
      </c>
      <c r="AN69" s="8" cm="1">
        <f t="array" ref="AN69">_xlfn.IFS(BC69=0,0,BC69&gt;0,(LOG(0.01*BC69/10^-CG69)))</f>
        <v>7.9020481965876028</v>
      </c>
      <c r="AO69" s="8" cm="1">
        <f t="array" ref="AO69">_xlfn.IFS(BD69=0,0,BD69&gt;0,(LOG(0.01*BD69/10^-CH69)))</f>
        <v>8.1610543703305645</v>
      </c>
      <c r="AP69" s="8" cm="1">
        <f t="array" ref="AP69">_xlfn.IFS(BE69=0,0,BE69&gt;0,(LOG(0.01*BE69/10^-CI69)))</f>
        <v>8.2463025238083709</v>
      </c>
      <c r="AQ69" s="8" cm="1">
        <f t="array" ref="AQ69">_xlfn.IFS(BF69=0,0,BF69&gt;0,(LOG(0.01*BF69/10^-CJ69)))</f>
        <v>8.3472572657377651</v>
      </c>
      <c r="AR69" s="8" cm="1">
        <f t="array" ref="AR69">_xlfn.IFS(BG69=0,0,BG69&gt;0,(LOG(0.01*BG69/10^-CK69)))</f>
        <v>8.2439334385112488</v>
      </c>
      <c r="AS69" s="8" cm="1">
        <f t="array" ref="AS69">_xlfn.IFS(BH69=0,0,BH69&gt;0,(LOG(0.01*BH69/10^-CL69)))</f>
        <v>8.3035641223552883</v>
      </c>
      <c r="AT69" s="8" cm="1">
        <f t="array" ref="AT69">_xlfn.IFS(BI69=0,0,BI69&gt;0,(LOG(0.01*BI69/10^-CM69)))</f>
        <v>8.2787406920149298</v>
      </c>
      <c r="AU69" s="8" cm="1">
        <f t="array" ref="AU69">_xlfn.IFS(BJ69=0,0,BJ69&gt;0,(LOG(0.01*BJ69/10^-CN69)))</f>
        <v>9.3227629357930422</v>
      </c>
      <c r="AV69" s="8" cm="1">
        <f t="array" ref="AV69">_xlfn.IFS(BK69=0,0,BK69&gt;0,(LOG(0.01*BK69/10^-CO69)))</f>
        <v>8.3833772029114062</v>
      </c>
      <c r="AW69" s="8" cm="1">
        <f t="array" ref="AW69">_xlfn.IFS(BL69=0,0,BL69&gt;0,(LOG(0.01*BL69/10^-CP69)))</f>
        <v>6.6100490872095072</v>
      </c>
      <c r="AX69" s="8" cm="1">
        <f t="array" ref="AX69">_xlfn.IFS(BM69=0,0,BM69&gt;0,(LOG(0.01*BM69/10^-CQ69)))</f>
        <v>7.5546382323858747</v>
      </c>
      <c r="AY69" s="8" cm="1">
        <f t="array" ref="AY69">_xlfn.IFS(BN69=0,0,BN69&gt;0,(LOG(0.01*BN69/10^-CR69)))</f>
        <v>7.2703553447056528</v>
      </c>
      <c r="AZ69" s="32">
        <f t="shared" si="88"/>
        <v>0</v>
      </c>
      <c r="BA69" s="31">
        <f t="shared" si="131"/>
        <v>21.690140845070424</v>
      </c>
      <c r="BB69" s="31">
        <f t="shared" si="132"/>
        <v>11.213434452871073</v>
      </c>
      <c r="BC69" s="31">
        <f t="shared" si="133"/>
        <v>12.795232936078007</v>
      </c>
      <c r="BD69" s="31">
        <f t="shared" si="134"/>
        <v>21.235102925243769</v>
      </c>
      <c r="BE69" s="31">
        <f t="shared" si="135"/>
        <v>14.431202600216682</v>
      </c>
      <c r="BF69" s="31">
        <f t="shared" si="136"/>
        <v>11.621368322399251</v>
      </c>
      <c r="BG69" s="31">
        <f t="shared" si="137"/>
        <v>4.4048734770384259</v>
      </c>
      <c r="BH69" s="31">
        <f t="shared" si="138"/>
        <v>25.501405810684165</v>
      </c>
      <c r="BI69" s="31">
        <f t="shared" si="139"/>
        <v>11.527647610121837</v>
      </c>
      <c r="BJ69" s="31">
        <f t="shared" si="140"/>
        <v>8.765222316624186</v>
      </c>
      <c r="BK69" s="31">
        <f t="shared" si="141"/>
        <v>22.613990370999712</v>
      </c>
      <c r="BL69" s="31">
        <f t="shared" si="142"/>
        <v>2.2964081906680094</v>
      </c>
      <c r="BM69" s="31">
        <f t="shared" si="143"/>
        <v>5.95166163141994</v>
      </c>
      <c r="BN69" s="31">
        <f t="shared" si="144"/>
        <v>5.6931856327626722</v>
      </c>
      <c r="BO69" s="134"/>
      <c r="BP69" s="135">
        <v>200.2</v>
      </c>
      <c r="BQ69" s="135">
        <v>103.5</v>
      </c>
      <c r="BR69" s="135">
        <v>118.1</v>
      </c>
      <c r="BS69" s="135">
        <v>196</v>
      </c>
      <c r="BT69" s="135">
        <v>133.19999999999999</v>
      </c>
      <c r="BU69" s="135">
        <v>124</v>
      </c>
      <c r="BV69" s="135">
        <v>47</v>
      </c>
      <c r="BW69" s="135">
        <v>272.10000000000002</v>
      </c>
      <c r="BX69" s="135">
        <v>123</v>
      </c>
      <c r="BY69" s="135">
        <v>61.9</v>
      </c>
      <c r="BZ69" s="135">
        <v>159.69999999999999</v>
      </c>
      <c r="CA69" s="135">
        <v>68.41</v>
      </c>
      <c r="CB69" s="135">
        <v>177.3</v>
      </c>
      <c r="CC69" s="135">
        <v>169.6</v>
      </c>
      <c r="CD69" s="30"/>
      <c r="CE69" s="29">
        <v>8.5820000000000007</v>
      </c>
      <c r="CF69" s="29">
        <v>8.6140000000000008</v>
      </c>
      <c r="CG69" s="29">
        <v>8.7949999999999999</v>
      </c>
      <c r="CH69" s="29">
        <v>8.8339999999999996</v>
      </c>
      <c r="CI69" s="29">
        <v>9.0869999999999997</v>
      </c>
      <c r="CJ69" s="29">
        <v>9.282</v>
      </c>
      <c r="CK69" s="29">
        <v>9.6</v>
      </c>
      <c r="CL69" s="29">
        <v>8.8970000000000002</v>
      </c>
      <c r="CM69" s="29">
        <v>9.2170000000000005</v>
      </c>
      <c r="CN69" s="29">
        <v>10.38</v>
      </c>
      <c r="CO69" s="29">
        <v>9.0289999999999999</v>
      </c>
      <c r="CP69" s="29">
        <v>8.2490000000000006</v>
      </c>
      <c r="CQ69" s="29">
        <v>8.7799999999999994</v>
      </c>
      <c r="CR69" s="29">
        <v>8.5150000000000006</v>
      </c>
      <c r="CS69" s="168" t="str">
        <f>IF(VLOOKUP($A69,'B-Ligands'!$A:$G,3,FALSE)="","",VLOOKUP($A69,'B-Ligands'!$A:$G,3,FALSE))</f>
        <v/>
      </c>
      <c r="CT69" s="169" t="str">
        <f>IF(VLOOKUP($A69,'B-Ligands'!$A:$G,4,FALSE)="","",VLOOKUP($A69,'B-Ligands'!$A:$G,4,FALSE))</f>
        <v>Ghrelin</v>
      </c>
      <c r="CU69" s="134">
        <v>25.918353089885652</v>
      </c>
      <c r="CV69" s="135">
        <v>28.759536269228633</v>
      </c>
      <c r="CW69" s="135">
        <v>26.006198602080577</v>
      </c>
      <c r="CX69" s="135">
        <v>32.443943370541888</v>
      </c>
      <c r="CY69" s="135">
        <v>21.332400414031408</v>
      </c>
      <c r="CZ69" s="135">
        <v>10.514565136542423</v>
      </c>
      <c r="DA69" s="135">
        <v>19.648213270279133</v>
      </c>
      <c r="DB69" s="135">
        <v>13.675868039057383</v>
      </c>
      <c r="DC69" s="135">
        <v>15.302897771024996</v>
      </c>
      <c r="DD69" s="135">
        <v>11.957502893854492</v>
      </c>
      <c r="DE69" s="135">
        <v>13.363184974360173</v>
      </c>
      <c r="DF69" s="135">
        <v>24.732611432975567</v>
      </c>
      <c r="DG69" s="135">
        <v>12.95122114627533</v>
      </c>
      <c r="DH69" s="135">
        <v>13.724824039497038</v>
      </c>
      <c r="DI69" s="135">
        <v>14.336538347450229</v>
      </c>
      <c r="DJ69" s="66">
        <f t="shared" si="89"/>
        <v>0</v>
      </c>
      <c r="DK69" s="67">
        <f t="shared" si="90"/>
        <v>6.9611692666339922</v>
      </c>
      <c r="DL69" s="67">
        <f t="shared" si="91"/>
        <v>3.9798204106508543</v>
      </c>
      <c r="DM69" s="67">
        <f t="shared" si="92"/>
        <v>3.6401247114501869</v>
      </c>
      <c r="DN69" s="67">
        <f t="shared" si="93"/>
        <v>9.1879017923871711</v>
      </c>
      <c r="DO69" s="67">
        <f t="shared" si="94"/>
        <v>12.668141598845148</v>
      </c>
      <c r="DP69" s="67">
        <f t="shared" si="95"/>
        <v>6.3110064154061574</v>
      </c>
      <c r="DQ69" s="67">
        <f t="shared" si="96"/>
        <v>3.4367105521763652</v>
      </c>
      <c r="DR69" s="67">
        <f t="shared" si="97"/>
        <v>17.780946071220772</v>
      </c>
      <c r="DS69" s="67">
        <f t="shared" si="98"/>
        <v>10.28642862074617</v>
      </c>
      <c r="DT69" s="67">
        <f t="shared" si="99"/>
        <v>4.6321292505317402</v>
      </c>
      <c r="DU69" s="67">
        <f t="shared" si="100"/>
        <v>6.4570617798602017</v>
      </c>
      <c r="DV69" s="67">
        <f t="shared" si="101"/>
        <v>5.2821273938075084</v>
      </c>
      <c r="DW69" s="67">
        <f t="shared" si="102"/>
        <v>12.918198403838872</v>
      </c>
      <c r="DX69" s="67">
        <f t="shared" si="103"/>
        <v>11.829912904335345</v>
      </c>
    </row>
    <row r="70" spans="1:128" s="28" customFormat="1">
      <c r="A70" s="33" t="s">
        <v>252</v>
      </c>
      <c r="B70" s="205" t="s">
        <v>5559</v>
      </c>
      <c r="C70" t="str">
        <f>IF(VLOOKUP($A70,'B-Ligands'!$A:$G,5,FALSE)="","",VLOOKUP($A70,'B-Ligands'!$A:$G,5,FALSE))</f>
        <v>Guide To Pharmacology</v>
      </c>
      <c r="D70" s="19">
        <f>IF(VLOOKUP($A70,'B-Ligands'!$A:$G,6,FALSE)="","",VLOOKUP($A70,'B-Ligands'!$A:$G,6,FALSE))</f>
        <v>687</v>
      </c>
      <c r="E70" t="str">
        <f>IF(VLOOKUP($A70,'B-Ligands'!$A:$G,7,FALSE)="","",VLOOKUP($A70,'B-Ligands'!$A:$G,7,FALSE))</f>
        <v>Phys</v>
      </c>
      <c r="F70" s="20">
        <f t="shared" ref="F70:F101" si="145">IF(T70&gt;0,1,"")</f>
        <v>1</v>
      </c>
      <c r="G70" s="19" t="str">
        <f t="shared" ref="G70:G101" si="146">IF(U70&gt;0,1,"")</f>
        <v/>
      </c>
      <c r="H70" s="19">
        <f t="shared" ref="H70:H101" si="147">IF(V70&gt;0,1,"")</f>
        <v>1</v>
      </c>
      <c r="I70" s="19">
        <f t="shared" ref="I70:I101" si="148">IF(W70&gt;0,1,"")</f>
        <v>1</v>
      </c>
      <c r="J70" s="189">
        <f t="shared" si="104"/>
        <v>3</v>
      </c>
      <c r="K70" s="147" t="str">
        <f t="shared" si="105"/>
        <v>G12/13</v>
      </c>
      <c r="L70" s="20">
        <f t="shared" si="106"/>
        <v>2</v>
      </c>
      <c r="M70" s="19">
        <f t="shared" si="107"/>
        <v>0</v>
      </c>
      <c r="N70" s="19">
        <f t="shared" si="108"/>
        <v>3</v>
      </c>
      <c r="O70" s="19">
        <f t="shared" si="109"/>
        <v>1</v>
      </c>
      <c r="P70" s="20">
        <f t="shared" si="110"/>
        <v>90.374062889749808</v>
      </c>
      <c r="Q70" s="19">
        <f t="shared" si="111"/>
        <v>0</v>
      </c>
      <c r="R70" s="19">
        <f t="shared" si="112"/>
        <v>77.718787611497348</v>
      </c>
      <c r="S70" s="19">
        <f t="shared" si="113"/>
        <v>100</v>
      </c>
      <c r="T70" s="20">
        <f t="shared" si="114"/>
        <v>7.3001646085068987</v>
      </c>
      <c r="U70" s="21">
        <f t="shared" si="115"/>
        <v>0</v>
      </c>
      <c r="V70" s="21">
        <f t="shared" si="116"/>
        <v>6.2779067864820659</v>
      </c>
      <c r="W70" s="21">
        <f t="shared" si="117"/>
        <v>8.0777209467860285</v>
      </c>
      <c r="X70" s="147" t="str">
        <f t="shared" si="118"/>
        <v>G13</v>
      </c>
      <c r="Y70" s="32">
        <f t="shared" si="119"/>
        <v>90.374062889749808</v>
      </c>
      <c r="Z70" s="31">
        <f t="shared" si="120"/>
        <v>0</v>
      </c>
      <c r="AA70" s="31">
        <f t="shared" si="121"/>
        <v>0</v>
      </c>
      <c r="AB70" s="31">
        <f t="shared" si="122"/>
        <v>0</v>
      </c>
      <c r="AC70" s="31">
        <f t="shared" si="123"/>
        <v>0</v>
      </c>
      <c r="AD70" s="31">
        <f t="shared" si="124"/>
        <v>0</v>
      </c>
      <c r="AE70" s="31">
        <f t="shared" si="125"/>
        <v>0</v>
      </c>
      <c r="AF70" s="31">
        <f t="shared" si="126"/>
        <v>0</v>
      </c>
      <c r="AG70" s="31">
        <f t="shared" si="127"/>
        <v>0</v>
      </c>
      <c r="AH70" s="31">
        <f t="shared" si="128"/>
        <v>77.718787611497348</v>
      </c>
      <c r="AI70" s="31">
        <f t="shared" si="129"/>
        <v>93.426101014793275</v>
      </c>
      <c r="AJ70" s="31">
        <f t="shared" si="130"/>
        <v>100</v>
      </c>
      <c r="AK70" s="7" cm="1">
        <f t="array" ref="AK70">_xlfn.IFS(AZ70=0,0,AZ70&gt;0,(LOG(0.01*AZ70/10^-CD70)))</f>
        <v>7.3001646085068987</v>
      </c>
      <c r="AL70" s="8" cm="1">
        <f t="array" ref="AL70">_xlfn.IFS(BA70=0,0,BA70&gt;0,(LOG(0.01*BA70/10^-CE70)))</f>
        <v>0</v>
      </c>
      <c r="AM70" s="8" cm="1">
        <f t="array" ref="AM70">_xlfn.IFS(BB70=0,0,BB70&gt;0,(LOG(0.01*BB70/10^-CF70)))</f>
        <v>0</v>
      </c>
      <c r="AN70" s="8" cm="1">
        <f t="array" ref="AN70">_xlfn.IFS(BC70=0,0,BC70&gt;0,(LOG(0.01*BC70/10^-CG70)))</f>
        <v>0</v>
      </c>
      <c r="AO70" s="8" cm="1">
        <f t="array" ref="AO70">_xlfn.IFS(BD70=0,0,BD70&gt;0,(LOG(0.01*BD70/10^-CH70)))</f>
        <v>0</v>
      </c>
      <c r="AP70" s="8" cm="1">
        <f t="array" ref="AP70">_xlfn.IFS(BE70=0,0,BE70&gt;0,(LOG(0.01*BE70/10^-CI70)))</f>
        <v>0</v>
      </c>
      <c r="AQ70" s="8" cm="1">
        <f t="array" ref="AQ70">_xlfn.IFS(BF70=0,0,BF70&gt;0,(LOG(0.01*BF70/10^-CJ70)))</f>
        <v>0</v>
      </c>
      <c r="AR70" s="8" cm="1">
        <f t="array" ref="AR70">_xlfn.IFS(BG70=0,0,BG70&gt;0,(LOG(0.01*BG70/10^-CK70)))</f>
        <v>0</v>
      </c>
      <c r="AS70" s="8" cm="1">
        <f t="array" ref="AS70">_xlfn.IFS(BH70=0,0,BH70&gt;0,(LOG(0.01*BH70/10^-CL70)))</f>
        <v>0</v>
      </c>
      <c r="AT70" s="8" cm="1">
        <f t="array" ref="AT70">_xlfn.IFS(BI70=0,0,BI70&gt;0,(LOG(0.01*BI70/10^-CM70)))</f>
        <v>6.2779067864820659</v>
      </c>
      <c r="AU70" s="8" cm="1">
        <f t="array" ref="AU70">_xlfn.IFS(BJ70=0,0,BJ70&gt;0,(LOG(0.01*BJ70/10^-CN70)))</f>
        <v>7.5466997314374309</v>
      </c>
      <c r="AV70" s="8" cm="1">
        <f t="array" ref="AV70">_xlfn.IFS(BK70=0,0,BK70&gt;0,(LOG(0.01*BK70/10^-CO70)))</f>
        <v>8.0777209467860285</v>
      </c>
      <c r="AW70" s="8" cm="1">
        <f t="array" ref="AW70">_xlfn.IFS(BL70=0,0,BL70&gt;0,(LOG(0.01*BL70/10^-CP70)))</f>
        <v>0</v>
      </c>
      <c r="AX70" s="8" cm="1">
        <f t="array" ref="AX70">_xlfn.IFS(BM70=0,0,BM70&gt;0,(LOG(0.01*BM70/10^-CQ70)))</f>
        <v>0</v>
      </c>
      <c r="AY70" s="8" cm="1">
        <f t="array" ref="AY70">_xlfn.IFS(BN70=0,0,BN70&gt;0,(LOG(0.01*BN70/10^-CR70)))</f>
        <v>0</v>
      </c>
      <c r="AZ70" s="32">
        <f t="shared" si="88"/>
        <v>32.74647887323944</v>
      </c>
      <c r="BA70" s="31">
        <f t="shared" si="131"/>
        <v>0</v>
      </c>
      <c r="BB70" s="31">
        <f t="shared" si="132"/>
        <v>0</v>
      </c>
      <c r="BC70" s="31">
        <f t="shared" si="133"/>
        <v>0</v>
      </c>
      <c r="BD70" s="31">
        <f t="shared" si="134"/>
        <v>0</v>
      </c>
      <c r="BE70" s="31">
        <f t="shared" si="135"/>
        <v>0</v>
      </c>
      <c r="BF70" s="31">
        <f t="shared" si="136"/>
        <v>0</v>
      </c>
      <c r="BG70" s="31">
        <f t="shared" si="137"/>
        <v>0</v>
      </c>
      <c r="BH70" s="31">
        <f t="shared" si="138"/>
        <v>0</v>
      </c>
      <c r="BI70" s="31">
        <f t="shared" si="139"/>
        <v>11.452671040299906</v>
      </c>
      <c r="BJ70" s="31">
        <f t="shared" si="140"/>
        <v>8.8246955536675156</v>
      </c>
      <c r="BK70" s="31">
        <f t="shared" si="141"/>
        <v>38.346077598414041</v>
      </c>
      <c r="BL70" s="31">
        <f t="shared" si="142"/>
        <v>0</v>
      </c>
      <c r="BM70" s="31">
        <f t="shared" si="143"/>
        <v>0</v>
      </c>
      <c r="BN70" s="31">
        <f t="shared" si="144"/>
        <v>0</v>
      </c>
      <c r="BO70" s="132">
        <v>21.39</v>
      </c>
      <c r="BP70" s="133"/>
      <c r="BQ70" s="133"/>
      <c r="BR70" s="133"/>
      <c r="BS70" s="133"/>
      <c r="BT70" s="133"/>
      <c r="BU70" s="133"/>
      <c r="BV70" s="133"/>
      <c r="BW70" s="133"/>
      <c r="BX70" s="133">
        <v>122.2</v>
      </c>
      <c r="BY70" s="133">
        <v>62.32</v>
      </c>
      <c r="BZ70" s="133">
        <v>270.8</v>
      </c>
      <c r="CA70" s="133"/>
      <c r="CB70" s="133"/>
      <c r="CC70" s="133"/>
      <c r="CD70" s="36">
        <v>7.7850000000000001</v>
      </c>
      <c r="CE70" s="34"/>
      <c r="CF70" s="34"/>
      <c r="CG70" s="34"/>
      <c r="CH70" s="34"/>
      <c r="CI70" s="34"/>
      <c r="CJ70" s="34"/>
      <c r="CK70" s="34"/>
      <c r="CL70" s="34"/>
      <c r="CM70" s="34">
        <v>7.2190000000000003</v>
      </c>
      <c r="CN70" s="34">
        <v>8.6010000000000009</v>
      </c>
      <c r="CO70" s="34">
        <v>8.4939999999999998</v>
      </c>
      <c r="CP70" s="34"/>
      <c r="CQ70" s="34"/>
      <c r="CR70" s="34"/>
      <c r="CS70" s="168" t="str">
        <f>IF(VLOOKUP($A70,'B-Ligands'!$A:$G,3,FALSE)="","",VLOOKUP($A70,'B-Ligands'!$A:$G,3,FALSE))</f>
        <v/>
      </c>
      <c r="CT70" s="169" t="str">
        <f>IF(VLOOKUP($A70,'B-Ligands'!$A:$G,4,FALSE)="","",VLOOKUP($A70,'B-Ligands'!$A:$G,4,FALSE))</f>
        <v>Amylin</v>
      </c>
      <c r="CU70" s="132">
        <v>15.116167777823501</v>
      </c>
      <c r="CV70" s="133">
        <v>4.3887175431651517</v>
      </c>
      <c r="CW70" s="133">
        <v>14.962617992476366</v>
      </c>
      <c r="CX70" s="133">
        <v>7.7074761267539476</v>
      </c>
      <c r="CY70" s="133">
        <v>20.845627303471829</v>
      </c>
      <c r="CZ70" s="133">
        <v>17.042421933835755</v>
      </c>
      <c r="DA70" s="133">
        <v>14.590137743729299</v>
      </c>
      <c r="DB70" s="133">
        <v>16.53106851137629</v>
      </c>
      <c r="DC70" s="133">
        <v>16.56689926074252</v>
      </c>
      <c r="DD70" s="133">
        <v>15.539573080644564</v>
      </c>
      <c r="DE70" s="133">
        <v>7.2747135492403032</v>
      </c>
      <c r="DF70" s="133">
        <v>5.1692271464810711</v>
      </c>
      <c r="DG70" s="133">
        <v>30.375319517076182</v>
      </c>
      <c r="DH70" s="133">
        <v>13.464425647434007</v>
      </c>
      <c r="DI70" s="133">
        <v>14.877392865799187</v>
      </c>
      <c r="DJ70" s="66">
        <f t="shared" si="89"/>
        <v>1.4150411873160511</v>
      </c>
      <c r="DK70" s="67">
        <f t="shared" si="90"/>
        <v>0</v>
      </c>
      <c r="DL70" s="67">
        <f t="shared" si="91"/>
        <v>0</v>
      </c>
      <c r="DM70" s="67">
        <f t="shared" si="92"/>
        <v>0</v>
      </c>
      <c r="DN70" s="67">
        <f t="shared" si="93"/>
        <v>0</v>
      </c>
      <c r="DO70" s="67">
        <f t="shared" si="94"/>
        <v>0</v>
      </c>
      <c r="DP70" s="67">
        <f t="shared" si="95"/>
        <v>0</v>
      </c>
      <c r="DQ70" s="67">
        <f t="shared" si="96"/>
        <v>0</v>
      </c>
      <c r="DR70" s="67">
        <f t="shared" si="97"/>
        <v>0</v>
      </c>
      <c r="DS70" s="67">
        <f t="shared" si="98"/>
        <v>7.8637938999886146</v>
      </c>
      <c r="DT70" s="67">
        <f t="shared" si="99"/>
        <v>8.5666603335203568</v>
      </c>
      <c r="DU70" s="67">
        <f t="shared" si="100"/>
        <v>52.386941476221629</v>
      </c>
      <c r="DV70" s="67">
        <f t="shared" si="101"/>
        <v>0</v>
      </c>
      <c r="DW70" s="67">
        <f t="shared" si="102"/>
        <v>0</v>
      </c>
      <c r="DX70" s="67">
        <f t="shared" si="103"/>
        <v>0</v>
      </c>
    </row>
    <row r="71" spans="1:128" s="28" customFormat="1">
      <c r="A71" s="33" t="s">
        <v>21</v>
      </c>
      <c r="B71" s="205" t="s">
        <v>5559</v>
      </c>
      <c r="C71" t="str">
        <f>IF(VLOOKUP($A71,'B-Ligands'!$A:$G,5,FALSE)="","",VLOOKUP($A71,'B-Ligands'!$A:$G,5,FALSE))</f>
        <v>Guide To Pharmacology</v>
      </c>
      <c r="D71" s="19">
        <f>IF(VLOOKUP($A71,'B-Ligands'!$A:$G,6,FALSE)="","",VLOOKUP($A71,'B-Ligands'!$A:$G,6,FALSE))</f>
        <v>5</v>
      </c>
      <c r="E71" t="str">
        <f>IF(VLOOKUP($A71,'B-Ligands'!$A:$G,7,FALSE)="","",VLOOKUP($A71,'B-Ligands'!$A:$G,7,FALSE))</f>
        <v>Phys</v>
      </c>
      <c r="F71" s="20" t="str">
        <f t="shared" si="145"/>
        <v/>
      </c>
      <c r="G71" s="19">
        <f t="shared" si="146"/>
        <v>1</v>
      </c>
      <c r="H71" s="19">
        <f t="shared" si="147"/>
        <v>1</v>
      </c>
      <c r="I71" s="19" t="str">
        <f t="shared" si="148"/>
        <v/>
      </c>
      <c r="J71" s="189">
        <f t="shared" si="104"/>
        <v>2</v>
      </c>
      <c r="K71" s="147" t="str">
        <f t="shared" si="105"/>
        <v>Gq/11</v>
      </c>
      <c r="L71" s="20">
        <f t="shared" si="106"/>
        <v>0</v>
      </c>
      <c r="M71" s="19">
        <f t="shared" si="107"/>
        <v>2</v>
      </c>
      <c r="N71" s="19">
        <f t="shared" si="108"/>
        <v>1</v>
      </c>
      <c r="O71" s="19">
        <f t="shared" si="109"/>
        <v>0</v>
      </c>
      <c r="P71" s="20">
        <f t="shared" si="110"/>
        <v>0</v>
      </c>
      <c r="Q71" s="19">
        <f t="shared" si="111"/>
        <v>99.026245701475702</v>
      </c>
      <c r="R71" s="19">
        <f t="shared" si="112"/>
        <v>100</v>
      </c>
      <c r="S71" s="19">
        <f t="shared" si="113"/>
        <v>0</v>
      </c>
      <c r="T71" s="20">
        <f t="shared" si="114"/>
        <v>0</v>
      </c>
      <c r="U71" s="21">
        <f t="shared" si="115"/>
        <v>7.709026815314167</v>
      </c>
      <c r="V71" s="21">
        <f t="shared" si="116"/>
        <v>7.7848319510706103</v>
      </c>
      <c r="W71" s="21">
        <f t="shared" si="117"/>
        <v>0</v>
      </c>
      <c r="X71" s="147" t="str">
        <f t="shared" si="118"/>
        <v>Gq</v>
      </c>
      <c r="Y71" s="32">
        <f t="shared" si="119"/>
        <v>0</v>
      </c>
      <c r="Z71" s="31">
        <f t="shared" si="120"/>
        <v>0</v>
      </c>
      <c r="AA71" s="31">
        <f t="shared" si="121"/>
        <v>0</v>
      </c>
      <c r="AB71" s="31">
        <f t="shared" si="122"/>
        <v>0</v>
      </c>
      <c r="AC71" s="31">
        <f t="shared" si="123"/>
        <v>85.235530557647635</v>
      </c>
      <c r="AD71" s="31">
        <f t="shared" si="124"/>
        <v>99.026245701475702</v>
      </c>
      <c r="AE71" s="31">
        <f t="shared" si="125"/>
        <v>100</v>
      </c>
      <c r="AF71" s="31">
        <f t="shared" si="126"/>
        <v>99.575887649799682</v>
      </c>
      <c r="AG71" s="31">
        <f t="shared" si="127"/>
        <v>96.834621286787325</v>
      </c>
      <c r="AH71" s="31">
        <f t="shared" si="128"/>
        <v>89.789731719992815</v>
      </c>
      <c r="AI71" s="31">
        <f t="shared" si="129"/>
        <v>0</v>
      </c>
      <c r="AJ71" s="31">
        <f t="shared" si="130"/>
        <v>0</v>
      </c>
      <c r="AK71" s="7" cm="1">
        <f t="array" ref="AK71">_xlfn.IFS(AZ71=0,0,AZ71&gt;0,(LOG(0.01*AZ71/10^-CD71)))</f>
        <v>0</v>
      </c>
      <c r="AL71" s="8" cm="1">
        <f t="array" ref="AL71">_xlfn.IFS(BA71=0,0,BA71&gt;0,(LOG(0.01*BA71/10^-CE71)))</f>
        <v>0</v>
      </c>
      <c r="AM71" s="8" cm="1">
        <f t="array" ref="AM71">_xlfn.IFS(BB71=0,0,BB71&gt;0,(LOG(0.01*BB71/10^-CF71)))</f>
        <v>0</v>
      </c>
      <c r="AN71" s="8" cm="1">
        <f t="array" ref="AN71">_xlfn.IFS(BC71=0,0,BC71&gt;0,(LOG(0.01*BC71/10^-CG71)))</f>
        <v>0</v>
      </c>
      <c r="AO71" s="8" cm="1">
        <f t="array" ref="AO71">_xlfn.IFS(BD71=0,0,BD71&gt;0,(LOG(0.01*BD71/10^-CH71)))</f>
        <v>6.6354428165163064</v>
      </c>
      <c r="AP71" s="8" cm="1">
        <f t="array" ref="AP71">_xlfn.IFS(BE71=0,0,BE71&gt;0,(LOG(0.01*BE71/10^-CI71)))</f>
        <v>7.709026815314167</v>
      </c>
      <c r="AQ71" s="8" cm="1">
        <f t="array" ref="AQ71">_xlfn.IFS(BF71=0,0,BF71&gt;0,(LOG(0.01*BF71/10^-CJ71)))</f>
        <v>7.7848319510706103</v>
      </c>
      <c r="AR71" s="8" cm="1">
        <f t="array" ref="AR71">_xlfn.IFS(BG71=0,0,BG71&gt;0,(LOG(0.01*BG71/10^-CK71)))</f>
        <v>7.7518155173237799</v>
      </c>
      <c r="AS71" s="8" cm="1">
        <f t="array" ref="AS71">_xlfn.IFS(BH71=0,0,BH71&gt;0,(LOG(0.01*BH71/10^-CL71)))</f>
        <v>7.5384125376320421</v>
      </c>
      <c r="AT71" s="8" cm="1">
        <f t="array" ref="AT71">_xlfn.IFS(BI71=0,0,BI71&gt;0,(LOG(0.01*BI71/10^-CM71)))</f>
        <v>6.9899797237185837</v>
      </c>
      <c r="AU71" s="8" cm="1">
        <f t="array" ref="AU71">_xlfn.IFS(BJ71=0,0,BJ71&gt;0,(LOG(0.01*BJ71/10^-CN71)))</f>
        <v>0</v>
      </c>
      <c r="AV71" s="8" cm="1">
        <f t="array" ref="AV71">_xlfn.IFS(BK71=0,0,BK71&gt;0,(LOG(0.01*BK71/10^-CO71)))</f>
        <v>0</v>
      </c>
      <c r="AW71" s="8" cm="1">
        <f t="array" ref="AW71">_xlfn.IFS(BL71=0,0,BL71&gt;0,(LOG(0.01*BL71/10^-CP71)))</f>
        <v>6.5694467802976444</v>
      </c>
      <c r="AX71" s="8" cm="1">
        <f t="array" ref="AX71">_xlfn.IFS(BM71=0,0,BM71&gt;0,(LOG(0.01*BM71/10^-CQ71)))</f>
        <v>5.6310915428838104</v>
      </c>
      <c r="AY71" s="8" cm="1">
        <f t="array" ref="AY71">_xlfn.IFS(BN71=0,0,BN71&gt;0,(LOG(0.01*BN71/10^-CR71)))</f>
        <v>7.0869779632017345</v>
      </c>
      <c r="AZ71" s="32">
        <f t="shared" si="88"/>
        <v>0</v>
      </c>
      <c r="BA71" s="31">
        <f t="shared" si="131"/>
        <v>0</v>
      </c>
      <c r="BB71" s="31">
        <f t="shared" si="132"/>
        <v>0</v>
      </c>
      <c r="BC71" s="31">
        <f t="shared" si="133"/>
        <v>0</v>
      </c>
      <c r="BD71" s="31">
        <f t="shared" si="134"/>
        <v>7.1852654387865647</v>
      </c>
      <c r="BE71" s="31">
        <f t="shared" si="135"/>
        <v>8.6901408450704221</v>
      </c>
      <c r="BF71" s="31">
        <f t="shared" si="136"/>
        <v>17.291471415182755</v>
      </c>
      <c r="BG71" s="31">
        <f t="shared" si="137"/>
        <v>18.828491096532332</v>
      </c>
      <c r="BH71" s="31">
        <f t="shared" si="138"/>
        <v>22.305529522024369</v>
      </c>
      <c r="BI71" s="31">
        <f t="shared" si="139"/>
        <v>11.349578256794752</v>
      </c>
      <c r="BJ71" s="31">
        <f t="shared" si="140"/>
        <v>0</v>
      </c>
      <c r="BK71" s="31">
        <f t="shared" si="141"/>
        <v>0</v>
      </c>
      <c r="BL71" s="31">
        <f t="shared" si="142"/>
        <v>5.760322255790534</v>
      </c>
      <c r="BM71" s="31">
        <f t="shared" si="143"/>
        <v>1.7381671701913395</v>
      </c>
      <c r="BN71" s="31">
        <f t="shared" si="144"/>
        <v>8.2980866062437055</v>
      </c>
      <c r="BO71" s="170"/>
      <c r="BP71" s="174"/>
      <c r="BQ71" s="133"/>
      <c r="BR71" s="133"/>
      <c r="BS71" s="133">
        <v>66.319999999999993</v>
      </c>
      <c r="BT71" s="133">
        <v>80.209999999999994</v>
      </c>
      <c r="BU71" s="133">
        <v>184.5</v>
      </c>
      <c r="BV71" s="133">
        <v>200.9</v>
      </c>
      <c r="BW71" s="133">
        <v>238</v>
      </c>
      <c r="BX71" s="133">
        <v>121.1</v>
      </c>
      <c r="BY71" s="133"/>
      <c r="BZ71" s="133"/>
      <c r="CA71" s="133">
        <v>171.6</v>
      </c>
      <c r="CB71" s="133">
        <v>51.78</v>
      </c>
      <c r="CC71" s="133">
        <v>247.2</v>
      </c>
      <c r="CD71" s="36"/>
      <c r="CE71" s="34"/>
      <c r="CF71" s="34"/>
      <c r="CG71" s="34"/>
      <c r="CH71" s="34">
        <v>7.7789999999999999</v>
      </c>
      <c r="CI71" s="34">
        <v>8.77</v>
      </c>
      <c r="CJ71" s="34">
        <v>8.5470000000000006</v>
      </c>
      <c r="CK71" s="34">
        <v>8.4770000000000003</v>
      </c>
      <c r="CL71" s="34">
        <v>8.19</v>
      </c>
      <c r="CM71" s="34">
        <v>7.9349999999999996</v>
      </c>
      <c r="CN71" s="34"/>
      <c r="CO71" s="34"/>
      <c r="CP71" s="34">
        <v>7.8090000000000002</v>
      </c>
      <c r="CQ71" s="34">
        <v>7.391</v>
      </c>
      <c r="CR71" s="34">
        <v>8.1679999999999993</v>
      </c>
      <c r="CS71" s="168" t="str">
        <f>IF(VLOOKUP($A71,'B-Ligands'!$A:$G,3,FALSE)="","",VLOOKUP($A71,'B-Ligands'!$A:$G,3,FALSE))</f>
        <v/>
      </c>
      <c r="CT71" s="169" t="str">
        <f>IF(VLOOKUP($A71,'B-Ligands'!$A:$G,4,FALSE)="","",VLOOKUP($A71,'B-Ligands'!$A:$G,4,FALSE))</f>
        <v>Serotonin</v>
      </c>
      <c r="CU71" s="132">
        <v>37.609143175773511</v>
      </c>
      <c r="CV71" s="133">
        <v>38.235766267096857</v>
      </c>
      <c r="CW71" s="133">
        <v>36.685363697720788</v>
      </c>
      <c r="CX71" s="133">
        <v>51.139425125050487</v>
      </c>
      <c r="CY71" s="133">
        <v>10.249328339295696</v>
      </c>
      <c r="CZ71" s="133">
        <v>11.827438194523737</v>
      </c>
      <c r="DA71" s="133">
        <v>26.030223264476934</v>
      </c>
      <c r="DB71" s="133">
        <v>16.749490105875182</v>
      </c>
      <c r="DC71" s="133">
        <v>20.763890013390974</v>
      </c>
      <c r="DD71" s="133">
        <v>18.706509137816301</v>
      </c>
      <c r="DE71" s="133">
        <v>24.673781667676604</v>
      </c>
      <c r="DF71" s="133">
        <v>28.566116488693552</v>
      </c>
      <c r="DG71" s="133">
        <v>31.509827137419549</v>
      </c>
      <c r="DH71" s="133">
        <v>17.938137758720384</v>
      </c>
      <c r="DI71" s="133">
        <v>14.43498370800878</v>
      </c>
      <c r="DJ71" s="66">
        <f t="shared" si="89"/>
        <v>0</v>
      </c>
      <c r="DK71" s="67">
        <f t="shared" si="90"/>
        <v>0</v>
      </c>
      <c r="DL71" s="67">
        <f t="shared" si="91"/>
        <v>0</v>
      </c>
      <c r="DM71" s="67">
        <f t="shared" si="92"/>
        <v>0</v>
      </c>
      <c r="DN71" s="67">
        <f t="shared" si="93"/>
        <v>6.470667911547979</v>
      </c>
      <c r="DO71" s="67">
        <f t="shared" si="94"/>
        <v>6.7816883657137437</v>
      </c>
      <c r="DP71" s="67">
        <f t="shared" si="95"/>
        <v>7.0879146185343886</v>
      </c>
      <c r="DQ71" s="67">
        <f t="shared" si="96"/>
        <v>11.99439497740476</v>
      </c>
      <c r="DR71" s="67">
        <f t="shared" si="97"/>
        <v>11.462206737105133</v>
      </c>
      <c r="DS71" s="67">
        <f t="shared" si="98"/>
        <v>6.4736824550118373</v>
      </c>
      <c r="DT71" s="67">
        <f t="shared" si="99"/>
        <v>0</v>
      </c>
      <c r="DU71" s="67">
        <f t="shared" si="100"/>
        <v>0</v>
      </c>
      <c r="DV71" s="67">
        <f t="shared" si="101"/>
        <v>5.4459200696856929</v>
      </c>
      <c r="DW71" s="67">
        <f t="shared" si="102"/>
        <v>2.8865872643233468</v>
      </c>
      <c r="DX71" s="67">
        <f t="shared" si="103"/>
        <v>17.125062625657772</v>
      </c>
    </row>
    <row r="72" spans="1:128" s="28" customFormat="1">
      <c r="A72" s="33" t="s">
        <v>92</v>
      </c>
      <c r="B72" s="205" t="s">
        <v>5559</v>
      </c>
      <c r="C72" t="str">
        <f>IF(VLOOKUP($A72,'B-Ligands'!$A:$G,5,FALSE)="","",VLOOKUP($A72,'B-Ligands'!$A:$G,5,FALSE))</f>
        <v>Guide To Pharmacology</v>
      </c>
      <c r="D72" s="19">
        <f>IF(VLOOKUP($A72,'B-Ligands'!$A:$G,6,FALSE)="","",VLOOKUP($A72,'B-Ligands'!$A:$G,6,FALSE))</f>
        <v>2346</v>
      </c>
      <c r="E72" t="str">
        <f>IF(VLOOKUP($A72,'B-Ligands'!$A:$G,7,FALSE)="","",VLOOKUP($A72,'B-Ligands'!$A:$G,7,FALSE))</f>
        <v>Phys</v>
      </c>
      <c r="F72" s="20">
        <f t="shared" si="145"/>
        <v>1</v>
      </c>
      <c r="G72" s="19">
        <f t="shared" si="146"/>
        <v>1</v>
      </c>
      <c r="H72" s="19">
        <f t="shared" si="147"/>
        <v>1</v>
      </c>
      <c r="I72" s="19" t="str">
        <f t="shared" si="148"/>
        <v/>
      </c>
      <c r="J72" s="189">
        <f t="shared" si="104"/>
        <v>3</v>
      </c>
      <c r="K72" s="147" t="str">
        <f t="shared" si="105"/>
        <v>Gs</v>
      </c>
      <c r="L72" s="20">
        <f t="shared" si="106"/>
        <v>1</v>
      </c>
      <c r="M72" s="19">
        <f t="shared" si="107"/>
        <v>3</v>
      </c>
      <c r="N72" s="19">
        <f t="shared" si="108"/>
        <v>2</v>
      </c>
      <c r="O72" s="19">
        <f t="shared" si="109"/>
        <v>0</v>
      </c>
      <c r="P72" s="20">
        <f t="shared" si="110"/>
        <v>100</v>
      </c>
      <c r="Q72" s="19">
        <f t="shared" si="111"/>
        <v>54.951990765622163</v>
      </c>
      <c r="R72" s="19">
        <f t="shared" si="112"/>
        <v>75.957390238623915</v>
      </c>
      <c r="S72" s="19">
        <f t="shared" si="113"/>
        <v>0</v>
      </c>
      <c r="T72" s="20">
        <f t="shared" si="114"/>
        <v>7.7437689422320117</v>
      </c>
      <c r="U72" s="21">
        <f t="shared" si="115"/>
        <v>4.2553551940464516</v>
      </c>
      <c r="V72" s="21">
        <f t="shared" si="116"/>
        <v>5.8819647946285283</v>
      </c>
      <c r="W72" s="21">
        <f t="shared" si="117"/>
        <v>0</v>
      </c>
      <c r="X72" s="147" t="str">
        <f t="shared" si="118"/>
        <v>GsL</v>
      </c>
      <c r="Y72" s="32">
        <f t="shared" si="119"/>
        <v>100</v>
      </c>
      <c r="Z72" s="31">
        <f t="shared" si="120"/>
        <v>54.951990765622163</v>
      </c>
      <c r="AA72" s="31">
        <f t="shared" si="121"/>
        <v>53.995734083512744</v>
      </c>
      <c r="AB72" s="31">
        <f t="shared" si="122"/>
        <v>0</v>
      </c>
      <c r="AC72" s="31">
        <f t="shared" si="123"/>
        <v>0</v>
      </c>
      <c r="AD72" s="31">
        <f t="shared" si="124"/>
        <v>0</v>
      </c>
      <c r="AE72" s="31">
        <f t="shared" si="125"/>
        <v>75.957390238623915</v>
      </c>
      <c r="AF72" s="31">
        <f t="shared" si="126"/>
        <v>75.286356377016645</v>
      </c>
      <c r="AG72" s="31">
        <f t="shared" si="127"/>
        <v>64.802480221648764</v>
      </c>
      <c r="AH72" s="31">
        <f t="shared" si="128"/>
        <v>72.406385615092162</v>
      </c>
      <c r="AI72" s="31">
        <f t="shared" si="129"/>
        <v>0</v>
      </c>
      <c r="AJ72" s="31">
        <f t="shared" si="130"/>
        <v>0</v>
      </c>
      <c r="AK72" s="7" cm="1">
        <f t="array" ref="AK72">_xlfn.IFS(AZ72=0,0,AZ72&gt;0,(LOG(0.01*AZ72/10^-CD72)))</f>
        <v>7.7437689422320117</v>
      </c>
      <c r="AL72" s="8" cm="1">
        <f t="array" ref="AL72">_xlfn.IFS(BA72=0,0,BA72&gt;0,(LOG(0.01*BA72/10^-CE72)))</f>
        <v>4.2553551940464516</v>
      </c>
      <c r="AM72" s="8" cm="1">
        <f t="array" ref="AM72">_xlfn.IFS(BB72=0,0,BB72&gt;0,(LOG(0.01*BB72/10^-CF72)))</f>
        <v>4.1813048860892446</v>
      </c>
      <c r="AN72" s="8" cm="1">
        <f t="array" ref="AN72">_xlfn.IFS(BC72=0,0,BC72&gt;0,(LOG(0.01*BC72/10^-CG72)))</f>
        <v>0</v>
      </c>
      <c r="AO72" s="8" cm="1">
        <f t="array" ref="AO72">_xlfn.IFS(BD72=0,0,BD72&gt;0,(LOG(0.01*BD72/10^-CH72)))</f>
        <v>0</v>
      </c>
      <c r="AP72" s="8" cm="1">
        <f t="array" ref="AP72">_xlfn.IFS(BE72=0,0,BE72&gt;0,(LOG(0.01*BE72/10^-CI72)))</f>
        <v>0</v>
      </c>
      <c r="AQ72" s="8" cm="1">
        <f t="array" ref="AQ72">_xlfn.IFS(BF72=0,0,BF72&gt;0,(LOG(0.01*BF72/10^-CJ72)))</f>
        <v>5.8819647946285283</v>
      </c>
      <c r="AR72" s="8" cm="1">
        <f t="array" ref="AR72">_xlfn.IFS(BG72=0,0,BG72&gt;0,(LOG(0.01*BG72/10^-CK72)))</f>
        <v>5.8300014828615243</v>
      </c>
      <c r="AS72" s="8" cm="1">
        <f t="array" ref="AS72">_xlfn.IFS(BH72=0,0,BH72&gt;0,(LOG(0.01*BH72/10^-CL72)))</f>
        <v>5.0181543372000785</v>
      </c>
      <c r="AT72" s="8" cm="1">
        <f t="array" ref="AT72">_xlfn.IFS(BI72=0,0,BI72&gt;0,(LOG(0.01*BI72/10^-CM72)))</f>
        <v>5.6069832014542538</v>
      </c>
      <c r="AU72" s="8" cm="1">
        <f t="array" ref="AU72">_xlfn.IFS(BJ72=0,0,BJ72&gt;0,(LOG(0.01*BJ72/10^-CN72)))</f>
        <v>0</v>
      </c>
      <c r="AV72" s="8" cm="1">
        <f t="array" ref="AV72">_xlfn.IFS(BK72=0,0,BK72&gt;0,(LOG(0.01*BK72/10^-CO72)))</f>
        <v>0</v>
      </c>
      <c r="AW72" s="8" cm="1">
        <f t="array" ref="AW72">_xlfn.IFS(BL72=0,0,BL72&gt;0,(LOG(0.01*BL72/10^-CP72)))</f>
        <v>5.7997199831146737</v>
      </c>
      <c r="AX72" s="8" cm="1">
        <f t="array" ref="AX72">_xlfn.IFS(BM72=0,0,BM72&gt;0,(LOG(0.01*BM72/10^-CQ72)))</f>
        <v>5.7507280594988739</v>
      </c>
      <c r="AY72" s="8" cm="1">
        <f t="array" ref="AY72">_xlfn.IFS(BN72=0,0,BN72&gt;0,(LOG(0.01*BN72/10^-CR72)))</f>
        <v>0</v>
      </c>
      <c r="AZ72" s="32">
        <f t="shared" si="88"/>
        <v>67.728107777097378</v>
      </c>
      <c r="BA72" s="31">
        <f t="shared" si="131"/>
        <v>12.686890574214518</v>
      </c>
      <c r="BB72" s="31">
        <f t="shared" si="132"/>
        <v>8.9393282773564469</v>
      </c>
      <c r="BC72" s="31">
        <f t="shared" si="133"/>
        <v>0</v>
      </c>
      <c r="BD72" s="31">
        <f t="shared" si="134"/>
        <v>0</v>
      </c>
      <c r="BE72" s="31">
        <f t="shared" si="135"/>
        <v>0</v>
      </c>
      <c r="BF72" s="31">
        <f t="shared" si="136"/>
        <v>14.254920337394564</v>
      </c>
      <c r="BG72" s="31">
        <f t="shared" si="137"/>
        <v>15.417057169634489</v>
      </c>
      <c r="BH72" s="31">
        <f t="shared" si="138"/>
        <v>5.7432052483598879</v>
      </c>
      <c r="BI72" s="31">
        <f t="shared" si="139"/>
        <v>10.374882849109653</v>
      </c>
      <c r="BJ72" s="31">
        <f t="shared" si="140"/>
        <v>0</v>
      </c>
      <c r="BK72" s="31">
        <f t="shared" si="141"/>
        <v>0</v>
      </c>
      <c r="BL72" s="31">
        <f t="shared" si="142"/>
        <v>1.3890567304464585</v>
      </c>
      <c r="BM72" s="31">
        <f t="shared" si="143"/>
        <v>5.8173883853642163</v>
      </c>
      <c r="BN72" s="31">
        <f t="shared" si="144"/>
        <v>0</v>
      </c>
      <c r="BO72" s="132">
        <v>44.24</v>
      </c>
      <c r="BP72" s="176">
        <v>117.1</v>
      </c>
      <c r="BQ72" s="176">
        <v>82.51</v>
      </c>
      <c r="BR72" s="133"/>
      <c r="BS72" s="173"/>
      <c r="BT72" s="173"/>
      <c r="BU72" s="133">
        <v>152.1</v>
      </c>
      <c r="BV72" s="133">
        <v>164.5</v>
      </c>
      <c r="BW72" s="133">
        <v>61.28</v>
      </c>
      <c r="BX72" s="133">
        <v>110.7</v>
      </c>
      <c r="BY72" s="133"/>
      <c r="BZ72" s="133"/>
      <c r="CA72" s="133">
        <v>41.38</v>
      </c>
      <c r="CB72" s="133">
        <v>173.3</v>
      </c>
      <c r="CC72" s="173"/>
      <c r="CD72" s="36">
        <v>7.9130000000000003</v>
      </c>
      <c r="CE72" s="39">
        <v>5.1520000000000001</v>
      </c>
      <c r="CF72" s="39">
        <v>5.23</v>
      </c>
      <c r="CG72" s="34"/>
      <c r="CH72" s="37"/>
      <c r="CI72" s="37"/>
      <c r="CJ72" s="34">
        <v>6.7279999999999998</v>
      </c>
      <c r="CK72" s="34">
        <v>6.6420000000000003</v>
      </c>
      <c r="CL72" s="34">
        <v>6.2590000000000003</v>
      </c>
      <c r="CM72" s="34">
        <v>6.5910000000000002</v>
      </c>
      <c r="CN72" s="34"/>
      <c r="CO72" s="34"/>
      <c r="CP72" s="34">
        <v>7.657</v>
      </c>
      <c r="CQ72" s="34">
        <v>6.9859999999999998</v>
      </c>
      <c r="CR72" s="37"/>
      <c r="CS72" s="168" t="str">
        <f>IF(VLOOKUP($A72,'B-Ligands'!$A:$G,3,FALSE)="","",VLOOKUP($A72,'B-Ligands'!$A:$G,3,FALSE))</f>
        <v/>
      </c>
      <c r="CT72" s="169" t="str">
        <f>IF(VLOOKUP($A72,'B-Ligands'!$A:$G,4,FALSE)="","",VLOOKUP($A72,'B-Ligands'!$A:$G,4,FALSE))</f>
        <v>pH (proton)</v>
      </c>
      <c r="CU72" s="132">
        <v>12.592696863505433</v>
      </c>
      <c r="CV72" s="133">
        <v>6.6038794577390751</v>
      </c>
      <c r="CW72" s="133">
        <v>1.5295155000707261</v>
      </c>
      <c r="CX72" s="133">
        <v>8.7735322544101351</v>
      </c>
      <c r="CY72" s="133">
        <v>13.340899863647945</v>
      </c>
      <c r="CZ72" s="133">
        <v>7.0349936014007257</v>
      </c>
      <c r="DA72" s="133">
        <v>5.3251833051694355</v>
      </c>
      <c r="DB72" s="133">
        <v>13.555079588092042</v>
      </c>
      <c r="DC72" s="133">
        <v>11.479779016344905</v>
      </c>
      <c r="DD72" s="133">
        <v>19.212980674155631</v>
      </c>
      <c r="DE72" s="133">
        <v>4.5366568943246213</v>
      </c>
      <c r="DF72" s="133">
        <v>4.6114905107631889</v>
      </c>
      <c r="DG72" s="133">
        <v>7.0101103307287103</v>
      </c>
      <c r="DH72" s="133">
        <v>5.594183321919207</v>
      </c>
      <c r="DI72" s="133">
        <v>4.9956163089608348</v>
      </c>
      <c r="DJ72" s="66">
        <f t="shared" si="89"/>
        <v>3.5131473805433049</v>
      </c>
      <c r="DK72" s="67">
        <f t="shared" si="90"/>
        <v>17.732001431790327</v>
      </c>
      <c r="DL72" s="67">
        <f t="shared" si="91"/>
        <v>53.945187215287895</v>
      </c>
      <c r="DM72" s="67">
        <f t="shared" si="92"/>
        <v>0</v>
      </c>
      <c r="DN72" s="67">
        <f t="shared" si="93"/>
        <v>0</v>
      </c>
      <c r="DO72" s="67">
        <f t="shared" si="94"/>
        <v>0</v>
      </c>
      <c r="DP72" s="67">
        <f t="shared" si="95"/>
        <v>28.562397063843516</v>
      </c>
      <c r="DQ72" s="67">
        <f t="shared" si="96"/>
        <v>12.135672013649486</v>
      </c>
      <c r="DR72" s="67">
        <f t="shared" si="97"/>
        <v>5.3380818492019371</v>
      </c>
      <c r="DS72" s="67">
        <f t="shared" si="98"/>
        <v>5.761729628391719</v>
      </c>
      <c r="DT72" s="67">
        <f t="shared" si="99"/>
        <v>0</v>
      </c>
      <c r="DU72" s="67">
        <f t="shared" si="100"/>
        <v>0</v>
      </c>
      <c r="DV72" s="67">
        <f t="shared" si="101"/>
        <v>5.9029028143268176</v>
      </c>
      <c r="DW72" s="67">
        <f t="shared" si="102"/>
        <v>30.978605817398499</v>
      </c>
      <c r="DX72" s="67">
        <f t="shared" si="103"/>
        <v>0</v>
      </c>
    </row>
    <row r="73" spans="1:128" s="28" customFormat="1">
      <c r="A73" s="33" t="s">
        <v>1</v>
      </c>
      <c r="B73" s="205" t="s">
        <v>5559</v>
      </c>
      <c r="C73" t="str">
        <f>IF(VLOOKUP($A73,'B-Ligands'!$A:$G,5,FALSE)="","",VLOOKUP($A73,'B-Ligands'!$A:$G,5,FALSE))</f>
        <v>Guide To Pharmacology</v>
      </c>
      <c r="D73" s="19">
        <f>IF(VLOOKUP($A73,'B-Ligands'!$A:$G,6,FALSE)="","",VLOOKUP($A73,'B-Ligands'!$A:$G,6,FALSE))</f>
        <v>2844</v>
      </c>
      <c r="E73" t="str">
        <f>IF(VLOOKUP($A73,'B-Ligands'!$A:$G,7,FALSE)="","",VLOOKUP($A73,'B-Ligands'!$A:$G,7,FALSE))</f>
        <v>Phys</v>
      </c>
      <c r="F73" s="20">
        <f t="shared" si="145"/>
        <v>1</v>
      </c>
      <c r="G73" s="19" t="str">
        <f t="shared" si="146"/>
        <v/>
      </c>
      <c r="H73" s="19">
        <f t="shared" si="147"/>
        <v>1</v>
      </c>
      <c r="I73" s="19">
        <f t="shared" si="148"/>
        <v>1</v>
      </c>
      <c r="J73" s="189">
        <f t="shared" si="104"/>
        <v>3</v>
      </c>
      <c r="K73" s="147" t="str">
        <f t="shared" si="105"/>
        <v>Gs</v>
      </c>
      <c r="L73" s="20">
        <f t="shared" si="106"/>
        <v>1</v>
      </c>
      <c r="M73" s="19">
        <f t="shared" si="107"/>
        <v>0</v>
      </c>
      <c r="N73" s="19">
        <f t="shared" si="108"/>
        <v>3</v>
      </c>
      <c r="O73" s="19">
        <f t="shared" si="109"/>
        <v>2</v>
      </c>
      <c r="P73" s="20">
        <f t="shared" si="110"/>
        <v>100</v>
      </c>
      <c r="Q73" s="19">
        <f t="shared" si="111"/>
        <v>0</v>
      </c>
      <c r="R73" s="19">
        <f t="shared" si="112"/>
        <v>96.474956330435745</v>
      </c>
      <c r="S73" s="19">
        <f t="shared" si="113"/>
        <v>99.22479308349746</v>
      </c>
      <c r="T73" s="20">
        <f t="shared" si="114"/>
        <v>5.8297195170498588</v>
      </c>
      <c r="U73" s="21">
        <f t="shared" si="115"/>
        <v>0</v>
      </c>
      <c r="V73" s="21">
        <f t="shared" si="116"/>
        <v>5.6242193582607412</v>
      </c>
      <c r="W73" s="21">
        <f t="shared" si="117"/>
        <v>5.7845271281409891</v>
      </c>
      <c r="X73" s="147" t="str">
        <f t="shared" si="118"/>
        <v>GsL</v>
      </c>
      <c r="Y73" s="32">
        <f t="shared" si="119"/>
        <v>100</v>
      </c>
      <c r="Z73" s="31">
        <f t="shared" si="120"/>
        <v>0</v>
      </c>
      <c r="AA73" s="31">
        <f t="shared" si="121"/>
        <v>0</v>
      </c>
      <c r="AB73" s="31">
        <f t="shared" si="122"/>
        <v>0</v>
      </c>
      <c r="AC73" s="31">
        <f t="shared" si="123"/>
        <v>0</v>
      </c>
      <c r="AD73" s="31">
        <f t="shared" si="124"/>
        <v>0</v>
      </c>
      <c r="AE73" s="31">
        <f t="shared" si="125"/>
        <v>0</v>
      </c>
      <c r="AF73" s="31">
        <f t="shared" si="126"/>
        <v>0</v>
      </c>
      <c r="AG73" s="31">
        <f t="shared" si="127"/>
        <v>0</v>
      </c>
      <c r="AH73" s="31">
        <f t="shared" si="128"/>
        <v>96.474956330435745</v>
      </c>
      <c r="AI73" s="31">
        <f t="shared" si="129"/>
        <v>99.22479308349746</v>
      </c>
      <c r="AJ73" s="31">
        <f t="shared" si="130"/>
        <v>94.027522282339646</v>
      </c>
      <c r="AK73" s="7" cm="1">
        <f t="array" ref="AK73">_xlfn.IFS(AZ73=0,0,AZ73&gt;0,(LOG(0.01*AZ73/10^-CD73)))</f>
        <v>5.8297195170498588</v>
      </c>
      <c r="AL73" s="8" cm="1">
        <f t="array" ref="AL73">_xlfn.IFS(BA73=0,0,BA73&gt;0,(LOG(0.01*BA73/10^-CE73)))</f>
        <v>0</v>
      </c>
      <c r="AM73" s="8" cm="1">
        <f t="array" ref="AM73">_xlfn.IFS(BB73=0,0,BB73&gt;0,(LOG(0.01*BB73/10^-CF73)))</f>
        <v>0</v>
      </c>
      <c r="AN73" s="8" cm="1">
        <f t="array" ref="AN73">_xlfn.IFS(BC73=0,0,BC73&gt;0,(LOG(0.01*BC73/10^-CG73)))</f>
        <v>0</v>
      </c>
      <c r="AO73" s="8" cm="1">
        <f t="array" ref="AO73">_xlfn.IFS(BD73=0,0,BD73&gt;0,(LOG(0.01*BD73/10^-CH73)))</f>
        <v>0</v>
      </c>
      <c r="AP73" s="8" cm="1">
        <f t="array" ref="AP73">_xlfn.IFS(BE73=0,0,BE73&gt;0,(LOG(0.01*BE73/10^-CI73)))</f>
        <v>0</v>
      </c>
      <c r="AQ73" s="8" cm="1">
        <f t="array" ref="AQ73">_xlfn.IFS(BF73=0,0,BF73&gt;0,(LOG(0.01*BF73/10^-CJ73)))</f>
        <v>0</v>
      </c>
      <c r="AR73" s="8" cm="1">
        <f t="array" ref="AR73">_xlfn.IFS(BG73=0,0,BG73&gt;0,(LOG(0.01*BG73/10^-CK73)))</f>
        <v>0</v>
      </c>
      <c r="AS73" s="8" cm="1">
        <f t="array" ref="AS73">_xlfn.IFS(BH73=0,0,BH73&gt;0,(LOG(0.01*BH73/10^-CL73)))</f>
        <v>0</v>
      </c>
      <c r="AT73" s="8" cm="1">
        <f t="array" ref="AT73">_xlfn.IFS(BI73=0,0,BI73&gt;0,(LOG(0.01*BI73/10^-CM73)))</f>
        <v>5.6242193582607412</v>
      </c>
      <c r="AU73" s="8" cm="1">
        <f t="array" ref="AU73">_xlfn.IFS(BJ73=0,0,BJ73&gt;0,(LOG(0.01*BJ73/10^-CN73)))</f>
        <v>5.7845271281409891</v>
      </c>
      <c r="AV73" s="8" cm="1">
        <f t="array" ref="AV73">_xlfn.IFS(BK73=0,0,BK73&gt;0,(LOG(0.01*BK73/10^-CO73)))</f>
        <v>5.4815408178919593</v>
      </c>
      <c r="AW73" s="8" cm="1">
        <f t="array" ref="AW73">_xlfn.IFS(BL73=0,0,BL73&gt;0,(LOG(0.01*BL73/10^-CP73)))</f>
        <v>0</v>
      </c>
      <c r="AX73" s="8" cm="1">
        <f t="array" ref="AX73">_xlfn.IFS(BM73=0,0,BM73&gt;0,(LOG(0.01*BM73/10^-CQ73)))</f>
        <v>0</v>
      </c>
      <c r="AY73" s="8" cm="1">
        <f t="array" ref="AY73">_xlfn.IFS(BN73=0,0,BN73&gt;0,(LOG(0.01*BN73/10^-CR73)))</f>
        <v>0</v>
      </c>
      <c r="AZ73" s="32">
        <f t="shared" si="88"/>
        <v>33.940600122473981</v>
      </c>
      <c r="BA73" s="31">
        <f t="shared" si="131"/>
        <v>0</v>
      </c>
      <c r="BB73" s="31">
        <f t="shared" si="132"/>
        <v>0</v>
      </c>
      <c r="BC73" s="31">
        <f t="shared" si="133"/>
        <v>0</v>
      </c>
      <c r="BD73" s="31">
        <f t="shared" si="134"/>
        <v>0</v>
      </c>
      <c r="BE73" s="31">
        <f t="shared" si="135"/>
        <v>0</v>
      </c>
      <c r="BF73" s="31">
        <f t="shared" si="136"/>
        <v>0</v>
      </c>
      <c r="BG73" s="31">
        <f t="shared" si="137"/>
        <v>0</v>
      </c>
      <c r="BH73" s="31">
        <f t="shared" si="138"/>
        <v>0</v>
      </c>
      <c r="BI73" s="31">
        <f t="shared" si="139"/>
        <v>10.028116213683225</v>
      </c>
      <c r="BJ73" s="31">
        <f t="shared" si="140"/>
        <v>10.104786179552534</v>
      </c>
      <c r="BK73" s="31">
        <f t="shared" si="141"/>
        <v>20.489946190880765</v>
      </c>
      <c r="BL73" s="31">
        <f t="shared" si="142"/>
        <v>0</v>
      </c>
      <c r="BM73" s="31">
        <f t="shared" si="143"/>
        <v>0</v>
      </c>
      <c r="BN73" s="31">
        <f t="shared" si="144"/>
        <v>0</v>
      </c>
      <c r="BO73" s="134">
        <v>22.17</v>
      </c>
      <c r="BP73" s="135"/>
      <c r="BQ73" s="135"/>
      <c r="BR73" s="135"/>
      <c r="BS73" s="135"/>
      <c r="BT73" s="135"/>
      <c r="BU73" s="135"/>
      <c r="BV73" s="135"/>
      <c r="BW73" s="135"/>
      <c r="BX73" s="135">
        <v>107</v>
      </c>
      <c r="BY73" s="135">
        <v>71.36</v>
      </c>
      <c r="BZ73" s="135">
        <v>144.69999999999999</v>
      </c>
      <c r="CA73" s="135"/>
      <c r="CB73" s="135"/>
      <c r="CC73" s="135"/>
      <c r="CD73" s="30">
        <v>6.2990000000000004</v>
      </c>
      <c r="CE73" s="29"/>
      <c r="CF73" s="29"/>
      <c r="CG73" s="29"/>
      <c r="CH73" s="29"/>
      <c r="CI73" s="29"/>
      <c r="CJ73" s="29"/>
      <c r="CK73" s="29"/>
      <c r="CL73" s="29"/>
      <c r="CM73" s="29">
        <v>6.6230000000000002</v>
      </c>
      <c r="CN73" s="29">
        <v>6.78</v>
      </c>
      <c r="CO73" s="29">
        <v>6.17</v>
      </c>
      <c r="CP73" s="29"/>
      <c r="CQ73" s="29"/>
      <c r="CR73" s="29"/>
      <c r="CS73" s="168" t="str">
        <f>IF(VLOOKUP($A73,'B-Ligands'!$A:$G,3,FALSE)="","",VLOOKUP($A73,'B-Ligands'!$A:$G,3,FALSE))</f>
        <v/>
      </c>
      <c r="CT73" s="169" t="str">
        <f>IF(VLOOKUP($A73,'B-Ligands'!$A:$G,4,FALSE)="","",VLOOKUP($A73,'B-Ligands'!$A:$G,4,FALSE))</f>
        <v>Adenosine</v>
      </c>
      <c r="CU73" s="134">
        <v>6.8620018845018711</v>
      </c>
      <c r="CV73" s="135">
        <v>20.059501307790971</v>
      </c>
      <c r="CW73" s="135">
        <v>6.8961452093185338</v>
      </c>
      <c r="CX73" s="135">
        <v>7.8412829007139653</v>
      </c>
      <c r="CY73" s="135">
        <v>8.4020886411477953</v>
      </c>
      <c r="CZ73" s="135">
        <v>51.092202049548277</v>
      </c>
      <c r="DA73" s="135">
        <v>24.821511399293755</v>
      </c>
      <c r="DB73" s="135">
        <v>27.264179722909162</v>
      </c>
      <c r="DC73" s="135">
        <v>18.798361664082368</v>
      </c>
      <c r="DD73" s="135">
        <v>13.145216478618737</v>
      </c>
      <c r="DE73" s="135">
        <v>18.879752931160841</v>
      </c>
      <c r="DF73" s="135">
        <v>14.191216555663997</v>
      </c>
      <c r="DG73" s="135">
        <v>9.1803377375357957</v>
      </c>
      <c r="DH73" s="135">
        <v>19.537000053848185</v>
      </c>
      <c r="DI73" s="135">
        <v>38.611431509757679</v>
      </c>
      <c r="DJ73" s="66">
        <f t="shared" si="89"/>
        <v>3.2308356035389481</v>
      </c>
      <c r="DK73" s="67">
        <f t="shared" si="90"/>
        <v>0</v>
      </c>
      <c r="DL73" s="67">
        <f t="shared" si="91"/>
        <v>0</v>
      </c>
      <c r="DM73" s="67">
        <f t="shared" si="92"/>
        <v>0</v>
      </c>
      <c r="DN73" s="67">
        <f t="shared" si="93"/>
        <v>0</v>
      </c>
      <c r="DO73" s="67">
        <f t="shared" si="94"/>
        <v>0</v>
      </c>
      <c r="DP73" s="67">
        <f t="shared" si="95"/>
        <v>0</v>
      </c>
      <c r="DQ73" s="67">
        <f t="shared" si="96"/>
        <v>0</v>
      </c>
      <c r="DR73" s="67">
        <f t="shared" si="97"/>
        <v>0</v>
      </c>
      <c r="DS73" s="67">
        <f t="shared" si="98"/>
        <v>8.1398431265122273</v>
      </c>
      <c r="DT73" s="67">
        <f t="shared" si="99"/>
        <v>3.77971047927333</v>
      </c>
      <c r="DU73" s="67">
        <f t="shared" si="100"/>
        <v>10.196447882563481</v>
      </c>
      <c r="DV73" s="67">
        <f t="shared" si="101"/>
        <v>0</v>
      </c>
      <c r="DW73" s="67">
        <f t="shared" si="102"/>
        <v>0</v>
      </c>
      <c r="DX73" s="67">
        <f t="shared" si="103"/>
        <v>0</v>
      </c>
    </row>
    <row r="74" spans="1:128" s="28" customFormat="1">
      <c r="A74" s="33" t="s">
        <v>204</v>
      </c>
      <c r="B74" s="205" t="s">
        <v>5559</v>
      </c>
      <c r="C74" t="str">
        <f>IF(VLOOKUP($A74,'B-Ligands'!$A:$G,5,FALSE)="","",VLOOKUP($A74,'B-Ligands'!$A:$G,5,FALSE))</f>
        <v>Guide To Pharmacology</v>
      </c>
      <c r="D74" s="19">
        <f>IF(VLOOKUP($A74,'B-Ligands'!$A:$G,6,FALSE)="","",VLOOKUP($A74,'B-Ligands'!$A:$G,6,FALSE))</f>
        <v>1883</v>
      </c>
      <c r="E74" t="str">
        <f>IF(VLOOKUP($A74,'B-Ligands'!$A:$G,7,FALSE)="","",VLOOKUP($A74,'B-Ligands'!$A:$G,7,FALSE))</f>
        <v>Phys</v>
      </c>
      <c r="F74" s="20">
        <f t="shared" si="145"/>
        <v>1</v>
      </c>
      <c r="G74" s="19">
        <f t="shared" si="146"/>
        <v>1</v>
      </c>
      <c r="H74" s="19">
        <f t="shared" si="147"/>
        <v>1</v>
      </c>
      <c r="I74" s="19">
        <f t="shared" si="148"/>
        <v>1</v>
      </c>
      <c r="J74" s="189">
        <f t="shared" si="104"/>
        <v>4</v>
      </c>
      <c r="K74" s="147" t="str">
        <f t="shared" si="105"/>
        <v>Gs</v>
      </c>
      <c r="L74" s="20">
        <f t="shared" si="106"/>
        <v>1</v>
      </c>
      <c r="M74" s="19">
        <f t="shared" si="107"/>
        <v>4</v>
      </c>
      <c r="N74" s="19">
        <f t="shared" si="108"/>
        <v>2</v>
      </c>
      <c r="O74" s="19">
        <f t="shared" si="109"/>
        <v>3</v>
      </c>
      <c r="P74" s="20">
        <f t="shared" si="110"/>
        <v>100</v>
      </c>
      <c r="Q74" s="19">
        <f t="shared" si="111"/>
        <v>53.097685971320864</v>
      </c>
      <c r="R74" s="19">
        <f t="shared" si="112"/>
        <v>59.777516022113609</v>
      </c>
      <c r="S74" s="19">
        <f t="shared" si="113"/>
        <v>55.878744914502931</v>
      </c>
      <c r="T74" s="20">
        <f t="shared" si="114"/>
        <v>9.3086192393898628</v>
      </c>
      <c r="U74" s="21">
        <f t="shared" si="115"/>
        <v>4.9426614119971859</v>
      </c>
      <c r="V74" s="21">
        <f t="shared" si="116"/>
        <v>5.5644613572638253</v>
      </c>
      <c r="W74" s="21">
        <f t="shared" si="117"/>
        <v>5.2015395998410048</v>
      </c>
      <c r="X74" s="147" t="str">
        <f t="shared" si="118"/>
        <v>GsL</v>
      </c>
      <c r="Y74" s="32">
        <f t="shared" si="119"/>
        <v>100</v>
      </c>
      <c r="Z74" s="31">
        <f t="shared" si="120"/>
        <v>0</v>
      </c>
      <c r="AA74" s="31">
        <f t="shared" si="121"/>
        <v>0</v>
      </c>
      <c r="AB74" s="31">
        <f t="shared" si="122"/>
        <v>0</v>
      </c>
      <c r="AC74" s="31">
        <f t="shared" si="123"/>
        <v>0</v>
      </c>
      <c r="AD74" s="31">
        <f t="shared" si="124"/>
        <v>53.097685971320864</v>
      </c>
      <c r="AE74" s="31">
        <f t="shared" si="125"/>
        <v>0</v>
      </c>
      <c r="AF74" s="31">
        <f t="shared" si="126"/>
        <v>0</v>
      </c>
      <c r="AG74" s="31">
        <f t="shared" si="127"/>
        <v>0</v>
      </c>
      <c r="AH74" s="31">
        <f t="shared" si="128"/>
        <v>59.777516022113609</v>
      </c>
      <c r="AI74" s="31">
        <f t="shared" si="129"/>
        <v>55.878744914502931</v>
      </c>
      <c r="AJ74" s="31">
        <f t="shared" si="130"/>
        <v>0</v>
      </c>
      <c r="AK74" s="7" cm="1">
        <f t="array" ref="AK74">_xlfn.IFS(AZ74=0,0,AZ74&gt;0,(LOG(0.01*AZ74/10^-CD74)))</f>
        <v>9.3086192393898628</v>
      </c>
      <c r="AL74" s="8" cm="1">
        <f t="array" ref="AL74">_xlfn.IFS(BA74=0,0,BA74&gt;0,(LOG(0.01*BA74/10^-CE74)))</f>
        <v>0</v>
      </c>
      <c r="AM74" s="8" cm="1">
        <f t="array" ref="AM74">_xlfn.IFS(BB74=0,0,BB74&gt;0,(LOG(0.01*BB74/10^-CF74)))</f>
        <v>0</v>
      </c>
      <c r="AN74" s="8" cm="1">
        <f t="array" ref="AN74">_xlfn.IFS(BC74=0,0,BC74&gt;0,(LOG(0.01*BC74/10^-CG74)))</f>
        <v>0</v>
      </c>
      <c r="AO74" s="8" cm="1">
        <f t="array" ref="AO74">_xlfn.IFS(BD74=0,0,BD74&gt;0,(LOG(0.01*BD74/10^-CH74)))</f>
        <v>0</v>
      </c>
      <c r="AP74" s="8" cm="1">
        <f t="array" ref="AP74">_xlfn.IFS(BE74=0,0,BE74&gt;0,(LOG(0.01*BE74/10^-CI74)))</f>
        <v>4.9426614119971859</v>
      </c>
      <c r="AQ74" s="8" cm="1">
        <f t="array" ref="AQ74">_xlfn.IFS(BF74=0,0,BF74&gt;0,(LOG(0.01*BF74/10^-CJ74)))</f>
        <v>0</v>
      </c>
      <c r="AR74" s="8" cm="1">
        <f t="array" ref="AR74">_xlfn.IFS(BG74=0,0,BG74&gt;0,(LOG(0.01*BG74/10^-CK74)))</f>
        <v>0</v>
      </c>
      <c r="AS74" s="8" cm="1">
        <f t="array" ref="AS74">_xlfn.IFS(BH74=0,0,BH74&gt;0,(LOG(0.01*BH74/10^-CL74)))</f>
        <v>0</v>
      </c>
      <c r="AT74" s="8" cm="1">
        <f t="array" ref="AT74">_xlfn.IFS(BI74=0,0,BI74&gt;0,(LOG(0.01*BI74/10^-CM74)))</f>
        <v>5.5644613572638253</v>
      </c>
      <c r="AU74" s="8" cm="1">
        <f t="array" ref="AU74">_xlfn.IFS(BJ74=0,0,BJ74&gt;0,(LOG(0.01*BJ74/10^-CN74)))</f>
        <v>5.2015395998410048</v>
      </c>
      <c r="AV74" s="8" cm="1">
        <f t="array" ref="AV74">_xlfn.IFS(BK74=0,0,BK74&gt;0,(LOG(0.01*BK74/10^-CO74)))</f>
        <v>0</v>
      </c>
      <c r="AW74" s="8" cm="1">
        <f t="array" ref="AW74">_xlfn.IFS(BL74=0,0,BL74&gt;0,(LOG(0.01*BL74/10^-CP74)))</f>
        <v>5.0735482576356761</v>
      </c>
      <c r="AX74" s="8" cm="1">
        <f t="array" ref="AX74">_xlfn.IFS(BM74=0,0,BM74&gt;0,(LOG(0.01*BM74/10^-CQ74)))</f>
        <v>5.5632274352842339</v>
      </c>
      <c r="AY74" s="8" cm="1">
        <f t="array" ref="AY74">_xlfn.IFS(BN74=0,0,BN74&gt;0,(LOG(0.01*BN74/10^-CR74)))</f>
        <v>5.4530955585414649</v>
      </c>
      <c r="AZ74" s="32">
        <f t="shared" si="88"/>
        <v>71.387017758726273</v>
      </c>
      <c r="BA74" s="31">
        <f t="shared" si="131"/>
        <v>0</v>
      </c>
      <c r="BB74" s="31">
        <f t="shared" si="132"/>
        <v>0</v>
      </c>
      <c r="BC74" s="31">
        <f t="shared" si="133"/>
        <v>0</v>
      </c>
      <c r="BD74" s="31">
        <f t="shared" si="134"/>
        <v>0</v>
      </c>
      <c r="BE74" s="31">
        <f t="shared" si="135"/>
        <v>3.2708559046587218</v>
      </c>
      <c r="BF74" s="31">
        <f t="shared" si="136"/>
        <v>0</v>
      </c>
      <c r="BG74" s="31">
        <f t="shared" si="137"/>
        <v>0</v>
      </c>
      <c r="BH74" s="31">
        <f t="shared" si="138"/>
        <v>0</v>
      </c>
      <c r="BI74" s="31">
        <f t="shared" si="139"/>
        <v>8.7591377694470474</v>
      </c>
      <c r="BJ74" s="31">
        <f t="shared" si="140"/>
        <v>6.6610025488530153</v>
      </c>
      <c r="BK74" s="31">
        <f t="shared" si="141"/>
        <v>0</v>
      </c>
      <c r="BL74" s="31">
        <f t="shared" si="142"/>
        <v>3.6186639812017454</v>
      </c>
      <c r="BM74" s="31">
        <f t="shared" si="143"/>
        <v>1.9963074857334675</v>
      </c>
      <c r="BN74" s="31">
        <f t="shared" si="144"/>
        <v>3.3736153071500503</v>
      </c>
      <c r="BO74" s="132">
        <v>46.63</v>
      </c>
      <c r="BP74" s="133"/>
      <c r="BQ74" s="133"/>
      <c r="BR74" s="133"/>
      <c r="BS74" s="133"/>
      <c r="BT74" s="133">
        <v>30.19</v>
      </c>
      <c r="BU74" s="133"/>
      <c r="BV74" s="133"/>
      <c r="BW74" s="133"/>
      <c r="BX74" s="133">
        <v>93.46</v>
      </c>
      <c r="BY74" s="133">
        <v>47.04</v>
      </c>
      <c r="BZ74" s="133"/>
      <c r="CA74" s="133">
        <v>107.8</v>
      </c>
      <c r="CB74" s="133">
        <v>59.47</v>
      </c>
      <c r="CC74" s="133">
        <v>100.5</v>
      </c>
      <c r="CD74" s="36">
        <v>9.4550000000000001</v>
      </c>
      <c r="CE74" s="34"/>
      <c r="CF74" s="34"/>
      <c r="CG74" s="34"/>
      <c r="CH74" s="34"/>
      <c r="CI74" s="34">
        <v>6.4279999999999999</v>
      </c>
      <c r="CJ74" s="34"/>
      <c r="CK74" s="34"/>
      <c r="CL74" s="34"/>
      <c r="CM74" s="34">
        <v>6.6219999999999999</v>
      </c>
      <c r="CN74" s="34">
        <v>6.3780000000000001</v>
      </c>
      <c r="CO74" s="34"/>
      <c r="CP74" s="34">
        <v>6.5149999999999997</v>
      </c>
      <c r="CQ74" s="34">
        <v>7.2629999999999999</v>
      </c>
      <c r="CR74" s="34">
        <v>6.9249999999999998</v>
      </c>
      <c r="CS74" s="168" t="str">
        <f>IF(VLOOKUP($A74,'B-Ligands'!$A:$G,3,FALSE)="","",VLOOKUP($A74,'B-Ligands'!$A:$G,3,FALSE))</f>
        <v>PGE2</v>
      </c>
      <c r="CT74" s="169" t="str">
        <f>IF(VLOOKUP($A74,'B-Ligands'!$A:$G,4,FALSE)="","",VLOOKUP($A74,'B-Ligands'!$A:$G,4,FALSE))</f>
        <v>Prostaglandin E3</v>
      </c>
      <c r="CU74" s="132">
        <v>7.4500113288050906</v>
      </c>
      <c r="CV74" s="133">
        <v>23.066411905926824</v>
      </c>
      <c r="CW74" s="133">
        <v>21.404358882482324</v>
      </c>
      <c r="CX74" s="133">
        <v>17.945623585173035</v>
      </c>
      <c r="CY74" s="133">
        <v>6.1763139647307721</v>
      </c>
      <c r="CZ74" s="133">
        <v>8.0772664718050358</v>
      </c>
      <c r="DA74" s="133">
        <v>6.2685026299550035</v>
      </c>
      <c r="DB74" s="133">
        <v>14.316570078170889</v>
      </c>
      <c r="DC74" s="133">
        <v>15.341024636193366</v>
      </c>
      <c r="DD74" s="133">
        <v>12.248210494277538</v>
      </c>
      <c r="DE74" s="133">
        <v>6.5000700632112984</v>
      </c>
      <c r="DF74" s="133">
        <v>9.3888396076829999</v>
      </c>
      <c r="DG74" s="133">
        <v>22.188014235428493</v>
      </c>
      <c r="DH74" s="133">
        <v>14.562354420132094</v>
      </c>
      <c r="DI74" s="133">
        <v>19.78108128587791</v>
      </c>
      <c r="DJ74" s="66">
        <f t="shared" si="89"/>
        <v>6.2590508848902653</v>
      </c>
      <c r="DK74" s="67">
        <f t="shared" si="90"/>
        <v>0</v>
      </c>
      <c r="DL74" s="67">
        <f t="shared" si="91"/>
        <v>0</v>
      </c>
      <c r="DM74" s="67">
        <f t="shared" si="92"/>
        <v>0</v>
      </c>
      <c r="DN74" s="67">
        <f t="shared" si="93"/>
        <v>0</v>
      </c>
      <c r="DO74" s="67">
        <f t="shared" si="94"/>
        <v>3.7376506155124294</v>
      </c>
      <c r="DP74" s="67">
        <f t="shared" si="95"/>
        <v>0</v>
      </c>
      <c r="DQ74" s="67">
        <f t="shared" si="96"/>
        <v>0</v>
      </c>
      <c r="DR74" s="67">
        <f t="shared" si="97"/>
        <v>0</v>
      </c>
      <c r="DS74" s="67">
        <f t="shared" si="98"/>
        <v>7.6305024349202073</v>
      </c>
      <c r="DT74" s="67">
        <f t="shared" si="99"/>
        <v>7.2368450712914827</v>
      </c>
      <c r="DU74" s="67">
        <f t="shared" si="100"/>
        <v>0</v>
      </c>
      <c r="DV74" s="67">
        <f t="shared" si="101"/>
        <v>4.8584789452618704</v>
      </c>
      <c r="DW74" s="67">
        <f t="shared" si="102"/>
        <v>4.0838176495542644</v>
      </c>
      <c r="DX74" s="67">
        <f t="shared" si="103"/>
        <v>5.0806120528784673</v>
      </c>
    </row>
    <row r="75" spans="1:128" s="28" customFormat="1">
      <c r="A75" s="33" t="s">
        <v>31</v>
      </c>
      <c r="B75" s="205" t="s">
        <v>5559</v>
      </c>
      <c r="C75" t="str">
        <f>IF(VLOOKUP($A75,'B-Ligands'!$A:$G,5,FALSE)="","",VLOOKUP($A75,'B-Ligands'!$A:$G,5,FALSE))</f>
        <v>Guide To Pharmacology</v>
      </c>
      <c r="D75" s="19">
        <f>IF(VLOOKUP($A75,'B-Ligands'!$A:$G,6,FALSE)="","",VLOOKUP($A75,'B-Ligands'!$A:$G,6,FALSE))</f>
        <v>2844</v>
      </c>
      <c r="E75" t="str">
        <f>IF(VLOOKUP($A75,'B-Ligands'!$A:$G,7,FALSE)="","",VLOOKUP($A75,'B-Ligands'!$A:$G,7,FALSE))</f>
        <v>Phys</v>
      </c>
      <c r="F75" s="20" t="str">
        <f t="shared" si="145"/>
        <v/>
      </c>
      <c r="G75" s="19">
        <f t="shared" si="146"/>
        <v>1</v>
      </c>
      <c r="H75" s="19">
        <f t="shared" si="147"/>
        <v>1</v>
      </c>
      <c r="I75" s="19">
        <f t="shared" si="148"/>
        <v>1</v>
      </c>
      <c r="J75" s="189">
        <f t="shared" si="104"/>
        <v>3</v>
      </c>
      <c r="K75" s="147" t="str">
        <f t="shared" si="105"/>
        <v>Gq/11</v>
      </c>
      <c r="L75" s="20">
        <f t="shared" si="106"/>
        <v>0</v>
      </c>
      <c r="M75" s="19">
        <f t="shared" si="107"/>
        <v>2</v>
      </c>
      <c r="N75" s="19">
        <f t="shared" si="108"/>
        <v>1</v>
      </c>
      <c r="O75" s="19">
        <f t="shared" si="109"/>
        <v>3</v>
      </c>
      <c r="P75" s="20">
        <f t="shared" si="110"/>
        <v>0</v>
      </c>
      <c r="Q75" s="19">
        <f t="shared" si="111"/>
        <v>93.824168556289862</v>
      </c>
      <c r="R75" s="19">
        <f t="shared" si="112"/>
        <v>100</v>
      </c>
      <c r="S75" s="19">
        <f t="shared" si="113"/>
        <v>74.436644803873335</v>
      </c>
      <c r="T75" s="20">
        <f t="shared" si="114"/>
        <v>0</v>
      </c>
      <c r="U75" s="21">
        <f t="shared" si="115"/>
        <v>6.2031395522290635</v>
      </c>
      <c r="V75" s="21">
        <f t="shared" si="116"/>
        <v>6.6114516629129376</v>
      </c>
      <c r="W75" s="21">
        <f t="shared" si="117"/>
        <v>4.9213427907022798</v>
      </c>
      <c r="X75" s="147" t="str">
        <f t="shared" si="118"/>
        <v>G15</v>
      </c>
      <c r="Y75" s="32">
        <f t="shared" si="119"/>
        <v>0</v>
      </c>
      <c r="Z75" s="31">
        <f t="shared" si="120"/>
        <v>85.969495899143865</v>
      </c>
      <c r="AA75" s="31">
        <f t="shared" si="121"/>
        <v>85.176467707593218</v>
      </c>
      <c r="AB75" s="31">
        <f t="shared" si="122"/>
        <v>93.824168556289862</v>
      </c>
      <c r="AC75" s="31">
        <f t="shared" si="123"/>
        <v>93.395881351190241</v>
      </c>
      <c r="AD75" s="31">
        <f t="shared" si="124"/>
        <v>86.013705111155033</v>
      </c>
      <c r="AE75" s="31">
        <f t="shared" si="125"/>
        <v>0</v>
      </c>
      <c r="AF75" s="31">
        <f t="shared" si="126"/>
        <v>0</v>
      </c>
      <c r="AG75" s="31">
        <f t="shared" si="127"/>
        <v>0</v>
      </c>
      <c r="AH75" s="31">
        <f t="shared" si="128"/>
        <v>100</v>
      </c>
      <c r="AI75" s="31">
        <f t="shared" si="129"/>
        <v>74.436644803873335</v>
      </c>
      <c r="AJ75" s="31">
        <f t="shared" si="130"/>
        <v>0</v>
      </c>
      <c r="AK75" s="7" cm="1">
        <f t="array" ref="AK75">_xlfn.IFS(AZ75=0,0,AZ75&gt;0,(LOG(0.01*AZ75/10^-CD75)))</f>
        <v>0</v>
      </c>
      <c r="AL75" s="8" cm="1">
        <f t="array" ref="AL75">_xlfn.IFS(BA75=0,0,BA75&gt;0,(LOG(0.01*BA75/10^-CE75)))</f>
        <v>5.6838316662218169</v>
      </c>
      <c r="AM75" s="8" cm="1">
        <f t="array" ref="AM75">_xlfn.IFS(BB75=0,0,BB75&gt;0,(LOG(0.01*BB75/10^-CF75)))</f>
        <v>5.6314009906641731</v>
      </c>
      <c r="AN75" s="8" cm="1">
        <f t="array" ref="AN75">_xlfn.IFS(BC75=0,0,BC75&gt;0,(LOG(0.01*BC75/10^-CG75)))</f>
        <v>6.2031395522290635</v>
      </c>
      <c r="AO75" s="8" cm="1">
        <f t="array" ref="AO75">_xlfn.IFS(BD75=0,0,BD75&gt;0,(LOG(0.01*BD75/10^-CH75)))</f>
        <v>6.1748235506854607</v>
      </c>
      <c r="AP75" s="8" cm="1">
        <f t="array" ref="AP75">_xlfn.IFS(BE75=0,0,BE75&gt;0,(LOG(0.01*BE75/10^-CI75)))</f>
        <v>5.6867545369044903</v>
      </c>
      <c r="AQ75" s="8" cm="1">
        <f t="array" ref="AQ75">_xlfn.IFS(BF75=0,0,BF75&gt;0,(LOG(0.01*BF75/10^-CJ75)))</f>
        <v>0</v>
      </c>
      <c r="AR75" s="8" cm="1">
        <f t="array" ref="AR75">_xlfn.IFS(BG75=0,0,BG75&gt;0,(LOG(0.01*BG75/10^-CK75)))</f>
        <v>0</v>
      </c>
      <c r="AS75" s="8" cm="1">
        <f t="array" ref="AS75">_xlfn.IFS(BH75=0,0,BH75&gt;0,(LOG(0.01*BH75/10^-CL75)))</f>
        <v>0</v>
      </c>
      <c r="AT75" s="8" cm="1">
        <f t="array" ref="AT75">_xlfn.IFS(BI75=0,0,BI75&gt;0,(LOG(0.01*BI75/10^-CM75)))</f>
        <v>6.6114516629129376</v>
      </c>
      <c r="AU75" s="8" cm="1">
        <f t="array" ref="AU75">_xlfn.IFS(BJ75=0,0,BJ75&gt;0,(LOG(0.01*BJ75/10^-CN75)))</f>
        <v>4.9213427907022798</v>
      </c>
      <c r="AV75" s="8" cm="1">
        <f t="array" ref="AV75">_xlfn.IFS(BK75=0,0,BK75&gt;0,(LOG(0.01*BK75/10^-CO75)))</f>
        <v>0</v>
      </c>
      <c r="AW75" s="8" cm="1">
        <f t="array" ref="AW75">_xlfn.IFS(BL75=0,0,BL75&gt;0,(LOG(0.01*BL75/10^-CP75)))</f>
        <v>0</v>
      </c>
      <c r="AX75" s="8" cm="1">
        <f t="array" ref="AX75">_xlfn.IFS(BM75=0,0,BM75&gt;0,(LOG(0.01*BM75/10^-CQ75)))</f>
        <v>4.6315011602670983</v>
      </c>
      <c r="AY75" s="8" cm="1">
        <f t="array" ref="AY75">_xlfn.IFS(BN75=0,0,BN75&gt;0,(LOG(0.01*BN75/10^-CR75)))</f>
        <v>4.6534257737520663</v>
      </c>
      <c r="AZ75" s="32">
        <f t="shared" si="88"/>
        <v>0</v>
      </c>
      <c r="BA75" s="31">
        <f t="shared" si="131"/>
        <v>2.0693391115926332</v>
      </c>
      <c r="BB75" s="31">
        <f t="shared" si="132"/>
        <v>1.420368364030336</v>
      </c>
      <c r="BC75" s="31">
        <f t="shared" si="133"/>
        <v>3.3661971830985915</v>
      </c>
      <c r="BD75" s="31">
        <f t="shared" si="134"/>
        <v>6.2491874322860239</v>
      </c>
      <c r="BE75" s="31">
        <f t="shared" si="135"/>
        <v>2.7973997833152762</v>
      </c>
      <c r="BF75" s="31">
        <f t="shared" si="136"/>
        <v>0</v>
      </c>
      <c r="BG75" s="31">
        <f t="shared" si="137"/>
        <v>0</v>
      </c>
      <c r="BH75" s="31">
        <f t="shared" si="138"/>
        <v>0</v>
      </c>
      <c r="BI75" s="31">
        <f t="shared" si="139"/>
        <v>8.1743205248359896</v>
      </c>
      <c r="BJ75" s="31">
        <f t="shared" si="140"/>
        <v>10.773152081563296</v>
      </c>
      <c r="BK75" s="31">
        <f t="shared" si="141"/>
        <v>0</v>
      </c>
      <c r="BL75" s="31">
        <f t="shared" si="142"/>
        <v>0</v>
      </c>
      <c r="BM75" s="31">
        <f t="shared" si="143"/>
        <v>1.3319906008727762</v>
      </c>
      <c r="BN75" s="31">
        <f t="shared" si="144"/>
        <v>2.0721718697549512</v>
      </c>
      <c r="BO75" s="132"/>
      <c r="BP75" s="133">
        <v>19.100000000000001</v>
      </c>
      <c r="BQ75" s="172">
        <v>13.11</v>
      </c>
      <c r="BR75" s="133">
        <v>31.07</v>
      </c>
      <c r="BS75" s="133">
        <v>57.68</v>
      </c>
      <c r="BT75" s="133">
        <v>25.82</v>
      </c>
      <c r="BU75" s="133"/>
      <c r="BV75" s="133"/>
      <c r="BW75" s="133"/>
      <c r="BX75" s="133">
        <v>87.22</v>
      </c>
      <c r="BY75" s="133">
        <v>76.08</v>
      </c>
      <c r="BZ75" s="133"/>
      <c r="CA75" s="133"/>
      <c r="CB75" s="133">
        <v>39.68</v>
      </c>
      <c r="CC75" s="133">
        <v>61.73</v>
      </c>
      <c r="CD75" s="36"/>
      <c r="CE75" s="34">
        <v>7.3680000000000003</v>
      </c>
      <c r="CF75" s="38">
        <v>7.4790000000000001</v>
      </c>
      <c r="CG75" s="34">
        <v>7.6760000000000002</v>
      </c>
      <c r="CH75" s="34">
        <v>7.3789999999999996</v>
      </c>
      <c r="CI75" s="34">
        <v>7.24</v>
      </c>
      <c r="CJ75" s="34"/>
      <c r="CK75" s="34"/>
      <c r="CL75" s="34"/>
      <c r="CM75" s="34">
        <v>7.6989999999999998</v>
      </c>
      <c r="CN75" s="34">
        <v>5.8890000000000002</v>
      </c>
      <c r="CO75" s="34"/>
      <c r="CP75" s="34"/>
      <c r="CQ75" s="34">
        <v>6.5069999999999997</v>
      </c>
      <c r="CR75" s="34">
        <v>6.3369999999999997</v>
      </c>
      <c r="CS75" s="168" t="str">
        <f>IF(VLOOKUP($A75,'B-Ligands'!$A:$G,3,FALSE)="","",VLOOKUP($A75,'B-Ligands'!$A:$G,3,FALSE))</f>
        <v/>
      </c>
      <c r="CT75" s="169" t="str">
        <f>IF(VLOOKUP($A75,'B-Ligands'!$A:$G,4,FALSE)="","",VLOOKUP($A75,'B-Ligands'!$A:$G,4,FALSE))</f>
        <v>Adenosine</v>
      </c>
      <c r="CU75" s="132">
        <v>10.224856491215679</v>
      </c>
      <c r="CV75" s="133">
        <v>15.194313796021813</v>
      </c>
      <c r="CW75" s="133">
        <v>12.753099590531338</v>
      </c>
      <c r="CX75" s="133">
        <v>12.0757842537651</v>
      </c>
      <c r="CY75" s="133">
        <v>18.560260086670258</v>
      </c>
      <c r="CZ75" s="133">
        <v>12.397021342174254</v>
      </c>
      <c r="DA75" s="133">
        <v>8.7289083913618466</v>
      </c>
      <c r="DB75" s="133">
        <v>6.7578195488466433</v>
      </c>
      <c r="DC75" s="133">
        <v>9.179600836567479</v>
      </c>
      <c r="DD75" s="133">
        <v>8.4559362135450762</v>
      </c>
      <c r="DE75" s="133">
        <v>21.544778859354899</v>
      </c>
      <c r="DF75" s="133">
        <v>13.395445320765909</v>
      </c>
      <c r="DG75" s="133">
        <v>35.52825880725181</v>
      </c>
      <c r="DH75" s="133">
        <v>9.4644536681652252</v>
      </c>
      <c r="DI75" s="133">
        <v>8.9404408374108044</v>
      </c>
      <c r="DJ75" s="66">
        <f t="shared" si="89"/>
        <v>0</v>
      </c>
      <c r="DK75" s="67">
        <f t="shared" si="90"/>
        <v>1.2570491998790216</v>
      </c>
      <c r="DL75" s="67">
        <f t="shared" si="91"/>
        <v>1.0279853855868613</v>
      </c>
      <c r="DM75" s="67">
        <f t="shared" si="92"/>
        <v>2.5729177788442774</v>
      </c>
      <c r="DN75" s="67">
        <f t="shared" si="93"/>
        <v>3.1077150713758068</v>
      </c>
      <c r="DO75" s="67">
        <f t="shared" si="94"/>
        <v>2.0827583729457029</v>
      </c>
      <c r="DP75" s="67">
        <f t="shared" si="95"/>
        <v>0</v>
      </c>
      <c r="DQ75" s="67">
        <f t="shared" si="96"/>
        <v>0</v>
      </c>
      <c r="DR75" s="67">
        <f t="shared" si="97"/>
        <v>0</v>
      </c>
      <c r="DS75" s="67">
        <f t="shared" si="98"/>
        <v>10.314647343281436</v>
      </c>
      <c r="DT75" s="67">
        <f t="shared" si="99"/>
        <v>3.5312499838895079</v>
      </c>
      <c r="DU75" s="67">
        <f t="shared" si="100"/>
        <v>0</v>
      </c>
      <c r="DV75" s="67">
        <f t="shared" si="101"/>
        <v>0</v>
      </c>
      <c r="DW75" s="67">
        <f t="shared" si="102"/>
        <v>4.1925293726639739</v>
      </c>
      <c r="DX75" s="67">
        <f t="shared" si="103"/>
        <v>6.9045812306809369</v>
      </c>
    </row>
    <row r="76" spans="1:128" s="28" customFormat="1">
      <c r="A76" s="33" t="s">
        <v>52</v>
      </c>
      <c r="B76" s="205" t="s">
        <v>5559</v>
      </c>
      <c r="C76" t="str">
        <f>IF(VLOOKUP($A76,'B-Ligands'!$A:$G,5,FALSE)="","",VLOOKUP($A76,'B-Ligands'!$A:$G,5,FALSE))</f>
        <v>Guide To Pharmacology</v>
      </c>
      <c r="D76" s="19">
        <f>IF(VLOOKUP($A76,'B-Ligands'!$A:$G,6,FALSE)="","",VLOOKUP($A76,'B-Ligands'!$A:$G,6,FALSE))</f>
        <v>650</v>
      </c>
      <c r="E76" t="str">
        <f>IF(VLOOKUP($A76,'B-Ligands'!$A:$G,7,FALSE)="","",VLOOKUP($A76,'B-Ligands'!$A:$G,7,FALSE))</f>
        <v>Phys</v>
      </c>
      <c r="F76" s="20" t="str">
        <f t="shared" si="145"/>
        <v/>
      </c>
      <c r="G76" s="19">
        <f t="shared" si="146"/>
        <v>1</v>
      </c>
      <c r="H76" s="19">
        <f t="shared" si="147"/>
        <v>1</v>
      </c>
      <c r="I76" s="19" t="str">
        <f t="shared" si="148"/>
        <v/>
      </c>
      <c r="J76" s="189">
        <f t="shared" si="104"/>
        <v>2</v>
      </c>
      <c r="K76" s="147" t="str">
        <f t="shared" si="105"/>
        <v>Gq/11</v>
      </c>
      <c r="L76" s="20">
        <f t="shared" si="106"/>
        <v>0</v>
      </c>
      <c r="M76" s="19">
        <f t="shared" si="107"/>
        <v>2</v>
      </c>
      <c r="N76" s="19">
        <f t="shared" si="108"/>
        <v>1</v>
      </c>
      <c r="O76" s="19">
        <f t="shared" si="109"/>
        <v>0</v>
      </c>
      <c r="P76" s="20">
        <f t="shared" si="110"/>
        <v>0</v>
      </c>
      <c r="Q76" s="19">
        <f t="shared" si="111"/>
        <v>93.936032658435238</v>
      </c>
      <c r="R76" s="19">
        <f t="shared" si="112"/>
        <v>100</v>
      </c>
      <c r="S76" s="19">
        <f t="shared" si="113"/>
        <v>0</v>
      </c>
      <c r="T76" s="20">
        <f t="shared" si="114"/>
        <v>0</v>
      </c>
      <c r="U76" s="21">
        <f t="shared" si="115"/>
        <v>6.0166241750059388</v>
      </c>
      <c r="V76" s="21">
        <f t="shared" si="116"/>
        <v>6.4050226571556834</v>
      </c>
      <c r="W76" s="21">
        <f t="shared" si="117"/>
        <v>0</v>
      </c>
      <c r="X76" s="147" t="str">
        <f t="shared" si="118"/>
        <v>G15</v>
      </c>
      <c r="Y76" s="32">
        <f t="shared" si="119"/>
        <v>0</v>
      </c>
      <c r="Z76" s="31">
        <f t="shared" si="120"/>
        <v>88.2810827329034</v>
      </c>
      <c r="AA76" s="31">
        <f t="shared" si="121"/>
        <v>87.515126309062524</v>
      </c>
      <c r="AB76" s="31">
        <f t="shared" si="122"/>
        <v>88.194673882335522</v>
      </c>
      <c r="AC76" s="31">
        <f t="shared" si="123"/>
        <v>93.936032658435238</v>
      </c>
      <c r="AD76" s="31">
        <f t="shared" si="124"/>
        <v>85.437163051453439</v>
      </c>
      <c r="AE76" s="31">
        <f t="shared" si="125"/>
        <v>95.391258048740681</v>
      </c>
      <c r="AF76" s="31">
        <f t="shared" si="126"/>
        <v>94.939477536423084</v>
      </c>
      <c r="AG76" s="31">
        <f t="shared" si="127"/>
        <v>94.672796997482891</v>
      </c>
      <c r="AH76" s="31">
        <f t="shared" si="128"/>
        <v>100</v>
      </c>
      <c r="AI76" s="31">
        <f t="shared" si="129"/>
        <v>0</v>
      </c>
      <c r="AJ76" s="31">
        <f t="shared" si="130"/>
        <v>0</v>
      </c>
      <c r="AK76" s="7" cm="1">
        <f t="array" ref="AK76">_xlfn.IFS(AZ76=0,0,AZ76&gt;0,(LOG(0.01*AZ76/10^-CD76)))</f>
        <v>0</v>
      </c>
      <c r="AL76" s="8" cm="1">
        <f t="array" ref="AL76">_xlfn.IFS(BA76=0,0,BA76&gt;0,(LOG(0.01*BA76/10^-CE76)))</f>
        <v>5.6544233510248159</v>
      </c>
      <c r="AM76" s="8" cm="1">
        <f t="array" ref="AM76">_xlfn.IFS(BB76=0,0,BB76&gt;0,(LOG(0.01*BB76/10^-CF76)))</f>
        <v>5.6053636685338697</v>
      </c>
      <c r="AN76" s="8" cm="1">
        <f t="array" ref="AN76">_xlfn.IFS(BC76=0,0,BC76&gt;0,(LOG(0.01*BC76/10^-CG76)))</f>
        <v>5.6488888445681562</v>
      </c>
      <c r="AO76" s="8" cm="1">
        <f t="array" ref="AO76">_xlfn.IFS(BD76=0,0,BD76&gt;0,(LOG(0.01*BD76/10^-CH76)))</f>
        <v>6.0166241750059388</v>
      </c>
      <c r="AP76" s="8" cm="1">
        <f t="array" ref="AP76">_xlfn.IFS(BE76=0,0,BE76&gt;0,(LOG(0.01*BE76/10^-CI76)))</f>
        <v>5.4722696510766369</v>
      </c>
      <c r="AQ76" s="8" cm="1">
        <f t="array" ref="AQ76">_xlfn.IFS(BF76=0,0,BF76&gt;0,(LOG(0.01*BF76/10^-CJ76)))</f>
        <v>6.1098316909676846</v>
      </c>
      <c r="AR76" s="8" cm="1">
        <f t="array" ref="AR76">_xlfn.IFS(BG76=0,0,BG76&gt;0,(LOG(0.01*BG76/10^-CK76)))</f>
        <v>6.0808950467931293</v>
      </c>
      <c r="AS76" s="8" cm="1">
        <f t="array" ref="AS76">_xlfn.IFS(BH76=0,0,BH76&gt;0,(LOG(0.01*BH76/10^-CL76)))</f>
        <v>6.0638140978517843</v>
      </c>
      <c r="AT76" s="8" cm="1">
        <f t="array" ref="AT76">_xlfn.IFS(BI76=0,0,BI76&gt;0,(LOG(0.01*BI76/10^-CM76)))</f>
        <v>6.4050226571556834</v>
      </c>
      <c r="AU76" s="8" cm="1">
        <f t="array" ref="AU76">_xlfn.IFS(BJ76=0,0,BJ76&gt;0,(LOG(0.01*BJ76/10^-CN76)))</f>
        <v>0</v>
      </c>
      <c r="AV76" s="8" cm="1">
        <f t="array" ref="AV76">_xlfn.IFS(BK76=0,0,BK76&gt;0,(LOG(0.01*BK76/10^-CO76)))</f>
        <v>0</v>
      </c>
      <c r="AW76" s="8" cm="1">
        <f t="array" ref="AW76">_xlfn.IFS(BL76=0,0,BL76&gt;0,(LOG(0.01*BL76/10^-CP76)))</f>
        <v>0</v>
      </c>
      <c r="AX76" s="8" cm="1">
        <f t="array" ref="AX76">_xlfn.IFS(BM76=0,0,BM76&gt;0,(LOG(0.01*BM76/10^-CQ76)))</f>
        <v>0</v>
      </c>
      <c r="AY76" s="8" cm="1">
        <f t="array" ref="AY76">_xlfn.IFS(BN76=0,0,BN76&gt;0,(LOG(0.01*BN76/10^-CR76)))</f>
        <v>0</v>
      </c>
      <c r="AZ76" s="32">
        <f t="shared" si="88"/>
        <v>0</v>
      </c>
      <c r="BA76" s="31">
        <f t="shared" si="131"/>
        <v>10.266522210184181</v>
      </c>
      <c r="BB76" s="31">
        <f t="shared" si="132"/>
        <v>7.1180931744312028</v>
      </c>
      <c r="BC76" s="31">
        <f t="shared" si="133"/>
        <v>8.8082340195016258</v>
      </c>
      <c r="BD76" s="31">
        <f t="shared" si="134"/>
        <v>17.443120260021669</v>
      </c>
      <c r="BE76" s="31">
        <f t="shared" si="135"/>
        <v>3.5016251354279522</v>
      </c>
      <c r="BF76" s="31">
        <f t="shared" si="136"/>
        <v>16.026241799437674</v>
      </c>
      <c r="BG76" s="31">
        <f t="shared" si="137"/>
        <v>18.87535145267104</v>
      </c>
      <c r="BH76" s="31">
        <f t="shared" si="138"/>
        <v>15.164011246485474</v>
      </c>
      <c r="BI76" s="31">
        <f t="shared" si="139"/>
        <v>7.3964386129334585</v>
      </c>
      <c r="BJ76" s="31">
        <f t="shared" si="140"/>
        <v>0</v>
      </c>
      <c r="BK76" s="31">
        <f t="shared" si="141"/>
        <v>0</v>
      </c>
      <c r="BL76" s="31">
        <f t="shared" si="142"/>
        <v>0</v>
      </c>
      <c r="BM76" s="31">
        <f t="shared" si="143"/>
        <v>0</v>
      </c>
      <c r="BN76" s="31">
        <f t="shared" si="144"/>
        <v>0</v>
      </c>
      <c r="BO76" s="134"/>
      <c r="BP76" s="135">
        <v>94.76</v>
      </c>
      <c r="BQ76" s="135">
        <v>65.7</v>
      </c>
      <c r="BR76" s="135">
        <v>81.3</v>
      </c>
      <c r="BS76" s="135">
        <v>161</v>
      </c>
      <c r="BT76" s="135">
        <v>32.32</v>
      </c>
      <c r="BU76" s="135">
        <v>171</v>
      </c>
      <c r="BV76" s="135">
        <v>201.4</v>
      </c>
      <c r="BW76" s="135">
        <v>161.80000000000001</v>
      </c>
      <c r="BX76" s="135">
        <v>78.92</v>
      </c>
      <c r="BY76" s="135"/>
      <c r="BZ76" s="135"/>
      <c r="CA76" s="135"/>
      <c r="CB76" s="135"/>
      <c r="CC76" s="176"/>
      <c r="CD76" s="30"/>
      <c r="CE76" s="29">
        <v>6.6429999999999998</v>
      </c>
      <c r="CF76" s="29">
        <v>6.7530000000000001</v>
      </c>
      <c r="CG76" s="29">
        <v>6.7039999999999997</v>
      </c>
      <c r="CH76" s="29">
        <v>6.7750000000000004</v>
      </c>
      <c r="CI76" s="29">
        <v>6.9279999999999999</v>
      </c>
      <c r="CJ76" s="29">
        <v>6.9050000000000002</v>
      </c>
      <c r="CK76" s="29">
        <v>6.8049999999999997</v>
      </c>
      <c r="CL76" s="29">
        <v>6.883</v>
      </c>
      <c r="CM76" s="29">
        <v>7.5359999999999996</v>
      </c>
      <c r="CN76" s="29"/>
      <c r="CO76" s="29"/>
      <c r="CP76" s="29"/>
      <c r="CQ76" s="29"/>
      <c r="CR76" s="39"/>
      <c r="CS76" s="168" t="str">
        <f>IF(VLOOKUP($A76,'B-Ligands'!$A:$G,3,FALSE)="","",VLOOKUP($A76,'B-Ligands'!$A:$G,3,FALSE))</f>
        <v/>
      </c>
      <c r="CT76" s="169" t="str">
        <f>IF(VLOOKUP($A76,'B-Ligands'!$A:$G,4,FALSE)="","",VLOOKUP($A76,'B-Ligands'!$A:$G,4,FALSE))</f>
        <v>Kallidin</v>
      </c>
      <c r="CU76" s="134">
        <v>14.016325388731248</v>
      </c>
      <c r="CV76" s="135">
        <v>25.538983068460144</v>
      </c>
      <c r="CW76" s="135">
        <v>27.631880951145632</v>
      </c>
      <c r="CX76" s="135">
        <v>21.408492007324593</v>
      </c>
      <c r="CY76" s="135">
        <v>36.527349728645568</v>
      </c>
      <c r="CZ76" s="135">
        <v>7.0325236030870482</v>
      </c>
      <c r="DA76" s="135">
        <v>10.660518284143961</v>
      </c>
      <c r="DB76" s="135">
        <v>8.4526880300069358</v>
      </c>
      <c r="DC76" s="135">
        <v>5.396598040256058</v>
      </c>
      <c r="DD76" s="135">
        <v>9.7299096198052073</v>
      </c>
      <c r="DE76" s="135">
        <v>6.9937893269024514</v>
      </c>
      <c r="DF76" s="135">
        <v>9.700506543199511</v>
      </c>
      <c r="DG76" s="135">
        <v>58.158078130219515</v>
      </c>
      <c r="DH76" s="135">
        <v>12.455443966658578</v>
      </c>
      <c r="DI76" s="135">
        <v>15.264434809101893</v>
      </c>
      <c r="DJ76" s="66">
        <f t="shared" si="89"/>
        <v>0</v>
      </c>
      <c r="DK76" s="67">
        <f t="shared" si="90"/>
        <v>3.7104061561881716</v>
      </c>
      <c r="DL76" s="67">
        <f t="shared" si="91"/>
        <v>2.3776882983883891</v>
      </c>
      <c r="DM76" s="67">
        <f t="shared" si="92"/>
        <v>3.7975584628840009</v>
      </c>
      <c r="DN76" s="67">
        <f t="shared" si="93"/>
        <v>4.4076562136600943</v>
      </c>
      <c r="DO76" s="67">
        <f t="shared" si="94"/>
        <v>4.595789765399803</v>
      </c>
      <c r="DP76" s="67">
        <f t="shared" si="95"/>
        <v>16.040495916069926</v>
      </c>
      <c r="DQ76" s="67">
        <f t="shared" si="96"/>
        <v>23.826740000936098</v>
      </c>
      <c r="DR76" s="67">
        <f t="shared" si="97"/>
        <v>29.981851305776132</v>
      </c>
      <c r="DS76" s="67">
        <f t="shared" si="98"/>
        <v>8.1110722590226878</v>
      </c>
      <c r="DT76" s="67">
        <f t="shared" si="99"/>
        <v>0</v>
      </c>
      <c r="DU76" s="67">
        <f t="shared" si="100"/>
        <v>0</v>
      </c>
      <c r="DV76" s="67">
        <f t="shared" si="101"/>
        <v>0</v>
      </c>
      <c r="DW76" s="67">
        <f t="shared" si="102"/>
        <v>0</v>
      </c>
      <c r="DX76" s="67">
        <f t="shared" si="103"/>
        <v>0</v>
      </c>
    </row>
    <row r="77" spans="1:128" s="28" customFormat="1">
      <c r="A77" s="33" t="s">
        <v>67</v>
      </c>
      <c r="B77" s="205" t="s">
        <v>5559</v>
      </c>
      <c r="C77" t="str">
        <f>IF(VLOOKUP($A77,'B-Ligands'!$A:$G,5,FALSE)="","",VLOOKUP($A77,'B-Ligands'!$A:$G,5,FALSE))</f>
        <v>Guide To Pharmacology</v>
      </c>
      <c r="D77" s="19">
        <f>IF(VLOOKUP($A77,'B-Ligands'!$A:$G,6,FALSE)="","",VLOOKUP($A77,'B-Ligands'!$A:$G,6,FALSE))</f>
        <v>756</v>
      </c>
      <c r="E77" t="str">
        <f>IF(VLOOKUP($A77,'B-Ligands'!$A:$G,7,FALSE)="","",VLOOKUP($A77,'B-Ligands'!$A:$G,7,FALSE))</f>
        <v>Phys</v>
      </c>
      <c r="F77" s="20" t="str">
        <f t="shared" si="145"/>
        <v/>
      </c>
      <c r="G77" s="19">
        <f t="shared" si="146"/>
        <v>1</v>
      </c>
      <c r="H77" s="19">
        <f t="shared" si="147"/>
        <v>1</v>
      </c>
      <c r="I77" s="19" t="str">
        <f t="shared" si="148"/>
        <v/>
      </c>
      <c r="J77" s="189">
        <f t="shared" si="104"/>
        <v>2</v>
      </c>
      <c r="K77" s="147" t="str">
        <f t="shared" si="105"/>
        <v>Gi/o</v>
      </c>
      <c r="L77" s="20">
        <f t="shared" si="106"/>
        <v>0</v>
      </c>
      <c r="M77" s="19">
        <f t="shared" si="107"/>
        <v>1</v>
      </c>
      <c r="N77" s="19">
        <f t="shared" si="108"/>
        <v>2</v>
      </c>
      <c r="O77" s="19">
        <f t="shared" si="109"/>
        <v>0</v>
      </c>
      <c r="P77" s="20">
        <f t="shared" si="110"/>
        <v>0</v>
      </c>
      <c r="Q77" s="19">
        <f t="shared" si="111"/>
        <v>100</v>
      </c>
      <c r="R77" s="19">
        <f t="shared" si="112"/>
        <v>70.117685215547255</v>
      </c>
      <c r="S77" s="19">
        <f t="shared" si="113"/>
        <v>0</v>
      </c>
      <c r="T77" s="20">
        <f t="shared" si="114"/>
        <v>0</v>
      </c>
      <c r="U77" s="21">
        <f t="shared" si="115"/>
        <v>9.1006281242269154</v>
      </c>
      <c r="V77" s="21">
        <f t="shared" si="116"/>
        <v>6.3811497807829909</v>
      </c>
      <c r="W77" s="21">
        <f t="shared" si="117"/>
        <v>0</v>
      </c>
      <c r="X77" s="147" t="str">
        <f t="shared" si="118"/>
        <v>Gz</v>
      </c>
      <c r="Y77" s="32">
        <f t="shared" si="119"/>
        <v>0</v>
      </c>
      <c r="Z77" s="31">
        <f t="shared" si="120"/>
        <v>97.703827580729126</v>
      </c>
      <c r="AA77" s="31">
        <f t="shared" si="121"/>
        <v>96.03160049836093</v>
      </c>
      <c r="AB77" s="31">
        <f t="shared" si="122"/>
        <v>93.835403188915961</v>
      </c>
      <c r="AC77" s="31">
        <f t="shared" si="123"/>
        <v>97.107022667462886</v>
      </c>
      <c r="AD77" s="31">
        <f t="shared" si="124"/>
        <v>100</v>
      </c>
      <c r="AE77" s="31">
        <f t="shared" si="125"/>
        <v>0</v>
      </c>
      <c r="AF77" s="31">
        <f t="shared" si="126"/>
        <v>0</v>
      </c>
      <c r="AG77" s="31">
        <f t="shared" si="127"/>
        <v>0</v>
      </c>
      <c r="AH77" s="31">
        <f t="shared" si="128"/>
        <v>70.117685215547255</v>
      </c>
      <c r="AI77" s="31">
        <f t="shared" si="129"/>
        <v>0</v>
      </c>
      <c r="AJ77" s="31">
        <f t="shared" si="130"/>
        <v>0</v>
      </c>
      <c r="AK77" s="7" cm="1">
        <f t="array" ref="AK77">_xlfn.IFS(AZ77=0,0,AZ77&gt;0,(LOG(0.01*AZ77/10^-CD77)))</f>
        <v>0</v>
      </c>
      <c r="AL77" s="8" cm="1">
        <f t="array" ref="AL77">_xlfn.IFS(BA77=0,0,BA77&gt;0,(LOG(0.01*BA77/10^-CE77)))</f>
        <v>8.891662011258008</v>
      </c>
      <c r="AM77" s="8" cm="1">
        <f t="array" ref="AM77">_xlfn.IFS(BB77=0,0,BB77&gt;0,(LOG(0.01*BB77/10^-CF77)))</f>
        <v>8.7394788430990697</v>
      </c>
      <c r="AN77" s="8" cm="1">
        <f t="array" ref="AN77">_xlfn.IFS(BC77=0,0,BC77&gt;0,(LOG(0.01*BC77/10^-CG77)))</f>
        <v>8.5396110930922067</v>
      </c>
      <c r="AO77" s="8" cm="1">
        <f t="array" ref="AO77">_xlfn.IFS(BD77=0,0,BD77&gt;0,(LOG(0.01*BD77/10^-CH77)))</f>
        <v>8.8373490154745333</v>
      </c>
      <c r="AP77" s="8" cm="1">
        <f t="array" ref="AP77">_xlfn.IFS(BE77=0,0,BE77&gt;0,(LOG(0.01*BE77/10^-CI77)))</f>
        <v>9.1006281242269154</v>
      </c>
      <c r="AQ77" s="8" cm="1">
        <f t="array" ref="AQ77">_xlfn.IFS(BF77=0,0,BF77&gt;0,(LOG(0.01*BF77/10^-CJ77)))</f>
        <v>0</v>
      </c>
      <c r="AR77" s="8" cm="1">
        <f t="array" ref="AR77">_xlfn.IFS(BG77=0,0,BG77&gt;0,(LOG(0.01*BG77/10^-CK77)))</f>
        <v>0</v>
      </c>
      <c r="AS77" s="8" cm="1">
        <f t="array" ref="AS77">_xlfn.IFS(BH77=0,0,BH77&gt;0,(LOG(0.01*BH77/10^-CL77)))</f>
        <v>0</v>
      </c>
      <c r="AT77" s="8" cm="1">
        <f t="array" ref="AT77">_xlfn.IFS(BI77=0,0,BI77&gt;0,(LOG(0.01*BI77/10^-CM77)))</f>
        <v>6.3811497807829909</v>
      </c>
      <c r="AU77" s="8" cm="1">
        <f t="array" ref="AU77">_xlfn.IFS(BJ77=0,0,BJ77&gt;0,(LOG(0.01*BJ77/10^-CN77)))</f>
        <v>0</v>
      </c>
      <c r="AV77" s="8" cm="1">
        <f t="array" ref="AV77">_xlfn.IFS(BK77=0,0,BK77&gt;0,(LOG(0.01*BK77/10^-CO77)))</f>
        <v>0</v>
      </c>
      <c r="AW77" s="8" cm="1">
        <f t="array" ref="AW77">_xlfn.IFS(BL77=0,0,BL77&gt;0,(LOG(0.01*BL77/10^-CP77)))</f>
        <v>7.7063645466612867</v>
      </c>
      <c r="AX77" s="8" cm="1">
        <f t="array" ref="AX77">_xlfn.IFS(BM77=0,0,BM77&gt;0,(LOG(0.01*BM77/10^-CQ77)))</f>
        <v>6.5857926098080553</v>
      </c>
      <c r="AY77" s="8" cm="1">
        <f t="array" ref="AY77">_xlfn.IFS(BN77=0,0,BN77&gt;0,(LOG(0.01*BN77/10^-CR77)))</f>
        <v>7.8548115040910824</v>
      </c>
      <c r="AZ77" s="32">
        <f t="shared" si="88"/>
        <v>0</v>
      </c>
      <c r="BA77" s="31">
        <f t="shared" si="131"/>
        <v>55.037919826652221</v>
      </c>
      <c r="BB77" s="31">
        <f t="shared" si="132"/>
        <v>35.438786565547133</v>
      </c>
      <c r="BC77" s="31">
        <f t="shared" si="133"/>
        <v>21.657638136511377</v>
      </c>
      <c r="BD77" s="31">
        <f t="shared" si="134"/>
        <v>33.369447453954493</v>
      </c>
      <c r="BE77" s="31">
        <f t="shared" si="135"/>
        <v>11.765980498374864</v>
      </c>
      <c r="BF77" s="31">
        <f t="shared" si="136"/>
        <v>0</v>
      </c>
      <c r="BG77" s="31">
        <f t="shared" si="137"/>
        <v>0</v>
      </c>
      <c r="BH77" s="31">
        <f t="shared" si="138"/>
        <v>0</v>
      </c>
      <c r="BI77" s="31">
        <f t="shared" si="139"/>
        <v>6.1115276476101208</v>
      </c>
      <c r="BJ77" s="31">
        <f t="shared" si="140"/>
        <v>0</v>
      </c>
      <c r="BK77" s="31">
        <f t="shared" si="141"/>
        <v>0</v>
      </c>
      <c r="BL77" s="31">
        <f t="shared" si="142"/>
        <v>33.52467270896274</v>
      </c>
      <c r="BM77" s="31">
        <f t="shared" si="143"/>
        <v>10.134273246055722</v>
      </c>
      <c r="BN77" s="31">
        <f t="shared" si="144"/>
        <v>39.610607586438405</v>
      </c>
      <c r="BO77" s="134"/>
      <c r="BP77" s="135">
        <v>508</v>
      </c>
      <c r="BQ77" s="135">
        <v>327.10000000000002</v>
      </c>
      <c r="BR77" s="135">
        <v>199.9</v>
      </c>
      <c r="BS77" s="135">
        <v>308</v>
      </c>
      <c r="BT77" s="135">
        <v>108.6</v>
      </c>
      <c r="BU77" s="135"/>
      <c r="BV77" s="135"/>
      <c r="BW77" s="176"/>
      <c r="BX77" s="135">
        <v>65.209999999999994</v>
      </c>
      <c r="BY77" s="135"/>
      <c r="BZ77" s="135"/>
      <c r="CA77" s="135">
        <v>998.7</v>
      </c>
      <c r="CB77" s="135">
        <v>301.89999999999998</v>
      </c>
      <c r="CC77" s="135">
        <v>1180</v>
      </c>
      <c r="CD77" s="30"/>
      <c r="CE77" s="29">
        <v>9.1509999999999998</v>
      </c>
      <c r="CF77" s="29">
        <v>9.19</v>
      </c>
      <c r="CG77" s="29">
        <v>9.2040000000000006</v>
      </c>
      <c r="CH77" s="29">
        <v>9.3140000000000001</v>
      </c>
      <c r="CI77" s="29">
        <v>10.029999999999999</v>
      </c>
      <c r="CJ77" s="29"/>
      <c r="CK77" s="29"/>
      <c r="CL77" s="39"/>
      <c r="CM77" s="29">
        <v>7.5949999999999998</v>
      </c>
      <c r="CN77" s="29"/>
      <c r="CO77" s="29"/>
      <c r="CP77" s="29">
        <v>8.1809999999999992</v>
      </c>
      <c r="CQ77" s="29">
        <v>7.58</v>
      </c>
      <c r="CR77" s="29">
        <v>8.2569999999999997</v>
      </c>
      <c r="CS77" s="168" t="str">
        <f>IF(VLOOKUP($A77,'B-Ligands'!$A:$G,3,FALSE)="","",VLOOKUP($A77,'B-Ligands'!$A:$G,3,FALSE))</f>
        <v>CCL3</v>
      </c>
      <c r="CT77" s="169" t="str">
        <f>IF(VLOOKUP($A77,'B-Ligands'!$A:$G,4,FALSE)="","",VLOOKUP($A77,'B-Ligands'!$A:$G,4,FALSE))</f>
        <v>macrophage inflammatory protein-1α (MIP-1α)</v>
      </c>
      <c r="CU77" s="134">
        <v>12.612578070757456</v>
      </c>
      <c r="CV77" s="135">
        <v>25.872845134223322</v>
      </c>
      <c r="CW77" s="135">
        <v>13.360582179083295</v>
      </c>
      <c r="CX77" s="135">
        <v>20.158385317126392</v>
      </c>
      <c r="CY77" s="135">
        <v>15.453799220499318</v>
      </c>
      <c r="CZ77" s="135">
        <v>13.527494133930752</v>
      </c>
      <c r="DA77" s="135">
        <v>19.700552733718148</v>
      </c>
      <c r="DB77" s="135">
        <v>16.435553549767949</v>
      </c>
      <c r="DC77" s="135">
        <v>23.716119857014526</v>
      </c>
      <c r="DD77" s="135">
        <v>13.282573168843621</v>
      </c>
      <c r="DE77" s="135">
        <v>4.9321675501958824</v>
      </c>
      <c r="DF77" s="135">
        <v>6.572371414638523</v>
      </c>
      <c r="DG77" s="135">
        <v>40.105211426186173</v>
      </c>
      <c r="DH77" s="135">
        <v>29.856902146821039</v>
      </c>
      <c r="DI77" s="135">
        <v>29.843861219695032</v>
      </c>
      <c r="DJ77" s="66">
        <f t="shared" si="89"/>
        <v>0</v>
      </c>
      <c r="DK77" s="67">
        <f t="shared" si="90"/>
        <v>19.634485398285118</v>
      </c>
      <c r="DL77" s="67">
        <f t="shared" si="91"/>
        <v>24.482466079366851</v>
      </c>
      <c r="DM77" s="67">
        <f t="shared" si="92"/>
        <v>9.9164688468459161</v>
      </c>
      <c r="DN77" s="67">
        <f t="shared" si="93"/>
        <v>19.930374117417088</v>
      </c>
      <c r="DO77" s="67">
        <f t="shared" si="94"/>
        <v>8.0280944071970222</v>
      </c>
      <c r="DP77" s="67">
        <f t="shared" si="95"/>
        <v>0</v>
      </c>
      <c r="DQ77" s="67">
        <f t="shared" si="96"/>
        <v>0</v>
      </c>
      <c r="DR77" s="67">
        <f t="shared" si="97"/>
        <v>0</v>
      </c>
      <c r="DS77" s="67">
        <f t="shared" si="98"/>
        <v>4.9094402997877227</v>
      </c>
      <c r="DT77" s="67">
        <f t="shared" si="99"/>
        <v>0</v>
      </c>
      <c r="DU77" s="67">
        <f t="shared" si="100"/>
        <v>0</v>
      </c>
      <c r="DV77" s="67">
        <f t="shared" si="101"/>
        <v>24.902000624983913</v>
      </c>
      <c r="DW77" s="67">
        <f t="shared" si="102"/>
        <v>10.111564773713278</v>
      </c>
      <c r="DX77" s="67">
        <f t="shared" si="103"/>
        <v>39.539119663955404</v>
      </c>
    </row>
    <row r="78" spans="1:128" s="28" customFormat="1">
      <c r="A78" s="33" t="s">
        <v>33</v>
      </c>
      <c r="B78" s="205" t="s">
        <v>5559</v>
      </c>
      <c r="C78" t="str">
        <f>IF(VLOOKUP($A78,'B-Ligands'!$A:$G,5,FALSE)="","",VLOOKUP($A78,'B-Ligands'!$A:$G,5,FALSE))</f>
        <v>Guide To Pharmacology</v>
      </c>
      <c r="D78" s="19">
        <f>IF(VLOOKUP($A78,'B-Ligands'!$A:$G,6,FALSE)="","",VLOOKUP($A78,'B-Ligands'!$A:$G,6,FALSE))</f>
        <v>2844</v>
      </c>
      <c r="E78" t="str">
        <f>IF(VLOOKUP($A78,'B-Ligands'!$A:$G,7,FALSE)="","",VLOOKUP($A78,'B-Ligands'!$A:$G,7,FALSE))</f>
        <v>Phys</v>
      </c>
      <c r="F78" s="20" t="str">
        <f t="shared" si="145"/>
        <v/>
      </c>
      <c r="G78" s="19">
        <f t="shared" si="146"/>
        <v>1</v>
      </c>
      <c r="H78" s="19">
        <f t="shared" si="147"/>
        <v>1</v>
      </c>
      <c r="I78" s="19" t="str">
        <f t="shared" si="148"/>
        <v/>
      </c>
      <c r="J78" s="189">
        <f t="shared" si="104"/>
        <v>2</v>
      </c>
      <c r="K78" s="147" t="str">
        <f t="shared" si="105"/>
        <v>Gq/11</v>
      </c>
      <c r="L78" s="20">
        <f t="shared" si="106"/>
        <v>0</v>
      </c>
      <c r="M78" s="19">
        <f t="shared" si="107"/>
        <v>2</v>
      </c>
      <c r="N78" s="19">
        <f t="shared" si="108"/>
        <v>1</v>
      </c>
      <c r="O78" s="19">
        <f t="shared" si="109"/>
        <v>0</v>
      </c>
      <c r="P78" s="20">
        <f t="shared" si="110"/>
        <v>0</v>
      </c>
      <c r="Q78" s="19">
        <f t="shared" si="111"/>
        <v>94.076910377385175</v>
      </c>
      <c r="R78" s="19">
        <f t="shared" si="112"/>
        <v>100</v>
      </c>
      <c r="S78" s="19">
        <f t="shared" si="113"/>
        <v>0</v>
      </c>
      <c r="T78" s="20">
        <f t="shared" si="114"/>
        <v>0</v>
      </c>
      <c r="U78" s="21">
        <f t="shared" si="115"/>
        <v>6.639396680817379</v>
      </c>
      <c r="V78" s="21">
        <f t="shared" si="116"/>
        <v>7.0574136142266433</v>
      </c>
      <c r="W78" s="21">
        <f t="shared" si="117"/>
        <v>0</v>
      </c>
      <c r="X78" s="147" t="str">
        <f t="shared" si="118"/>
        <v>G15</v>
      </c>
      <c r="Y78" s="32">
        <f t="shared" si="119"/>
        <v>0</v>
      </c>
      <c r="Z78" s="31">
        <f t="shared" si="120"/>
        <v>94.076910377385175</v>
      </c>
      <c r="AA78" s="31">
        <f t="shared" si="121"/>
        <v>92.074067166355604</v>
      </c>
      <c r="AB78" s="31">
        <f t="shared" si="122"/>
        <v>71.308625896036915</v>
      </c>
      <c r="AC78" s="31">
        <f t="shared" si="123"/>
        <v>81.634412083924403</v>
      </c>
      <c r="AD78" s="31">
        <f t="shared" si="124"/>
        <v>0</v>
      </c>
      <c r="AE78" s="31">
        <f t="shared" si="125"/>
        <v>0</v>
      </c>
      <c r="AF78" s="31">
        <f t="shared" si="126"/>
        <v>0</v>
      </c>
      <c r="AG78" s="31">
        <f t="shared" si="127"/>
        <v>0</v>
      </c>
      <c r="AH78" s="31">
        <f t="shared" si="128"/>
        <v>100</v>
      </c>
      <c r="AI78" s="31">
        <f t="shared" si="129"/>
        <v>0</v>
      </c>
      <c r="AJ78" s="31">
        <f t="shared" si="130"/>
        <v>0</v>
      </c>
      <c r="AK78" s="7" cm="1">
        <f t="array" ref="AK78">_xlfn.IFS(AZ78=0,0,AZ78&gt;0,(LOG(0.01*AZ78/10^-CD78)))</f>
        <v>0</v>
      </c>
      <c r="AL78" s="8" cm="1">
        <f t="array" ref="AL78">_xlfn.IFS(BA78=0,0,BA78&gt;0,(LOG(0.01*BA78/10^-CE78)))</f>
        <v>6.639396680817379</v>
      </c>
      <c r="AM78" s="8" cm="1">
        <f t="array" ref="AM78">_xlfn.IFS(BB78=0,0,BB78&gt;0,(LOG(0.01*BB78/10^-CF78)))</f>
        <v>6.4980477513705637</v>
      </c>
      <c r="AN78" s="8" cm="1">
        <f t="array" ref="AN78">_xlfn.IFS(BC78=0,0,BC78&gt;0,(LOG(0.01*BC78/10^-CG78)))</f>
        <v>5.032544672104855</v>
      </c>
      <c r="AO78" s="8" cm="1">
        <f t="array" ref="AO78">_xlfn.IFS(BD78=0,0,BD78&gt;0,(LOG(0.01*BD78/10^-CH78)))</f>
        <v>5.7612781123047609</v>
      </c>
      <c r="AP78" s="8" cm="1">
        <f t="array" ref="AP78">_xlfn.IFS(BE78=0,0,BE78&gt;0,(LOG(0.01*BE78/10^-CI78)))</f>
        <v>0</v>
      </c>
      <c r="AQ78" s="8" cm="1">
        <f t="array" ref="AQ78">_xlfn.IFS(BF78=0,0,BF78&gt;0,(LOG(0.01*BF78/10^-CJ78)))</f>
        <v>0</v>
      </c>
      <c r="AR78" s="8" cm="1">
        <f t="array" ref="AR78">_xlfn.IFS(BG78=0,0,BG78&gt;0,(LOG(0.01*BG78/10^-CK78)))</f>
        <v>0</v>
      </c>
      <c r="AS78" s="8" cm="1">
        <f t="array" ref="AS78">_xlfn.IFS(BH78=0,0,BH78&gt;0,(LOG(0.01*BH78/10^-CL78)))</f>
        <v>0</v>
      </c>
      <c r="AT78" s="8" cm="1">
        <f t="array" ref="AT78">_xlfn.IFS(BI78=0,0,BI78&gt;0,(LOG(0.01*BI78/10^-CM78)))</f>
        <v>7.0574136142266433</v>
      </c>
      <c r="AU78" s="8" cm="1">
        <f t="array" ref="AU78">_xlfn.IFS(BJ78=0,0,BJ78&gt;0,(LOG(0.01*BJ78/10^-CN78)))</f>
        <v>0</v>
      </c>
      <c r="AV78" s="8" cm="1">
        <f t="array" ref="AV78">_xlfn.IFS(BK78=0,0,BK78&gt;0,(LOG(0.01*BK78/10^-CO78)))</f>
        <v>0</v>
      </c>
      <c r="AW78" s="8" cm="1">
        <f t="array" ref="AW78">_xlfn.IFS(BL78=0,0,BL78&gt;0,(LOG(0.01*BL78/10^-CP78)))</f>
        <v>0</v>
      </c>
      <c r="AX78" s="8" cm="1">
        <f t="array" ref="AX78">_xlfn.IFS(BM78=0,0,BM78&gt;0,(LOG(0.01*BM78/10^-CQ78)))</f>
        <v>0</v>
      </c>
      <c r="AY78" s="8" cm="1">
        <f t="array" ref="AY78">_xlfn.IFS(BN78=0,0,BN78&gt;0,(LOG(0.01*BN78/10^-CR78)))</f>
        <v>0</v>
      </c>
      <c r="AZ78" s="32">
        <f t="shared" si="88"/>
        <v>0</v>
      </c>
      <c r="BA78" s="31">
        <f t="shared" si="131"/>
        <v>48.797399783315278</v>
      </c>
      <c r="BB78" s="31">
        <f t="shared" si="132"/>
        <v>29.447453954496208</v>
      </c>
      <c r="BC78" s="31">
        <f t="shared" si="133"/>
        <v>2.0162513542795235</v>
      </c>
      <c r="BD78" s="31">
        <f t="shared" si="134"/>
        <v>2.114842903575298</v>
      </c>
      <c r="BE78" s="31">
        <f t="shared" si="135"/>
        <v>0</v>
      </c>
      <c r="BF78" s="31">
        <f t="shared" si="136"/>
        <v>0</v>
      </c>
      <c r="BG78" s="31">
        <f t="shared" si="137"/>
        <v>0</v>
      </c>
      <c r="BH78" s="31">
        <f t="shared" si="138"/>
        <v>0</v>
      </c>
      <c r="BI78" s="31">
        <f t="shared" si="139"/>
        <v>4.671040299906279</v>
      </c>
      <c r="BJ78" s="31">
        <f t="shared" si="140"/>
        <v>0</v>
      </c>
      <c r="BK78" s="31">
        <f t="shared" si="141"/>
        <v>0</v>
      </c>
      <c r="BL78" s="31">
        <f t="shared" si="142"/>
        <v>0</v>
      </c>
      <c r="BM78" s="31">
        <f t="shared" si="143"/>
        <v>0</v>
      </c>
      <c r="BN78" s="31">
        <f t="shared" si="144"/>
        <v>0</v>
      </c>
      <c r="BO78" s="134"/>
      <c r="BP78" s="135">
        <v>450.4</v>
      </c>
      <c r="BQ78" s="135">
        <v>271.8</v>
      </c>
      <c r="BR78" s="135">
        <v>18.61</v>
      </c>
      <c r="BS78" s="135">
        <v>19.52</v>
      </c>
      <c r="BT78" s="135"/>
      <c r="BU78" s="135"/>
      <c r="BV78" s="135"/>
      <c r="BW78" s="135"/>
      <c r="BX78" s="135">
        <v>49.84</v>
      </c>
      <c r="BY78" s="135"/>
      <c r="BZ78" s="135"/>
      <c r="CA78" s="135"/>
      <c r="CB78" s="135"/>
      <c r="CC78" s="135"/>
      <c r="CD78" s="30"/>
      <c r="CE78" s="29">
        <v>6.9509999999999996</v>
      </c>
      <c r="CF78" s="29">
        <v>7.0289999999999999</v>
      </c>
      <c r="CG78" s="29">
        <v>6.7279999999999998</v>
      </c>
      <c r="CH78" s="29">
        <v>7.4359999999999999</v>
      </c>
      <c r="CI78" s="29"/>
      <c r="CJ78" s="29"/>
      <c r="CK78" s="29"/>
      <c r="CL78" s="29"/>
      <c r="CM78" s="29">
        <v>8.3879999999999999</v>
      </c>
      <c r="CN78" s="29"/>
      <c r="CO78" s="29"/>
      <c r="CP78" s="29"/>
      <c r="CQ78" s="29"/>
      <c r="CR78" s="29"/>
      <c r="CS78" s="168" t="str">
        <f>IF(VLOOKUP($A78,'B-Ligands'!$A:$G,3,FALSE)="","",VLOOKUP($A78,'B-Ligands'!$A:$G,3,FALSE))</f>
        <v/>
      </c>
      <c r="CT78" s="169" t="str">
        <f>IF(VLOOKUP($A78,'B-Ligands'!$A:$G,4,FALSE)="","",VLOOKUP($A78,'B-Ligands'!$A:$G,4,FALSE))</f>
        <v>Adenosine</v>
      </c>
      <c r="CU78" s="134">
        <v>15.826662192947014</v>
      </c>
      <c r="CV78" s="135">
        <v>16.176651059293203</v>
      </c>
      <c r="CW78" s="135">
        <v>19.726814733883618</v>
      </c>
      <c r="CX78" s="135">
        <v>8.4559362135450762</v>
      </c>
      <c r="CY78" s="135">
        <v>8.4020886411477953</v>
      </c>
      <c r="CZ78" s="135">
        <v>15.957609220499446</v>
      </c>
      <c r="DA78" s="135">
        <v>15.553758074871865</v>
      </c>
      <c r="DB78" s="135">
        <v>13.333467522227712</v>
      </c>
      <c r="DC78" s="135">
        <v>21.814684831429357</v>
      </c>
      <c r="DD78" s="135">
        <v>13.593273305208411</v>
      </c>
      <c r="DE78" s="135">
        <v>24.504534925633351</v>
      </c>
      <c r="DF78" s="135">
        <v>17.830552331704464</v>
      </c>
      <c r="DG78" s="135">
        <v>22.484628256025736</v>
      </c>
      <c r="DH78" s="135">
        <v>11.753318040117419</v>
      </c>
      <c r="DI78" s="135">
        <v>25.397619150420557</v>
      </c>
      <c r="DJ78" s="66">
        <f t="shared" si="89"/>
        <v>0</v>
      </c>
      <c r="DK78" s="67">
        <f t="shared" si="90"/>
        <v>27.842598467947607</v>
      </c>
      <c r="DL78" s="67">
        <f t="shared" si="91"/>
        <v>13.778200062534411</v>
      </c>
      <c r="DM78" s="67">
        <f t="shared" si="92"/>
        <v>2.2008207642566786</v>
      </c>
      <c r="DN78" s="67">
        <f t="shared" si="93"/>
        <v>2.3232318574222286</v>
      </c>
      <c r="DO78" s="67">
        <f t="shared" si="94"/>
        <v>0</v>
      </c>
      <c r="DP78" s="67">
        <f t="shared" si="95"/>
        <v>0</v>
      </c>
      <c r="DQ78" s="67">
        <f t="shared" si="96"/>
        <v>0</v>
      </c>
      <c r="DR78" s="67">
        <f t="shared" si="97"/>
        <v>0</v>
      </c>
      <c r="DS78" s="67">
        <f t="shared" si="98"/>
        <v>3.6665193791772923</v>
      </c>
      <c r="DT78" s="67">
        <f t="shared" si="99"/>
        <v>0</v>
      </c>
      <c r="DU78" s="67">
        <f t="shared" si="100"/>
        <v>0</v>
      </c>
      <c r="DV78" s="67">
        <f t="shared" si="101"/>
        <v>0</v>
      </c>
      <c r="DW78" s="67">
        <f t="shared" si="102"/>
        <v>0</v>
      </c>
      <c r="DX78" s="67">
        <f t="shared" si="103"/>
        <v>0</v>
      </c>
    </row>
    <row r="79" spans="1:128" s="28" customFormat="1">
      <c r="A79" s="33" t="s">
        <v>45</v>
      </c>
      <c r="B79" s="205" t="s">
        <v>5559</v>
      </c>
      <c r="C79" t="str">
        <f>IF(VLOOKUP($A79,'B-Ligands'!$A:$G,5,FALSE)="","",VLOOKUP($A79,'B-Ligands'!$A:$G,5,FALSE))</f>
        <v>Guide To Pharmacology</v>
      </c>
      <c r="D79" s="19">
        <f>IF(VLOOKUP($A79,'B-Ligands'!$A:$G,6,FALSE)="","",VLOOKUP($A79,'B-Ligands'!$A:$G,6,FALSE))</f>
        <v>599</v>
      </c>
      <c r="E79" t="str">
        <f>IF(VLOOKUP($A79,'B-Ligands'!$A:$G,7,FALSE)="","",VLOOKUP($A79,'B-Ligands'!$A:$G,7,FALSE))</f>
        <v>Phys</v>
      </c>
      <c r="F79" s="20" t="str">
        <f t="shared" si="145"/>
        <v/>
      </c>
      <c r="G79" s="19">
        <f t="shared" si="146"/>
        <v>1</v>
      </c>
      <c r="H79" s="19">
        <f t="shared" si="147"/>
        <v>1</v>
      </c>
      <c r="I79" s="19">
        <f t="shared" si="148"/>
        <v>1</v>
      </c>
      <c r="J79" s="189">
        <f t="shared" si="104"/>
        <v>3</v>
      </c>
      <c r="K79" s="147" t="str">
        <f t="shared" si="105"/>
        <v>Gi/o</v>
      </c>
      <c r="L79" s="20">
        <f t="shared" si="106"/>
        <v>0</v>
      </c>
      <c r="M79" s="19">
        <f t="shared" si="107"/>
        <v>1</v>
      </c>
      <c r="N79" s="19">
        <f t="shared" si="108"/>
        <v>3</v>
      </c>
      <c r="O79" s="19">
        <f t="shared" si="109"/>
        <v>2</v>
      </c>
      <c r="P79" s="20">
        <f t="shared" si="110"/>
        <v>0</v>
      </c>
      <c r="Q79" s="19">
        <f t="shared" si="111"/>
        <v>100</v>
      </c>
      <c r="R79" s="19">
        <f t="shared" si="112"/>
        <v>63.035986699727161</v>
      </c>
      <c r="S79" s="19">
        <f t="shared" si="113"/>
        <v>72.368858015967461</v>
      </c>
      <c r="T79" s="20">
        <f t="shared" si="114"/>
        <v>0</v>
      </c>
      <c r="U79" s="21">
        <f t="shared" si="115"/>
        <v>9.2800646480495796</v>
      </c>
      <c r="V79" s="21">
        <f t="shared" si="116"/>
        <v>5.8497803172706151</v>
      </c>
      <c r="W79" s="21">
        <f t="shared" si="117"/>
        <v>6.7158768089369909</v>
      </c>
      <c r="X79" s="147" t="str">
        <f t="shared" si="118"/>
        <v>Gi1</v>
      </c>
      <c r="Y79" s="32">
        <f t="shared" si="119"/>
        <v>0</v>
      </c>
      <c r="Z79" s="31">
        <f t="shared" si="120"/>
        <v>100</v>
      </c>
      <c r="AA79" s="31">
        <f t="shared" si="121"/>
        <v>98.724328246039988</v>
      </c>
      <c r="AB79" s="31">
        <f t="shared" si="122"/>
        <v>93.538738307743458</v>
      </c>
      <c r="AC79" s="31">
        <f t="shared" si="123"/>
        <v>96.050516214094088</v>
      </c>
      <c r="AD79" s="31">
        <f t="shared" si="124"/>
        <v>85.469253940995486</v>
      </c>
      <c r="AE79" s="31">
        <f t="shared" si="125"/>
        <v>0</v>
      </c>
      <c r="AF79" s="31">
        <f t="shared" si="126"/>
        <v>0</v>
      </c>
      <c r="AG79" s="31">
        <f t="shared" si="127"/>
        <v>0</v>
      </c>
      <c r="AH79" s="31">
        <f t="shared" si="128"/>
        <v>63.035986699727161</v>
      </c>
      <c r="AI79" s="31">
        <f t="shared" si="129"/>
        <v>72.368858015967461</v>
      </c>
      <c r="AJ79" s="31">
        <f t="shared" si="130"/>
        <v>63.66607871934297</v>
      </c>
      <c r="AK79" s="7" cm="1">
        <f t="array" ref="AK79">_xlfn.IFS(AZ79=0,0,AZ79&gt;0,(LOG(0.01*AZ79/10^-CD79)))</f>
        <v>0</v>
      </c>
      <c r="AL79" s="8" cm="1">
        <f t="array" ref="AL79">_xlfn.IFS(BA79=0,0,BA79&gt;0,(LOG(0.01*BA79/10^-CE79)))</f>
        <v>9.2800646480495796</v>
      </c>
      <c r="AM79" s="8" cm="1">
        <f t="array" ref="AM79">_xlfn.IFS(BB79=0,0,BB79&gt;0,(LOG(0.01*BB79/10^-CF79)))</f>
        <v>9.1616814845851824</v>
      </c>
      <c r="AN79" s="8" cm="1">
        <f t="array" ref="AN79">_xlfn.IFS(BC79=0,0,BC79&gt;0,(LOG(0.01*BC79/10^-CG79)))</f>
        <v>8.6804553859285107</v>
      </c>
      <c r="AO79" s="8" cm="1">
        <f t="array" ref="AO79">_xlfn.IFS(BD79=0,0,BD79&gt;0,(LOG(0.01*BD79/10^-CH79)))</f>
        <v>8.9135499994532754</v>
      </c>
      <c r="AP79" s="8" cm="1">
        <f t="array" ref="AP79">_xlfn.IFS(BE79=0,0,BE79&gt;0,(LOG(0.01*BE79/10^-CI79)))</f>
        <v>7.931602019930045</v>
      </c>
      <c r="AQ79" s="8" cm="1">
        <f t="array" ref="AQ79">_xlfn.IFS(BF79=0,0,BF79&gt;0,(LOG(0.01*BF79/10^-CJ79)))</f>
        <v>0</v>
      </c>
      <c r="AR79" s="8" cm="1">
        <f t="array" ref="AR79">_xlfn.IFS(BG79=0,0,BG79&gt;0,(LOG(0.01*BG79/10^-CK79)))</f>
        <v>0</v>
      </c>
      <c r="AS79" s="8" cm="1">
        <f t="array" ref="AS79">_xlfn.IFS(BH79=0,0,BH79&gt;0,(LOG(0.01*BH79/10^-CL79)))</f>
        <v>0</v>
      </c>
      <c r="AT79" s="8" cm="1">
        <f t="array" ref="AT79">_xlfn.IFS(BI79=0,0,BI79&gt;0,(LOG(0.01*BI79/10^-CM79)))</f>
        <v>5.8497803172706151</v>
      </c>
      <c r="AU79" s="8" cm="1">
        <f t="array" ref="AU79">_xlfn.IFS(BJ79=0,0,BJ79&gt;0,(LOG(0.01*BJ79/10^-CN79)))</f>
        <v>6.7158768089369909</v>
      </c>
      <c r="AV79" s="8" cm="1">
        <f t="array" ref="AV79">_xlfn.IFS(BK79=0,0,BK79&gt;0,(LOG(0.01*BK79/10^-CO79)))</f>
        <v>5.9082532640331635</v>
      </c>
      <c r="AW79" s="8" cm="1">
        <f t="array" ref="AW79">_xlfn.IFS(BL79=0,0,BL79&gt;0,(LOG(0.01*BL79/10^-CP79)))</f>
        <v>7.7021441100803107</v>
      </c>
      <c r="AX79" s="8" cm="1">
        <f t="array" ref="AX79">_xlfn.IFS(BM79=0,0,BM79&gt;0,(LOG(0.01*BM79/10^-CQ79)))</f>
        <v>6.6774119715361309</v>
      </c>
      <c r="AY79" s="8" cm="1">
        <f t="array" ref="AY79">_xlfn.IFS(BN79=0,0,BN79&gt;0,(LOG(0.01*BN79/10^-CR79)))</f>
        <v>7.7366742065087992</v>
      </c>
      <c r="AZ79" s="32">
        <f t="shared" si="88"/>
        <v>0</v>
      </c>
      <c r="BA79" s="31">
        <f t="shared" si="131"/>
        <v>58.353196099674975</v>
      </c>
      <c r="BB79" s="31">
        <f t="shared" si="132"/>
        <v>35.373781148429039</v>
      </c>
      <c r="BC79" s="31">
        <f t="shared" si="133"/>
        <v>17.118093174431202</v>
      </c>
      <c r="BD79" s="31">
        <f t="shared" si="134"/>
        <v>29.891657638136508</v>
      </c>
      <c r="BE79" s="31">
        <f t="shared" si="135"/>
        <v>13.759479956663055</v>
      </c>
      <c r="BF79" s="31">
        <f t="shared" si="136"/>
        <v>0</v>
      </c>
      <c r="BG79" s="31">
        <f t="shared" si="137"/>
        <v>0</v>
      </c>
      <c r="BH79" s="31">
        <f t="shared" si="138"/>
        <v>0</v>
      </c>
      <c r="BI79" s="31">
        <f t="shared" si="139"/>
        <v>3.6879100281162138</v>
      </c>
      <c r="BJ79" s="31">
        <f t="shared" si="140"/>
        <v>3.026054941942792</v>
      </c>
      <c r="BK79" s="31">
        <f t="shared" si="141"/>
        <v>4.5525346927216086</v>
      </c>
      <c r="BL79" s="31">
        <f t="shared" si="142"/>
        <v>7.6938569989929508</v>
      </c>
      <c r="BM79" s="31">
        <f t="shared" si="143"/>
        <v>7.7341389728096681</v>
      </c>
      <c r="BN79" s="31">
        <f t="shared" si="144"/>
        <v>5.9248069822087945</v>
      </c>
      <c r="BO79" s="134"/>
      <c r="BP79" s="135">
        <v>538.6</v>
      </c>
      <c r="BQ79" s="135">
        <v>326.5</v>
      </c>
      <c r="BR79" s="135">
        <v>158</v>
      </c>
      <c r="BS79" s="135">
        <v>275.89999999999998</v>
      </c>
      <c r="BT79" s="135">
        <v>127</v>
      </c>
      <c r="BU79" s="135"/>
      <c r="BV79" s="135"/>
      <c r="BW79" s="135"/>
      <c r="BX79" s="135">
        <v>39.35</v>
      </c>
      <c r="BY79" s="135">
        <v>21.37</v>
      </c>
      <c r="BZ79" s="135">
        <v>32.15</v>
      </c>
      <c r="CA79" s="135">
        <v>229.2</v>
      </c>
      <c r="CB79" s="135">
        <v>230.4</v>
      </c>
      <c r="CC79" s="135">
        <v>176.5</v>
      </c>
      <c r="CD79" s="30"/>
      <c r="CE79" s="29">
        <v>9.5139999999999993</v>
      </c>
      <c r="CF79" s="29">
        <v>9.6129999999999995</v>
      </c>
      <c r="CG79" s="29">
        <v>9.4469999999999992</v>
      </c>
      <c r="CH79" s="29">
        <v>9.4380000000000006</v>
      </c>
      <c r="CI79" s="29">
        <v>8.7929999999999993</v>
      </c>
      <c r="CJ79" s="29"/>
      <c r="CK79" s="29"/>
      <c r="CL79" s="29"/>
      <c r="CM79" s="29">
        <v>7.2830000000000004</v>
      </c>
      <c r="CN79" s="29">
        <v>8.2349999999999994</v>
      </c>
      <c r="CO79" s="29">
        <v>7.25</v>
      </c>
      <c r="CP79" s="29">
        <v>8.8160000000000007</v>
      </c>
      <c r="CQ79" s="29">
        <v>7.7889999999999997</v>
      </c>
      <c r="CR79" s="29">
        <v>8.9640000000000004</v>
      </c>
      <c r="CS79" s="168" t="str">
        <f>IF(VLOOKUP($A79,'B-Ligands'!$A:$G,3,FALSE)="","",VLOOKUP($A79,'B-Ligands'!$A:$G,3,FALSE))</f>
        <v/>
      </c>
      <c r="CT79" s="169" t="str">
        <f>IF(VLOOKUP($A79,'B-Ligands'!$A:$G,4,FALSE)="","",VLOOKUP($A79,'B-Ligands'!$A:$G,4,FALSE))</f>
        <v>[Pyr1]-Apelin 13</v>
      </c>
      <c r="CU79" s="134">
        <v>9.5417335864574824</v>
      </c>
      <c r="CV79" s="135">
        <v>16.231729414270724</v>
      </c>
      <c r="CW79" s="135">
        <v>20.842076150110554</v>
      </c>
      <c r="CX79" s="135">
        <v>16.5766986646669</v>
      </c>
      <c r="CY79" s="135">
        <v>9.0797335541688717</v>
      </c>
      <c r="CZ79" s="135">
        <v>10.887014914812182</v>
      </c>
      <c r="DA79" s="135">
        <v>11.899832735746607</v>
      </c>
      <c r="DB79" s="135">
        <v>13.568433841645273</v>
      </c>
      <c r="DC79" s="135">
        <v>12.637955706357184</v>
      </c>
      <c r="DD79" s="135">
        <v>17.556483289856153</v>
      </c>
      <c r="DE79" s="135">
        <v>3.3118818695404655</v>
      </c>
      <c r="DF79" s="135">
        <v>3.870699746708758</v>
      </c>
      <c r="DG79" s="135">
        <v>22.654754547666059</v>
      </c>
      <c r="DH79" s="135">
        <v>15.939219294264889</v>
      </c>
      <c r="DI79" s="135">
        <v>25.979455267018771</v>
      </c>
      <c r="DJ79" s="66">
        <f t="shared" si="89"/>
        <v>0</v>
      </c>
      <c r="DK79" s="67">
        <f t="shared" si="90"/>
        <v>33.181923272234314</v>
      </c>
      <c r="DL79" s="67">
        <f t="shared" si="91"/>
        <v>15.665425922468291</v>
      </c>
      <c r="DM79" s="67">
        <f t="shared" si="92"/>
        <v>9.5314515390676515</v>
      </c>
      <c r="DN79" s="67">
        <f t="shared" si="93"/>
        <v>30.386354219978532</v>
      </c>
      <c r="DO79" s="67">
        <f t="shared" si="94"/>
        <v>11.665272895622826</v>
      </c>
      <c r="DP79" s="67">
        <f t="shared" si="95"/>
        <v>0</v>
      </c>
      <c r="DQ79" s="67">
        <f t="shared" si="96"/>
        <v>0</v>
      </c>
      <c r="DR79" s="67">
        <f t="shared" si="97"/>
        <v>0</v>
      </c>
      <c r="DS79" s="67">
        <f t="shared" si="98"/>
        <v>2.2413372513352821</v>
      </c>
      <c r="DT79" s="67">
        <f t="shared" si="99"/>
        <v>6.4525248308343679</v>
      </c>
      <c r="DU79" s="67">
        <f t="shared" si="100"/>
        <v>8.3059917079171601</v>
      </c>
      <c r="DV79" s="67">
        <f t="shared" si="101"/>
        <v>10.117081582930355</v>
      </c>
      <c r="DW79" s="67">
        <f t="shared" si="102"/>
        <v>14.454911231624784</v>
      </c>
      <c r="DX79" s="67">
        <f t="shared" si="103"/>
        <v>6.7938299008166219</v>
      </c>
    </row>
    <row r="80" spans="1:128" s="28" customFormat="1">
      <c r="A80" s="33" t="s">
        <v>86</v>
      </c>
      <c r="B80" s="205" t="s">
        <v>5559</v>
      </c>
      <c r="C80" t="str">
        <f>IF(VLOOKUP($A80,'B-Ligands'!$A:$G,5,FALSE)="","",VLOOKUP($A80,'B-Ligands'!$A:$G,5,FALSE))</f>
        <v>Guide To Pharmacology</v>
      </c>
      <c r="D80" s="19">
        <f>IF(VLOOKUP($A80,'B-Ligands'!$A:$G,6,FALSE)="","",VLOOKUP($A80,'B-Ligands'!$A:$G,6,FALSE))</f>
        <v>4350</v>
      </c>
      <c r="E80" t="str">
        <f>IF(VLOOKUP($A80,'B-Ligands'!$A:$G,7,FALSE)="","",VLOOKUP($A80,'B-Ligands'!$A:$G,7,FALSE))</f>
        <v>Phys</v>
      </c>
      <c r="F80" s="20" t="str">
        <f t="shared" si="145"/>
        <v/>
      </c>
      <c r="G80" s="19">
        <f t="shared" si="146"/>
        <v>1</v>
      </c>
      <c r="H80" s="19">
        <f t="shared" si="147"/>
        <v>1</v>
      </c>
      <c r="I80" s="19">
        <f t="shared" si="148"/>
        <v>1</v>
      </c>
      <c r="J80" s="189">
        <f t="shared" si="104"/>
        <v>3</v>
      </c>
      <c r="K80" s="147" t="str">
        <f t="shared" si="105"/>
        <v>Gi/o</v>
      </c>
      <c r="L80" s="20">
        <f t="shared" si="106"/>
        <v>0</v>
      </c>
      <c r="M80" s="19">
        <f t="shared" si="107"/>
        <v>1</v>
      </c>
      <c r="N80" s="19">
        <f t="shared" si="108"/>
        <v>3</v>
      </c>
      <c r="O80" s="19">
        <f t="shared" si="109"/>
        <v>2</v>
      </c>
      <c r="P80" s="20">
        <f t="shared" si="110"/>
        <v>0</v>
      </c>
      <c r="Q80" s="19">
        <f t="shared" si="111"/>
        <v>100</v>
      </c>
      <c r="R80" s="19">
        <f t="shared" si="112"/>
        <v>77.920182998126535</v>
      </c>
      <c r="S80" s="19">
        <f t="shared" si="113"/>
        <v>86.741549583839273</v>
      </c>
      <c r="T80" s="20">
        <f t="shared" si="114"/>
        <v>0</v>
      </c>
      <c r="U80" s="21">
        <f t="shared" si="115"/>
        <v>9.0612370872611088</v>
      </c>
      <c r="V80" s="21">
        <f t="shared" si="116"/>
        <v>7.0605325202879667</v>
      </c>
      <c r="W80" s="21">
        <f t="shared" si="117"/>
        <v>7.859857460955828</v>
      </c>
      <c r="X80" s="147" t="str">
        <f t="shared" si="118"/>
        <v>GoB</v>
      </c>
      <c r="Y80" s="32">
        <f t="shared" si="119"/>
        <v>0</v>
      </c>
      <c r="Z80" s="31">
        <f t="shared" si="120"/>
        <v>98.286024529218224</v>
      </c>
      <c r="AA80" s="31">
        <f t="shared" si="121"/>
        <v>98.734390225796204</v>
      </c>
      <c r="AB80" s="31">
        <f t="shared" si="122"/>
        <v>92.850266957659016</v>
      </c>
      <c r="AC80" s="31">
        <f t="shared" si="123"/>
        <v>100</v>
      </c>
      <c r="AD80" s="31">
        <f t="shared" si="124"/>
        <v>91.381438201164244</v>
      </c>
      <c r="AE80" s="31">
        <f t="shared" si="125"/>
        <v>0</v>
      </c>
      <c r="AF80" s="31">
        <f t="shared" si="126"/>
        <v>0</v>
      </c>
      <c r="AG80" s="31">
        <f t="shared" si="127"/>
        <v>0</v>
      </c>
      <c r="AH80" s="31">
        <f t="shared" si="128"/>
        <v>77.920182998126535</v>
      </c>
      <c r="AI80" s="31">
        <f t="shared" si="129"/>
        <v>86.741549583839273</v>
      </c>
      <c r="AJ80" s="31">
        <f t="shared" si="130"/>
        <v>0</v>
      </c>
      <c r="AK80" s="7" cm="1">
        <f t="array" ref="AK80">_xlfn.IFS(AZ80=0,0,AZ80&gt;0,(LOG(0.01*AZ80/10^-CD80)))</f>
        <v>0</v>
      </c>
      <c r="AL80" s="8" cm="1">
        <f t="array" ref="AL80">_xlfn.IFS(BA80=0,0,BA80&gt;0,(LOG(0.01*BA80/10^-CE80)))</f>
        <v>8.9059297062360727</v>
      </c>
      <c r="AM80" s="8" cm="1">
        <f t="array" ref="AM80">_xlfn.IFS(BB80=0,0,BB80&gt;0,(LOG(0.01*BB80/10^-CF80)))</f>
        <v>8.9465571850209535</v>
      </c>
      <c r="AN80" s="8" cm="1">
        <f t="array" ref="AN80">_xlfn.IFS(BC80=0,0,BC80&gt;0,(LOG(0.01*BC80/10^-CG80)))</f>
        <v>8.4133828251883447</v>
      </c>
      <c r="AO80" s="8" cm="1">
        <f t="array" ref="AO80">_xlfn.IFS(BD80=0,0,BD80&gt;0,(LOG(0.01*BD80/10^-CH80)))</f>
        <v>9.0612370872611088</v>
      </c>
      <c r="AP80" s="8" cm="1">
        <f t="array" ref="AP80">_xlfn.IFS(BE80=0,0,BE80&gt;0,(LOG(0.01*BE80/10^-CI80)))</f>
        <v>8.2802887691564848</v>
      </c>
      <c r="AQ80" s="8" cm="1">
        <f t="array" ref="AQ80">_xlfn.IFS(BF80=0,0,BF80&gt;0,(LOG(0.01*BF80/10^-CJ80)))</f>
        <v>0</v>
      </c>
      <c r="AR80" s="8" cm="1">
        <f t="array" ref="AR80">_xlfn.IFS(BG80=0,0,BG80&gt;0,(LOG(0.01*BG80/10^-CK80)))</f>
        <v>0</v>
      </c>
      <c r="AS80" s="8" cm="1">
        <f t="array" ref="AS80">_xlfn.IFS(BH80=0,0,BH80&gt;0,(LOG(0.01*BH80/10^-CL80)))</f>
        <v>0</v>
      </c>
      <c r="AT80" s="8" cm="1">
        <f t="array" ref="AT80">_xlfn.IFS(BI80=0,0,BI80&gt;0,(LOG(0.01*BI80/10^-CM80)))</f>
        <v>7.0605325202879667</v>
      </c>
      <c r="AU80" s="8" cm="1">
        <f t="array" ref="AU80">_xlfn.IFS(BJ80=0,0,BJ80&gt;0,(LOG(0.01*BJ80/10^-CN80)))</f>
        <v>7.859857460955828</v>
      </c>
      <c r="AV80" s="8" cm="1">
        <f t="array" ref="AV80">_xlfn.IFS(BK80=0,0,BK80&gt;0,(LOG(0.01*BK80/10^-CO80)))</f>
        <v>0</v>
      </c>
      <c r="AW80" s="8" cm="1">
        <f t="array" ref="AW80">_xlfn.IFS(BL80=0,0,BL80&gt;0,(LOG(0.01*BL80/10^-CP80)))</f>
        <v>8.5182043641691365</v>
      </c>
      <c r="AX80" s="8" cm="1">
        <f t="array" ref="AX80">_xlfn.IFS(BM80=0,0,BM80&gt;0,(LOG(0.01*BM80/10^-CQ80)))</f>
        <v>7.4578926749445058</v>
      </c>
      <c r="AY80" s="8" cm="1">
        <f t="array" ref="AY80">_xlfn.IFS(BN80=0,0,BN80&gt;0,(LOG(0.01*BN80/10^-CR80)))</f>
        <v>8.080932506084757</v>
      </c>
      <c r="AZ80" s="32">
        <f t="shared" si="88"/>
        <v>0</v>
      </c>
      <c r="BA80" s="31">
        <f t="shared" si="131"/>
        <v>14.485373781148427</v>
      </c>
      <c r="BB80" s="31">
        <f t="shared" si="132"/>
        <v>15.579631635969665</v>
      </c>
      <c r="BC80" s="31">
        <f t="shared" si="133"/>
        <v>17.963163596966414</v>
      </c>
      <c r="BD80" s="31">
        <f t="shared" si="134"/>
        <v>20.617551462621886</v>
      </c>
      <c r="BE80" s="31">
        <f t="shared" si="135"/>
        <v>13.282773564463705</v>
      </c>
      <c r="BF80" s="31">
        <f t="shared" si="136"/>
        <v>0</v>
      </c>
      <c r="BG80" s="31">
        <f t="shared" si="137"/>
        <v>0</v>
      </c>
      <c r="BH80" s="31">
        <f t="shared" si="138"/>
        <v>0</v>
      </c>
      <c r="BI80" s="31">
        <f t="shared" si="139"/>
        <v>3.5688847235238987</v>
      </c>
      <c r="BJ80" s="31">
        <f t="shared" si="140"/>
        <v>7.5658453695836867</v>
      </c>
      <c r="BK80" s="31">
        <f t="shared" si="141"/>
        <v>0</v>
      </c>
      <c r="BL80" s="31">
        <f t="shared" si="142"/>
        <v>37.428667338032895</v>
      </c>
      <c r="BM80" s="31">
        <f t="shared" si="143"/>
        <v>16.861362873447465</v>
      </c>
      <c r="BN80" s="31">
        <f t="shared" si="144"/>
        <v>19.227928835179586</v>
      </c>
      <c r="BO80" s="132"/>
      <c r="BP80" s="133">
        <v>133.69999999999999</v>
      </c>
      <c r="BQ80" s="133">
        <v>143.80000000000001</v>
      </c>
      <c r="BR80" s="133">
        <v>165.8</v>
      </c>
      <c r="BS80" s="133">
        <v>190.3</v>
      </c>
      <c r="BT80" s="133">
        <v>122.6</v>
      </c>
      <c r="BU80" s="133"/>
      <c r="BV80" s="133"/>
      <c r="BW80" s="133"/>
      <c r="BX80" s="133">
        <v>38.08</v>
      </c>
      <c r="BY80" s="133">
        <v>53.43</v>
      </c>
      <c r="BZ80" s="176"/>
      <c r="CA80" s="133">
        <v>1115</v>
      </c>
      <c r="CB80" s="133">
        <v>502.3</v>
      </c>
      <c r="CC80" s="133">
        <v>572.79999999999995</v>
      </c>
      <c r="CD80" s="36"/>
      <c r="CE80" s="34">
        <v>9.7449999999999992</v>
      </c>
      <c r="CF80" s="34">
        <v>9.7539999999999996</v>
      </c>
      <c r="CG80" s="34">
        <v>9.1590000000000007</v>
      </c>
      <c r="CH80" s="34">
        <v>9.7469999999999999</v>
      </c>
      <c r="CI80" s="34">
        <v>9.157</v>
      </c>
      <c r="CJ80" s="34"/>
      <c r="CK80" s="34"/>
      <c r="CL80" s="34"/>
      <c r="CM80" s="34">
        <v>8.5079999999999991</v>
      </c>
      <c r="CN80" s="34">
        <v>8.9809999999999999</v>
      </c>
      <c r="CO80" s="39"/>
      <c r="CP80" s="34">
        <v>8.9450000000000003</v>
      </c>
      <c r="CQ80" s="34">
        <v>8.2309999999999999</v>
      </c>
      <c r="CR80" s="34">
        <v>8.7970000000000006</v>
      </c>
      <c r="CS80" s="168" t="str">
        <f>IF(VLOOKUP($A80,'B-Ligands'!$A:$G,3,FALSE)="","",VLOOKUP($A80,'B-Ligands'!$A:$G,3,FALSE))</f>
        <v/>
      </c>
      <c r="CT80" s="169" t="str">
        <f>IF(VLOOKUP($A80,'B-Ligands'!$A:$G,4,FALSE)="","",VLOOKUP($A80,'B-Ligands'!$A:$G,4,FALSE))</f>
        <v>7α,25-dihydroxycholesterol</v>
      </c>
      <c r="CU80" s="132">
        <v>13.980470771621819</v>
      </c>
      <c r="CV80" s="133">
        <v>3.3586349302381548</v>
      </c>
      <c r="CW80" s="133">
        <v>13.825663596867562</v>
      </c>
      <c r="CX80" s="133">
        <v>0.85380621219012842</v>
      </c>
      <c r="CY80" s="133">
        <v>21.671110226050871</v>
      </c>
      <c r="CZ80" s="133">
        <v>22.184132390561992</v>
      </c>
      <c r="DA80" s="133">
        <v>12.156322740644775</v>
      </c>
      <c r="DB80" s="133">
        <v>17.691974475400364</v>
      </c>
      <c r="DC80" s="133">
        <v>9.8806168451505467</v>
      </c>
      <c r="DD80" s="133">
        <v>9.6764197753666057</v>
      </c>
      <c r="DE80" s="133">
        <v>3.8907229168133126</v>
      </c>
      <c r="DF80" s="133">
        <v>7.5402757386543469</v>
      </c>
      <c r="DG80" s="133">
        <v>19.265042374826649</v>
      </c>
      <c r="DH80" s="133">
        <v>4.8673667240504868</v>
      </c>
      <c r="DI80" s="133">
        <v>23.129992917820335</v>
      </c>
      <c r="DJ80" s="66">
        <f t="shared" si="89"/>
        <v>0</v>
      </c>
      <c r="DK80" s="67">
        <f t="shared" si="90"/>
        <v>39.807839427942696</v>
      </c>
      <c r="DL80" s="67">
        <f t="shared" si="91"/>
        <v>10.400947411492085</v>
      </c>
      <c r="DM80" s="67">
        <f t="shared" si="92"/>
        <v>194.1892640657891</v>
      </c>
      <c r="DN80" s="67">
        <f t="shared" si="93"/>
        <v>8.7812759943992216</v>
      </c>
      <c r="DO80" s="67">
        <f t="shared" si="94"/>
        <v>5.5264726085099856</v>
      </c>
      <c r="DP80" s="67">
        <f t="shared" si="95"/>
        <v>0</v>
      </c>
      <c r="DQ80" s="67">
        <f t="shared" si="96"/>
        <v>0</v>
      </c>
      <c r="DR80" s="67">
        <f t="shared" si="97"/>
        <v>0</v>
      </c>
      <c r="DS80" s="67">
        <f t="shared" si="98"/>
        <v>3.9353398141057063</v>
      </c>
      <c r="DT80" s="67">
        <f t="shared" si="99"/>
        <v>13.732666433044715</v>
      </c>
      <c r="DU80" s="67">
        <f t="shared" si="100"/>
        <v>0</v>
      </c>
      <c r="DV80" s="67">
        <f t="shared" si="101"/>
        <v>57.876851672901289</v>
      </c>
      <c r="DW80" s="67">
        <f t="shared" si="102"/>
        <v>103.19748407656449</v>
      </c>
      <c r="DX80" s="67">
        <f t="shared" si="103"/>
        <v>24.764382852823545</v>
      </c>
    </row>
    <row r="81" spans="1:128" s="28" customFormat="1">
      <c r="A81" s="33" t="s">
        <v>91</v>
      </c>
      <c r="B81" s="205" t="s">
        <v>5559</v>
      </c>
      <c r="C81" t="str">
        <f>IF(VLOOKUP($A81,'B-Ligands'!$A:$G,5,FALSE)="","",VLOOKUP($A81,'B-Ligands'!$A:$G,5,FALSE))</f>
        <v>Guide To Pharmacology</v>
      </c>
      <c r="D81" s="19">
        <f>IF(VLOOKUP($A81,'B-Ligands'!$A:$G,6,FALSE)="","",VLOOKUP($A81,'B-Ligands'!$A:$G,6,FALSE))</f>
        <v>566</v>
      </c>
      <c r="E81" t="str">
        <f>IF(VLOOKUP($A81,'B-Ligands'!$A:$G,7,FALSE)="","",VLOOKUP($A81,'B-Ligands'!$A:$G,7,FALSE))</f>
        <v>Phys</v>
      </c>
      <c r="F81" s="20" t="str">
        <f t="shared" si="145"/>
        <v/>
      </c>
      <c r="G81" s="19">
        <f t="shared" si="146"/>
        <v>1</v>
      </c>
      <c r="H81" s="19">
        <f t="shared" si="147"/>
        <v>1</v>
      </c>
      <c r="I81" s="19">
        <f t="shared" si="148"/>
        <v>1</v>
      </c>
      <c r="J81" s="189">
        <f t="shared" si="104"/>
        <v>3</v>
      </c>
      <c r="K81" s="147" t="str">
        <f t="shared" si="105"/>
        <v>G12/13</v>
      </c>
      <c r="L81" s="20">
        <f t="shared" si="106"/>
        <v>0</v>
      </c>
      <c r="M81" s="19">
        <f t="shared" si="107"/>
        <v>2</v>
      </c>
      <c r="N81" s="19">
        <f t="shared" si="108"/>
        <v>3</v>
      </c>
      <c r="O81" s="19">
        <f t="shared" si="109"/>
        <v>1</v>
      </c>
      <c r="P81" s="20">
        <f t="shared" si="110"/>
        <v>0</v>
      </c>
      <c r="Q81" s="19">
        <f t="shared" si="111"/>
        <v>77.38991167341436</v>
      </c>
      <c r="R81" s="19">
        <f t="shared" si="112"/>
        <v>76.81057287578615</v>
      </c>
      <c r="S81" s="19">
        <f t="shared" si="113"/>
        <v>100</v>
      </c>
      <c r="T81" s="20">
        <f t="shared" si="114"/>
        <v>0</v>
      </c>
      <c r="U81" s="21">
        <f t="shared" si="115"/>
        <v>3.5758233930694105</v>
      </c>
      <c r="V81" s="21">
        <f t="shared" si="116"/>
        <v>3.5490548753094493</v>
      </c>
      <c r="W81" s="21">
        <f t="shared" si="117"/>
        <v>4.6205291048262147</v>
      </c>
      <c r="X81" s="147" t="str">
        <f t="shared" si="118"/>
        <v>G13</v>
      </c>
      <c r="Y81" s="32">
        <f t="shared" si="119"/>
        <v>0</v>
      </c>
      <c r="Z81" s="31">
        <f t="shared" si="120"/>
        <v>76.538009384118411</v>
      </c>
      <c r="AA81" s="31">
        <f t="shared" si="121"/>
        <v>67.883691908974043</v>
      </c>
      <c r="AB81" s="31">
        <f t="shared" si="122"/>
        <v>72.038650510071903</v>
      </c>
      <c r="AC81" s="31">
        <f t="shared" si="123"/>
        <v>77.38991167341436</v>
      </c>
      <c r="AD81" s="31">
        <f t="shared" si="124"/>
        <v>0</v>
      </c>
      <c r="AE81" s="31">
        <f t="shared" si="125"/>
        <v>75.776996661352598</v>
      </c>
      <c r="AF81" s="31">
        <f t="shared" si="126"/>
        <v>71.833662223655907</v>
      </c>
      <c r="AG81" s="31">
        <f t="shared" si="127"/>
        <v>76.81057287578615</v>
      </c>
      <c r="AH81" s="31">
        <f t="shared" si="128"/>
        <v>63.360721135904662</v>
      </c>
      <c r="AI81" s="31">
        <f t="shared" si="129"/>
        <v>0</v>
      </c>
      <c r="AJ81" s="31">
        <f t="shared" si="130"/>
        <v>100</v>
      </c>
      <c r="AK81" s="7" cm="1">
        <f t="array" ref="AK81">_xlfn.IFS(AZ81=0,0,AZ81&gt;0,(LOG(0.01*AZ81/10^-CD81)))</f>
        <v>0</v>
      </c>
      <c r="AL81" s="8" cm="1">
        <f t="array" ref="AL81">_xlfn.IFS(BA81=0,0,BA81&gt;0,(LOG(0.01*BA81/10^-CE81)))</f>
        <v>3.5364609998478107</v>
      </c>
      <c r="AM81" s="8" cm="1">
        <f t="array" ref="AM81">_xlfn.IFS(BB81=0,0,BB81&gt;0,(LOG(0.01*BB81/10^-CF81)))</f>
        <v>3.1365857420847041</v>
      </c>
      <c r="AN81" s="8" cm="1">
        <f t="array" ref="AN81">_xlfn.IFS(BC81=0,0,BC81&gt;0,(LOG(0.01*BC81/10^-CG81)))</f>
        <v>3.3285668135419106</v>
      </c>
      <c r="AO81" s="8" cm="1">
        <f t="array" ref="AO81">_xlfn.IFS(BD81=0,0,BD81&gt;0,(LOG(0.01*BD81/10^-CH81)))</f>
        <v>3.5758233930694105</v>
      </c>
      <c r="AP81" s="8" cm="1">
        <f t="array" ref="AP81">_xlfn.IFS(BE81=0,0,BE81&gt;0,(LOG(0.01*BE81/10^-CI81)))</f>
        <v>0</v>
      </c>
      <c r="AQ81" s="8" cm="1">
        <f t="array" ref="AQ81">_xlfn.IFS(BF81=0,0,BF81&gt;0,(LOG(0.01*BF81/10^-CJ81)))</f>
        <v>3.5012981855009855</v>
      </c>
      <c r="AR81" s="8" cm="1">
        <f t="array" ref="AR81">_xlfn.IFS(BG81=0,0,BG81&gt;0,(LOG(0.01*BG81/10^-CK81)))</f>
        <v>3.3190952701065748</v>
      </c>
      <c r="AS81" s="8" cm="1">
        <f t="array" ref="AS81">_xlfn.IFS(BH81=0,0,BH81&gt;0,(LOG(0.01*BH81/10^-CL81)))</f>
        <v>3.5490548753094493</v>
      </c>
      <c r="AT81" s="8" cm="1">
        <f t="array" ref="AT81">_xlfn.IFS(BI81=0,0,BI81&gt;0,(LOG(0.01*BI81/10^-CM81)))</f>
        <v>2.92760056111225</v>
      </c>
      <c r="AU81" s="8" cm="1">
        <f t="array" ref="AU81">_xlfn.IFS(BJ81=0,0,BJ81&gt;0,(LOG(0.01*BJ81/10^-CN81)))</f>
        <v>0</v>
      </c>
      <c r="AV81" s="8" cm="1">
        <f t="array" ref="AV81">_xlfn.IFS(BK81=0,0,BK81&gt;0,(LOG(0.01*BK81/10^-CO81)))</f>
        <v>4.6205291048262147</v>
      </c>
      <c r="AW81" s="8" cm="1">
        <f t="array" ref="AW81">_xlfn.IFS(BL81=0,0,BL81&gt;0,(LOG(0.01*BL81/10^-CP81)))</f>
        <v>0</v>
      </c>
      <c r="AX81" s="8" cm="1">
        <f t="array" ref="AX81">_xlfn.IFS(BM81=0,0,BM81&gt;0,(LOG(0.01*BM81/10^-CQ81)))</f>
        <v>2.343003445211262</v>
      </c>
      <c r="AY81" s="8" cm="1">
        <f t="array" ref="AY81">_xlfn.IFS(BN81=0,0,BN81&gt;0,(LOG(0.01*BN81/10^-CR81)))</f>
        <v>2.165349243522134</v>
      </c>
      <c r="AZ81" s="32">
        <f t="shared" si="88"/>
        <v>0</v>
      </c>
      <c r="BA81" s="31">
        <f t="shared" si="131"/>
        <v>27.508125677139763</v>
      </c>
      <c r="BB81" s="31">
        <f t="shared" si="132"/>
        <v>8.7616468039003248</v>
      </c>
      <c r="BC81" s="31">
        <f t="shared" si="133"/>
        <v>14.810400866738894</v>
      </c>
      <c r="BD81" s="31">
        <f t="shared" si="134"/>
        <v>21.321776814734562</v>
      </c>
      <c r="BE81" s="31">
        <f t="shared" si="135"/>
        <v>0</v>
      </c>
      <c r="BF81" s="31">
        <f t="shared" si="136"/>
        <v>10.599812558575445</v>
      </c>
      <c r="BG81" s="31">
        <f t="shared" si="137"/>
        <v>12.708528584817245</v>
      </c>
      <c r="BH81" s="31">
        <f t="shared" si="138"/>
        <v>19.681349578256796</v>
      </c>
      <c r="BI81" s="31">
        <f t="shared" si="139"/>
        <v>3.528584817244611</v>
      </c>
      <c r="BJ81" s="31">
        <f t="shared" si="140"/>
        <v>0</v>
      </c>
      <c r="BK81" s="31">
        <f t="shared" si="141"/>
        <v>16.964032851883317</v>
      </c>
      <c r="BL81" s="31">
        <f t="shared" si="142"/>
        <v>0</v>
      </c>
      <c r="BM81" s="31">
        <f t="shared" si="143"/>
        <v>2.0701577710641157</v>
      </c>
      <c r="BN81" s="31">
        <f t="shared" si="144"/>
        <v>1.3910708291372944</v>
      </c>
      <c r="BO81" s="134"/>
      <c r="BP81" s="135">
        <v>253.9</v>
      </c>
      <c r="BQ81" s="135">
        <v>80.87</v>
      </c>
      <c r="BR81" s="135">
        <v>136.69999999999999</v>
      </c>
      <c r="BS81" s="135">
        <v>196.8</v>
      </c>
      <c r="BT81" s="173"/>
      <c r="BU81" s="135">
        <v>113.1</v>
      </c>
      <c r="BV81" s="135">
        <v>135.6</v>
      </c>
      <c r="BW81" s="135">
        <v>210</v>
      </c>
      <c r="BX81" s="135">
        <v>37.65</v>
      </c>
      <c r="BY81" s="135"/>
      <c r="BZ81" s="135">
        <v>119.8</v>
      </c>
      <c r="CA81" s="135"/>
      <c r="CB81" s="135">
        <v>61.67</v>
      </c>
      <c r="CC81" s="135">
        <v>41.44</v>
      </c>
      <c r="CD81" s="30"/>
      <c r="CE81" s="29">
        <v>4.0970000000000004</v>
      </c>
      <c r="CF81" s="29">
        <v>4.194</v>
      </c>
      <c r="CG81" s="29">
        <v>4.1580000000000004</v>
      </c>
      <c r="CH81" s="29">
        <v>4.2469999999999999</v>
      </c>
      <c r="CI81" s="37"/>
      <c r="CJ81" s="29">
        <v>4.476</v>
      </c>
      <c r="CK81" s="29">
        <v>4.2149999999999999</v>
      </c>
      <c r="CL81" s="29">
        <v>4.2549999999999999</v>
      </c>
      <c r="CM81" s="29">
        <v>4.38</v>
      </c>
      <c r="CN81" s="29"/>
      <c r="CO81" s="29">
        <v>5.391</v>
      </c>
      <c r="CP81" s="29"/>
      <c r="CQ81" s="29">
        <v>4.0270000000000001</v>
      </c>
      <c r="CR81" s="29">
        <v>4.0220000000000002</v>
      </c>
      <c r="CS81" s="168" t="str">
        <f>IF(VLOOKUP($A81,'B-Ligands'!$A:$G,3,FALSE)="","",VLOOKUP($A81,'B-Ligands'!$A:$G,3,FALSE))</f>
        <v>Zn2+</v>
      </c>
      <c r="CT81" s="169" t="str">
        <f>IF(VLOOKUP($A81,'B-Ligands'!$A:$G,4,FALSE)="","",VLOOKUP($A81,'B-Ligands'!$A:$G,4,FALSE))</f>
        <v>Zinc ion</v>
      </c>
      <c r="CU81" s="134">
        <v>10.602299435717155</v>
      </c>
      <c r="CV81" s="135">
        <v>19.879661019650143</v>
      </c>
      <c r="CW81" s="135">
        <v>6.043308673767454</v>
      </c>
      <c r="CX81" s="135">
        <v>10.577691409932678</v>
      </c>
      <c r="CY81" s="135">
        <v>8.112063821469901</v>
      </c>
      <c r="CZ81" s="135">
        <v>9.3768288161723348</v>
      </c>
      <c r="DA81" s="135">
        <v>6.5743469849487939</v>
      </c>
      <c r="DB81" s="135">
        <v>10.971199375654578</v>
      </c>
      <c r="DC81" s="135">
        <v>13.056130813761252</v>
      </c>
      <c r="DD81" s="135">
        <v>7.2891371639206568</v>
      </c>
      <c r="DE81" s="135">
        <v>7.7697647635963607</v>
      </c>
      <c r="DF81" s="135">
        <v>8.6358959934536905</v>
      </c>
      <c r="DG81" s="135">
        <v>15.745916432444357</v>
      </c>
      <c r="DH81" s="135">
        <v>3.2816336520059406</v>
      </c>
      <c r="DI81" s="135">
        <v>5.9794977145646051</v>
      </c>
      <c r="DJ81" s="66">
        <f t="shared" si="89"/>
        <v>0</v>
      </c>
      <c r="DK81" s="67">
        <f t="shared" si="90"/>
        <v>12.771847555601244</v>
      </c>
      <c r="DL81" s="67">
        <f t="shared" si="91"/>
        <v>13.38174241389277</v>
      </c>
      <c r="DM81" s="67">
        <f t="shared" si="92"/>
        <v>12.923424847848725</v>
      </c>
      <c r="DN81" s="67">
        <f t="shared" si="93"/>
        <v>24.26016416181745</v>
      </c>
      <c r="DO81" s="67">
        <f t="shared" si="94"/>
        <v>0</v>
      </c>
      <c r="DP81" s="67">
        <f t="shared" si="95"/>
        <v>17.203229500805076</v>
      </c>
      <c r="DQ81" s="67">
        <f t="shared" si="96"/>
        <v>12.359633195701509</v>
      </c>
      <c r="DR81" s="67">
        <f t="shared" si="97"/>
        <v>16.084397666930432</v>
      </c>
      <c r="DS81" s="67">
        <f t="shared" si="98"/>
        <v>5.1652204030893749</v>
      </c>
      <c r="DT81" s="67">
        <f t="shared" si="99"/>
        <v>0</v>
      </c>
      <c r="DU81" s="67">
        <f t="shared" si="100"/>
        <v>13.872330108052779</v>
      </c>
      <c r="DV81" s="67">
        <f t="shared" si="101"/>
        <v>0</v>
      </c>
      <c r="DW81" s="67">
        <f t="shared" si="102"/>
        <v>18.792469403860306</v>
      </c>
      <c r="DX81" s="67">
        <f t="shared" si="103"/>
        <v>6.9303479954615943</v>
      </c>
    </row>
    <row r="82" spans="1:128" s="28" customFormat="1">
      <c r="A82" s="33" t="s">
        <v>108</v>
      </c>
      <c r="B82" s="205" t="s">
        <v>5559</v>
      </c>
      <c r="C82" t="str">
        <f>IF(VLOOKUP($A82,'B-Ligands'!$A:$G,5,FALSE)="","",VLOOKUP($A82,'B-Ligands'!$A:$G,5,FALSE))</f>
        <v>Guide To Pharmacology</v>
      </c>
      <c r="D82" s="19">
        <f>IF(VLOOKUP($A82,'B-Ligands'!$A:$G,6,FALSE)="","",VLOOKUP($A82,'B-Ligands'!$A:$G,6,FALSE))</f>
        <v>940</v>
      </c>
      <c r="E82" t="str">
        <f>IF(VLOOKUP($A82,'B-Ligands'!$A:$G,7,FALSE)="","",VLOOKUP($A82,'B-Ligands'!$A:$G,7,FALSE))</f>
        <v>Phys</v>
      </c>
      <c r="F82" s="20" t="str">
        <f t="shared" si="145"/>
        <v/>
      </c>
      <c r="G82" s="19">
        <f t="shared" si="146"/>
        <v>1</v>
      </c>
      <c r="H82" s="19">
        <f t="shared" si="147"/>
        <v>1</v>
      </c>
      <c r="I82" s="19" t="str">
        <f t="shared" si="148"/>
        <v/>
      </c>
      <c r="J82" s="189">
        <f t="shared" si="104"/>
        <v>2</v>
      </c>
      <c r="K82" s="147" t="str">
        <f t="shared" si="105"/>
        <v>Gi/o</v>
      </c>
      <c r="L82" s="20">
        <f t="shared" si="106"/>
        <v>0</v>
      </c>
      <c r="M82" s="19">
        <f t="shared" si="107"/>
        <v>1</v>
      </c>
      <c r="N82" s="19">
        <f t="shared" si="108"/>
        <v>2</v>
      </c>
      <c r="O82" s="19">
        <f t="shared" si="109"/>
        <v>0</v>
      </c>
      <c r="P82" s="20">
        <f t="shared" si="110"/>
        <v>0</v>
      </c>
      <c r="Q82" s="19">
        <f t="shared" si="111"/>
        <v>100</v>
      </c>
      <c r="R82" s="19">
        <f t="shared" si="112"/>
        <v>61.086767904066598</v>
      </c>
      <c r="S82" s="19">
        <f t="shared" si="113"/>
        <v>0</v>
      </c>
      <c r="T82" s="20">
        <f t="shared" si="114"/>
        <v>0</v>
      </c>
      <c r="U82" s="21">
        <f t="shared" si="115"/>
        <v>8.6317638944660757</v>
      </c>
      <c r="V82" s="21">
        <f t="shared" si="116"/>
        <v>5.2728655762395116</v>
      </c>
      <c r="W82" s="21">
        <f t="shared" si="117"/>
        <v>0</v>
      </c>
      <c r="X82" s="147" t="str">
        <f t="shared" si="118"/>
        <v>GoB</v>
      </c>
      <c r="Y82" s="32">
        <f t="shared" si="119"/>
        <v>0</v>
      </c>
      <c r="Z82" s="31">
        <f t="shared" si="120"/>
        <v>92.955626115194406</v>
      </c>
      <c r="AA82" s="31">
        <f t="shared" si="121"/>
        <v>87.280928410841227</v>
      </c>
      <c r="AB82" s="31">
        <f t="shared" si="122"/>
        <v>93.091449969890633</v>
      </c>
      <c r="AC82" s="31">
        <f t="shared" si="123"/>
        <v>100</v>
      </c>
      <c r="AD82" s="31">
        <f t="shared" si="124"/>
        <v>86.017894408441876</v>
      </c>
      <c r="AE82" s="31">
        <f t="shared" si="125"/>
        <v>0</v>
      </c>
      <c r="AF82" s="31">
        <f t="shared" si="126"/>
        <v>0</v>
      </c>
      <c r="AG82" s="31">
        <f t="shared" si="127"/>
        <v>0</v>
      </c>
      <c r="AH82" s="31">
        <f t="shared" si="128"/>
        <v>61.086767904066598</v>
      </c>
      <c r="AI82" s="31">
        <f t="shared" si="129"/>
        <v>0</v>
      </c>
      <c r="AJ82" s="31">
        <f t="shared" si="130"/>
        <v>0</v>
      </c>
      <c r="AK82" s="7" cm="1">
        <f t="array" ref="AK82">_xlfn.IFS(AZ82=0,0,AZ82&gt;0,(LOG(0.01*AZ82/10^-CD82)))</f>
        <v>0</v>
      </c>
      <c r="AL82" s="8" cm="1">
        <f t="array" ref="AL82">_xlfn.IFS(BA82=0,0,BA82&gt;0,(LOG(0.01*BA82/10^-CE82)))</f>
        <v>8.0237101728862292</v>
      </c>
      <c r="AM82" s="8" cm="1">
        <f t="array" ref="AM82">_xlfn.IFS(BB82=0,0,BB82&gt;0,(LOG(0.01*BB82/10^-CF82)))</f>
        <v>7.5338836653217767</v>
      </c>
      <c r="AN82" s="8" cm="1">
        <f t="array" ref="AN82">_xlfn.IFS(BC82=0,0,BC82&gt;0,(LOG(0.01*BC82/10^-CG82)))</f>
        <v>8.0354341673359695</v>
      </c>
      <c r="AO82" s="8" cm="1">
        <f t="array" ref="AO82">_xlfn.IFS(BD82=0,0,BD82&gt;0,(LOG(0.01*BD82/10^-CH82)))</f>
        <v>8.6317638944660757</v>
      </c>
      <c r="AP82" s="8" cm="1">
        <f t="array" ref="AP82">_xlfn.IFS(BE82=0,0,BE82&gt;0,(LOG(0.01*BE82/10^-CI82)))</f>
        <v>7.4248615523278394</v>
      </c>
      <c r="AQ82" s="8" cm="1">
        <f t="array" ref="AQ82">_xlfn.IFS(BF82=0,0,BF82&gt;0,(LOG(0.01*BF82/10^-CJ82)))</f>
        <v>0</v>
      </c>
      <c r="AR82" s="8" cm="1">
        <f t="array" ref="AR82">_xlfn.IFS(BG82=0,0,BG82&gt;0,(LOG(0.01*BG82/10^-CK82)))</f>
        <v>0</v>
      </c>
      <c r="AS82" s="8" cm="1">
        <f t="array" ref="AS82">_xlfn.IFS(BH82=0,0,BH82&gt;0,(LOG(0.01*BH82/10^-CL82)))</f>
        <v>0</v>
      </c>
      <c r="AT82" s="8" cm="1">
        <f t="array" ref="AT82">_xlfn.IFS(BI82=0,0,BI82&gt;0,(LOG(0.01*BI82/10^-CM82)))</f>
        <v>5.2728655762395116</v>
      </c>
      <c r="AU82" s="8" cm="1">
        <f t="array" ref="AU82">_xlfn.IFS(BJ82=0,0,BJ82&gt;0,(LOG(0.01*BJ82/10^-CN82)))</f>
        <v>0</v>
      </c>
      <c r="AV82" s="8" cm="1">
        <f t="array" ref="AV82">_xlfn.IFS(BK82=0,0,BK82&gt;0,(LOG(0.01*BK82/10^-CO82)))</f>
        <v>0</v>
      </c>
      <c r="AW82" s="8" cm="1">
        <f t="array" ref="AW82">_xlfn.IFS(BL82=0,0,BL82&gt;0,(LOG(0.01*BL82/10^-CP82)))</f>
        <v>5.7069223537051004</v>
      </c>
      <c r="AX82" s="8" cm="1">
        <f t="array" ref="AX82">_xlfn.IFS(BM82=0,0,BM82&gt;0,(LOG(0.01*BM82/10^-CQ82)))</f>
        <v>5.2056526868163289</v>
      </c>
      <c r="AY82" s="8" cm="1">
        <f t="array" ref="AY82">_xlfn.IFS(BN82=0,0,BN82&gt;0,(LOG(0.01*BN82/10^-CR82)))</f>
        <v>6.0251239118734086</v>
      </c>
      <c r="AZ82" s="32">
        <f t="shared" si="88"/>
        <v>0</v>
      </c>
      <c r="BA82" s="31">
        <f t="shared" si="131"/>
        <v>75.807150595882987</v>
      </c>
      <c r="BB82" s="31">
        <f t="shared" si="132"/>
        <v>41.484290357529794</v>
      </c>
      <c r="BC82" s="31">
        <f t="shared" si="133"/>
        <v>26.2080173347779</v>
      </c>
      <c r="BD82" s="31">
        <f t="shared" si="134"/>
        <v>36.12134344528711</v>
      </c>
      <c r="BE82" s="31">
        <f t="shared" si="135"/>
        <v>15.341278439869988</v>
      </c>
      <c r="BF82" s="31">
        <f t="shared" si="136"/>
        <v>0</v>
      </c>
      <c r="BG82" s="31">
        <f t="shared" si="137"/>
        <v>0</v>
      </c>
      <c r="BH82" s="31">
        <f t="shared" si="138"/>
        <v>0</v>
      </c>
      <c r="BI82" s="31">
        <f t="shared" si="139"/>
        <v>1.8744142455482662</v>
      </c>
      <c r="BJ82" s="31">
        <f t="shared" si="140"/>
        <v>0</v>
      </c>
      <c r="BK82" s="31">
        <f t="shared" si="141"/>
        <v>0</v>
      </c>
      <c r="BL82" s="31">
        <f t="shared" si="142"/>
        <v>3.7663645518630413</v>
      </c>
      <c r="BM82" s="31">
        <f t="shared" si="143"/>
        <v>2.3155421282309501</v>
      </c>
      <c r="BN82" s="31">
        <f t="shared" si="144"/>
        <v>7.1634776770728434</v>
      </c>
      <c r="BO82" s="132"/>
      <c r="BP82" s="133">
        <v>699.7</v>
      </c>
      <c r="BQ82" s="133">
        <v>382.9</v>
      </c>
      <c r="BR82" s="133">
        <v>241.9</v>
      </c>
      <c r="BS82" s="133">
        <v>333.4</v>
      </c>
      <c r="BT82" s="133">
        <v>141.6</v>
      </c>
      <c r="BU82" s="133"/>
      <c r="BV82" s="133"/>
      <c r="BW82" s="133"/>
      <c r="BX82" s="172">
        <v>20</v>
      </c>
      <c r="BY82" s="133"/>
      <c r="BZ82" s="133"/>
      <c r="CA82" s="133">
        <v>112.2</v>
      </c>
      <c r="CB82" s="133">
        <v>68.98</v>
      </c>
      <c r="CC82" s="133">
        <v>213.4</v>
      </c>
      <c r="CD82" s="36"/>
      <c r="CE82" s="34">
        <v>8.1440000000000001</v>
      </c>
      <c r="CF82" s="34">
        <v>7.9160000000000004</v>
      </c>
      <c r="CG82" s="34">
        <v>8.6170000000000009</v>
      </c>
      <c r="CH82" s="34">
        <v>9.0739999999999998</v>
      </c>
      <c r="CI82" s="34">
        <v>8.2390000000000008</v>
      </c>
      <c r="CJ82" s="34"/>
      <c r="CK82" s="34"/>
      <c r="CL82" s="34"/>
      <c r="CM82" s="38">
        <v>7</v>
      </c>
      <c r="CN82" s="34"/>
      <c r="CO82" s="34"/>
      <c r="CP82" s="34">
        <v>7.1310000000000002</v>
      </c>
      <c r="CQ82" s="34">
        <v>6.8410000000000002</v>
      </c>
      <c r="CR82" s="34">
        <v>7.17</v>
      </c>
      <c r="CS82" s="168" t="str">
        <f>IF(VLOOKUP($A82,'B-Ligands'!$A:$G,3,FALSE)="","",VLOOKUP($A82,'B-Ligands'!$A:$G,3,FALSE))</f>
        <v/>
      </c>
      <c r="CT82" s="169" t="str">
        <f>IF(VLOOKUP($A82,'B-Ligands'!$A:$G,4,FALSE)="","",VLOOKUP($A82,'B-Ligands'!$A:$G,4,FALSE))</f>
        <v>Dopamine</v>
      </c>
      <c r="CU82" s="132">
        <v>8.272238308922649</v>
      </c>
      <c r="CV82" s="133">
        <v>4.3932905296583815</v>
      </c>
      <c r="CW82" s="133">
        <v>7.0391227401198204</v>
      </c>
      <c r="CX82" s="133">
        <v>7.2086635472279337</v>
      </c>
      <c r="CY82" s="133">
        <v>9.2439055798193674</v>
      </c>
      <c r="CZ82" s="133">
        <v>14.0775141764172</v>
      </c>
      <c r="DA82" s="133">
        <v>20.810461195417069</v>
      </c>
      <c r="DB82" s="133">
        <v>23.835032852444858</v>
      </c>
      <c r="DC82" s="133">
        <v>28.359697828741051</v>
      </c>
      <c r="DD82" s="133">
        <v>17.445117248037231</v>
      </c>
      <c r="DE82" s="133">
        <v>18.939523531852771</v>
      </c>
      <c r="DF82" s="133">
        <v>19.252051975070763</v>
      </c>
      <c r="DG82" s="133">
        <v>29.183969726488751</v>
      </c>
      <c r="DH82" s="133">
        <v>12.457059302845954</v>
      </c>
      <c r="DI82" s="133">
        <v>15.696185825863614</v>
      </c>
      <c r="DJ82" s="66">
        <f t="shared" si="89"/>
        <v>0</v>
      </c>
      <c r="DK82" s="67">
        <f t="shared" si="90"/>
        <v>159.26558812271588</v>
      </c>
      <c r="DL82" s="67">
        <f t="shared" si="91"/>
        <v>54.395982871223843</v>
      </c>
      <c r="DM82" s="67">
        <f t="shared" si="92"/>
        <v>33.556844263181326</v>
      </c>
      <c r="DN82" s="67">
        <f t="shared" si="93"/>
        <v>36.067006215192741</v>
      </c>
      <c r="DO82" s="67">
        <f t="shared" si="94"/>
        <v>10.058594026295481</v>
      </c>
      <c r="DP82" s="67">
        <f t="shared" si="95"/>
        <v>0</v>
      </c>
      <c r="DQ82" s="67">
        <f t="shared" si="96"/>
        <v>0</v>
      </c>
      <c r="DR82" s="67">
        <f t="shared" si="97"/>
        <v>0</v>
      </c>
      <c r="DS82" s="67">
        <f t="shared" si="98"/>
        <v>1.1464525984914329</v>
      </c>
      <c r="DT82" s="67">
        <f t="shared" si="99"/>
        <v>0</v>
      </c>
      <c r="DU82" s="67">
        <f t="shared" si="100"/>
        <v>0</v>
      </c>
      <c r="DV82" s="67">
        <f t="shared" si="101"/>
        <v>3.8445763565249993</v>
      </c>
      <c r="DW82" s="67">
        <f t="shared" si="102"/>
        <v>5.5374224624780233</v>
      </c>
      <c r="DX82" s="67">
        <f t="shared" si="103"/>
        <v>13.595659631422503</v>
      </c>
    </row>
    <row r="83" spans="1:128" s="28" customFormat="1">
      <c r="A83" s="33" t="s">
        <v>166</v>
      </c>
      <c r="B83" s="205" t="s">
        <v>5559</v>
      </c>
      <c r="C83" t="str">
        <f>IF(VLOOKUP($A83,'B-Ligands'!$A:$G,5,FALSE)="","",VLOOKUP($A83,'B-Ligands'!$A:$G,5,FALSE))</f>
        <v>Guide To Pharmacology</v>
      </c>
      <c r="D83" s="19">
        <f>IF(VLOOKUP($A83,'B-Ligands'!$A:$G,6,FALSE)="","",VLOOKUP($A83,'B-Ligands'!$A:$G,6,FALSE))</f>
        <v>224</v>
      </c>
      <c r="E83" t="str">
        <f>IF(VLOOKUP($A83,'B-Ligands'!$A:$G,7,FALSE)="","",VLOOKUP($A83,'B-Ligands'!$A:$G,7,FALSE))</f>
        <v>Phys</v>
      </c>
      <c r="F83" s="20" t="str">
        <f t="shared" si="145"/>
        <v/>
      </c>
      <c r="G83" s="19">
        <f t="shared" si="146"/>
        <v>1</v>
      </c>
      <c r="H83" s="19">
        <f t="shared" si="147"/>
        <v>1</v>
      </c>
      <c r="I83" s="19" t="str">
        <f t="shared" si="148"/>
        <v/>
      </c>
      <c r="J83" s="189">
        <f t="shared" si="104"/>
        <v>2</v>
      </c>
      <c r="K83" s="147" t="str">
        <f t="shared" si="105"/>
        <v>Gi/o</v>
      </c>
      <c r="L83" s="20">
        <f t="shared" si="106"/>
        <v>0</v>
      </c>
      <c r="M83" s="19">
        <f t="shared" si="107"/>
        <v>1</v>
      </c>
      <c r="N83" s="19">
        <f t="shared" si="108"/>
        <v>2</v>
      </c>
      <c r="O83" s="19">
        <f t="shared" si="109"/>
        <v>0</v>
      </c>
      <c r="P83" s="20">
        <f t="shared" si="110"/>
        <v>0</v>
      </c>
      <c r="Q83" s="19">
        <f t="shared" si="111"/>
        <v>100</v>
      </c>
      <c r="R83" s="19">
        <f t="shared" si="112"/>
        <v>75.820431922666117</v>
      </c>
      <c r="S83" s="19">
        <f t="shared" si="113"/>
        <v>0</v>
      </c>
      <c r="T83" s="20">
        <f t="shared" si="114"/>
        <v>0</v>
      </c>
      <c r="U83" s="21">
        <f t="shared" si="115"/>
        <v>8.8346047574815056</v>
      </c>
      <c r="V83" s="21">
        <f t="shared" si="116"/>
        <v>6.6984354857828876</v>
      </c>
      <c r="W83" s="21">
        <f t="shared" si="117"/>
        <v>0</v>
      </c>
      <c r="X83" s="147" t="str">
        <f t="shared" si="118"/>
        <v>Gi1</v>
      </c>
      <c r="Y83" s="32">
        <f t="shared" si="119"/>
        <v>0</v>
      </c>
      <c r="Z83" s="31">
        <f t="shared" si="120"/>
        <v>100</v>
      </c>
      <c r="AA83" s="31">
        <f t="shared" si="121"/>
        <v>98.019601916311984</v>
      </c>
      <c r="AB83" s="31">
        <f t="shared" si="122"/>
        <v>90.858300311986909</v>
      </c>
      <c r="AC83" s="31">
        <f t="shared" si="123"/>
        <v>97.198123812632005</v>
      </c>
      <c r="AD83" s="31">
        <f t="shared" si="124"/>
        <v>0</v>
      </c>
      <c r="AE83" s="31">
        <f t="shared" si="125"/>
        <v>0</v>
      </c>
      <c r="AF83" s="31">
        <f t="shared" si="126"/>
        <v>0</v>
      </c>
      <c r="AG83" s="31">
        <f t="shared" si="127"/>
        <v>0</v>
      </c>
      <c r="AH83" s="31">
        <f t="shared" si="128"/>
        <v>75.820431922666117</v>
      </c>
      <c r="AI83" s="31">
        <f t="shared" si="129"/>
        <v>0</v>
      </c>
      <c r="AJ83" s="31">
        <f t="shared" si="130"/>
        <v>0</v>
      </c>
      <c r="AK83" s="7" cm="1">
        <f t="array" ref="AK83">_xlfn.IFS(AZ83=0,0,AZ83&gt;0,(LOG(0.01*AZ83/10^-CD83)))</f>
        <v>0</v>
      </c>
      <c r="AL83" s="8" cm="1">
        <f t="array" ref="AL83">_xlfn.IFS(BA83=0,0,BA83&gt;0,(LOG(0.01*BA83/10^-CE83)))</f>
        <v>8.8346047574815056</v>
      </c>
      <c r="AM83" s="8" cm="1">
        <f t="array" ref="AM83">_xlfn.IFS(BB83=0,0,BB83&gt;0,(LOG(0.01*BB83/10^-CF83)))</f>
        <v>8.6596444141629316</v>
      </c>
      <c r="AN83" s="8" cm="1">
        <f t="array" ref="AN83">_xlfn.IFS(BC83=0,0,BC83&gt;0,(LOG(0.01*BC83/10^-CG83)))</f>
        <v>8.0269717219296286</v>
      </c>
      <c r="AO83" s="8" cm="1">
        <f t="array" ref="AO83">_xlfn.IFS(BD83=0,0,BD83&gt;0,(LOG(0.01*BD83/10^-CH83)))</f>
        <v>8.5870700705335512</v>
      </c>
      <c r="AP83" s="8" cm="1">
        <f t="array" ref="AP83">_xlfn.IFS(BE83=0,0,BE83&gt;0,(LOG(0.01*BE83/10^-CI83)))</f>
        <v>0</v>
      </c>
      <c r="AQ83" s="8" cm="1">
        <f t="array" ref="AQ83">_xlfn.IFS(BF83=0,0,BF83&gt;0,(LOG(0.01*BF83/10^-CJ83)))</f>
        <v>0</v>
      </c>
      <c r="AR83" s="8" cm="1">
        <f t="array" ref="AR83">_xlfn.IFS(BG83=0,0,BG83&gt;0,(LOG(0.01*BG83/10^-CK83)))</f>
        <v>0</v>
      </c>
      <c r="AS83" s="8" cm="1">
        <f t="array" ref="AS83">_xlfn.IFS(BH83=0,0,BH83&gt;0,(LOG(0.01*BH83/10^-CL83)))</f>
        <v>0</v>
      </c>
      <c r="AT83" s="8" cm="1">
        <f t="array" ref="AT83">_xlfn.IFS(BI83=0,0,BI83&gt;0,(LOG(0.01*BI83/10^-CM83)))</f>
        <v>6.6984354857828876</v>
      </c>
      <c r="AU83" s="8" cm="1">
        <f t="array" ref="AU83">_xlfn.IFS(BJ83=0,0,BJ83&gt;0,(LOG(0.01*BJ83/10^-CN83)))</f>
        <v>0</v>
      </c>
      <c r="AV83" s="8" cm="1">
        <f t="array" ref="AV83">_xlfn.IFS(BK83=0,0,BK83&gt;0,(LOG(0.01*BK83/10^-CO83)))</f>
        <v>0</v>
      </c>
      <c r="AW83" s="8" cm="1">
        <f t="array" ref="AW83">_xlfn.IFS(BL83=0,0,BL83&gt;0,(LOG(0.01*BL83/10^-CP83)))</f>
        <v>5.6285596642108562</v>
      </c>
      <c r="AX83" s="8" cm="1">
        <f t="array" ref="AX83">_xlfn.IFS(BM83=0,0,BM83&gt;0,(LOG(0.01*BM83/10^-CQ83)))</f>
        <v>0</v>
      </c>
      <c r="AY83" s="8" cm="1">
        <f t="array" ref="AY83">_xlfn.IFS(BN83=0,0,BN83&gt;0,(LOG(0.01*BN83/10^-CR83)))</f>
        <v>6.3339803466600957</v>
      </c>
      <c r="AZ83" s="32">
        <f t="shared" si="88"/>
        <v>0</v>
      </c>
      <c r="BA83" s="31">
        <f t="shared" si="131"/>
        <v>25.503791982665224</v>
      </c>
      <c r="BB83" s="31">
        <f t="shared" si="132"/>
        <v>16.890574214517876</v>
      </c>
      <c r="BC83" s="31">
        <f t="shared" si="133"/>
        <v>10.045503791982664</v>
      </c>
      <c r="BD83" s="31">
        <f t="shared" si="134"/>
        <v>16.446370530877576</v>
      </c>
      <c r="BE83" s="31">
        <f t="shared" si="135"/>
        <v>0</v>
      </c>
      <c r="BF83" s="31">
        <f t="shared" si="136"/>
        <v>0</v>
      </c>
      <c r="BG83" s="31">
        <f t="shared" si="137"/>
        <v>0</v>
      </c>
      <c r="BH83" s="31">
        <f t="shared" si="138"/>
        <v>0</v>
      </c>
      <c r="BI83" s="31">
        <f t="shared" si="139"/>
        <v>1.5791940018744144</v>
      </c>
      <c r="BJ83" s="31">
        <f t="shared" si="140"/>
        <v>0</v>
      </c>
      <c r="BK83" s="31">
        <f t="shared" si="141"/>
        <v>0</v>
      </c>
      <c r="BL83" s="31">
        <f t="shared" si="142"/>
        <v>0.68479355488418925</v>
      </c>
      <c r="BM83" s="31">
        <f t="shared" si="143"/>
        <v>0</v>
      </c>
      <c r="BN83" s="31">
        <f t="shared" si="144"/>
        <v>0.54447801275595842</v>
      </c>
      <c r="BO83" s="134"/>
      <c r="BP83" s="135">
        <v>235.4</v>
      </c>
      <c r="BQ83" s="135">
        <v>155.9</v>
      </c>
      <c r="BR83" s="135">
        <v>92.72</v>
      </c>
      <c r="BS83" s="135">
        <v>151.80000000000001</v>
      </c>
      <c r="BT83" s="135"/>
      <c r="BU83" s="135"/>
      <c r="BV83" s="135"/>
      <c r="BW83" s="135"/>
      <c r="BX83" s="135">
        <v>16.850000000000001</v>
      </c>
      <c r="BY83" s="135"/>
      <c r="BZ83" s="135"/>
      <c r="CA83" s="176">
        <v>20.399999999999999</v>
      </c>
      <c r="CB83" s="135"/>
      <c r="CC83" s="172">
        <v>16.22</v>
      </c>
      <c r="CD83" s="30"/>
      <c r="CE83" s="29">
        <v>9.4280000000000008</v>
      </c>
      <c r="CF83" s="29">
        <v>9.4320000000000004</v>
      </c>
      <c r="CG83" s="29">
        <v>9.0250000000000004</v>
      </c>
      <c r="CH83" s="29">
        <v>9.3710000000000004</v>
      </c>
      <c r="CI83" s="29"/>
      <c r="CJ83" s="29"/>
      <c r="CK83" s="29"/>
      <c r="CL83" s="29"/>
      <c r="CM83" s="29">
        <v>8.5</v>
      </c>
      <c r="CN83" s="29"/>
      <c r="CO83" s="29"/>
      <c r="CP83" s="39">
        <v>7.7930000000000001</v>
      </c>
      <c r="CQ83" s="29"/>
      <c r="CR83" s="38">
        <v>8.5980000000000008</v>
      </c>
      <c r="CS83" s="168" t="str">
        <f>IF(VLOOKUP($A83,'B-Ligands'!$A:$G,3,FALSE)="","",VLOOKUP($A83,'B-Ligands'!$A:$G,3,FALSE))</f>
        <v/>
      </c>
      <c r="CT83" s="169" t="str">
        <f>IF(VLOOKUP($A83,'B-Ligands'!$A:$G,4,FALSE)="","",VLOOKUP($A83,'B-Ligands'!$A:$G,4,FALSE))</f>
        <v>Melatonin</v>
      </c>
      <c r="CU83" s="134">
        <v>14.4257439869612</v>
      </c>
      <c r="CV83" s="135">
        <v>9.9200557955058226</v>
      </c>
      <c r="CW83" s="135">
        <v>14.952738006835881</v>
      </c>
      <c r="CX83" s="135">
        <v>11.176018249775442</v>
      </c>
      <c r="CY83" s="135">
        <v>7.9896618581703365</v>
      </c>
      <c r="CZ83" s="135">
        <v>25.094566899935419</v>
      </c>
      <c r="DA83" s="135">
        <v>10.059733280213383</v>
      </c>
      <c r="DB83" s="135">
        <v>14.221907512409885</v>
      </c>
      <c r="DC83" s="135">
        <v>11.492528631716421</v>
      </c>
      <c r="DD83" s="135">
        <v>6.7027065774941299</v>
      </c>
      <c r="DE83" s="135">
        <v>9.442760784378347</v>
      </c>
      <c r="DF83" s="135">
        <v>9.7173073484355044</v>
      </c>
      <c r="DG83" s="135">
        <v>4.2913707466272886</v>
      </c>
      <c r="DH83" s="135">
        <v>7.8311212399457277</v>
      </c>
      <c r="DI83" s="135">
        <v>10.548276831913384</v>
      </c>
      <c r="DJ83" s="66">
        <f t="shared" si="89"/>
        <v>0</v>
      </c>
      <c r="DK83" s="67">
        <f t="shared" si="90"/>
        <v>23.729705240835994</v>
      </c>
      <c r="DL83" s="67">
        <f t="shared" si="91"/>
        <v>10.426184149600418</v>
      </c>
      <c r="DM83" s="67">
        <f t="shared" si="92"/>
        <v>8.2963357725246212</v>
      </c>
      <c r="DN83" s="67">
        <f t="shared" si="93"/>
        <v>18.999552508566715</v>
      </c>
      <c r="DO83" s="67">
        <f t="shared" si="94"/>
        <v>0</v>
      </c>
      <c r="DP83" s="67">
        <f t="shared" si="95"/>
        <v>0</v>
      </c>
      <c r="DQ83" s="67">
        <f t="shared" si="96"/>
        <v>0</v>
      </c>
      <c r="DR83" s="67">
        <f t="shared" si="97"/>
        <v>0</v>
      </c>
      <c r="DS83" s="67">
        <f t="shared" si="98"/>
        <v>2.5139098370466835</v>
      </c>
      <c r="DT83" s="67">
        <f t="shared" si="99"/>
        <v>0</v>
      </c>
      <c r="DU83" s="67">
        <f t="shared" si="100"/>
        <v>0</v>
      </c>
      <c r="DV83" s="67">
        <f t="shared" si="101"/>
        <v>4.7537258383077114</v>
      </c>
      <c r="DW83" s="67">
        <f t="shared" si="102"/>
        <v>0</v>
      </c>
      <c r="DX83" s="67">
        <f t="shared" si="103"/>
        <v>1.5376919148468919</v>
      </c>
    </row>
    <row r="84" spans="1:128" s="28" customFormat="1">
      <c r="A84" s="33" t="s">
        <v>59</v>
      </c>
      <c r="B84" s="205" t="s">
        <v>5559</v>
      </c>
      <c r="C84" t="str">
        <f>IF(VLOOKUP($A84,'B-Ligands'!$A:$G,5,FALSE)="","",VLOOKUP($A84,'B-Ligands'!$A:$G,5,FALSE))</f>
        <v>Guide To Pharmacology</v>
      </c>
      <c r="D84" s="19">
        <f>IF(VLOOKUP($A84,'B-Ligands'!$A:$G,6,FALSE)="","",VLOOKUP($A84,'B-Ligands'!$A:$G,6,FALSE))</f>
        <v>733</v>
      </c>
      <c r="E84" t="str">
        <f>IF(VLOOKUP($A84,'B-Ligands'!$A:$G,7,FALSE)="","",VLOOKUP($A84,'B-Ligands'!$A:$G,7,FALSE))</f>
        <v>Surr</v>
      </c>
      <c r="F84" s="20" t="str">
        <f t="shared" si="145"/>
        <v/>
      </c>
      <c r="G84" s="19">
        <f t="shared" si="146"/>
        <v>1</v>
      </c>
      <c r="H84" s="19">
        <f t="shared" si="147"/>
        <v>1</v>
      </c>
      <c r="I84" s="19" t="str">
        <f t="shared" si="148"/>
        <v/>
      </c>
      <c r="J84" s="189">
        <f t="shared" si="104"/>
        <v>2</v>
      </c>
      <c r="K84" s="147" t="str">
        <f t="shared" si="105"/>
        <v>Gi/o</v>
      </c>
      <c r="L84" s="20">
        <f t="shared" si="106"/>
        <v>0</v>
      </c>
      <c r="M84" s="19">
        <f t="shared" si="107"/>
        <v>1</v>
      </c>
      <c r="N84" s="19">
        <f t="shared" si="108"/>
        <v>2</v>
      </c>
      <c r="O84" s="19">
        <f t="shared" si="109"/>
        <v>0</v>
      </c>
      <c r="P84" s="20">
        <f t="shared" si="110"/>
        <v>0</v>
      </c>
      <c r="Q84" s="19">
        <f t="shared" si="111"/>
        <v>100</v>
      </c>
      <c r="R84" s="19">
        <f t="shared" si="112"/>
        <v>60.466354827812033</v>
      </c>
      <c r="S84" s="19">
        <f t="shared" si="113"/>
        <v>0</v>
      </c>
      <c r="T84" s="20">
        <f t="shared" si="114"/>
        <v>0</v>
      </c>
      <c r="U84" s="21">
        <f t="shared" si="115"/>
        <v>8.890821314663965</v>
      </c>
      <c r="V84" s="21">
        <f t="shared" si="116"/>
        <v>5.3759555632314555</v>
      </c>
      <c r="W84" s="21">
        <f t="shared" si="117"/>
        <v>0</v>
      </c>
      <c r="X84" s="147" t="str">
        <f t="shared" si="118"/>
        <v>Gi1</v>
      </c>
      <c r="Y84" s="32">
        <f t="shared" si="119"/>
        <v>0</v>
      </c>
      <c r="Z84" s="31">
        <f t="shared" si="120"/>
        <v>100</v>
      </c>
      <c r="AA84" s="31">
        <f t="shared" si="121"/>
        <v>98.019134571989184</v>
      </c>
      <c r="AB84" s="31">
        <f t="shared" si="122"/>
        <v>91.017528054912418</v>
      </c>
      <c r="AC84" s="31">
        <f t="shared" si="123"/>
        <v>97.296455056241768</v>
      </c>
      <c r="AD84" s="31">
        <f t="shared" si="124"/>
        <v>92.948662423482077</v>
      </c>
      <c r="AE84" s="31">
        <f t="shared" si="125"/>
        <v>0</v>
      </c>
      <c r="AF84" s="31">
        <f t="shared" si="126"/>
        <v>0</v>
      </c>
      <c r="AG84" s="31">
        <f t="shared" si="127"/>
        <v>0</v>
      </c>
      <c r="AH84" s="31">
        <f t="shared" si="128"/>
        <v>60.466354827812033</v>
      </c>
      <c r="AI84" s="31">
        <f t="shared" si="129"/>
        <v>0</v>
      </c>
      <c r="AJ84" s="31">
        <f t="shared" si="130"/>
        <v>0</v>
      </c>
      <c r="AK84" s="7" cm="1">
        <f t="array" ref="AK84">_xlfn.IFS(AZ84=0,0,AZ84&gt;0,(LOG(0.01*AZ84/10^-CD84)))</f>
        <v>0</v>
      </c>
      <c r="AL84" s="8" cm="1">
        <f t="array" ref="AL84">_xlfn.IFS(BA84=0,0,BA84&gt;0,(LOG(0.01*BA84/10^-CE84)))</f>
        <v>8.890821314663965</v>
      </c>
      <c r="AM84" s="8" cm="1">
        <f t="array" ref="AM84">_xlfn.IFS(BB84=0,0,BB84&gt;0,(LOG(0.01*BB84/10^-CF84)))</f>
        <v>8.7147061089755695</v>
      </c>
      <c r="AN84" s="8" cm="1">
        <f t="array" ref="AN84">_xlfn.IFS(BC84=0,0,BC84&gt;0,(LOG(0.01*BC84/10^-CG84)))</f>
        <v>8.0922057843864081</v>
      </c>
      <c r="AO84" s="8" cm="1">
        <f t="array" ref="AO84">_xlfn.IFS(BD84=0,0,BD84&gt;0,(LOG(0.01*BD84/10^-CH84)))</f>
        <v>8.6504539645527885</v>
      </c>
      <c r="AP84" s="8" cm="1">
        <f t="array" ref="AP84">_xlfn.IFS(BE84=0,0,BE84&gt;0,(LOG(0.01*BE84/10^-CI84)))</f>
        <v>8.2638994904420002</v>
      </c>
      <c r="AQ84" s="8" cm="1">
        <f t="array" ref="AQ84">_xlfn.IFS(BF84=0,0,BF84&gt;0,(LOG(0.01*BF84/10^-CJ84)))</f>
        <v>0</v>
      </c>
      <c r="AR84" s="8" cm="1">
        <f t="array" ref="AR84">_xlfn.IFS(BG84=0,0,BG84&gt;0,(LOG(0.01*BG84/10^-CK84)))</f>
        <v>0</v>
      </c>
      <c r="AS84" s="8" cm="1">
        <f t="array" ref="AS84">_xlfn.IFS(BH84=0,0,BH84&gt;0,(LOG(0.01*BH84/10^-CL84)))</f>
        <v>0</v>
      </c>
      <c r="AT84" s="8" cm="1">
        <f t="array" ref="AT84">_xlfn.IFS(BI84=0,0,BI84&gt;0,(LOG(0.01*BI84/10^-CM84)))</f>
        <v>5.3759555632314555</v>
      </c>
      <c r="AU84" s="8" cm="1">
        <f t="array" ref="AU84">_xlfn.IFS(BJ84=0,0,BJ84&gt;0,(LOG(0.01*BJ84/10^-CN84)))</f>
        <v>0</v>
      </c>
      <c r="AV84" s="8" cm="1">
        <f t="array" ref="AV84">_xlfn.IFS(BK84=0,0,BK84&gt;0,(LOG(0.01*BK84/10^-CO84)))</f>
        <v>0</v>
      </c>
      <c r="AW84" s="8" cm="1">
        <f t="array" ref="AW84">_xlfn.IFS(BL84=0,0,BL84&gt;0,(LOG(0.01*BL84/10^-CP84)))</f>
        <v>7.231795950263499</v>
      </c>
      <c r="AX84" s="8" cm="1">
        <f t="array" ref="AX84">_xlfn.IFS(BM84=0,0,BM84&gt;0,(LOG(0.01*BM84/10^-CQ84)))</f>
        <v>6.7525650933870862</v>
      </c>
      <c r="AY84" s="8" cm="1">
        <f t="array" ref="AY84">_xlfn.IFS(BN84=0,0,BN84&gt;0,(LOG(0.01*BN84/10^-CR84)))</f>
        <v>7.1856091940761502</v>
      </c>
      <c r="AZ84" s="32">
        <f t="shared" si="88"/>
        <v>0</v>
      </c>
      <c r="BA84" s="31">
        <f t="shared" si="131"/>
        <v>28.894907908992415</v>
      </c>
      <c r="BB84" s="31">
        <f t="shared" si="132"/>
        <v>15.947995666305523</v>
      </c>
      <c r="BC84" s="31">
        <f t="shared" si="133"/>
        <v>16.56554712892741</v>
      </c>
      <c r="BD84" s="31">
        <f t="shared" si="134"/>
        <v>23.629469122426869</v>
      </c>
      <c r="BE84" s="31">
        <f t="shared" si="135"/>
        <v>6.5297941495124592</v>
      </c>
      <c r="BF84" s="31">
        <f t="shared" si="136"/>
        <v>0</v>
      </c>
      <c r="BG84" s="31">
        <f t="shared" si="137"/>
        <v>0</v>
      </c>
      <c r="BH84" s="31">
        <f t="shared" si="138"/>
        <v>0</v>
      </c>
      <c r="BI84" s="31">
        <f t="shared" si="139"/>
        <v>1.499531396438613</v>
      </c>
      <c r="BJ84" s="31">
        <f t="shared" si="140"/>
        <v>0</v>
      </c>
      <c r="BK84" s="31">
        <f t="shared" si="141"/>
        <v>0</v>
      </c>
      <c r="BL84" s="31">
        <f t="shared" si="142"/>
        <v>4.1859684457871769</v>
      </c>
      <c r="BM84" s="31">
        <f t="shared" si="143"/>
        <v>1.5760322255790533</v>
      </c>
      <c r="BN84" s="31">
        <f t="shared" si="144"/>
        <v>3.4642497482376635</v>
      </c>
      <c r="BO84" s="134"/>
      <c r="BP84" s="135">
        <v>266.7</v>
      </c>
      <c r="BQ84" s="135">
        <v>147.19999999999999</v>
      </c>
      <c r="BR84" s="135">
        <v>152.9</v>
      </c>
      <c r="BS84" s="135">
        <v>218.1</v>
      </c>
      <c r="BT84" s="135">
        <v>60.27</v>
      </c>
      <c r="BU84" s="135"/>
      <c r="BV84" s="135"/>
      <c r="BW84" s="135"/>
      <c r="BX84" s="172">
        <v>16</v>
      </c>
      <c r="BY84" s="135"/>
      <c r="BZ84" s="135"/>
      <c r="CA84" s="135">
        <v>124.7</v>
      </c>
      <c r="CB84" s="135">
        <v>46.95</v>
      </c>
      <c r="CC84" s="135">
        <v>103.2</v>
      </c>
      <c r="CD84" s="30"/>
      <c r="CE84" s="29">
        <v>9.43</v>
      </c>
      <c r="CF84" s="29">
        <v>9.5120000000000005</v>
      </c>
      <c r="CG84" s="29">
        <v>8.8729999999999993</v>
      </c>
      <c r="CH84" s="29">
        <v>9.2769999999999992</v>
      </c>
      <c r="CI84" s="29">
        <v>9.4489999999999998</v>
      </c>
      <c r="CJ84" s="29"/>
      <c r="CK84" s="29"/>
      <c r="CL84" s="29"/>
      <c r="CM84" s="38">
        <v>7.2</v>
      </c>
      <c r="CN84" s="29"/>
      <c r="CO84" s="29"/>
      <c r="CP84" s="29">
        <v>8.61</v>
      </c>
      <c r="CQ84" s="29">
        <v>8.5549999999999997</v>
      </c>
      <c r="CR84" s="29">
        <v>8.6460000000000008</v>
      </c>
      <c r="CS84" s="168" t="str">
        <f>IF(VLOOKUP($A84,'B-Ligands'!$A:$G,3,FALSE)="","",VLOOKUP($A84,'B-Ligands'!$A:$G,3,FALSE))</f>
        <v>WIN55,212-2</v>
      </c>
      <c r="CT84" s="169" t="str">
        <f>IF(VLOOKUP($A84,'B-Ligands'!$A:$G,4,FALSE)="","",VLOOKUP($A84,'B-Ligands'!$A:$G,4,FALSE))</f>
        <v>WIN55212-2</v>
      </c>
      <c r="CU84" s="134">
        <v>8.9393945130453432</v>
      </c>
      <c r="CV84" s="135">
        <v>12.792023364091074</v>
      </c>
      <c r="CW84" s="135">
        <v>16.463334098720306</v>
      </c>
      <c r="CX84" s="135">
        <v>4.257475964263838</v>
      </c>
      <c r="CY84" s="135">
        <v>7.5113107978577807</v>
      </c>
      <c r="CZ84" s="135">
        <v>13.716249405915718</v>
      </c>
      <c r="DA84" s="135">
        <v>11.417360158347284</v>
      </c>
      <c r="DB84" s="135">
        <v>11.680099793357737</v>
      </c>
      <c r="DC84" s="135">
        <v>11.702352802413703</v>
      </c>
      <c r="DD84" s="135">
        <v>11.66541414907238</v>
      </c>
      <c r="DE84" s="135">
        <v>17.564904878367706</v>
      </c>
      <c r="DF84" s="135">
        <v>11.11933668539165</v>
      </c>
      <c r="DG84" s="135">
        <v>11.937517217405933</v>
      </c>
      <c r="DH84" s="135">
        <v>9.0618058722463068</v>
      </c>
      <c r="DI84" s="135">
        <v>15.798485051865308</v>
      </c>
      <c r="DJ84" s="66">
        <f t="shared" si="89"/>
        <v>0</v>
      </c>
      <c r="DK84" s="67">
        <f t="shared" si="90"/>
        <v>20.848930025304885</v>
      </c>
      <c r="DL84" s="67">
        <f t="shared" si="91"/>
        <v>8.9410807748499632</v>
      </c>
      <c r="DM84" s="67">
        <f t="shared" si="92"/>
        <v>35.91329728773654</v>
      </c>
      <c r="DN84" s="67">
        <f t="shared" si="93"/>
        <v>29.036210305956441</v>
      </c>
      <c r="DO84" s="67">
        <f t="shared" si="94"/>
        <v>4.3940583330313308</v>
      </c>
      <c r="DP84" s="67">
        <f t="shared" si="95"/>
        <v>0</v>
      </c>
      <c r="DQ84" s="67">
        <f t="shared" si="96"/>
        <v>0</v>
      </c>
      <c r="DR84" s="67">
        <f t="shared" si="97"/>
        <v>0</v>
      </c>
      <c r="DS84" s="67">
        <f t="shared" si="98"/>
        <v>1.3715758219584773</v>
      </c>
      <c r="DT84" s="67">
        <f t="shared" si="99"/>
        <v>0</v>
      </c>
      <c r="DU84" s="67">
        <f t="shared" si="100"/>
        <v>0</v>
      </c>
      <c r="DV84" s="67">
        <f t="shared" si="101"/>
        <v>10.446058232123562</v>
      </c>
      <c r="DW84" s="67">
        <f t="shared" si="102"/>
        <v>5.1810864922403921</v>
      </c>
      <c r="DX84" s="67">
        <f t="shared" si="103"/>
        <v>6.5322719020970501</v>
      </c>
    </row>
    <row r="85" spans="1:128" s="28" customFormat="1">
      <c r="A85" s="33" t="s">
        <v>77</v>
      </c>
      <c r="B85" s="205" t="s">
        <v>5559</v>
      </c>
      <c r="C85" t="str">
        <f>IF(VLOOKUP($A85,'B-Ligands'!$A:$G,5,FALSE)="","",VLOOKUP($A85,'B-Ligands'!$A:$G,5,FALSE))</f>
        <v>Guide To Pharmacology</v>
      </c>
      <c r="D85" s="19">
        <f>IF(VLOOKUP($A85,'B-Ligands'!$A:$G,6,FALSE)="","",VLOOKUP($A85,'B-Ligands'!$A:$G,6,FALSE))</f>
        <v>3645</v>
      </c>
      <c r="E85" t="str">
        <f>IF(VLOOKUP($A85,'B-Ligands'!$A:$G,7,FALSE)="","",VLOOKUP($A85,'B-Ligands'!$A:$G,7,FALSE))</f>
        <v>Phys</v>
      </c>
      <c r="F85" s="20" t="str">
        <f t="shared" si="145"/>
        <v/>
      </c>
      <c r="G85" s="19">
        <f t="shared" si="146"/>
        <v>1</v>
      </c>
      <c r="H85" s="19" t="str">
        <f t="shared" si="147"/>
        <v/>
      </c>
      <c r="I85" s="19" t="str">
        <f t="shared" si="148"/>
        <v/>
      </c>
      <c r="J85" s="189">
        <f t="shared" si="104"/>
        <v>1</v>
      </c>
      <c r="K85" s="147" t="str">
        <f t="shared" si="105"/>
        <v>Gi/o</v>
      </c>
      <c r="L85" s="20">
        <f t="shared" si="106"/>
        <v>0</v>
      </c>
      <c r="M85" s="19">
        <f t="shared" si="107"/>
        <v>1</v>
      </c>
      <c r="N85" s="19">
        <f t="shared" si="108"/>
        <v>0</v>
      </c>
      <c r="O85" s="19">
        <f t="shared" si="109"/>
        <v>0</v>
      </c>
      <c r="P85" s="20">
        <f t="shared" si="110"/>
        <v>0</v>
      </c>
      <c r="Q85" s="19">
        <f t="shared" si="111"/>
        <v>100</v>
      </c>
      <c r="R85" s="19">
        <f t="shared" si="112"/>
        <v>0</v>
      </c>
      <c r="S85" s="19">
        <f t="shared" si="113"/>
        <v>0</v>
      </c>
      <c r="T85" s="20">
        <f t="shared" si="114"/>
        <v>0</v>
      </c>
      <c r="U85" s="21">
        <f t="shared" si="115"/>
        <v>8.1598767610548464</v>
      </c>
      <c r="V85" s="21">
        <f t="shared" si="116"/>
        <v>0</v>
      </c>
      <c r="W85" s="21">
        <f t="shared" si="117"/>
        <v>0</v>
      </c>
      <c r="X85" s="147" t="str">
        <f t="shared" si="118"/>
        <v>GoB</v>
      </c>
      <c r="Y85" s="32">
        <f t="shared" si="119"/>
        <v>0</v>
      </c>
      <c r="Z85" s="31">
        <f t="shared" si="120"/>
        <v>94.751219413851132</v>
      </c>
      <c r="AA85" s="31">
        <f t="shared" si="121"/>
        <v>93.693022794962289</v>
      </c>
      <c r="AB85" s="31">
        <f t="shared" si="122"/>
        <v>95.505651403096138</v>
      </c>
      <c r="AC85" s="31">
        <f t="shared" si="123"/>
        <v>100</v>
      </c>
      <c r="AD85" s="31">
        <f t="shared" si="124"/>
        <v>98.89685678161689</v>
      </c>
      <c r="AE85" s="31">
        <f t="shared" si="125"/>
        <v>0</v>
      </c>
      <c r="AF85" s="31">
        <f t="shared" si="126"/>
        <v>0</v>
      </c>
      <c r="AG85" s="31">
        <f t="shared" si="127"/>
        <v>0</v>
      </c>
      <c r="AH85" s="31">
        <f t="shared" si="128"/>
        <v>0</v>
      </c>
      <c r="AI85" s="31">
        <f t="shared" si="129"/>
        <v>0</v>
      </c>
      <c r="AJ85" s="31">
        <f t="shared" si="130"/>
        <v>0</v>
      </c>
      <c r="AK85" s="7" cm="1">
        <f t="array" ref="AK85">_xlfn.IFS(AZ85=0,0,AZ85&gt;0,(LOG(0.01*AZ85/10^-CD85)))</f>
        <v>0</v>
      </c>
      <c r="AL85" s="8" cm="1">
        <f t="array" ref="AL85">_xlfn.IFS(BA85=0,0,BA85&gt;0,(LOG(0.01*BA85/10^-CE85)))</f>
        <v>7.7315827337669258</v>
      </c>
      <c r="AM85" s="8" cm="1">
        <f t="array" ref="AM85">_xlfn.IFS(BB85=0,0,BB85&gt;0,(LOG(0.01*BB85/10^-CF85)))</f>
        <v>7.6452351937759477</v>
      </c>
      <c r="AN85" s="8" cm="1">
        <f t="array" ref="AN85">_xlfn.IFS(BC85=0,0,BC85&gt;0,(LOG(0.01*BC85/10^-CG85)))</f>
        <v>7.7931434543352935</v>
      </c>
      <c r="AO85" s="8" cm="1">
        <f t="array" ref="AO85">_xlfn.IFS(BD85=0,0,BD85&gt;0,(LOG(0.01*BD85/10^-CH85)))</f>
        <v>8.1598767610548464</v>
      </c>
      <c r="AP85" s="8" cm="1">
        <f t="array" ref="AP85">_xlfn.IFS(BE85=0,0,BE85&gt;0,(LOG(0.01*BE85/10^-CI85)))</f>
        <v>8.069861633936851</v>
      </c>
      <c r="AQ85" s="8" cm="1">
        <f t="array" ref="AQ85">_xlfn.IFS(BF85=0,0,BF85&gt;0,(LOG(0.01*BF85/10^-CJ85)))</f>
        <v>0</v>
      </c>
      <c r="AR85" s="8" cm="1">
        <f t="array" ref="AR85">_xlfn.IFS(BG85=0,0,BG85&gt;0,(LOG(0.01*BG85/10^-CK85)))</f>
        <v>0</v>
      </c>
      <c r="AS85" s="8" cm="1">
        <f t="array" ref="AS85">_xlfn.IFS(BH85=0,0,BH85&gt;0,(LOG(0.01*BH85/10^-CL85)))</f>
        <v>0</v>
      </c>
      <c r="AT85" s="8" cm="1">
        <f t="array" ref="AT85">_xlfn.IFS(BI85=0,0,BI85&gt;0,(LOG(0.01*BI85/10^-CM85)))</f>
        <v>0</v>
      </c>
      <c r="AU85" s="8" cm="1">
        <f t="array" ref="AU85">_xlfn.IFS(BJ85=0,0,BJ85&gt;0,(LOG(0.01*BJ85/10^-CN85)))</f>
        <v>0</v>
      </c>
      <c r="AV85" s="8" cm="1">
        <f t="array" ref="AV85">_xlfn.IFS(BK85=0,0,BK85&gt;0,(LOG(0.01*BK85/10^-CO85)))</f>
        <v>0</v>
      </c>
      <c r="AW85" s="8" cm="1">
        <f t="array" ref="AW85">_xlfn.IFS(BL85=0,0,BL85&gt;0,(LOG(0.01*BL85/10^-CP85)))</f>
        <v>6.5051275718169554</v>
      </c>
      <c r="AX85" s="8" cm="1">
        <f t="array" ref="AX85">_xlfn.IFS(BM85=0,0,BM85&gt;0,(LOG(0.01*BM85/10^-CQ85)))</f>
        <v>6.1554076251470793</v>
      </c>
      <c r="AY85" s="8" cm="1">
        <f t="array" ref="AY85">_xlfn.IFS(BN85=0,0,BN85&gt;0,(LOG(0.01*BN85/10^-CR85)))</f>
        <v>6.6428694728690365</v>
      </c>
      <c r="AZ85" s="32">
        <f t="shared" si="88"/>
        <v>0</v>
      </c>
      <c r="BA85" s="31">
        <f t="shared" si="131"/>
        <v>88.223185265438786</v>
      </c>
      <c r="BB85" s="31">
        <f t="shared" si="132"/>
        <v>74.171180931744317</v>
      </c>
      <c r="BC85" s="31">
        <f t="shared" si="133"/>
        <v>26.738894907908993</v>
      </c>
      <c r="BD85" s="31">
        <f t="shared" si="134"/>
        <v>53.564463705308775</v>
      </c>
      <c r="BE85" s="31">
        <f t="shared" si="135"/>
        <v>22.535211267605632</v>
      </c>
      <c r="BF85" s="31">
        <f t="shared" si="136"/>
        <v>0</v>
      </c>
      <c r="BG85" s="31">
        <f t="shared" si="137"/>
        <v>0</v>
      </c>
      <c r="BH85" s="31">
        <f t="shared" si="138"/>
        <v>0</v>
      </c>
      <c r="BI85" s="31">
        <f t="shared" si="139"/>
        <v>0</v>
      </c>
      <c r="BJ85" s="31">
        <f t="shared" si="140"/>
        <v>0</v>
      </c>
      <c r="BK85" s="31">
        <f t="shared" si="141"/>
        <v>0</v>
      </c>
      <c r="BL85" s="31">
        <f t="shared" si="142"/>
        <v>44.57871769050017</v>
      </c>
      <c r="BM85" s="31">
        <f t="shared" si="143"/>
        <v>22.151728768042968</v>
      </c>
      <c r="BN85" s="31">
        <f t="shared" si="144"/>
        <v>43.538100033568313</v>
      </c>
      <c r="BO85" s="132"/>
      <c r="BP85" s="133">
        <v>814.3</v>
      </c>
      <c r="BQ85" s="133">
        <v>684.6</v>
      </c>
      <c r="BR85" s="133">
        <v>246.8</v>
      </c>
      <c r="BS85" s="133">
        <v>494.4</v>
      </c>
      <c r="BT85" s="133">
        <v>208</v>
      </c>
      <c r="BU85" s="176"/>
      <c r="BV85" s="176"/>
      <c r="BW85" s="176"/>
      <c r="BX85" s="133"/>
      <c r="BY85" s="133"/>
      <c r="BZ85" s="133"/>
      <c r="CA85" s="133">
        <v>1328</v>
      </c>
      <c r="CB85" s="133">
        <v>659.9</v>
      </c>
      <c r="CC85" s="133">
        <v>1297</v>
      </c>
      <c r="CD85" s="36"/>
      <c r="CE85" s="34">
        <v>7.7859999999999996</v>
      </c>
      <c r="CF85" s="34">
        <v>7.7750000000000004</v>
      </c>
      <c r="CG85" s="34">
        <v>8.3659999999999997</v>
      </c>
      <c r="CH85" s="34">
        <v>8.4309999999999992</v>
      </c>
      <c r="CI85" s="34">
        <v>8.7170000000000005</v>
      </c>
      <c r="CJ85" s="39"/>
      <c r="CK85" s="39"/>
      <c r="CL85" s="39"/>
      <c r="CM85" s="34"/>
      <c r="CN85" s="34"/>
      <c r="CO85" s="34"/>
      <c r="CP85" s="34">
        <v>6.8559999999999999</v>
      </c>
      <c r="CQ85" s="34">
        <v>6.81</v>
      </c>
      <c r="CR85" s="34">
        <v>7.0039999999999996</v>
      </c>
      <c r="CS85" s="168" t="str">
        <f>IF(VLOOKUP($A85,'B-Ligands'!$A:$G,3,FALSE)="","",VLOOKUP($A85,'B-Ligands'!$A:$G,3,FALSE))</f>
        <v>CXCL13</v>
      </c>
      <c r="CT85" s="169" t="str">
        <f>IF(VLOOKUP($A85,'B-Ligands'!$A:$G,4,FALSE)="","",VLOOKUP($A85,'B-Ligands'!$A:$G,4,FALSE))</f>
        <v>CXCL13</v>
      </c>
      <c r="CU85" s="132">
        <v>4.9568252497034919</v>
      </c>
      <c r="CV85" s="133">
        <v>19.598984877141476</v>
      </c>
      <c r="CW85" s="133">
        <v>3.8663903868818932</v>
      </c>
      <c r="CX85" s="133">
        <v>8.1336253225109587</v>
      </c>
      <c r="CY85" s="133">
        <v>9.2317428876891352</v>
      </c>
      <c r="CZ85" s="133">
        <v>3.4685029963674197</v>
      </c>
      <c r="DA85" s="133">
        <v>24.70967423736764</v>
      </c>
      <c r="DB85" s="133">
        <v>4.912050996876915</v>
      </c>
      <c r="DC85" s="133">
        <v>14.786855335861238</v>
      </c>
      <c r="DD85" s="133">
        <v>15.010209441195322</v>
      </c>
      <c r="DE85" s="133">
        <v>19.920801728406172</v>
      </c>
      <c r="DF85" s="133">
        <v>17.165666411072326</v>
      </c>
      <c r="DG85" s="133">
        <v>35.259734577907395</v>
      </c>
      <c r="DH85" s="133">
        <v>15.938380210014742</v>
      </c>
      <c r="DI85" s="133">
        <v>15.694642972777107</v>
      </c>
      <c r="DJ85" s="66">
        <f t="shared" si="89"/>
        <v>0</v>
      </c>
      <c r="DK85" s="67">
        <f t="shared" si="90"/>
        <v>41.548070224276131</v>
      </c>
      <c r="DL85" s="67">
        <f t="shared" si="91"/>
        <v>177.06437568300123</v>
      </c>
      <c r="DM85" s="67">
        <f t="shared" si="92"/>
        <v>30.343172965804818</v>
      </c>
      <c r="DN85" s="67">
        <f t="shared" si="93"/>
        <v>53.554351113840092</v>
      </c>
      <c r="DO85" s="67">
        <f t="shared" si="94"/>
        <v>59.96823419724285</v>
      </c>
      <c r="DP85" s="67">
        <f t="shared" si="95"/>
        <v>0</v>
      </c>
      <c r="DQ85" s="67">
        <f t="shared" si="96"/>
        <v>0</v>
      </c>
      <c r="DR85" s="67">
        <f t="shared" si="97"/>
        <v>0</v>
      </c>
      <c r="DS85" s="67">
        <f t="shared" si="98"/>
        <v>0</v>
      </c>
      <c r="DT85" s="67">
        <f t="shared" si="99"/>
        <v>0</v>
      </c>
      <c r="DU85" s="67">
        <f t="shared" si="100"/>
        <v>0</v>
      </c>
      <c r="DV85" s="67">
        <f t="shared" si="101"/>
        <v>37.663357818696731</v>
      </c>
      <c r="DW85" s="67">
        <f t="shared" si="102"/>
        <v>41.403203544194383</v>
      </c>
      <c r="DX85" s="67">
        <f t="shared" si="103"/>
        <v>82.63966260651425</v>
      </c>
    </row>
    <row r="86" spans="1:128" s="28" customFormat="1">
      <c r="A86" s="33" t="s">
        <v>118</v>
      </c>
      <c r="B86" s="205" t="s">
        <v>5559</v>
      </c>
      <c r="C86" t="str">
        <f>IF(VLOOKUP($A86,'B-Ligands'!$A:$G,5,FALSE)="","",VLOOKUP($A86,'B-Ligands'!$A:$G,5,FALSE))</f>
        <v>Guide To Pharmacology</v>
      </c>
      <c r="D86" s="19">
        <f>IF(VLOOKUP($A86,'B-Ligands'!$A:$G,6,FALSE)="","",VLOOKUP($A86,'B-Ligands'!$A:$G,6,FALSE))</f>
        <v>1062</v>
      </c>
      <c r="E86" t="str">
        <f>IF(VLOOKUP($A86,'B-Ligands'!$A:$G,7,FALSE)="","",VLOOKUP($A86,'B-Ligands'!$A:$G,7,FALSE))</f>
        <v>Phys</v>
      </c>
      <c r="F86" s="20" t="str">
        <f t="shared" si="145"/>
        <v/>
      </c>
      <c r="G86" s="19">
        <f t="shared" si="146"/>
        <v>1</v>
      </c>
      <c r="H86" s="19">
        <f t="shared" si="147"/>
        <v>1</v>
      </c>
      <c r="I86" s="19" t="str">
        <f t="shared" si="148"/>
        <v/>
      </c>
      <c r="J86" s="189">
        <f t="shared" si="104"/>
        <v>2</v>
      </c>
      <c r="K86" s="147" t="str">
        <f t="shared" si="105"/>
        <v>Gi/o</v>
      </c>
      <c r="L86" s="20">
        <f t="shared" si="106"/>
        <v>0</v>
      </c>
      <c r="M86" s="19">
        <f t="shared" si="107"/>
        <v>1</v>
      </c>
      <c r="N86" s="19">
        <f t="shared" si="108"/>
        <v>2</v>
      </c>
      <c r="O86" s="19">
        <f t="shared" si="109"/>
        <v>0</v>
      </c>
      <c r="P86" s="20">
        <f t="shared" si="110"/>
        <v>0</v>
      </c>
      <c r="Q86" s="19">
        <f t="shared" si="111"/>
        <v>100</v>
      </c>
      <c r="R86" s="19">
        <f t="shared" si="112"/>
        <v>95.009682406935781</v>
      </c>
      <c r="S86" s="19">
        <f t="shared" si="113"/>
        <v>0</v>
      </c>
      <c r="T86" s="20">
        <f t="shared" si="114"/>
        <v>0</v>
      </c>
      <c r="U86" s="21">
        <f t="shared" si="115"/>
        <v>4.2783792114013881</v>
      </c>
      <c r="V86" s="21">
        <f t="shared" si="116"/>
        <v>4.0648745009168223</v>
      </c>
      <c r="W86" s="21">
        <f t="shared" si="117"/>
        <v>0</v>
      </c>
      <c r="X86" s="147" t="str">
        <f t="shared" si="118"/>
        <v>Gi1</v>
      </c>
      <c r="Y86" s="32">
        <f t="shared" si="119"/>
        <v>0</v>
      </c>
      <c r="Z86" s="31">
        <f t="shared" si="120"/>
        <v>100</v>
      </c>
      <c r="AA86" s="31">
        <f t="shared" si="121"/>
        <v>95.459650239722606</v>
      </c>
      <c r="AB86" s="31">
        <f t="shared" si="122"/>
        <v>0</v>
      </c>
      <c r="AC86" s="31">
        <f t="shared" si="123"/>
        <v>0</v>
      </c>
      <c r="AD86" s="31">
        <f t="shared" si="124"/>
        <v>0</v>
      </c>
      <c r="AE86" s="31">
        <f t="shared" si="125"/>
        <v>86.992707705487064</v>
      </c>
      <c r="AF86" s="31">
        <f t="shared" si="126"/>
        <v>90.07112264594069</v>
      </c>
      <c r="AG86" s="31">
        <f t="shared" si="127"/>
        <v>95.009682406935781</v>
      </c>
      <c r="AH86" s="31">
        <f t="shared" si="128"/>
        <v>0</v>
      </c>
      <c r="AI86" s="31">
        <f t="shared" si="129"/>
        <v>0</v>
      </c>
      <c r="AJ86" s="31">
        <f t="shared" si="130"/>
        <v>0</v>
      </c>
      <c r="AK86" s="7" cm="1">
        <f t="array" ref="AK86">_xlfn.IFS(AZ86=0,0,AZ86&gt;0,(LOG(0.01*AZ86/10^-CD86)))</f>
        <v>0</v>
      </c>
      <c r="AL86" s="8" cm="1">
        <f t="array" ref="AL86">_xlfn.IFS(BA86=0,0,BA86&gt;0,(LOG(0.01*BA86/10^-CE86)))</f>
        <v>4.2783792114013881</v>
      </c>
      <c r="AM86" s="8" cm="1">
        <f t="array" ref="AM86">_xlfn.IFS(BB86=0,0,BB86&gt;0,(LOG(0.01*BB86/10^-CF86)))</f>
        <v>4.0841258311327673</v>
      </c>
      <c r="AN86" s="8" cm="1">
        <f t="array" ref="AN86">_xlfn.IFS(BC86=0,0,BC86&gt;0,(LOG(0.01*BC86/10^-CG86)))</f>
        <v>0</v>
      </c>
      <c r="AO86" s="8" cm="1">
        <f t="array" ref="AO86">_xlfn.IFS(BD86=0,0,BD86&gt;0,(LOG(0.01*BD86/10^-CH86)))</f>
        <v>0</v>
      </c>
      <c r="AP86" s="8" cm="1">
        <f t="array" ref="AP86">_xlfn.IFS(BE86=0,0,BE86&gt;0,(LOG(0.01*BE86/10^-CI86)))</f>
        <v>0</v>
      </c>
      <c r="AQ86" s="8" cm="1">
        <f t="array" ref="AQ86">_xlfn.IFS(BF86=0,0,BF86&gt;0,(LOG(0.01*BF86/10^-CJ86)))</f>
        <v>3.7218779219067319</v>
      </c>
      <c r="AR86" s="8" cm="1">
        <f t="array" ref="AR86">_xlfn.IFS(BG86=0,0,BG86&gt;0,(LOG(0.01*BG86/10^-CK86)))</f>
        <v>3.8535841867597744</v>
      </c>
      <c r="AS86" s="8" cm="1">
        <f t="array" ref="AS86">_xlfn.IFS(BH86=0,0,BH86&gt;0,(LOG(0.01*BH86/10^-CL86)))</f>
        <v>4.0648745009168223</v>
      </c>
      <c r="AT86" s="8" cm="1">
        <f t="array" ref="AT86">_xlfn.IFS(BI86=0,0,BI86&gt;0,(LOG(0.01*BI86/10^-CM86)))</f>
        <v>0</v>
      </c>
      <c r="AU86" s="8" cm="1">
        <f t="array" ref="AU86">_xlfn.IFS(BJ86=0,0,BJ86&gt;0,(LOG(0.01*BJ86/10^-CN86)))</f>
        <v>0</v>
      </c>
      <c r="AV86" s="8" cm="1">
        <f t="array" ref="AV86">_xlfn.IFS(BK86=0,0,BK86&gt;0,(LOG(0.01*BK86/10^-CO86)))</f>
        <v>0</v>
      </c>
      <c r="AW86" s="8" cm="1">
        <f t="array" ref="AW86">_xlfn.IFS(BL86=0,0,BL86&gt;0,(LOG(0.01*BL86/10^-CP86)))</f>
        <v>0</v>
      </c>
      <c r="AX86" s="8" cm="1">
        <f t="array" ref="AX86">_xlfn.IFS(BM86=0,0,BM86&gt;0,(LOG(0.01*BM86/10^-CQ86)))</f>
        <v>0</v>
      </c>
      <c r="AY86" s="8" cm="1">
        <f t="array" ref="AY86">_xlfn.IFS(BN86=0,0,BN86&gt;0,(LOG(0.01*BN86/10^-CR86)))</f>
        <v>0</v>
      </c>
      <c r="AZ86" s="32">
        <f t="shared" si="88"/>
        <v>0</v>
      </c>
      <c r="BA86" s="31">
        <f t="shared" si="131"/>
        <v>49.58829902491874</v>
      </c>
      <c r="BB86" s="31">
        <f t="shared" si="132"/>
        <v>27.172264355362948</v>
      </c>
      <c r="BC86" s="31">
        <f t="shared" si="133"/>
        <v>0</v>
      </c>
      <c r="BD86" s="31">
        <f t="shared" si="134"/>
        <v>0</v>
      </c>
      <c r="BE86" s="31">
        <f t="shared" si="135"/>
        <v>0</v>
      </c>
      <c r="BF86" s="31">
        <f t="shared" si="136"/>
        <v>42.352389878163073</v>
      </c>
      <c r="BG86" s="31">
        <f t="shared" si="137"/>
        <v>24.020618556701031</v>
      </c>
      <c r="BH86" s="31">
        <f t="shared" si="138"/>
        <v>7.3092783505154628</v>
      </c>
      <c r="BI86" s="31">
        <f t="shared" si="139"/>
        <v>0</v>
      </c>
      <c r="BJ86" s="31">
        <f t="shared" si="140"/>
        <v>0</v>
      </c>
      <c r="BK86" s="31">
        <f t="shared" si="141"/>
        <v>0</v>
      </c>
      <c r="BL86" s="31">
        <f t="shared" si="142"/>
        <v>0</v>
      </c>
      <c r="BM86" s="31">
        <f t="shared" si="143"/>
        <v>0</v>
      </c>
      <c r="BN86" s="31">
        <f t="shared" si="144"/>
        <v>0</v>
      </c>
      <c r="BO86" s="132"/>
      <c r="BP86" s="133">
        <v>457.7</v>
      </c>
      <c r="BQ86" s="133">
        <v>250.8</v>
      </c>
      <c r="BR86" s="133"/>
      <c r="BS86" s="133"/>
      <c r="BT86" s="133"/>
      <c r="BU86" s="133">
        <v>451.9</v>
      </c>
      <c r="BV86" s="133">
        <v>256.3</v>
      </c>
      <c r="BW86" s="133">
        <v>77.989999999999995</v>
      </c>
      <c r="BX86" s="133"/>
      <c r="BY86" s="133"/>
      <c r="BZ86" s="133"/>
      <c r="CA86" s="133"/>
      <c r="CB86" s="133"/>
      <c r="CC86" s="133"/>
      <c r="CD86" s="36"/>
      <c r="CE86" s="34">
        <v>4.5830000000000002</v>
      </c>
      <c r="CF86" s="34">
        <v>4.6500000000000004</v>
      </c>
      <c r="CG86" s="34"/>
      <c r="CH86" s="34"/>
      <c r="CI86" s="34"/>
      <c r="CJ86" s="34">
        <v>4.0949999999999998</v>
      </c>
      <c r="CK86" s="34">
        <v>4.4729999999999999</v>
      </c>
      <c r="CL86" s="34">
        <v>5.2009999999999996</v>
      </c>
      <c r="CM86" s="34"/>
      <c r="CN86" s="34"/>
      <c r="CO86" s="34"/>
      <c r="CP86" s="34"/>
      <c r="CQ86" s="34"/>
      <c r="CR86" s="34"/>
      <c r="CS86" s="168" t="str">
        <f>IF(VLOOKUP($A86,'B-Ligands'!$A:$G,3,FALSE)="","",VLOOKUP($A86,'B-Ligands'!$A:$G,3,FALSE))</f>
        <v>Propionate</v>
      </c>
      <c r="CT86" s="169" t="str">
        <f>IF(VLOOKUP($A86,'B-Ligands'!$A:$G,4,FALSE)="","",VLOOKUP($A86,'B-Ligands'!$A:$G,4,FALSE))</f>
        <v>Propionic acid</v>
      </c>
      <c r="CU86" s="132">
        <v>19.278922210226966</v>
      </c>
      <c r="CV86" s="133">
        <v>15.226961776610421</v>
      </c>
      <c r="CW86" s="133">
        <v>6.3255327249149635</v>
      </c>
      <c r="CX86" s="133">
        <v>14.414694542654638</v>
      </c>
      <c r="CY86" s="133">
        <v>4.0566067026402584</v>
      </c>
      <c r="CZ86" s="133">
        <v>5.7421278112727077</v>
      </c>
      <c r="DA86" s="133">
        <v>10.527036903988996</v>
      </c>
      <c r="DB86" s="133">
        <v>7.7321266585544981</v>
      </c>
      <c r="DC86" s="133">
        <v>17.537478334730825</v>
      </c>
      <c r="DD86" s="133">
        <v>9.9584200942959722</v>
      </c>
      <c r="DE86" s="133">
        <v>15.046049833353615</v>
      </c>
      <c r="DF86" s="133">
        <v>15.556964303968613</v>
      </c>
      <c r="DG86" s="133">
        <v>11.677234736798562</v>
      </c>
      <c r="DH86" s="133">
        <v>13.781601253641833</v>
      </c>
      <c r="DI86" s="133">
        <v>14.250193669755227</v>
      </c>
      <c r="DJ86" s="66">
        <f t="shared" si="89"/>
        <v>0</v>
      </c>
      <c r="DK86" s="67">
        <f t="shared" si="90"/>
        <v>30.058524262079398</v>
      </c>
      <c r="DL86" s="67">
        <f t="shared" si="91"/>
        <v>39.648834478738962</v>
      </c>
      <c r="DM86" s="67">
        <f t="shared" si="92"/>
        <v>0</v>
      </c>
      <c r="DN86" s="67">
        <f t="shared" si="93"/>
        <v>0</v>
      </c>
      <c r="DO86" s="67">
        <f t="shared" si="94"/>
        <v>0</v>
      </c>
      <c r="DP86" s="67">
        <f t="shared" si="95"/>
        <v>42.927559209824949</v>
      </c>
      <c r="DQ86" s="67">
        <f t="shared" si="96"/>
        <v>33.147413553610185</v>
      </c>
      <c r="DR86" s="67">
        <f t="shared" si="97"/>
        <v>4.4470475464850816</v>
      </c>
      <c r="DS86" s="67">
        <f t="shared" si="98"/>
        <v>0</v>
      </c>
      <c r="DT86" s="67">
        <f t="shared" si="99"/>
        <v>0</v>
      </c>
      <c r="DU86" s="67">
        <f t="shared" si="100"/>
        <v>0</v>
      </c>
      <c r="DV86" s="67">
        <f t="shared" si="101"/>
        <v>0</v>
      </c>
      <c r="DW86" s="67">
        <f t="shared" si="102"/>
        <v>0</v>
      </c>
      <c r="DX86" s="67">
        <f t="shared" si="103"/>
        <v>0</v>
      </c>
    </row>
    <row r="87" spans="1:128" s="28" customFormat="1">
      <c r="A87" s="33" t="s">
        <v>140</v>
      </c>
      <c r="B87" s="205" t="s">
        <v>5559</v>
      </c>
      <c r="C87" t="str">
        <f>IF(VLOOKUP($A87,'B-Ligands'!$A:$G,5,FALSE)="","",VLOOKUP($A87,'B-Ligands'!$A:$G,5,FALSE))</f>
        <v>Guide To Pharmacology</v>
      </c>
      <c r="D87" s="19">
        <f>IF(VLOOKUP($A87,'B-Ligands'!$A:$G,6,FALSE)="","",VLOOKUP($A87,'B-Ligands'!$A:$G,6,FALSE))</f>
        <v>1588</v>
      </c>
      <c r="E87" t="str">
        <f>IF(VLOOKUP($A87,'B-Ligands'!$A:$G,7,FALSE)="","",VLOOKUP($A87,'B-Ligands'!$A:$G,7,FALSE))</f>
        <v>Phys</v>
      </c>
      <c r="F87" s="20" t="str">
        <f t="shared" si="145"/>
        <v/>
      </c>
      <c r="G87" s="19">
        <f t="shared" si="146"/>
        <v>1</v>
      </c>
      <c r="H87" s="19" t="str">
        <f t="shared" si="147"/>
        <v/>
      </c>
      <c r="I87" s="19">
        <f t="shared" si="148"/>
        <v>1</v>
      </c>
      <c r="J87" s="189">
        <f t="shared" si="104"/>
        <v>2</v>
      </c>
      <c r="K87" s="147" t="str">
        <f t="shared" si="105"/>
        <v>Gi/o</v>
      </c>
      <c r="L87" s="20">
        <f t="shared" si="106"/>
        <v>0</v>
      </c>
      <c r="M87" s="19">
        <f t="shared" si="107"/>
        <v>1</v>
      </c>
      <c r="N87" s="19">
        <f t="shared" si="108"/>
        <v>0</v>
      </c>
      <c r="O87" s="19">
        <f t="shared" si="109"/>
        <v>2</v>
      </c>
      <c r="P87" s="20">
        <f t="shared" si="110"/>
        <v>0</v>
      </c>
      <c r="Q87" s="19">
        <f t="shared" si="111"/>
        <v>100</v>
      </c>
      <c r="R87" s="19">
        <f t="shared" si="112"/>
        <v>0</v>
      </c>
      <c r="S87" s="19">
        <f t="shared" si="113"/>
        <v>82.016561204768962</v>
      </c>
      <c r="T87" s="20">
        <f t="shared" si="114"/>
        <v>0</v>
      </c>
      <c r="U87" s="21">
        <f t="shared" si="115"/>
        <v>6.9424727330328961</v>
      </c>
      <c r="V87" s="21">
        <f t="shared" si="116"/>
        <v>0</v>
      </c>
      <c r="W87" s="21">
        <f t="shared" si="117"/>
        <v>5.6939773982123212</v>
      </c>
      <c r="X87" s="147" t="str">
        <f t="shared" si="118"/>
        <v>Gi1</v>
      </c>
      <c r="Y87" s="32">
        <f t="shared" si="119"/>
        <v>0</v>
      </c>
      <c r="Z87" s="31">
        <f t="shared" si="120"/>
        <v>100</v>
      </c>
      <c r="AA87" s="31">
        <f t="shared" si="121"/>
        <v>96.345345918934356</v>
      </c>
      <c r="AB87" s="31">
        <f t="shared" si="122"/>
        <v>94.025341809438274</v>
      </c>
      <c r="AC87" s="31">
        <f t="shared" si="123"/>
        <v>95.601317024546574</v>
      </c>
      <c r="AD87" s="31">
        <f t="shared" si="124"/>
        <v>92.493100588235308</v>
      </c>
      <c r="AE87" s="31">
        <f t="shared" si="125"/>
        <v>0</v>
      </c>
      <c r="AF87" s="31">
        <f t="shared" si="126"/>
        <v>0</v>
      </c>
      <c r="AG87" s="31">
        <f t="shared" si="127"/>
        <v>0</v>
      </c>
      <c r="AH87" s="31">
        <f t="shared" si="128"/>
        <v>0</v>
      </c>
      <c r="AI87" s="31">
        <f t="shared" si="129"/>
        <v>0</v>
      </c>
      <c r="AJ87" s="31">
        <f t="shared" si="130"/>
        <v>82.016561204768962</v>
      </c>
      <c r="AK87" s="7" cm="1">
        <f t="array" ref="AK87">_xlfn.IFS(AZ87=0,0,AZ87&gt;0,(LOG(0.01*AZ87/10^-CD87)))</f>
        <v>0</v>
      </c>
      <c r="AL87" s="8" cm="1">
        <f t="array" ref="AL87">_xlfn.IFS(BA87=0,0,BA87&gt;0,(LOG(0.01*BA87/10^-CE87)))</f>
        <v>6.9424727330328961</v>
      </c>
      <c r="AM87" s="8" cm="1">
        <f t="array" ref="AM87">_xlfn.IFS(BB87=0,0,BB87&gt;0,(LOG(0.01*BB87/10^-CF87)))</f>
        <v>6.6887493699682397</v>
      </c>
      <c r="AN87" s="8" cm="1">
        <f t="array" ref="AN87">_xlfn.IFS(BC87=0,0,BC87&gt;0,(LOG(0.01*BC87/10^-CG87)))</f>
        <v>6.5276837172612314</v>
      </c>
      <c r="AO87" s="8" cm="1">
        <f t="array" ref="AO87">_xlfn.IFS(BD87=0,0,BD87&gt;0,(LOG(0.01*BD87/10^-CH87)))</f>
        <v>6.6370953668494819</v>
      </c>
      <c r="AP87" s="8" cm="1">
        <f t="array" ref="AP87">_xlfn.IFS(BE87=0,0,BE87&gt;0,(LOG(0.01*BE87/10^-CI87)))</f>
        <v>6.4213082882749255</v>
      </c>
      <c r="AQ87" s="8" cm="1">
        <f t="array" ref="AQ87">_xlfn.IFS(BF87=0,0,BF87&gt;0,(LOG(0.01*BF87/10^-CJ87)))</f>
        <v>0</v>
      </c>
      <c r="AR87" s="8" cm="1">
        <f t="array" ref="AR87">_xlfn.IFS(BG87=0,0,BG87&gt;0,(LOG(0.01*BG87/10^-CK87)))</f>
        <v>0</v>
      </c>
      <c r="AS87" s="8" cm="1">
        <f t="array" ref="AS87">_xlfn.IFS(BH87=0,0,BH87&gt;0,(LOG(0.01*BH87/10^-CL87)))</f>
        <v>0</v>
      </c>
      <c r="AT87" s="8" cm="1">
        <f t="array" ref="AT87">_xlfn.IFS(BI87=0,0,BI87&gt;0,(LOG(0.01*BI87/10^-CM87)))</f>
        <v>0</v>
      </c>
      <c r="AU87" s="8" cm="1">
        <f t="array" ref="AU87">_xlfn.IFS(BJ87=0,0,BJ87&gt;0,(LOG(0.01*BJ87/10^-CN87)))</f>
        <v>0</v>
      </c>
      <c r="AV87" s="8" cm="1">
        <f t="array" ref="AV87">_xlfn.IFS(BK87=0,0,BK87&gt;0,(LOG(0.01*BK87/10^-CO87)))</f>
        <v>5.6939773982123212</v>
      </c>
      <c r="AW87" s="8" cm="1">
        <f t="array" ref="AW87">_xlfn.IFS(BL87=0,0,BL87&gt;0,(LOG(0.01*BL87/10^-CP87)))</f>
        <v>4.5760580039132233</v>
      </c>
      <c r="AX87" s="8" cm="1">
        <f t="array" ref="AX87">_xlfn.IFS(BM87=0,0,BM87&gt;0,(LOG(0.01*BM87/10^-CQ87)))</f>
        <v>4.6012035110792144</v>
      </c>
      <c r="AY87" s="8" cm="1">
        <f t="array" ref="AY87">_xlfn.IFS(BN87=0,0,BN87&gt;0,(LOG(0.01*BN87/10^-CR87)))</f>
        <v>5.3427853684807882</v>
      </c>
      <c r="AZ87" s="32">
        <f t="shared" si="88"/>
        <v>0</v>
      </c>
      <c r="BA87" s="31">
        <f t="shared" si="131"/>
        <v>16.013001083423621</v>
      </c>
      <c r="BB87" s="31">
        <f t="shared" si="132"/>
        <v>13.575297941495124</v>
      </c>
      <c r="BC87" s="31">
        <f t="shared" si="133"/>
        <v>15.124593716143012</v>
      </c>
      <c r="BD87" s="31">
        <f t="shared" si="134"/>
        <v>18.75406283856988</v>
      </c>
      <c r="BE87" s="31">
        <f t="shared" si="135"/>
        <v>15.42795232936078</v>
      </c>
      <c r="BF87" s="31">
        <f t="shared" si="136"/>
        <v>0</v>
      </c>
      <c r="BG87" s="31">
        <f t="shared" si="137"/>
        <v>0</v>
      </c>
      <c r="BH87" s="31">
        <f t="shared" si="138"/>
        <v>0</v>
      </c>
      <c r="BI87" s="31">
        <f t="shared" si="139"/>
        <v>0</v>
      </c>
      <c r="BJ87" s="31">
        <f t="shared" si="140"/>
        <v>0</v>
      </c>
      <c r="BK87" s="31">
        <f t="shared" si="141"/>
        <v>17.417162276975361</v>
      </c>
      <c r="BL87" s="31">
        <f t="shared" si="142"/>
        <v>3.3423967774420946</v>
      </c>
      <c r="BM87" s="31">
        <f t="shared" si="143"/>
        <v>5.6260490097348104</v>
      </c>
      <c r="BN87" s="31">
        <f t="shared" si="144"/>
        <v>10.808996307485733</v>
      </c>
      <c r="BO87" s="134"/>
      <c r="BP87" s="135">
        <v>147.80000000000001</v>
      </c>
      <c r="BQ87" s="135">
        <v>125.3</v>
      </c>
      <c r="BR87" s="135">
        <v>139.6</v>
      </c>
      <c r="BS87" s="135">
        <v>173.1</v>
      </c>
      <c r="BT87" s="135">
        <v>142.4</v>
      </c>
      <c r="BU87" s="135"/>
      <c r="BV87" s="135"/>
      <c r="BW87" s="135"/>
      <c r="BX87" s="135"/>
      <c r="BY87" s="135"/>
      <c r="BZ87" s="135">
        <v>123</v>
      </c>
      <c r="CA87" s="135">
        <v>99.57</v>
      </c>
      <c r="CB87" s="135">
        <v>167.6</v>
      </c>
      <c r="CC87" s="135">
        <v>322</v>
      </c>
      <c r="CD87" s="30"/>
      <c r="CE87" s="29">
        <v>7.7380000000000004</v>
      </c>
      <c r="CF87" s="29">
        <v>7.556</v>
      </c>
      <c r="CG87" s="29">
        <v>7.3479999999999999</v>
      </c>
      <c r="CH87" s="29">
        <v>7.3639999999999999</v>
      </c>
      <c r="CI87" s="29">
        <v>7.2329999999999997</v>
      </c>
      <c r="CJ87" s="29"/>
      <c r="CK87" s="29"/>
      <c r="CL87" s="29"/>
      <c r="CM87" s="29"/>
      <c r="CN87" s="29"/>
      <c r="CO87" s="29">
        <v>6.4530000000000003</v>
      </c>
      <c r="CP87" s="29">
        <v>6.0519999999999996</v>
      </c>
      <c r="CQ87" s="29">
        <v>5.851</v>
      </c>
      <c r="CR87" s="29">
        <v>6.3090000000000002</v>
      </c>
      <c r="CS87" s="168" t="str">
        <f>IF(VLOOKUP($A87,'B-Ligands'!$A:$G,3,FALSE)="","",VLOOKUP($A87,'B-Ligands'!$A:$G,3,FALSE))</f>
        <v/>
      </c>
      <c r="CT87" s="169" t="str">
        <f>IF(VLOOKUP($A87,'B-Ligands'!$A:$G,4,FALSE)="","",VLOOKUP($A87,'B-Ligands'!$A:$G,4,FALSE))</f>
        <v>Nicotinic acid</v>
      </c>
      <c r="CU87" s="134">
        <v>3.1363945908898074</v>
      </c>
      <c r="CV87" s="135">
        <v>7.694540307201768</v>
      </c>
      <c r="CW87" s="135">
        <v>9.6037378712913615</v>
      </c>
      <c r="CX87" s="135">
        <v>15.320646925708543</v>
      </c>
      <c r="CY87" s="135">
        <v>4.3973627083385969</v>
      </c>
      <c r="CZ87" s="135">
        <v>3.405525662727265</v>
      </c>
      <c r="DA87" s="135">
        <v>11.586802104198048</v>
      </c>
      <c r="DB87" s="135">
        <v>5.5903814619538936</v>
      </c>
      <c r="DC87" s="135">
        <v>7.2907758283300304</v>
      </c>
      <c r="DD87" s="135">
        <v>6.2165364212924796</v>
      </c>
      <c r="DE87" s="135">
        <v>16.613100955142205</v>
      </c>
      <c r="DF87" s="135">
        <v>15.233126991235549</v>
      </c>
      <c r="DG87" s="135">
        <v>13.755096444136377</v>
      </c>
      <c r="DH87" s="135">
        <v>8.5672711694341181</v>
      </c>
      <c r="DI87" s="135">
        <v>18.979565172369497</v>
      </c>
      <c r="DJ87" s="66">
        <f t="shared" si="89"/>
        <v>0</v>
      </c>
      <c r="DK87" s="67">
        <f t="shared" si="90"/>
        <v>19.208424947968027</v>
      </c>
      <c r="DL87" s="67">
        <f t="shared" si="91"/>
        <v>13.047003331334324</v>
      </c>
      <c r="DM87" s="67">
        <f t="shared" si="92"/>
        <v>9.1118867680284872</v>
      </c>
      <c r="DN87" s="67">
        <f t="shared" si="93"/>
        <v>39.364503562954965</v>
      </c>
      <c r="DO87" s="67">
        <f t="shared" si="94"/>
        <v>41.814396396578928</v>
      </c>
      <c r="DP87" s="67">
        <f t="shared" si="95"/>
        <v>0</v>
      </c>
      <c r="DQ87" s="67">
        <f t="shared" si="96"/>
        <v>0</v>
      </c>
      <c r="DR87" s="67">
        <f t="shared" si="97"/>
        <v>0</v>
      </c>
      <c r="DS87" s="67">
        <f t="shared" si="98"/>
        <v>0</v>
      </c>
      <c r="DT87" s="67">
        <f t="shared" si="99"/>
        <v>0</v>
      </c>
      <c r="DU87" s="67">
        <f t="shared" si="100"/>
        <v>8.0745076221558865</v>
      </c>
      <c r="DV87" s="67">
        <f t="shared" si="101"/>
        <v>7.2387714913075305</v>
      </c>
      <c r="DW87" s="67">
        <f t="shared" si="102"/>
        <v>19.562821893388282</v>
      </c>
      <c r="DX87" s="67">
        <f t="shared" si="103"/>
        <v>16.965615232785652</v>
      </c>
    </row>
    <row r="88" spans="1:128" s="28" customFormat="1">
      <c r="A88" s="33" t="s">
        <v>177</v>
      </c>
      <c r="B88" s="205" t="s">
        <v>5559</v>
      </c>
      <c r="C88" t="str">
        <f>IF(VLOOKUP($A88,'B-Ligands'!$A:$G,5,FALSE)="","",VLOOKUP($A88,'B-Ligands'!$A:$G,5,FALSE))</f>
        <v>Guide To Pharmacology</v>
      </c>
      <c r="D88" s="19">
        <f>IF(VLOOKUP($A88,'B-Ligands'!$A:$G,6,FALSE)="","",VLOOKUP($A88,'B-Ligands'!$A:$G,6,FALSE))</f>
        <v>1504</v>
      </c>
      <c r="E88" t="str">
        <f>IF(VLOOKUP($A88,'B-Ligands'!$A:$G,7,FALSE)="","",VLOOKUP($A88,'B-Ligands'!$A:$G,7,FALSE))</f>
        <v>Phys</v>
      </c>
      <c r="F88" s="20" t="str">
        <f t="shared" si="145"/>
        <v/>
      </c>
      <c r="G88" s="19">
        <f t="shared" si="146"/>
        <v>1</v>
      </c>
      <c r="H88" s="19" t="str">
        <f t="shared" si="147"/>
        <v/>
      </c>
      <c r="I88" s="19" t="str">
        <f t="shared" si="148"/>
        <v/>
      </c>
      <c r="J88" s="189">
        <f t="shared" si="104"/>
        <v>1</v>
      </c>
      <c r="K88" s="147" t="str">
        <f t="shared" si="105"/>
        <v>Gi/o</v>
      </c>
      <c r="L88" s="20">
        <f t="shared" si="106"/>
        <v>0</v>
      </c>
      <c r="M88" s="19">
        <f t="shared" si="107"/>
        <v>1</v>
      </c>
      <c r="N88" s="19">
        <f t="shared" si="108"/>
        <v>0</v>
      </c>
      <c r="O88" s="19">
        <f t="shared" si="109"/>
        <v>0</v>
      </c>
      <c r="P88" s="20">
        <f t="shared" si="110"/>
        <v>0</v>
      </c>
      <c r="Q88" s="19">
        <f t="shared" si="111"/>
        <v>100</v>
      </c>
      <c r="R88" s="19">
        <f t="shared" si="112"/>
        <v>0</v>
      </c>
      <c r="S88" s="19">
        <f t="shared" si="113"/>
        <v>0</v>
      </c>
      <c r="T88" s="20">
        <f t="shared" si="114"/>
        <v>0</v>
      </c>
      <c r="U88" s="21">
        <f t="shared" si="115"/>
        <v>9.2690350476979173</v>
      </c>
      <c r="V88" s="21">
        <f t="shared" si="116"/>
        <v>0</v>
      </c>
      <c r="W88" s="21">
        <f t="shared" si="117"/>
        <v>0</v>
      </c>
      <c r="X88" s="147" t="str">
        <f t="shared" si="118"/>
        <v>Gz</v>
      </c>
      <c r="Y88" s="32">
        <f t="shared" si="119"/>
        <v>0</v>
      </c>
      <c r="Z88" s="31">
        <f t="shared" si="120"/>
        <v>96.782186263947949</v>
      </c>
      <c r="AA88" s="31">
        <f t="shared" si="121"/>
        <v>94.203009196229132</v>
      </c>
      <c r="AB88" s="31">
        <f t="shared" si="122"/>
        <v>88.942842329460191</v>
      </c>
      <c r="AC88" s="31">
        <f t="shared" si="123"/>
        <v>96.034317876200021</v>
      </c>
      <c r="AD88" s="31">
        <f t="shared" si="124"/>
        <v>100</v>
      </c>
      <c r="AE88" s="31">
        <f t="shared" si="125"/>
        <v>0</v>
      </c>
      <c r="AF88" s="31">
        <f t="shared" si="126"/>
        <v>0</v>
      </c>
      <c r="AG88" s="31">
        <f t="shared" si="127"/>
        <v>0</v>
      </c>
      <c r="AH88" s="31">
        <f t="shared" si="128"/>
        <v>0</v>
      </c>
      <c r="AI88" s="31">
        <f t="shared" si="129"/>
        <v>0</v>
      </c>
      <c r="AJ88" s="31">
        <f t="shared" si="130"/>
        <v>0</v>
      </c>
      <c r="AK88" s="7" cm="1">
        <f t="array" ref="AK88">_xlfn.IFS(AZ88=0,0,AZ88&gt;0,(LOG(0.01*AZ88/10^-CD88)))</f>
        <v>0</v>
      </c>
      <c r="AL88" s="8" cm="1">
        <f t="array" ref="AL88">_xlfn.IFS(BA88=0,0,BA88&gt;0,(LOG(0.01*BA88/10^-CE88)))</f>
        <v>8.9707747647336156</v>
      </c>
      <c r="AM88" s="8" cm="1">
        <f t="array" ref="AM88">_xlfn.IFS(BB88=0,0,BB88&gt;0,(LOG(0.01*BB88/10^-CF88)))</f>
        <v>8.7317099383845704</v>
      </c>
      <c r="AN88" s="8" cm="1">
        <f t="array" ref="AN88">_xlfn.IFS(BC88=0,0,BC88&gt;0,(LOG(0.01*BC88/10^-CG88)))</f>
        <v>8.2441432279363642</v>
      </c>
      <c r="AO88" s="8" cm="1">
        <f t="array" ref="AO88">_xlfn.IFS(BD88=0,0,BD88&gt;0,(LOG(0.01*BD88/10^-CH88)))</f>
        <v>8.9014545817626054</v>
      </c>
      <c r="AP88" s="8" cm="1">
        <f t="array" ref="AP88">_xlfn.IFS(BE88=0,0,BE88&gt;0,(LOG(0.01*BE88/10^-CI88)))</f>
        <v>9.2690350476979173</v>
      </c>
      <c r="AQ88" s="8" cm="1">
        <f t="array" ref="AQ88">_xlfn.IFS(BF88=0,0,BF88&gt;0,(LOG(0.01*BF88/10^-CJ88)))</f>
        <v>0</v>
      </c>
      <c r="AR88" s="8" cm="1">
        <f t="array" ref="AR88">_xlfn.IFS(BG88=0,0,BG88&gt;0,(LOG(0.01*BG88/10^-CK88)))</f>
        <v>0</v>
      </c>
      <c r="AS88" s="8" cm="1">
        <f t="array" ref="AS88">_xlfn.IFS(BH88=0,0,BH88&gt;0,(LOG(0.01*BH88/10^-CL88)))</f>
        <v>0</v>
      </c>
      <c r="AT88" s="8" cm="1">
        <f t="array" ref="AT88">_xlfn.IFS(BI88=0,0,BI88&gt;0,(LOG(0.01*BI88/10^-CM88)))</f>
        <v>0</v>
      </c>
      <c r="AU88" s="8" cm="1">
        <f t="array" ref="AU88">_xlfn.IFS(BJ88=0,0,BJ88&gt;0,(LOG(0.01*BJ88/10^-CN88)))</f>
        <v>0</v>
      </c>
      <c r="AV88" s="8" cm="1">
        <f t="array" ref="AV88">_xlfn.IFS(BK88=0,0,BK88&gt;0,(LOG(0.01*BK88/10^-CO88)))</f>
        <v>0</v>
      </c>
      <c r="AW88" s="8" cm="1">
        <f t="array" ref="AW88">_xlfn.IFS(BL88=0,0,BL88&gt;0,(LOG(0.01*BL88/10^-CP88)))</f>
        <v>6.3753091002236957</v>
      </c>
      <c r="AX88" s="8" cm="1">
        <f t="array" ref="AX88">_xlfn.IFS(BM88=0,0,BM88&gt;0,(LOG(0.01*BM88/10^-CQ88)))</f>
        <v>0</v>
      </c>
      <c r="AY88" s="8" cm="1">
        <f t="array" ref="AY88">_xlfn.IFS(BN88=0,0,BN88&gt;0,(LOG(0.01*BN88/10^-CR88)))</f>
        <v>6.9651084225329791</v>
      </c>
      <c r="AZ88" s="32">
        <f t="shared" si="88"/>
        <v>0</v>
      </c>
      <c r="BA88" s="31">
        <f t="shared" si="131"/>
        <v>32.491874322860234</v>
      </c>
      <c r="BB88" s="31">
        <f t="shared" si="132"/>
        <v>20.216684723726978</v>
      </c>
      <c r="BC88" s="31">
        <f t="shared" si="133"/>
        <v>8.9772481040086678</v>
      </c>
      <c r="BD88" s="31">
        <f t="shared" si="134"/>
        <v>20.866738894907908</v>
      </c>
      <c r="BE88" s="31">
        <f t="shared" si="135"/>
        <v>16.944745395449623</v>
      </c>
      <c r="BF88" s="31">
        <f t="shared" si="136"/>
        <v>0</v>
      </c>
      <c r="BG88" s="31">
        <f t="shared" si="137"/>
        <v>0</v>
      </c>
      <c r="BH88" s="31">
        <f t="shared" si="138"/>
        <v>0</v>
      </c>
      <c r="BI88" s="31">
        <f t="shared" si="139"/>
        <v>0</v>
      </c>
      <c r="BJ88" s="31">
        <f t="shared" si="140"/>
        <v>0</v>
      </c>
      <c r="BK88" s="31">
        <f t="shared" si="141"/>
        <v>0</v>
      </c>
      <c r="BL88" s="31">
        <f t="shared" si="142"/>
        <v>0.71500503524672709</v>
      </c>
      <c r="BM88" s="31">
        <f t="shared" si="143"/>
        <v>0</v>
      </c>
      <c r="BN88" s="31">
        <f t="shared" si="144"/>
        <v>1.4128902316213494</v>
      </c>
      <c r="BO88" s="132"/>
      <c r="BP88" s="133">
        <v>299.89999999999998</v>
      </c>
      <c r="BQ88" s="133">
        <v>186.6</v>
      </c>
      <c r="BR88" s="133">
        <v>82.86</v>
      </c>
      <c r="BS88" s="133">
        <v>192.6</v>
      </c>
      <c r="BT88" s="133">
        <v>156.4</v>
      </c>
      <c r="BU88" s="133"/>
      <c r="BV88" s="133"/>
      <c r="BW88" s="133"/>
      <c r="BX88" s="133"/>
      <c r="BY88" s="133"/>
      <c r="BZ88" s="133"/>
      <c r="CA88" s="172">
        <v>21.3</v>
      </c>
      <c r="CB88" s="135"/>
      <c r="CC88" s="133">
        <v>42.09</v>
      </c>
      <c r="CD88" s="36"/>
      <c r="CE88" s="34">
        <v>9.4589999999999996</v>
      </c>
      <c r="CF88" s="34">
        <v>9.4260000000000002</v>
      </c>
      <c r="CG88" s="34">
        <v>9.2910000000000004</v>
      </c>
      <c r="CH88" s="34">
        <v>9.5820000000000007</v>
      </c>
      <c r="CI88" s="34">
        <v>10.039999999999999</v>
      </c>
      <c r="CJ88" s="34"/>
      <c r="CK88" s="34"/>
      <c r="CL88" s="34"/>
      <c r="CM88" s="34"/>
      <c r="CN88" s="34"/>
      <c r="CO88" s="34"/>
      <c r="CP88" s="38">
        <v>8.5210000000000008</v>
      </c>
      <c r="CQ88" s="40"/>
      <c r="CR88" s="34">
        <v>8.8149999999999995</v>
      </c>
      <c r="CS88" s="168" t="str">
        <f>IF(VLOOKUP($A88,'B-Ligands'!$A:$G,3,FALSE)="","",VLOOKUP($A88,'B-Ligands'!$A:$G,3,FALSE))</f>
        <v>NPY</v>
      </c>
      <c r="CT88" s="169" t="str">
        <f>IF(VLOOKUP($A88,'B-Ligands'!$A:$G,4,FALSE)="","",VLOOKUP($A88,'B-Ligands'!$A:$G,4,FALSE))</f>
        <v>Neuropeptide Y</v>
      </c>
      <c r="CU88" s="132">
        <v>8.5816288667939649</v>
      </c>
      <c r="CV88" s="133">
        <v>9.4471756190915155</v>
      </c>
      <c r="CW88" s="133">
        <v>8.4299580151932236</v>
      </c>
      <c r="CX88" s="133">
        <v>15.288795268898255</v>
      </c>
      <c r="CY88" s="133">
        <v>6.2451026258640958</v>
      </c>
      <c r="CZ88" s="133">
        <v>9.9792441534168042</v>
      </c>
      <c r="DA88" s="133">
        <v>7.1719086774698368</v>
      </c>
      <c r="DB88" s="133">
        <v>3.5920736214733568</v>
      </c>
      <c r="DC88" s="133">
        <v>9.7525377799538688</v>
      </c>
      <c r="DD88" s="133">
        <v>7.0234574998451871</v>
      </c>
      <c r="DE88" s="133">
        <v>6.6241415674092723</v>
      </c>
      <c r="DF88" s="133">
        <v>6.2344497661812062</v>
      </c>
      <c r="DG88" s="133">
        <v>19.232684377249651</v>
      </c>
      <c r="DH88" s="133">
        <v>14.470951872390163</v>
      </c>
      <c r="DI88" s="133">
        <v>4.358333342901207</v>
      </c>
      <c r="DJ88" s="66">
        <f t="shared" si="89"/>
        <v>0</v>
      </c>
      <c r="DK88" s="67">
        <f t="shared" si="90"/>
        <v>31.744937544501767</v>
      </c>
      <c r="DL88" s="67">
        <f t="shared" si="91"/>
        <v>22.135341559672398</v>
      </c>
      <c r="DM88" s="67">
        <f t="shared" si="92"/>
        <v>5.4196552797433775</v>
      </c>
      <c r="DN88" s="67">
        <f t="shared" si="93"/>
        <v>30.84016573280109</v>
      </c>
      <c r="DO88" s="67">
        <f t="shared" si="94"/>
        <v>15.672529662123763</v>
      </c>
      <c r="DP88" s="67">
        <f t="shared" si="95"/>
        <v>0</v>
      </c>
      <c r="DQ88" s="67">
        <f t="shared" si="96"/>
        <v>0</v>
      </c>
      <c r="DR88" s="67">
        <f t="shared" si="97"/>
        <v>0</v>
      </c>
      <c r="DS88" s="67">
        <f t="shared" si="98"/>
        <v>0</v>
      </c>
      <c r="DT88" s="67">
        <f t="shared" si="99"/>
        <v>0</v>
      </c>
      <c r="DU88" s="67">
        <f t="shared" si="100"/>
        <v>0</v>
      </c>
      <c r="DV88" s="67">
        <f t="shared" si="101"/>
        <v>1.1074897077391743</v>
      </c>
      <c r="DW88" s="67">
        <f t="shared" si="102"/>
        <v>0</v>
      </c>
      <c r="DX88" s="67">
        <f t="shared" si="103"/>
        <v>9.6573613554721813</v>
      </c>
    </row>
    <row r="89" spans="1:128" s="28" customFormat="1">
      <c r="A89" s="33" t="s">
        <v>147</v>
      </c>
      <c r="B89" s="205" t="s">
        <v>5559</v>
      </c>
      <c r="C89" t="str">
        <f>IF(VLOOKUP($A89,'B-Ligands'!$A:$G,5,FALSE)="","",VLOOKUP($A89,'B-Ligands'!$A:$G,5,FALSE))</f>
        <v>Guide To Pharmacology</v>
      </c>
      <c r="D89" s="19">
        <f>IF(VLOOKUP($A89,'B-Ligands'!$A:$G,6,FALSE)="","",VLOOKUP($A89,'B-Ligands'!$A:$G,6,FALSE))</f>
        <v>2487</v>
      </c>
      <c r="E89" t="str">
        <f>IF(VLOOKUP($A89,'B-Ligands'!$A:$G,7,FALSE)="","",VLOOKUP($A89,'B-Ligands'!$A:$G,7,FALSE))</f>
        <v>Phys</v>
      </c>
      <c r="F89" s="20" t="str">
        <f t="shared" si="145"/>
        <v/>
      </c>
      <c r="G89" s="19">
        <f t="shared" si="146"/>
        <v>1</v>
      </c>
      <c r="H89" s="19" t="str">
        <f t="shared" si="147"/>
        <v/>
      </c>
      <c r="I89" s="19" t="str">
        <f t="shared" si="148"/>
        <v/>
      </c>
      <c r="J89" s="189">
        <f t="shared" si="104"/>
        <v>1</v>
      </c>
      <c r="K89" s="147" t="str">
        <f t="shared" si="105"/>
        <v>Gi/o</v>
      </c>
      <c r="L89" s="20">
        <f t="shared" si="106"/>
        <v>0</v>
      </c>
      <c r="M89" s="19">
        <f t="shared" si="107"/>
        <v>1</v>
      </c>
      <c r="N89" s="19">
        <f t="shared" si="108"/>
        <v>0</v>
      </c>
      <c r="O89" s="19">
        <f t="shared" si="109"/>
        <v>0</v>
      </c>
      <c r="P89" s="20">
        <f t="shared" si="110"/>
        <v>0</v>
      </c>
      <c r="Q89" s="19">
        <f t="shared" si="111"/>
        <v>100</v>
      </c>
      <c r="R89" s="19">
        <f t="shared" si="112"/>
        <v>0</v>
      </c>
      <c r="S89" s="19">
        <f t="shared" si="113"/>
        <v>0</v>
      </c>
      <c r="T89" s="20">
        <f t="shared" si="114"/>
        <v>0</v>
      </c>
      <c r="U89" s="21">
        <f t="shared" si="115"/>
        <v>8.4049772247221117</v>
      </c>
      <c r="V89" s="21">
        <f t="shared" si="116"/>
        <v>0</v>
      </c>
      <c r="W89" s="21">
        <f t="shared" si="117"/>
        <v>0</v>
      </c>
      <c r="X89" s="147" t="str">
        <f t="shared" si="118"/>
        <v>Gi1</v>
      </c>
      <c r="Y89" s="32">
        <f t="shared" si="119"/>
        <v>0</v>
      </c>
      <c r="Z89" s="31">
        <f t="shared" si="120"/>
        <v>100</v>
      </c>
      <c r="AA89" s="31">
        <f t="shared" si="121"/>
        <v>98.082114266583048</v>
      </c>
      <c r="AB89" s="31">
        <f t="shared" si="122"/>
        <v>92.277183904085234</v>
      </c>
      <c r="AC89" s="31">
        <f t="shared" si="123"/>
        <v>97.194732445803993</v>
      </c>
      <c r="AD89" s="31">
        <f t="shared" si="124"/>
        <v>76.120055001018088</v>
      </c>
      <c r="AE89" s="31">
        <f t="shared" si="125"/>
        <v>0</v>
      </c>
      <c r="AF89" s="31">
        <f t="shared" si="126"/>
        <v>0</v>
      </c>
      <c r="AG89" s="31">
        <f t="shared" si="127"/>
        <v>0</v>
      </c>
      <c r="AH89" s="31">
        <f t="shared" si="128"/>
        <v>0</v>
      </c>
      <c r="AI89" s="31">
        <f t="shared" si="129"/>
        <v>0</v>
      </c>
      <c r="AJ89" s="31">
        <f t="shared" si="130"/>
        <v>0</v>
      </c>
      <c r="AK89" s="7" cm="1">
        <f t="array" ref="AK89">_xlfn.IFS(AZ89=0,0,AZ89&gt;0,(LOG(0.01*AZ89/10^-CD89)))</f>
        <v>0</v>
      </c>
      <c r="AL89" s="8" cm="1">
        <f t="array" ref="AL89">_xlfn.IFS(BA89=0,0,BA89&gt;0,(LOG(0.01*BA89/10^-CE89)))</f>
        <v>8.4049772247221117</v>
      </c>
      <c r="AM89" s="8" cm="1">
        <f t="array" ref="AM89">_xlfn.IFS(BB89=0,0,BB89&gt;0,(LOG(0.01*BB89/10^-CF89)))</f>
        <v>8.2437793656322214</v>
      </c>
      <c r="AN89" s="8" cm="1">
        <f t="array" ref="AN89">_xlfn.IFS(BC89=0,0,BC89&gt;0,(LOG(0.01*BC89/10^-CG89)))</f>
        <v>7.7558762907533021</v>
      </c>
      <c r="AO89" s="8" cm="1">
        <f t="array" ref="AO89">_xlfn.IFS(BD89=0,0,BD89&gt;0,(LOG(0.01*BD89/10^-CH89)))</f>
        <v>8.1691951256994191</v>
      </c>
      <c r="AP89" s="8" cm="1">
        <f t="array" ref="AP89">_xlfn.IFS(BE89=0,0,BE89&gt;0,(LOG(0.01*BE89/10^-CI89)))</f>
        <v>6.3978732862815155</v>
      </c>
      <c r="AQ89" s="8" cm="1">
        <f t="array" ref="AQ89">_xlfn.IFS(BF89=0,0,BF89&gt;0,(LOG(0.01*BF89/10^-CJ89)))</f>
        <v>0</v>
      </c>
      <c r="AR89" s="8" cm="1">
        <f t="array" ref="AR89">_xlfn.IFS(BG89=0,0,BG89&gt;0,(LOG(0.01*BG89/10^-CK89)))</f>
        <v>0</v>
      </c>
      <c r="AS89" s="8" cm="1">
        <f t="array" ref="AS89">_xlfn.IFS(BH89=0,0,BH89&gt;0,(LOG(0.01*BH89/10^-CL89)))</f>
        <v>0</v>
      </c>
      <c r="AT89" s="8" cm="1">
        <f t="array" ref="AT89">_xlfn.IFS(BI89=0,0,BI89&gt;0,(LOG(0.01*BI89/10^-CM89)))</f>
        <v>0</v>
      </c>
      <c r="AU89" s="8" cm="1">
        <f t="array" ref="AU89">_xlfn.IFS(BJ89=0,0,BJ89&gt;0,(LOG(0.01*BJ89/10^-CN89)))</f>
        <v>0</v>
      </c>
      <c r="AV89" s="8" cm="1">
        <f t="array" ref="AV89">_xlfn.IFS(BK89=0,0,BK89&gt;0,(LOG(0.01*BK89/10^-CO89)))</f>
        <v>0</v>
      </c>
      <c r="AW89" s="8" cm="1">
        <f t="array" ref="AW89">_xlfn.IFS(BL89=0,0,BL89&gt;0,(LOG(0.01*BL89/10^-CP89)))</f>
        <v>0</v>
      </c>
      <c r="AX89" s="8" cm="1">
        <f t="array" ref="AX89">_xlfn.IFS(BM89=0,0,BM89&gt;0,(LOG(0.01*BM89/10^-CQ89)))</f>
        <v>5.5459770913060513</v>
      </c>
      <c r="AY89" s="8" cm="1">
        <f t="array" ref="AY89">_xlfn.IFS(BN89=0,0,BN89&gt;0,(LOG(0.01*BN89/10^-CR89)))</f>
        <v>5.2816423635503247</v>
      </c>
      <c r="AZ89" s="32">
        <f t="shared" si="88"/>
        <v>0</v>
      </c>
      <c r="BA89" s="31">
        <f t="shared" si="131"/>
        <v>45.601300108342365</v>
      </c>
      <c r="BB89" s="31">
        <f t="shared" si="132"/>
        <v>27.150595882990249</v>
      </c>
      <c r="BC89" s="31">
        <f t="shared" si="133"/>
        <v>22.329360780065006</v>
      </c>
      <c r="BD89" s="31">
        <f t="shared" si="134"/>
        <v>32.448537378114843</v>
      </c>
      <c r="BE89" s="31">
        <f t="shared" si="135"/>
        <v>11.451787648970747</v>
      </c>
      <c r="BF89" s="31">
        <f t="shared" si="136"/>
        <v>0</v>
      </c>
      <c r="BG89" s="31">
        <f t="shared" si="137"/>
        <v>0</v>
      </c>
      <c r="BH89" s="31">
        <f t="shared" si="138"/>
        <v>0</v>
      </c>
      <c r="BI89" s="31">
        <f t="shared" si="139"/>
        <v>0</v>
      </c>
      <c r="BJ89" s="31">
        <f t="shared" si="140"/>
        <v>0</v>
      </c>
      <c r="BK89" s="31">
        <f t="shared" si="141"/>
        <v>0</v>
      </c>
      <c r="BL89" s="31">
        <f t="shared" si="142"/>
        <v>0</v>
      </c>
      <c r="BM89" s="31">
        <f t="shared" si="143"/>
        <v>0.77442094662638472</v>
      </c>
      <c r="BN89" s="31">
        <f t="shared" si="144"/>
        <v>2.1809331990600871</v>
      </c>
      <c r="BO89" s="132"/>
      <c r="BP89" s="133">
        <v>420.9</v>
      </c>
      <c r="BQ89" s="133">
        <v>250.6</v>
      </c>
      <c r="BR89" s="133">
        <v>206.1</v>
      </c>
      <c r="BS89" s="133">
        <v>299.5</v>
      </c>
      <c r="BT89" s="133">
        <v>105.7</v>
      </c>
      <c r="BU89" s="133"/>
      <c r="BV89" s="133"/>
      <c r="BW89" s="133"/>
      <c r="BX89" s="133"/>
      <c r="BY89" s="133"/>
      <c r="BZ89" s="133"/>
      <c r="CA89" s="133"/>
      <c r="CB89" s="172">
        <v>23.07</v>
      </c>
      <c r="CC89" s="176">
        <v>64.97</v>
      </c>
      <c r="CD89" s="36"/>
      <c r="CE89" s="34">
        <v>8.7460000000000004</v>
      </c>
      <c r="CF89" s="34">
        <v>8.81</v>
      </c>
      <c r="CG89" s="34">
        <v>8.407</v>
      </c>
      <c r="CH89" s="34">
        <v>8.6579999999999995</v>
      </c>
      <c r="CI89" s="34">
        <v>7.3390000000000004</v>
      </c>
      <c r="CJ89" s="34"/>
      <c r="CK89" s="34"/>
      <c r="CL89" s="34"/>
      <c r="CM89" s="34"/>
      <c r="CN89" s="34"/>
      <c r="CO89" s="34"/>
      <c r="CP89" s="34"/>
      <c r="CQ89" s="38">
        <v>7.657</v>
      </c>
      <c r="CR89" s="39">
        <v>6.9429999999999996</v>
      </c>
      <c r="CS89" s="168" t="str">
        <f>IF(VLOOKUP($A89,'B-Ligands'!$A:$G,3,FALSE)="","",VLOOKUP($A89,'B-Ligands'!$A:$G,3,FALSE))</f>
        <v>LTB4</v>
      </c>
      <c r="CT89" s="169" t="str">
        <f>IF(VLOOKUP($A89,'B-Ligands'!$A:$G,4,FALSE)="","",VLOOKUP($A89,'B-Ligands'!$A:$G,4,FALSE))</f>
        <v>Leukotriene B4</v>
      </c>
      <c r="CU89" s="132">
        <v>17.097543789231864</v>
      </c>
      <c r="CV89" s="133">
        <v>24.893378962066368</v>
      </c>
      <c r="CW89" s="133">
        <v>21.352926552999403</v>
      </c>
      <c r="CX89" s="133">
        <v>22.319356021243856</v>
      </c>
      <c r="CY89" s="133">
        <v>21.661145611443118</v>
      </c>
      <c r="CZ89" s="133">
        <v>8.0526353314347379</v>
      </c>
      <c r="DA89" s="133">
        <v>18.806971279289844</v>
      </c>
      <c r="DB89" s="133">
        <v>27.112456005484304</v>
      </c>
      <c r="DC89" s="133">
        <v>22.352436918431394</v>
      </c>
      <c r="DD89" s="133">
        <v>18.920554710925497</v>
      </c>
      <c r="DE89" s="133">
        <v>31.885503665024309</v>
      </c>
      <c r="DF89" s="133">
        <v>17.060283937950409</v>
      </c>
      <c r="DG89" s="133">
        <v>25.301113002369409</v>
      </c>
      <c r="DH89" s="133">
        <v>21.697273984610739</v>
      </c>
      <c r="DI89" s="133">
        <v>19.918462434478638</v>
      </c>
      <c r="DJ89" s="66">
        <f t="shared" si="89"/>
        <v>0</v>
      </c>
      <c r="DK89" s="67">
        <f t="shared" si="90"/>
        <v>16.908110411261806</v>
      </c>
      <c r="DL89" s="67">
        <f t="shared" si="91"/>
        <v>11.736096191685665</v>
      </c>
      <c r="DM89" s="67">
        <f t="shared" si="92"/>
        <v>9.2341373919494494</v>
      </c>
      <c r="DN89" s="67">
        <f t="shared" si="93"/>
        <v>13.826600188762896</v>
      </c>
      <c r="DO89" s="67">
        <f t="shared" si="94"/>
        <v>13.126137674133002</v>
      </c>
      <c r="DP89" s="67">
        <f t="shared" si="95"/>
        <v>0</v>
      </c>
      <c r="DQ89" s="67">
        <f t="shared" si="96"/>
        <v>0</v>
      </c>
      <c r="DR89" s="67">
        <f t="shared" si="97"/>
        <v>0</v>
      </c>
      <c r="DS89" s="67">
        <f t="shared" si="98"/>
        <v>0</v>
      </c>
      <c r="DT89" s="67">
        <f t="shared" si="99"/>
        <v>0</v>
      </c>
      <c r="DU89" s="67">
        <f t="shared" si="100"/>
        <v>0</v>
      </c>
      <c r="DV89" s="67">
        <f t="shared" si="101"/>
        <v>0</v>
      </c>
      <c r="DW89" s="67">
        <f t="shared" si="102"/>
        <v>1.0632672111880459</v>
      </c>
      <c r="DX89" s="67">
        <f t="shared" si="103"/>
        <v>3.2617979532163912</v>
      </c>
    </row>
    <row r="90" spans="1:128" s="28" customFormat="1">
      <c r="A90" s="33" t="s">
        <v>175</v>
      </c>
      <c r="B90" s="205" t="s">
        <v>5559</v>
      </c>
      <c r="C90" t="str">
        <f>IF(VLOOKUP($A90,'B-Ligands'!$A:$G,5,FALSE)="","",VLOOKUP($A90,'B-Ligands'!$A:$G,5,FALSE))</f>
        <v>Guide To Pharmacology</v>
      </c>
      <c r="D90" s="19">
        <f>IF(VLOOKUP($A90,'B-Ligands'!$A:$G,6,FALSE)="","",VLOOKUP($A90,'B-Ligands'!$A:$G,6,FALSE))</f>
        <v>1479</v>
      </c>
      <c r="E90" t="str">
        <f>IF(VLOOKUP($A90,'B-Ligands'!$A:$G,7,FALSE)="","",VLOOKUP($A90,'B-Ligands'!$A:$G,7,FALSE))</f>
        <v>Phys</v>
      </c>
      <c r="F90" s="20" t="str">
        <f t="shared" si="145"/>
        <v/>
      </c>
      <c r="G90" s="19">
        <f t="shared" si="146"/>
        <v>1</v>
      </c>
      <c r="H90" s="19" t="str">
        <f t="shared" si="147"/>
        <v/>
      </c>
      <c r="I90" s="19" t="str">
        <f t="shared" si="148"/>
        <v/>
      </c>
      <c r="J90" s="189">
        <f t="shared" si="104"/>
        <v>1</v>
      </c>
      <c r="K90" s="147" t="str">
        <f t="shared" si="105"/>
        <v>Gi/o</v>
      </c>
      <c r="L90" s="20">
        <f t="shared" si="106"/>
        <v>0</v>
      </c>
      <c r="M90" s="19">
        <f t="shared" si="107"/>
        <v>1</v>
      </c>
      <c r="N90" s="19">
        <f t="shared" si="108"/>
        <v>0</v>
      </c>
      <c r="O90" s="19">
        <f t="shared" si="109"/>
        <v>0</v>
      </c>
      <c r="P90" s="20">
        <f t="shared" si="110"/>
        <v>0</v>
      </c>
      <c r="Q90" s="19">
        <f t="shared" si="111"/>
        <v>100</v>
      </c>
      <c r="R90" s="19">
        <f t="shared" si="112"/>
        <v>0</v>
      </c>
      <c r="S90" s="19">
        <f t="shared" si="113"/>
        <v>0</v>
      </c>
      <c r="T90" s="20">
        <f t="shared" si="114"/>
        <v>0</v>
      </c>
      <c r="U90" s="21">
        <f t="shared" si="115"/>
        <v>7.7150512163274927</v>
      </c>
      <c r="V90" s="21">
        <f t="shared" si="116"/>
        <v>0</v>
      </c>
      <c r="W90" s="21">
        <f t="shared" si="117"/>
        <v>0</v>
      </c>
      <c r="X90" s="147" t="str">
        <f t="shared" si="118"/>
        <v>Gz</v>
      </c>
      <c r="Y90" s="32">
        <f t="shared" si="119"/>
        <v>0</v>
      </c>
      <c r="Z90" s="31">
        <f t="shared" si="120"/>
        <v>84.405571645497261</v>
      </c>
      <c r="AA90" s="31">
        <f t="shared" si="121"/>
        <v>81.897237871337808</v>
      </c>
      <c r="AB90" s="31">
        <f t="shared" si="122"/>
        <v>88.825733352468944</v>
      </c>
      <c r="AC90" s="31">
        <f t="shared" si="123"/>
        <v>97.060654303748407</v>
      </c>
      <c r="AD90" s="31">
        <f t="shared" si="124"/>
        <v>100</v>
      </c>
      <c r="AE90" s="31">
        <f t="shared" si="125"/>
        <v>0</v>
      </c>
      <c r="AF90" s="31">
        <f t="shared" si="126"/>
        <v>0</v>
      </c>
      <c r="AG90" s="31">
        <f t="shared" si="127"/>
        <v>0</v>
      </c>
      <c r="AH90" s="31">
        <f t="shared" si="128"/>
        <v>0</v>
      </c>
      <c r="AI90" s="31">
        <f t="shared" si="129"/>
        <v>0</v>
      </c>
      <c r="AJ90" s="31">
        <f t="shared" si="130"/>
        <v>0</v>
      </c>
      <c r="AK90" s="7" cm="1">
        <f t="array" ref="AK90">_xlfn.IFS(AZ90=0,0,AZ90&gt;0,(LOG(0.01*AZ90/10^-CD90)))</f>
        <v>0</v>
      </c>
      <c r="AL90" s="8" cm="1">
        <f t="array" ref="AL90">_xlfn.IFS(BA90=0,0,BA90&gt;0,(LOG(0.01*BA90/10^-CE90)))</f>
        <v>6.5119330818841092</v>
      </c>
      <c r="AM90" s="8" cm="1">
        <f t="array" ref="AM90">_xlfn.IFS(BB90=0,0,BB90&gt;0,(LOG(0.01*BB90/10^-CF90)))</f>
        <v>6.3184138465312669</v>
      </c>
      <c r="AN90" s="8" cm="1">
        <f t="array" ref="AN90">_xlfn.IFS(BC90=0,0,BC90&gt;0,(LOG(0.01*BC90/10^-CG90)))</f>
        <v>6.8529508214214703</v>
      </c>
      <c r="AO90" s="8" cm="1">
        <f t="array" ref="AO90">_xlfn.IFS(BD90=0,0,BD90&gt;0,(LOG(0.01*BD90/10^-CH90)))</f>
        <v>7.4882791904367645</v>
      </c>
      <c r="AP90" s="8" cm="1">
        <f t="array" ref="AP90">_xlfn.IFS(BE90=0,0,BE90&gt;0,(LOG(0.01*BE90/10^-CI90)))</f>
        <v>7.7150512163274927</v>
      </c>
      <c r="AQ90" s="8" cm="1">
        <f t="array" ref="AQ90">_xlfn.IFS(BF90=0,0,BF90&gt;0,(LOG(0.01*BF90/10^-CJ90)))</f>
        <v>0</v>
      </c>
      <c r="AR90" s="8" cm="1">
        <f t="array" ref="AR90">_xlfn.IFS(BG90=0,0,BG90&gt;0,(LOG(0.01*BG90/10^-CK90)))</f>
        <v>0</v>
      </c>
      <c r="AS90" s="8" cm="1">
        <f t="array" ref="AS90">_xlfn.IFS(BH90=0,0,BH90&gt;0,(LOG(0.01*BH90/10^-CL90)))</f>
        <v>0</v>
      </c>
      <c r="AT90" s="8" cm="1">
        <f t="array" ref="AT90">_xlfn.IFS(BI90=0,0,BI90&gt;0,(LOG(0.01*BI90/10^-CM90)))</f>
        <v>0</v>
      </c>
      <c r="AU90" s="8" cm="1">
        <f t="array" ref="AU90">_xlfn.IFS(BJ90=0,0,BJ90&gt;0,(LOG(0.01*BJ90/10^-CN90)))</f>
        <v>0</v>
      </c>
      <c r="AV90" s="8" cm="1">
        <f t="array" ref="AV90">_xlfn.IFS(BK90=0,0,BK90&gt;0,(LOG(0.01*BK90/10^-CO90)))</f>
        <v>0</v>
      </c>
      <c r="AW90" s="8" cm="1">
        <f t="array" ref="AW90">_xlfn.IFS(BL90=0,0,BL90&gt;0,(LOG(0.01*BL90/10^-CP90)))</f>
        <v>0</v>
      </c>
      <c r="AX90" s="8" cm="1">
        <f t="array" ref="AX90">_xlfn.IFS(BM90=0,0,BM90&gt;0,(LOG(0.01*BM90/10^-CQ90)))</f>
        <v>0</v>
      </c>
      <c r="AY90" s="8" cm="1">
        <f t="array" ref="AY90">_xlfn.IFS(BN90=0,0,BN90&gt;0,(LOG(0.01*BN90/10^-CR90)))</f>
        <v>6.0913794947578319</v>
      </c>
      <c r="AZ90" s="32">
        <f t="shared" si="88"/>
        <v>0</v>
      </c>
      <c r="BA90" s="31">
        <f t="shared" si="131"/>
        <v>24.095341278439872</v>
      </c>
      <c r="BB90" s="31">
        <f t="shared" si="132"/>
        <v>11.256771397616468</v>
      </c>
      <c r="BC90" s="31">
        <f t="shared" si="133"/>
        <v>12.18851570964247</v>
      </c>
      <c r="BD90" s="31">
        <f t="shared" si="134"/>
        <v>22.145178764897075</v>
      </c>
      <c r="BE90" s="31">
        <f t="shared" si="135"/>
        <v>13.965330444203683</v>
      </c>
      <c r="BF90" s="31">
        <f t="shared" si="136"/>
        <v>0</v>
      </c>
      <c r="BG90" s="31">
        <f t="shared" si="137"/>
        <v>0</v>
      </c>
      <c r="BH90" s="31">
        <f t="shared" si="138"/>
        <v>0</v>
      </c>
      <c r="BI90" s="31">
        <f t="shared" si="139"/>
        <v>0</v>
      </c>
      <c r="BJ90" s="31">
        <f t="shared" si="140"/>
        <v>0</v>
      </c>
      <c r="BK90" s="31">
        <f t="shared" si="141"/>
        <v>0</v>
      </c>
      <c r="BL90" s="31">
        <f t="shared" si="142"/>
        <v>0</v>
      </c>
      <c r="BM90" s="31">
        <f t="shared" si="143"/>
        <v>0</v>
      </c>
      <c r="BN90" s="31">
        <f t="shared" si="144"/>
        <v>1.1950318898959382</v>
      </c>
      <c r="BO90" s="132"/>
      <c r="BP90" s="133">
        <v>222.4</v>
      </c>
      <c r="BQ90" s="133">
        <v>103.9</v>
      </c>
      <c r="BR90" s="133">
        <v>112.5</v>
      </c>
      <c r="BS90" s="133">
        <v>204.4</v>
      </c>
      <c r="BT90" s="133">
        <v>128.9</v>
      </c>
      <c r="BU90" s="133"/>
      <c r="BV90" s="133"/>
      <c r="BW90" s="133"/>
      <c r="BX90" s="133"/>
      <c r="BY90" s="133"/>
      <c r="BZ90" s="133"/>
      <c r="CA90" s="133"/>
      <c r="CB90" s="133"/>
      <c r="CC90" s="133">
        <v>35.6</v>
      </c>
      <c r="CD90" s="36"/>
      <c r="CE90" s="34">
        <v>7.13</v>
      </c>
      <c r="CF90" s="34">
        <v>7.2670000000000003</v>
      </c>
      <c r="CG90" s="34">
        <v>7.7670000000000003</v>
      </c>
      <c r="CH90" s="34">
        <v>8.1430000000000007</v>
      </c>
      <c r="CI90" s="34">
        <v>8.57</v>
      </c>
      <c r="CJ90" s="34"/>
      <c r="CK90" s="34"/>
      <c r="CL90" s="34"/>
      <c r="CM90" s="34"/>
      <c r="CN90" s="34"/>
      <c r="CO90" s="34"/>
      <c r="CP90" s="34"/>
      <c r="CQ90" s="34"/>
      <c r="CR90" s="34">
        <v>8.0139999999999993</v>
      </c>
      <c r="CS90" s="168" t="str">
        <f>IF(VLOOKUP($A90,'B-Ligands'!$A:$G,3,FALSE)="","",VLOOKUP($A90,'B-Ligands'!$A:$G,3,FALSE))</f>
        <v>NPFF</v>
      </c>
      <c r="CT90" s="169" t="str">
        <f>IF(VLOOKUP($A90,'B-Ligands'!$A:$G,4,FALSE)="","",VLOOKUP($A90,'B-Ligands'!$A:$G,4,FALSE))</f>
        <v>Neuropeptide FF</v>
      </c>
      <c r="CU90" s="132">
        <v>4.0172323724808052</v>
      </c>
      <c r="CV90" s="133">
        <v>13.803981853881492</v>
      </c>
      <c r="CW90" s="133">
        <v>6.5124005296842826</v>
      </c>
      <c r="CX90" s="133">
        <v>7.0852382884423655</v>
      </c>
      <c r="CY90" s="133">
        <v>7.2409223218288155</v>
      </c>
      <c r="CZ90" s="133">
        <v>10.39871330948697</v>
      </c>
      <c r="DA90" s="133">
        <v>1.7556317132790231</v>
      </c>
      <c r="DB90" s="133">
        <v>5.8247258884981754</v>
      </c>
      <c r="DC90" s="133">
        <v>7.1387415752008598</v>
      </c>
      <c r="DD90" s="133">
        <v>5.2711212592681695</v>
      </c>
      <c r="DE90" s="133">
        <v>10.771374984743142</v>
      </c>
      <c r="DF90" s="133">
        <v>10.171092402838317</v>
      </c>
      <c r="DG90" s="133">
        <v>29.948051909077332</v>
      </c>
      <c r="DH90" s="133">
        <v>13.317239418924053</v>
      </c>
      <c r="DI90" s="133">
        <v>15.364234925985722</v>
      </c>
      <c r="DJ90" s="66">
        <f t="shared" si="89"/>
        <v>0</v>
      </c>
      <c r="DK90" s="67">
        <f t="shared" si="90"/>
        <v>16.111293274227549</v>
      </c>
      <c r="DL90" s="67">
        <f t="shared" si="91"/>
        <v>15.954178421061737</v>
      </c>
      <c r="DM90" s="67">
        <f t="shared" si="92"/>
        <v>15.878082771543912</v>
      </c>
      <c r="DN90" s="67">
        <f t="shared" si="93"/>
        <v>28.228448105817463</v>
      </c>
      <c r="DO90" s="67">
        <f t="shared" si="94"/>
        <v>12.395764376194673</v>
      </c>
      <c r="DP90" s="67">
        <f t="shared" si="95"/>
        <v>0</v>
      </c>
      <c r="DQ90" s="67">
        <f t="shared" si="96"/>
        <v>0</v>
      </c>
      <c r="DR90" s="67">
        <f t="shared" si="97"/>
        <v>0</v>
      </c>
      <c r="DS90" s="67">
        <f t="shared" si="98"/>
        <v>0</v>
      </c>
      <c r="DT90" s="67">
        <f t="shared" si="99"/>
        <v>0</v>
      </c>
      <c r="DU90" s="67">
        <f t="shared" si="100"/>
        <v>0</v>
      </c>
      <c r="DV90" s="67">
        <f t="shared" si="101"/>
        <v>0</v>
      </c>
      <c r="DW90" s="67">
        <f t="shared" si="102"/>
        <v>0</v>
      </c>
      <c r="DX90" s="67">
        <f t="shared" si="103"/>
        <v>2.3170694910287577</v>
      </c>
    </row>
    <row r="91" spans="1:128" s="28" customFormat="1">
      <c r="A91" s="33" t="s">
        <v>119</v>
      </c>
      <c r="B91" s="205" t="s">
        <v>5559</v>
      </c>
      <c r="C91" t="str">
        <f>IF(VLOOKUP($A91,'B-Ligands'!$A:$G,5,FALSE)="","",VLOOKUP($A91,'B-Ligands'!$A:$G,5,FALSE))</f>
        <v>Guide To Pharmacology</v>
      </c>
      <c r="D91" s="19">
        <f>IF(VLOOKUP($A91,'B-Ligands'!$A:$G,6,FALSE)="","",VLOOKUP($A91,'B-Ligands'!$A:$G,6,FALSE))</f>
        <v>1062</v>
      </c>
      <c r="E91" t="str">
        <f>IF(VLOOKUP($A91,'B-Ligands'!$A:$G,7,FALSE)="","",VLOOKUP($A91,'B-Ligands'!$A:$G,7,FALSE))</f>
        <v>Phys</v>
      </c>
      <c r="F91" s="20" t="str">
        <f t="shared" si="145"/>
        <v/>
      </c>
      <c r="G91" s="19">
        <f t="shared" si="146"/>
        <v>1</v>
      </c>
      <c r="H91" s="19" t="str">
        <f t="shared" si="147"/>
        <v/>
      </c>
      <c r="I91" s="19">
        <f t="shared" si="148"/>
        <v>1</v>
      </c>
      <c r="J91" s="189">
        <f t="shared" si="104"/>
        <v>2</v>
      </c>
      <c r="K91" s="147" t="str">
        <f t="shared" si="105"/>
        <v>Gi/o</v>
      </c>
      <c r="L91" s="20">
        <f t="shared" si="106"/>
        <v>0</v>
      </c>
      <c r="M91" s="19">
        <f t="shared" si="107"/>
        <v>1</v>
      </c>
      <c r="N91" s="19">
        <f t="shared" si="108"/>
        <v>0</v>
      </c>
      <c r="O91" s="19">
        <f t="shared" si="109"/>
        <v>2</v>
      </c>
      <c r="P91" s="20">
        <f t="shared" si="110"/>
        <v>0</v>
      </c>
      <c r="Q91" s="19">
        <f t="shared" si="111"/>
        <v>100</v>
      </c>
      <c r="R91" s="19">
        <f t="shared" si="112"/>
        <v>0</v>
      </c>
      <c r="S91" s="19">
        <f t="shared" si="113"/>
        <v>86.149418946352625</v>
      </c>
      <c r="T91" s="20">
        <f t="shared" si="114"/>
        <v>0</v>
      </c>
      <c r="U91" s="21">
        <f t="shared" si="115"/>
        <v>4.9715082223788949</v>
      </c>
      <c r="V91" s="21">
        <f t="shared" si="116"/>
        <v>0</v>
      </c>
      <c r="W91" s="21">
        <f t="shared" si="117"/>
        <v>4.2829254464495623</v>
      </c>
      <c r="X91" s="147" t="str">
        <f t="shared" si="118"/>
        <v>GoB</v>
      </c>
      <c r="Y91" s="32">
        <f t="shared" si="119"/>
        <v>0</v>
      </c>
      <c r="Z91" s="31">
        <f t="shared" si="120"/>
        <v>97.530840684192711</v>
      </c>
      <c r="AA91" s="31">
        <f t="shared" si="121"/>
        <v>99.333463430900991</v>
      </c>
      <c r="AB91" s="31">
        <f t="shared" si="122"/>
        <v>97.464143998042005</v>
      </c>
      <c r="AC91" s="31">
        <f t="shared" si="123"/>
        <v>100</v>
      </c>
      <c r="AD91" s="31">
        <f t="shared" si="124"/>
        <v>88.562003691826959</v>
      </c>
      <c r="AE91" s="31">
        <f t="shared" si="125"/>
        <v>0</v>
      </c>
      <c r="AF91" s="31">
        <f t="shared" si="126"/>
        <v>0</v>
      </c>
      <c r="AG91" s="31">
        <f t="shared" si="127"/>
        <v>0</v>
      </c>
      <c r="AH91" s="31">
        <f t="shared" si="128"/>
        <v>0</v>
      </c>
      <c r="AI91" s="31">
        <f t="shared" si="129"/>
        <v>86.149418946352625</v>
      </c>
      <c r="AJ91" s="31">
        <f t="shared" si="130"/>
        <v>77.607788139305526</v>
      </c>
      <c r="AK91" s="7" cm="1">
        <f t="array" ref="AK91">_xlfn.IFS(AZ91=0,0,AZ91&gt;0,(LOG(0.01*AZ91/10^-CD91)))</f>
        <v>0</v>
      </c>
      <c r="AL91" s="8" cm="1">
        <f t="array" ref="AL91">_xlfn.IFS(BA91=0,0,BA91&gt;0,(LOG(0.01*BA91/10^-CE91)))</f>
        <v>4.848753763969901</v>
      </c>
      <c r="AM91" s="8" cm="1">
        <f t="array" ref="AM91">_xlfn.IFS(BB91=0,0,BB91&gt;0,(LOG(0.01*BB91/10^-CF91)))</f>
        <v>4.9383713020409754</v>
      </c>
      <c r="AN91" s="8" cm="1">
        <f t="array" ref="AN91">_xlfn.IFS(BC91=0,0,BC91&gt;0,(LOG(0.01*BC91/10^-CG91)))</f>
        <v>4.8454379327338648</v>
      </c>
      <c r="AO91" s="8" cm="1">
        <f t="array" ref="AO91">_xlfn.IFS(BD91=0,0,BD91&gt;0,(LOG(0.01*BD91/10^-CH91)))</f>
        <v>4.9715082223788949</v>
      </c>
      <c r="AP91" s="8" cm="1">
        <f t="array" ref="AP91">_xlfn.IFS(BE91=0,0,BE91&gt;0,(LOG(0.01*BE91/10^-CI91)))</f>
        <v>4.402867295442678</v>
      </c>
      <c r="AQ91" s="8" cm="1">
        <f t="array" ref="AQ91">_xlfn.IFS(BF91=0,0,BF91&gt;0,(LOG(0.01*BF91/10^-CJ91)))</f>
        <v>0</v>
      </c>
      <c r="AR91" s="8" cm="1">
        <f t="array" ref="AR91">_xlfn.IFS(BG91=0,0,BG91&gt;0,(LOG(0.01*BG91/10^-CK91)))</f>
        <v>0</v>
      </c>
      <c r="AS91" s="8" cm="1">
        <f t="array" ref="AS91">_xlfn.IFS(BH91=0,0,BH91&gt;0,(LOG(0.01*BH91/10^-CL91)))</f>
        <v>0</v>
      </c>
      <c r="AT91" s="8" cm="1">
        <f t="array" ref="AT91">_xlfn.IFS(BI91=0,0,BI91&gt;0,(LOG(0.01*BI91/10^-CM91)))</f>
        <v>0</v>
      </c>
      <c r="AU91" s="8" cm="1">
        <f t="array" ref="AU91">_xlfn.IFS(BJ91=0,0,BJ91&gt;0,(LOG(0.01*BJ91/10^-CN91)))</f>
        <v>4.2829254464495623</v>
      </c>
      <c r="AV91" s="8" cm="1">
        <f t="array" ref="AV91">_xlfn.IFS(BK91=0,0,BK91&gt;0,(LOG(0.01*BK91/10^-CO91)))</f>
        <v>3.858277568551967</v>
      </c>
      <c r="AW91" s="8" cm="1">
        <f t="array" ref="AW91">_xlfn.IFS(BL91=0,0,BL91&gt;0,(LOG(0.01*BL91/10^-CP91)))</f>
        <v>0</v>
      </c>
      <c r="AX91" s="8" cm="1">
        <f t="array" ref="AX91">_xlfn.IFS(BM91=0,0,BM91&gt;0,(LOG(0.01*BM91/10^-CQ91)))</f>
        <v>0</v>
      </c>
      <c r="AY91" s="8" cm="1">
        <f t="array" ref="AY91">_xlfn.IFS(BN91=0,0,BN91&gt;0,(LOG(0.01*BN91/10^-CR91)))</f>
        <v>0</v>
      </c>
      <c r="AZ91" s="32">
        <f t="shared" si="88"/>
        <v>0</v>
      </c>
      <c r="BA91" s="31">
        <f t="shared" si="131"/>
        <v>39.696641386782233</v>
      </c>
      <c r="BB91" s="31">
        <f t="shared" si="132"/>
        <v>26.023835319609969</v>
      </c>
      <c r="BC91" s="31">
        <f t="shared" si="133"/>
        <v>15.503791982665222</v>
      </c>
      <c r="BD91" s="31">
        <f t="shared" si="134"/>
        <v>22.004333694474539</v>
      </c>
      <c r="BE91" s="31">
        <f t="shared" si="135"/>
        <v>16.977248104008666</v>
      </c>
      <c r="BF91" s="31">
        <f t="shared" si="136"/>
        <v>0</v>
      </c>
      <c r="BG91" s="31">
        <f t="shared" si="137"/>
        <v>0</v>
      </c>
      <c r="BH91" s="31">
        <f t="shared" si="138"/>
        <v>0</v>
      </c>
      <c r="BI91" s="31">
        <f t="shared" si="139"/>
        <v>0</v>
      </c>
      <c r="BJ91" s="31">
        <f t="shared" si="140"/>
        <v>9.5482866043613708</v>
      </c>
      <c r="BK91" s="31">
        <f t="shared" si="141"/>
        <v>66.723307844803173</v>
      </c>
      <c r="BL91" s="31">
        <f t="shared" si="142"/>
        <v>0</v>
      </c>
      <c r="BM91" s="31">
        <f t="shared" si="143"/>
        <v>0</v>
      </c>
      <c r="BN91" s="31">
        <f t="shared" si="144"/>
        <v>0</v>
      </c>
      <c r="BO91" s="134"/>
      <c r="BP91" s="135">
        <v>366.4</v>
      </c>
      <c r="BQ91" s="135">
        <v>240.2</v>
      </c>
      <c r="BR91" s="135">
        <v>143.1</v>
      </c>
      <c r="BS91" s="135">
        <v>203.1</v>
      </c>
      <c r="BT91" s="135">
        <v>156.69999999999999</v>
      </c>
      <c r="BU91" s="135"/>
      <c r="BV91" s="135"/>
      <c r="BW91" s="135"/>
      <c r="BX91" s="135"/>
      <c r="BY91" s="135">
        <v>67.430000000000007</v>
      </c>
      <c r="BZ91" s="176">
        <v>471.2</v>
      </c>
      <c r="CA91" s="135"/>
      <c r="CB91" s="135"/>
      <c r="CC91" s="135"/>
      <c r="CD91" s="30"/>
      <c r="CE91" s="29">
        <v>5.25</v>
      </c>
      <c r="CF91" s="29">
        <v>5.5229999999999997</v>
      </c>
      <c r="CG91" s="29">
        <v>5.6550000000000002</v>
      </c>
      <c r="CH91" s="29">
        <v>5.6289999999999996</v>
      </c>
      <c r="CI91" s="29">
        <v>5.173</v>
      </c>
      <c r="CJ91" s="29"/>
      <c r="CK91" s="29"/>
      <c r="CL91" s="29"/>
      <c r="CM91" s="29"/>
      <c r="CN91" s="29">
        <v>5.3029999999999999</v>
      </c>
      <c r="CO91" s="39">
        <v>4.0339999999999998</v>
      </c>
      <c r="CP91" s="29"/>
      <c r="CQ91" s="29"/>
      <c r="CR91" s="29"/>
      <c r="CS91" s="168" t="str">
        <f>IF(VLOOKUP($A91,'B-Ligands'!$A:$G,3,FALSE)="","",VLOOKUP($A91,'B-Ligands'!$A:$G,3,FALSE))</f>
        <v>Propionate</v>
      </c>
      <c r="CT91" s="169" t="str">
        <f>IF(VLOOKUP($A91,'B-Ligands'!$A:$G,4,FALSE)="","",VLOOKUP($A91,'B-Ligands'!$A:$G,4,FALSE))</f>
        <v>Propionic acid</v>
      </c>
      <c r="CU91" s="134">
        <v>4.8182140558377782</v>
      </c>
      <c r="CV91" s="135">
        <v>17.198879754829413</v>
      </c>
      <c r="CW91" s="135">
        <v>1.6704321561739173</v>
      </c>
      <c r="CX91" s="135">
        <v>18.421876285704197</v>
      </c>
      <c r="CY91" s="135">
        <v>6.8621533649761934</v>
      </c>
      <c r="CZ91" s="135">
        <v>13.690891493139128</v>
      </c>
      <c r="DA91" s="135">
        <v>11.329295852378333</v>
      </c>
      <c r="DB91" s="135">
        <v>5.4050934678139093</v>
      </c>
      <c r="DC91" s="135">
        <v>16.266604651455687</v>
      </c>
      <c r="DD91" s="135">
        <v>7.0424200345466454</v>
      </c>
      <c r="DE91" s="135">
        <v>9.6517831976544564</v>
      </c>
      <c r="DF91" s="135">
        <v>5.9785743222450742</v>
      </c>
      <c r="DG91" s="135">
        <v>3.6735282343520006</v>
      </c>
      <c r="DH91" s="135">
        <v>12.045605367524443</v>
      </c>
      <c r="DI91" s="135">
        <v>3.4228100388247591</v>
      </c>
      <c r="DJ91" s="66">
        <f t="shared" si="89"/>
        <v>0</v>
      </c>
      <c r="DK91" s="67">
        <f t="shared" si="90"/>
        <v>21.303713103588365</v>
      </c>
      <c r="DL91" s="67">
        <f t="shared" si="91"/>
        <v>143.7951245803194</v>
      </c>
      <c r="DM91" s="67">
        <f t="shared" si="92"/>
        <v>7.7679383891557725</v>
      </c>
      <c r="DN91" s="67">
        <f t="shared" si="93"/>
        <v>29.597123409774536</v>
      </c>
      <c r="DO91" s="67">
        <f t="shared" si="94"/>
        <v>11.445565840509841</v>
      </c>
      <c r="DP91" s="67">
        <f t="shared" si="95"/>
        <v>0</v>
      </c>
      <c r="DQ91" s="67">
        <f t="shared" si="96"/>
        <v>0</v>
      </c>
      <c r="DR91" s="67">
        <f t="shared" si="97"/>
        <v>0</v>
      </c>
      <c r="DS91" s="67">
        <f t="shared" si="98"/>
        <v>0</v>
      </c>
      <c r="DT91" s="67">
        <f t="shared" si="99"/>
        <v>6.986273792016652</v>
      </c>
      <c r="DU91" s="67">
        <f t="shared" si="100"/>
        <v>78.814776667868699</v>
      </c>
      <c r="DV91" s="67">
        <f t="shared" si="101"/>
        <v>0</v>
      </c>
      <c r="DW91" s="67">
        <f t="shared" si="102"/>
        <v>0</v>
      </c>
      <c r="DX91" s="67">
        <f t="shared" si="103"/>
        <v>0</v>
      </c>
    </row>
    <row r="92" spans="1:128" s="28" customFormat="1">
      <c r="A92" s="33" t="s">
        <v>170</v>
      </c>
      <c r="B92" s="205" t="s">
        <v>5559</v>
      </c>
      <c r="C92" t="str">
        <f>IF(VLOOKUP($A92,'B-Ligands'!$A:$G,5,FALSE)="","",VLOOKUP($A92,'B-Ligands'!$A:$G,5,FALSE))</f>
        <v>Guide To Pharmacology</v>
      </c>
      <c r="D92" s="19">
        <f>IF(VLOOKUP($A92,'B-Ligands'!$A:$G,6,FALSE)="","",VLOOKUP($A92,'B-Ligands'!$A:$G,6,FALSE))</f>
        <v>1369</v>
      </c>
      <c r="E92" t="str">
        <f>IF(VLOOKUP($A92,'B-Ligands'!$A:$G,7,FALSE)="","",VLOOKUP($A92,'B-Ligands'!$A:$G,7,FALSE))</f>
        <v>Phys</v>
      </c>
      <c r="F92" s="20" t="str">
        <f t="shared" si="145"/>
        <v/>
      </c>
      <c r="G92" s="19">
        <f t="shared" si="146"/>
        <v>1</v>
      </c>
      <c r="H92" s="19" t="str">
        <f t="shared" si="147"/>
        <v/>
      </c>
      <c r="I92" s="19" t="str">
        <f t="shared" si="148"/>
        <v/>
      </c>
      <c r="J92" s="189">
        <f t="shared" si="104"/>
        <v>1</v>
      </c>
      <c r="K92" s="147" t="str">
        <f t="shared" si="105"/>
        <v>Gi/o</v>
      </c>
      <c r="L92" s="20">
        <f t="shared" si="106"/>
        <v>0</v>
      </c>
      <c r="M92" s="19">
        <f t="shared" si="107"/>
        <v>1</v>
      </c>
      <c r="N92" s="19">
        <f t="shared" si="108"/>
        <v>0</v>
      </c>
      <c r="O92" s="19">
        <f t="shared" si="109"/>
        <v>0</v>
      </c>
      <c r="P92" s="20">
        <f t="shared" si="110"/>
        <v>0</v>
      </c>
      <c r="Q92" s="19">
        <f t="shared" si="111"/>
        <v>100</v>
      </c>
      <c r="R92" s="19">
        <f t="shared" si="112"/>
        <v>0</v>
      </c>
      <c r="S92" s="19">
        <f t="shared" si="113"/>
        <v>0</v>
      </c>
      <c r="T92" s="20">
        <f t="shared" si="114"/>
        <v>0</v>
      </c>
      <c r="U92" s="21">
        <f t="shared" si="115"/>
        <v>5.2607173344776301</v>
      </c>
      <c r="V92" s="21">
        <f t="shared" si="116"/>
        <v>0</v>
      </c>
      <c r="W92" s="21">
        <f t="shared" si="117"/>
        <v>0</v>
      </c>
      <c r="X92" s="147" t="str">
        <f t="shared" si="118"/>
        <v>Gi1</v>
      </c>
      <c r="Y92" s="32">
        <f t="shared" si="119"/>
        <v>0</v>
      </c>
      <c r="Z92" s="31">
        <f t="shared" si="120"/>
        <v>100</v>
      </c>
      <c r="AA92" s="31">
        <f t="shared" si="121"/>
        <v>92.105103098325259</v>
      </c>
      <c r="AB92" s="31">
        <f t="shared" si="122"/>
        <v>94.136605654128843</v>
      </c>
      <c r="AC92" s="31">
        <f t="shared" si="123"/>
        <v>94.203583484601126</v>
      </c>
      <c r="AD92" s="31">
        <f t="shared" si="124"/>
        <v>88.131770401750657</v>
      </c>
      <c r="AE92" s="31">
        <f t="shared" si="125"/>
        <v>0</v>
      </c>
      <c r="AF92" s="31">
        <f t="shared" si="126"/>
        <v>0</v>
      </c>
      <c r="AG92" s="31">
        <f t="shared" si="127"/>
        <v>0</v>
      </c>
      <c r="AH92" s="31">
        <f t="shared" si="128"/>
        <v>0</v>
      </c>
      <c r="AI92" s="31">
        <f t="shared" si="129"/>
        <v>0</v>
      </c>
      <c r="AJ92" s="31">
        <f t="shared" si="130"/>
        <v>0</v>
      </c>
      <c r="AK92" s="7" cm="1">
        <f t="array" ref="AK92">_xlfn.IFS(AZ92=0,0,AZ92&gt;0,(LOG(0.01*AZ92/10^-CD92)))</f>
        <v>0</v>
      </c>
      <c r="AL92" s="8" cm="1">
        <f t="array" ref="AL92">_xlfn.IFS(BA92=0,0,BA92&gt;0,(LOG(0.01*BA92/10^-CE92)))</f>
        <v>5.2607173344776301</v>
      </c>
      <c r="AM92" s="8" cm="1">
        <f t="array" ref="AM92">_xlfn.IFS(BB92=0,0,BB92&gt;0,(LOG(0.01*BB92/10^-CF92)))</f>
        <v>4.8453891246320895</v>
      </c>
      <c r="AN92" s="8" cm="1">
        <f t="array" ref="AN92">_xlfn.IFS(BC92=0,0,BC92&gt;0,(LOG(0.01*BC92/10^-CG92)))</f>
        <v>4.9522607317356053</v>
      </c>
      <c r="AO92" s="8" cm="1">
        <f t="array" ref="AO92">_xlfn.IFS(BD92=0,0,BD92&gt;0,(LOG(0.01*BD92/10^-CH92)))</f>
        <v>4.9557842460735175</v>
      </c>
      <c r="AP92" s="8" cm="1">
        <f t="array" ref="AP92">_xlfn.IFS(BE92=0,0,BE92&gt;0,(LOG(0.01*BE92/10^-CI92)))</f>
        <v>4.6363633227069228</v>
      </c>
      <c r="AQ92" s="8" cm="1">
        <f t="array" ref="AQ92">_xlfn.IFS(BF92=0,0,BF92&gt;0,(LOG(0.01*BF92/10^-CJ92)))</f>
        <v>0</v>
      </c>
      <c r="AR92" s="8" cm="1">
        <f t="array" ref="AR92">_xlfn.IFS(BG92=0,0,BG92&gt;0,(LOG(0.01*BG92/10^-CK92)))</f>
        <v>0</v>
      </c>
      <c r="AS92" s="8" cm="1">
        <f t="array" ref="AS92">_xlfn.IFS(BH92=0,0,BH92&gt;0,(LOG(0.01*BH92/10^-CL92)))</f>
        <v>0</v>
      </c>
      <c r="AT92" s="8" cm="1">
        <f t="array" ref="AT92">_xlfn.IFS(BI92=0,0,BI92&gt;0,(LOG(0.01*BI92/10^-CM92)))</f>
        <v>0</v>
      </c>
      <c r="AU92" s="8" cm="1">
        <f t="array" ref="AU92">_xlfn.IFS(BJ92=0,0,BJ92&gt;0,(LOG(0.01*BJ92/10^-CN92)))</f>
        <v>0</v>
      </c>
      <c r="AV92" s="8" cm="1">
        <f t="array" ref="AV92">_xlfn.IFS(BK92=0,0,BK92&gt;0,(LOG(0.01*BK92/10^-CO92)))</f>
        <v>0</v>
      </c>
      <c r="AW92" s="8" cm="1">
        <f t="array" ref="AW92">_xlfn.IFS(BL92=0,0,BL92&gt;0,(LOG(0.01*BL92/10^-CP92)))</f>
        <v>0</v>
      </c>
      <c r="AX92" s="8" cm="1">
        <f t="array" ref="AX92">_xlfn.IFS(BM92=0,0,BM92&gt;0,(LOG(0.01*BM92/10^-CQ92)))</f>
        <v>0</v>
      </c>
      <c r="AY92" s="8" cm="1">
        <f t="array" ref="AY92">_xlfn.IFS(BN92=0,0,BN92&gt;0,(LOG(0.01*BN92/10^-CR92)))</f>
        <v>0</v>
      </c>
      <c r="AZ92" s="32">
        <f t="shared" si="88"/>
        <v>0</v>
      </c>
      <c r="BA92" s="31">
        <f t="shared" si="131"/>
        <v>46.2080173347779</v>
      </c>
      <c r="BB92" s="31">
        <f t="shared" si="132"/>
        <v>21.202600216684722</v>
      </c>
      <c r="BC92" s="31">
        <f t="shared" si="133"/>
        <v>7.6782231852654386</v>
      </c>
      <c r="BD92" s="31">
        <f t="shared" si="134"/>
        <v>9.1787648970747568</v>
      </c>
      <c r="BE92" s="31">
        <f t="shared" si="135"/>
        <v>13.911159263271939</v>
      </c>
      <c r="BF92" s="31">
        <f t="shared" si="136"/>
        <v>0</v>
      </c>
      <c r="BG92" s="31">
        <f t="shared" si="137"/>
        <v>0</v>
      </c>
      <c r="BH92" s="31">
        <f t="shared" si="138"/>
        <v>0</v>
      </c>
      <c r="BI92" s="31">
        <f t="shared" si="139"/>
        <v>0</v>
      </c>
      <c r="BJ92" s="31">
        <f t="shared" si="140"/>
        <v>0</v>
      </c>
      <c r="BK92" s="31">
        <f t="shared" si="141"/>
        <v>0</v>
      </c>
      <c r="BL92" s="31">
        <f t="shared" si="142"/>
        <v>0</v>
      </c>
      <c r="BM92" s="31">
        <f t="shared" si="143"/>
        <v>0</v>
      </c>
      <c r="BN92" s="31">
        <f t="shared" si="144"/>
        <v>0</v>
      </c>
      <c r="BO92" s="132"/>
      <c r="BP92" s="133">
        <v>426.5</v>
      </c>
      <c r="BQ92" s="133">
        <v>195.7</v>
      </c>
      <c r="BR92" s="133">
        <v>70.87</v>
      </c>
      <c r="BS92" s="133">
        <v>84.72</v>
      </c>
      <c r="BT92" s="133">
        <v>128.4</v>
      </c>
      <c r="BU92" s="133"/>
      <c r="BV92" s="133"/>
      <c r="BW92" s="133"/>
      <c r="BX92" s="133"/>
      <c r="BY92" s="133"/>
      <c r="BZ92" s="133"/>
      <c r="CA92" s="133"/>
      <c r="CB92" s="133"/>
      <c r="CC92" s="133"/>
      <c r="CD92" s="36"/>
      <c r="CE92" s="34">
        <v>5.5960000000000001</v>
      </c>
      <c r="CF92" s="34">
        <v>5.5190000000000001</v>
      </c>
      <c r="CG92" s="34">
        <v>6.0670000000000002</v>
      </c>
      <c r="CH92" s="34">
        <v>5.9930000000000003</v>
      </c>
      <c r="CI92" s="34">
        <v>5.4930000000000003</v>
      </c>
      <c r="CJ92" s="34"/>
      <c r="CK92" s="34"/>
      <c r="CL92" s="34"/>
      <c r="CM92" s="34"/>
      <c r="CN92" s="34"/>
      <c r="CO92" s="34"/>
      <c r="CP92" s="34"/>
      <c r="CQ92" s="34"/>
      <c r="CR92" s="34"/>
      <c r="CS92" s="168" t="str">
        <f>IF(VLOOKUP($A92,'B-Ligands'!$A:$G,3,FALSE)="","",VLOOKUP($A92,'B-Ligands'!$A:$G,3,FALSE))</f>
        <v/>
      </c>
      <c r="CT92" s="169" t="str">
        <f>IF(VLOOKUP($A92,'B-Ligands'!$A:$G,4,FALSE)="","",VLOOKUP($A92,'B-Ligands'!$A:$G,4,FALSE))</f>
        <v>Glutamate</v>
      </c>
      <c r="CU92" s="132">
        <v>12.927487310989076</v>
      </c>
      <c r="CV92" s="133">
        <v>14.94849108512958</v>
      </c>
      <c r="CW92" s="133">
        <v>15.604580419655843</v>
      </c>
      <c r="CX92" s="133">
        <v>8.1347239263325228</v>
      </c>
      <c r="CY92" s="133">
        <v>12.59677996452837</v>
      </c>
      <c r="CZ92" s="133">
        <v>11.485782151756018</v>
      </c>
      <c r="DA92" s="133">
        <v>6.6222279195410225</v>
      </c>
      <c r="DB92" s="133">
        <v>8.5667355814060411</v>
      </c>
      <c r="DC92" s="133">
        <v>2.873120104143994</v>
      </c>
      <c r="DD92" s="133">
        <v>5.1866023069917864</v>
      </c>
      <c r="DE92" s="133">
        <v>21.45436443486237</v>
      </c>
      <c r="DF92" s="133">
        <v>16.376023809253983</v>
      </c>
      <c r="DG92" s="133">
        <v>8.9025144595098151</v>
      </c>
      <c r="DH92" s="133">
        <v>7.1191703139870182</v>
      </c>
      <c r="DI92" s="133">
        <v>10.25191807519718</v>
      </c>
      <c r="DJ92" s="66">
        <f t="shared" si="89"/>
        <v>0</v>
      </c>
      <c r="DK92" s="67">
        <f t="shared" si="90"/>
        <v>28.531307780239608</v>
      </c>
      <c r="DL92" s="67">
        <f t="shared" si="91"/>
        <v>12.541189492893531</v>
      </c>
      <c r="DM92" s="67">
        <f t="shared" si="92"/>
        <v>8.7120350538990188</v>
      </c>
      <c r="DN92" s="67">
        <f t="shared" si="93"/>
        <v>6.7255282888615548</v>
      </c>
      <c r="DO92" s="67">
        <f t="shared" si="94"/>
        <v>11.179038423636602</v>
      </c>
      <c r="DP92" s="67">
        <f t="shared" si="95"/>
        <v>0</v>
      </c>
      <c r="DQ92" s="67">
        <f t="shared" si="96"/>
        <v>0</v>
      </c>
      <c r="DR92" s="67">
        <f t="shared" si="97"/>
        <v>0</v>
      </c>
      <c r="DS92" s="67">
        <f t="shared" si="98"/>
        <v>0</v>
      </c>
      <c r="DT92" s="67">
        <f t="shared" si="99"/>
        <v>0</v>
      </c>
      <c r="DU92" s="67">
        <f t="shared" si="100"/>
        <v>0</v>
      </c>
      <c r="DV92" s="67">
        <f t="shared" si="101"/>
        <v>0</v>
      </c>
      <c r="DW92" s="67">
        <f t="shared" si="102"/>
        <v>0</v>
      </c>
      <c r="DX92" s="67">
        <f t="shared" si="103"/>
        <v>0</v>
      </c>
    </row>
    <row r="93" spans="1:128" s="28" customFormat="1">
      <c r="A93" s="33" t="s">
        <v>141</v>
      </c>
      <c r="B93" s="205" t="s">
        <v>5559</v>
      </c>
      <c r="C93" t="str">
        <f>IF(VLOOKUP($A93,'B-Ligands'!$A:$G,5,FALSE)="","",VLOOKUP($A93,'B-Ligands'!$A:$G,5,FALSE))</f>
        <v>Guide To Pharmacology</v>
      </c>
      <c r="D93" s="19">
        <f>IF(VLOOKUP($A93,'B-Ligands'!$A:$G,6,FALSE)="","",VLOOKUP($A93,'B-Ligands'!$A:$G,6,FALSE))</f>
        <v>2933</v>
      </c>
      <c r="E93" t="str">
        <f>IF(VLOOKUP($A93,'B-Ligands'!$A:$G,7,FALSE)="","",VLOOKUP($A93,'B-Ligands'!$A:$G,7,FALSE))</f>
        <v>Phys</v>
      </c>
      <c r="F93" s="20" t="str">
        <f t="shared" si="145"/>
        <v/>
      </c>
      <c r="G93" s="19">
        <f t="shared" si="146"/>
        <v>1</v>
      </c>
      <c r="H93" s="19" t="str">
        <f t="shared" si="147"/>
        <v/>
      </c>
      <c r="I93" s="19">
        <f t="shared" si="148"/>
        <v>1</v>
      </c>
      <c r="J93" s="189">
        <f t="shared" si="104"/>
        <v>2</v>
      </c>
      <c r="K93" s="147" t="str">
        <f t="shared" si="105"/>
        <v>Gi/o</v>
      </c>
      <c r="L93" s="20">
        <f t="shared" si="106"/>
        <v>0</v>
      </c>
      <c r="M93" s="19">
        <f t="shared" si="107"/>
        <v>1</v>
      </c>
      <c r="N93" s="19">
        <f t="shared" si="108"/>
        <v>0</v>
      </c>
      <c r="O93" s="19">
        <f t="shared" si="109"/>
        <v>2</v>
      </c>
      <c r="P93" s="20">
        <f t="shared" si="110"/>
        <v>0</v>
      </c>
      <c r="Q93" s="19">
        <f t="shared" si="111"/>
        <v>100</v>
      </c>
      <c r="R93" s="19">
        <f t="shared" si="112"/>
        <v>0</v>
      </c>
      <c r="S93" s="19">
        <f t="shared" si="113"/>
        <v>60.882279928998614</v>
      </c>
      <c r="T93" s="20">
        <f t="shared" si="114"/>
        <v>0</v>
      </c>
      <c r="U93" s="21">
        <f t="shared" si="115"/>
        <v>5.2871602300839671</v>
      </c>
      <c r="V93" s="21">
        <f t="shared" si="116"/>
        <v>0</v>
      </c>
      <c r="W93" s="21">
        <f t="shared" si="117"/>
        <v>3.2189436915744083</v>
      </c>
      <c r="X93" s="147" t="str">
        <f t="shared" si="118"/>
        <v>Gi1</v>
      </c>
      <c r="Y93" s="32">
        <f t="shared" si="119"/>
        <v>0</v>
      </c>
      <c r="Z93" s="31">
        <f t="shared" si="120"/>
        <v>100</v>
      </c>
      <c r="AA93" s="31">
        <f t="shared" si="121"/>
        <v>95.102793719971189</v>
      </c>
      <c r="AB93" s="31">
        <f t="shared" si="122"/>
        <v>90.985853959062823</v>
      </c>
      <c r="AC93" s="31">
        <f t="shared" si="123"/>
        <v>94.26600148492237</v>
      </c>
      <c r="AD93" s="31">
        <f t="shared" si="124"/>
        <v>85.707365193799404</v>
      </c>
      <c r="AE93" s="31">
        <f t="shared" si="125"/>
        <v>0</v>
      </c>
      <c r="AF93" s="31">
        <f t="shared" si="126"/>
        <v>0</v>
      </c>
      <c r="AG93" s="31">
        <f t="shared" si="127"/>
        <v>0</v>
      </c>
      <c r="AH93" s="31">
        <f t="shared" si="128"/>
        <v>0</v>
      </c>
      <c r="AI93" s="31">
        <f t="shared" si="129"/>
        <v>0</v>
      </c>
      <c r="AJ93" s="31">
        <f t="shared" si="130"/>
        <v>60.882279928998614</v>
      </c>
      <c r="AK93" s="7" cm="1">
        <f t="array" ref="AK93">_xlfn.IFS(AZ93=0,0,AZ93&gt;0,(LOG(0.01*AZ93/10^-CD93)))</f>
        <v>0</v>
      </c>
      <c r="AL93" s="8" cm="1">
        <f t="array" ref="AL93">_xlfn.IFS(BA93=0,0,BA93&gt;0,(LOG(0.01*BA93/10^-CE93)))</f>
        <v>5.2871602300839671</v>
      </c>
      <c r="AM93" s="8" cm="1">
        <f t="array" ref="AM93">_xlfn.IFS(BB93=0,0,BB93&gt;0,(LOG(0.01*BB93/10^-CF93)))</f>
        <v>5.0282370872611093</v>
      </c>
      <c r="AN93" s="8" cm="1">
        <f t="array" ref="AN93">_xlfn.IFS(BC93=0,0,BC93&gt;0,(LOG(0.01*BC93/10^-CG93)))</f>
        <v>4.810567885525848</v>
      </c>
      <c r="AO93" s="8" cm="1">
        <f t="array" ref="AO93">_xlfn.IFS(BD93=0,0,BD93&gt;0,(LOG(0.01*BD93/10^-CH93)))</f>
        <v>4.9839945410011772</v>
      </c>
      <c r="AP93" s="8" cm="1">
        <f t="array" ref="AP93">_xlfn.IFS(BE93=0,0,BE93&gt;0,(LOG(0.01*BE93/10^-CI93)))</f>
        <v>4.5314857267793904</v>
      </c>
      <c r="AQ93" s="8" cm="1">
        <f t="array" ref="AQ93">_xlfn.IFS(BF93=0,0,BF93&gt;0,(LOG(0.01*BF93/10^-CJ93)))</f>
        <v>0</v>
      </c>
      <c r="AR93" s="8" cm="1">
        <f t="array" ref="AR93">_xlfn.IFS(BG93=0,0,BG93&gt;0,(LOG(0.01*BG93/10^-CK93)))</f>
        <v>0</v>
      </c>
      <c r="AS93" s="8" cm="1">
        <f t="array" ref="AS93">_xlfn.IFS(BH93=0,0,BH93&gt;0,(LOG(0.01*BH93/10^-CL93)))</f>
        <v>0</v>
      </c>
      <c r="AT93" s="8" cm="1">
        <f t="array" ref="AT93">_xlfn.IFS(BI93=0,0,BI93&gt;0,(LOG(0.01*BI93/10^-CM93)))</f>
        <v>0</v>
      </c>
      <c r="AU93" s="8" cm="1">
        <f t="array" ref="AU93">_xlfn.IFS(BJ93=0,0,BJ93&gt;0,(LOG(0.01*BJ93/10^-CN93)))</f>
        <v>0</v>
      </c>
      <c r="AV93" s="8" cm="1">
        <f t="array" ref="AV93">_xlfn.IFS(BK93=0,0,BK93&gt;0,(LOG(0.01*BK93/10^-CO93)))</f>
        <v>3.2189436915744083</v>
      </c>
      <c r="AW93" s="8" cm="1">
        <f t="array" ref="AW93">_xlfn.IFS(BL93=0,0,BL93&gt;0,(LOG(0.01*BL93/10^-CP93)))</f>
        <v>2.7999719134055105</v>
      </c>
      <c r="AX93" s="8" cm="1">
        <f t="array" ref="AX93">_xlfn.IFS(BM93=0,0,BM93&gt;0,(LOG(0.01*BM93/10^-CQ93)))</f>
        <v>2.1113819758721504</v>
      </c>
      <c r="AY93" s="8" cm="1">
        <f t="array" ref="AY93">_xlfn.IFS(BN93=0,0,BN93&gt;0,(LOG(0.01*BN93/10^-CR93)))</f>
        <v>2.6875476263567268</v>
      </c>
      <c r="AZ93" s="32">
        <f t="shared" si="88"/>
        <v>0</v>
      </c>
      <c r="BA93" s="31">
        <f t="shared" si="131"/>
        <v>44.994582881906823</v>
      </c>
      <c r="BB93" s="31">
        <f t="shared" si="132"/>
        <v>20.617551462621886</v>
      </c>
      <c r="BC93" s="31">
        <f t="shared" si="133"/>
        <v>20.303358613217767</v>
      </c>
      <c r="BD93" s="31">
        <f t="shared" si="134"/>
        <v>34.355362946912244</v>
      </c>
      <c r="BE93" s="31">
        <f t="shared" si="135"/>
        <v>19.252437703141929</v>
      </c>
      <c r="BF93" s="31">
        <f t="shared" si="136"/>
        <v>0</v>
      </c>
      <c r="BG93" s="31">
        <f t="shared" si="137"/>
        <v>0</v>
      </c>
      <c r="BH93" s="31">
        <f t="shared" si="138"/>
        <v>0</v>
      </c>
      <c r="BI93" s="31">
        <f t="shared" si="139"/>
        <v>0</v>
      </c>
      <c r="BJ93" s="31">
        <f t="shared" si="140"/>
        <v>0</v>
      </c>
      <c r="BK93" s="31">
        <f t="shared" si="141"/>
        <v>13.865760407816481</v>
      </c>
      <c r="BL93" s="31">
        <f t="shared" si="142"/>
        <v>20.322255790533735</v>
      </c>
      <c r="BM93" s="31">
        <f t="shared" si="143"/>
        <v>3.8670694864048341</v>
      </c>
      <c r="BN93" s="31">
        <f t="shared" si="144"/>
        <v>16.351124538435716</v>
      </c>
      <c r="BO93" s="132"/>
      <c r="BP93" s="133">
        <v>415.3</v>
      </c>
      <c r="BQ93" s="133">
        <v>190.3</v>
      </c>
      <c r="BR93" s="133">
        <v>187.4</v>
      </c>
      <c r="BS93" s="133">
        <v>317.10000000000002</v>
      </c>
      <c r="BT93" s="133">
        <v>177.7</v>
      </c>
      <c r="BU93" s="133"/>
      <c r="BV93" s="133"/>
      <c r="BW93" s="133"/>
      <c r="BX93" s="133"/>
      <c r="BY93" s="133"/>
      <c r="BZ93" s="133">
        <v>97.92</v>
      </c>
      <c r="CA93" s="133">
        <v>605.4</v>
      </c>
      <c r="CB93" s="133">
        <v>115.2</v>
      </c>
      <c r="CC93" s="133">
        <v>487.1</v>
      </c>
      <c r="CD93" s="36"/>
      <c r="CE93" s="34">
        <v>5.6340000000000003</v>
      </c>
      <c r="CF93" s="34">
        <v>5.7140000000000004</v>
      </c>
      <c r="CG93" s="34">
        <v>5.5030000000000001</v>
      </c>
      <c r="CH93" s="34">
        <v>5.4480000000000004</v>
      </c>
      <c r="CI93" s="34">
        <v>5.2469999999999999</v>
      </c>
      <c r="CJ93" s="34"/>
      <c r="CK93" s="34"/>
      <c r="CL93" s="34"/>
      <c r="CM93" s="34"/>
      <c r="CN93" s="34"/>
      <c r="CO93" s="34">
        <v>4.077</v>
      </c>
      <c r="CP93" s="34">
        <v>3.492</v>
      </c>
      <c r="CQ93" s="34">
        <v>3.524</v>
      </c>
      <c r="CR93" s="34">
        <v>3.4740000000000002</v>
      </c>
      <c r="CS93" s="168" t="str">
        <f>IF(VLOOKUP($A93,'B-Ligands'!$A:$G,3,FALSE)="","",VLOOKUP($A93,'B-Ligands'!$A:$G,3,FALSE))</f>
        <v>3-HOA</v>
      </c>
      <c r="CT93" s="169" t="str">
        <f>IF(VLOOKUP($A93,'B-Ligands'!$A:$G,4,FALSE)="","",VLOOKUP($A93,'B-Ligands'!$A:$G,4,FALSE))</f>
        <v>3-hydroxy octanoic acid</v>
      </c>
      <c r="CU93" s="132">
        <v>10.304741371562358</v>
      </c>
      <c r="CV93" s="133">
        <v>18.28404458619146</v>
      </c>
      <c r="CW93" s="133">
        <v>20.417330638400969</v>
      </c>
      <c r="CX93" s="133">
        <v>17.020222884012625</v>
      </c>
      <c r="CY93" s="133">
        <v>10.36047721496133</v>
      </c>
      <c r="CZ93" s="133">
        <v>18.35279359589018</v>
      </c>
      <c r="DA93" s="133">
        <v>13.618317121978679</v>
      </c>
      <c r="DB93" s="133">
        <v>12.065247362634862</v>
      </c>
      <c r="DC93" s="133">
        <v>15.258173483840453</v>
      </c>
      <c r="DD93" s="133">
        <v>13.656254930217825</v>
      </c>
      <c r="DE93" s="133">
        <v>4.0596004664415259</v>
      </c>
      <c r="DF93" s="133">
        <v>1.5257019231683526</v>
      </c>
      <c r="DG93" s="133">
        <v>21.521017062370923</v>
      </c>
      <c r="DH93" s="133">
        <v>20.754105683252458</v>
      </c>
      <c r="DI93" s="133">
        <v>11.74080655064339</v>
      </c>
      <c r="DJ93" s="66">
        <f t="shared" si="89"/>
        <v>0</v>
      </c>
      <c r="DK93" s="67">
        <f t="shared" si="90"/>
        <v>22.713792784865792</v>
      </c>
      <c r="DL93" s="67">
        <f t="shared" si="91"/>
        <v>9.3205132135188755</v>
      </c>
      <c r="DM93" s="67">
        <f t="shared" si="92"/>
        <v>11.010431606981358</v>
      </c>
      <c r="DN93" s="67">
        <f t="shared" si="93"/>
        <v>30.606698265026161</v>
      </c>
      <c r="DO93" s="67">
        <f t="shared" si="94"/>
        <v>9.6824496538659446</v>
      </c>
      <c r="DP93" s="67">
        <f t="shared" si="95"/>
        <v>0</v>
      </c>
      <c r="DQ93" s="67">
        <f t="shared" si="96"/>
        <v>0</v>
      </c>
      <c r="DR93" s="67">
        <f t="shared" si="97"/>
        <v>0</v>
      </c>
      <c r="DS93" s="67">
        <f t="shared" si="98"/>
        <v>0</v>
      </c>
      <c r="DT93" s="67">
        <f t="shared" si="99"/>
        <v>0</v>
      </c>
      <c r="DU93" s="67">
        <f t="shared" si="100"/>
        <v>64.180295320500221</v>
      </c>
      <c r="DV93" s="67">
        <f t="shared" si="101"/>
        <v>28.130640770622779</v>
      </c>
      <c r="DW93" s="67">
        <f t="shared" si="102"/>
        <v>5.5507089420365014</v>
      </c>
      <c r="DX93" s="67">
        <f t="shared" si="103"/>
        <v>41.487780068508769</v>
      </c>
    </row>
    <row r="94" spans="1:128" s="28" customFormat="1">
      <c r="A94" s="33" t="s">
        <v>169</v>
      </c>
      <c r="B94" s="205" t="s">
        <v>5559</v>
      </c>
      <c r="C94" t="str">
        <f>IF(VLOOKUP($A94,'B-Ligands'!$A:$G,5,FALSE)="","",VLOOKUP($A94,'B-Ligands'!$A:$G,5,FALSE))</f>
        <v>Guide To Pharmacology</v>
      </c>
      <c r="D94" s="19">
        <f>IF(VLOOKUP($A94,'B-Ligands'!$A:$G,6,FALSE)="","",VLOOKUP($A94,'B-Ligands'!$A:$G,6,FALSE))</f>
        <v>1369</v>
      </c>
      <c r="E94" t="str">
        <f>IF(VLOOKUP($A94,'B-Ligands'!$A:$G,7,FALSE)="","",VLOOKUP($A94,'B-Ligands'!$A:$G,7,FALSE))</f>
        <v>Phys</v>
      </c>
      <c r="F94" s="20" t="str">
        <f t="shared" si="145"/>
        <v/>
      </c>
      <c r="G94" s="19">
        <f t="shared" si="146"/>
        <v>1</v>
      </c>
      <c r="H94" s="19" t="str">
        <f t="shared" si="147"/>
        <v/>
      </c>
      <c r="I94" s="19" t="str">
        <f t="shared" si="148"/>
        <v/>
      </c>
      <c r="J94" s="189">
        <f t="shared" si="104"/>
        <v>1</v>
      </c>
      <c r="K94" s="147" t="str">
        <f t="shared" si="105"/>
        <v>Gi/o</v>
      </c>
      <c r="L94" s="20">
        <f t="shared" si="106"/>
        <v>0</v>
      </c>
      <c r="M94" s="19">
        <f t="shared" si="107"/>
        <v>1</v>
      </c>
      <c r="N94" s="19">
        <f t="shared" si="108"/>
        <v>0</v>
      </c>
      <c r="O94" s="19">
        <f t="shared" si="109"/>
        <v>0</v>
      </c>
      <c r="P94" s="20">
        <f t="shared" si="110"/>
        <v>0</v>
      </c>
      <c r="Q94" s="19">
        <f t="shared" si="111"/>
        <v>100</v>
      </c>
      <c r="R94" s="19">
        <f t="shared" si="112"/>
        <v>0</v>
      </c>
      <c r="S94" s="19">
        <f t="shared" si="113"/>
        <v>0</v>
      </c>
      <c r="T94" s="20">
        <f t="shared" si="114"/>
        <v>0</v>
      </c>
      <c r="U94" s="21">
        <f t="shared" si="115"/>
        <v>4.495726782734943</v>
      </c>
      <c r="V94" s="21">
        <f t="shared" si="116"/>
        <v>0</v>
      </c>
      <c r="W94" s="21">
        <f t="shared" si="117"/>
        <v>0</v>
      </c>
      <c r="X94" s="147" t="str">
        <f t="shared" si="118"/>
        <v>GoB</v>
      </c>
      <c r="Y94" s="32">
        <f t="shared" si="119"/>
        <v>0</v>
      </c>
      <c r="Z94" s="31">
        <f t="shared" si="120"/>
        <v>94.066343184591204</v>
      </c>
      <c r="AA94" s="31">
        <f t="shared" si="121"/>
        <v>85.519826881787509</v>
      </c>
      <c r="AB94" s="31">
        <f t="shared" si="122"/>
        <v>96.372304925601654</v>
      </c>
      <c r="AC94" s="31">
        <f t="shared" si="123"/>
        <v>100</v>
      </c>
      <c r="AD94" s="31">
        <f t="shared" si="124"/>
        <v>80.726139410806468</v>
      </c>
      <c r="AE94" s="31">
        <f t="shared" si="125"/>
        <v>0</v>
      </c>
      <c r="AF94" s="31">
        <f t="shared" si="126"/>
        <v>0</v>
      </c>
      <c r="AG94" s="31">
        <f t="shared" si="127"/>
        <v>0</v>
      </c>
      <c r="AH94" s="31">
        <f t="shared" si="128"/>
        <v>0</v>
      </c>
      <c r="AI94" s="31">
        <f t="shared" si="129"/>
        <v>0</v>
      </c>
      <c r="AJ94" s="31">
        <f t="shared" si="130"/>
        <v>0</v>
      </c>
      <c r="AK94" s="7" cm="1">
        <f t="array" ref="AK94">_xlfn.IFS(AZ94=0,0,AZ94&gt;0,(LOG(0.01*AZ94/10^-CD94)))</f>
        <v>0</v>
      </c>
      <c r="AL94" s="8" cm="1">
        <f t="array" ref="AL94">_xlfn.IFS(BA94=0,0,BA94&gt;0,(LOG(0.01*BA94/10^-CE94)))</f>
        <v>4.2289657840890325</v>
      </c>
      <c r="AM94" s="8" cm="1">
        <f t="array" ref="AM94">_xlfn.IFS(BB94=0,0,BB94&gt;0,(LOG(0.01*BB94/10^-CF94)))</f>
        <v>3.8447377616730787</v>
      </c>
      <c r="AN94" s="8" cm="1">
        <f t="array" ref="AN94">_xlfn.IFS(BC94=0,0,BC94&gt;0,(LOG(0.01*BC94/10^-CG94)))</f>
        <v>4.3326355236792606</v>
      </c>
      <c r="AO94" s="8" cm="1">
        <f t="array" ref="AO94">_xlfn.IFS(BD94=0,0,BD94&gt;0,(LOG(0.01*BD94/10^-CH94)))</f>
        <v>4.495726782734943</v>
      </c>
      <c r="AP94" s="8" cm="1">
        <f t="array" ref="AP94">_xlfn.IFS(BE94=0,0,BE94&gt;0,(LOG(0.01*BE94/10^-CI94)))</f>
        <v>3.6292266701595746</v>
      </c>
      <c r="AQ94" s="8" cm="1">
        <f t="array" ref="AQ94">_xlfn.IFS(BF94=0,0,BF94&gt;0,(LOG(0.01*BF94/10^-CJ94)))</f>
        <v>0</v>
      </c>
      <c r="AR94" s="8" cm="1">
        <f t="array" ref="AR94">_xlfn.IFS(BG94=0,0,BG94&gt;0,(LOG(0.01*BG94/10^-CK94)))</f>
        <v>0</v>
      </c>
      <c r="AS94" s="8" cm="1">
        <f t="array" ref="AS94">_xlfn.IFS(BH94=0,0,BH94&gt;0,(LOG(0.01*BH94/10^-CL94)))</f>
        <v>0</v>
      </c>
      <c r="AT94" s="8" cm="1">
        <f t="array" ref="AT94">_xlfn.IFS(BI94=0,0,BI94&gt;0,(LOG(0.01*BI94/10^-CM94)))</f>
        <v>0</v>
      </c>
      <c r="AU94" s="8" cm="1">
        <f t="array" ref="AU94">_xlfn.IFS(BJ94=0,0,BJ94&gt;0,(LOG(0.01*BJ94/10^-CN94)))</f>
        <v>0</v>
      </c>
      <c r="AV94" s="8" cm="1">
        <f t="array" ref="AV94">_xlfn.IFS(BK94=0,0,BK94&gt;0,(LOG(0.01*BK94/10^-CO94)))</f>
        <v>0</v>
      </c>
      <c r="AW94" s="8" cm="1">
        <f t="array" ref="AW94">_xlfn.IFS(BL94=0,0,BL94&gt;0,(LOG(0.01*BL94/10^-CP94)))</f>
        <v>0</v>
      </c>
      <c r="AX94" s="8" cm="1">
        <f t="array" ref="AX94">_xlfn.IFS(BM94=0,0,BM94&gt;0,(LOG(0.01*BM94/10^-CQ94)))</f>
        <v>0</v>
      </c>
      <c r="AY94" s="8" cm="1">
        <f t="array" ref="AY94">_xlfn.IFS(BN94=0,0,BN94&gt;0,(LOG(0.01*BN94/10^-CR94)))</f>
        <v>0</v>
      </c>
      <c r="AZ94" s="32">
        <f t="shared" si="88"/>
        <v>0</v>
      </c>
      <c r="BA94" s="31">
        <f t="shared" si="131"/>
        <v>37.150595882990253</v>
      </c>
      <c r="BB94" s="31">
        <f t="shared" si="132"/>
        <v>24.08450704225352</v>
      </c>
      <c r="BC94" s="31">
        <f t="shared" si="133"/>
        <v>11.159263271939329</v>
      </c>
      <c r="BD94" s="31">
        <f t="shared" si="134"/>
        <v>16.738894907908993</v>
      </c>
      <c r="BE94" s="31">
        <f t="shared" si="135"/>
        <v>11.408450704225352</v>
      </c>
      <c r="BF94" s="31">
        <f t="shared" si="136"/>
        <v>0</v>
      </c>
      <c r="BG94" s="31">
        <f t="shared" si="137"/>
        <v>0</v>
      </c>
      <c r="BH94" s="31">
        <f t="shared" si="138"/>
        <v>0</v>
      </c>
      <c r="BI94" s="31">
        <f t="shared" si="139"/>
        <v>0</v>
      </c>
      <c r="BJ94" s="31">
        <f t="shared" si="140"/>
        <v>0</v>
      </c>
      <c r="BK94" s="31">
        <f t="shared" si="141"/>
        <v>0</v>
      </c>
      <c r="BL94" s="31">
        <f t="shared" si="142"/>
        <v>0</v>
      </c>
      <c r="BM94" s="31">
        <f t="shared" si="143"/>
        <v>0</v>
      </c>
      <c r="BN94" s="31">
        <f t="shared" si="144"/>
        <v>0</v>
      </c>
      <c r="BO94" s="134"/>
      <c r="BP94" s="135">
        <v>342.9</v>
      </c>
      <c r="BQ94" s="135">
        <v>222.3</v>
      </c>
      <c r="BR94" s="135">
        <v>103</v>
      </c>
      <c r="BS94" s="135">
        <v>154.5</v>
      </c>
      <c r="BT94" s="135">
        <v>105.3</v>
      </c>
      <c r="BU94" s="135"/>
      <c r="BV94" s="135"/>
      <c r="BW94" s="135"/>
      <c r="BX94" s="135"/>
      <c r="BY94" s="135"/>
      <c r="BZ94" s="135"/>
      <c r="CA94" s="135"/>
      <c r="CB94" s="135"/>
      <c r="CC94" s="135"/>
      <c r="CD94" s="30"/>
      <c r="CE94" s="29">
        <v>4.6589999999999998</v>
      </c>
      <c r="CF94" s="29">
        <v>4.4630000000000001</v>
      </c>
      <c r="CG94" s="29">
        <v>5.2850000000000001</v>
      </c>
      <c r="CH94" s="29">
        <v>5.2720000000000002</v>
      </c>
      <c r="CI94" s="29">
        <v>4.5720000000000001</v>
      </c>
      <c r="CJ94" s="29"/>
      <c r="CK94" s="29"/>
      <c r="CL94" s="29"/>
      <c r="CM94" s="29"/>
      <c r="CN94" s="29"/>
      <c r="CO94" s="29"/>
      <c r="CP94" s="29"/>
      <c r="CQ94" s="29"/>
      <c r="CR94" s="29"/>
      <c r="CS94" s="168" t="str">
        <f>IF(VLOOKUP($A94,'B-Ligands'!$A:$G,3,FALSE)="","",VLOOKUP($A94,'B-Ligands'!$A:$G,3,FALSE))</f>
        <v/>
      </c>
      <c r="CT94" s="169" t="str">
        <f>IF(VLOOKUP($A94,'B-Ligands'!$A:$G,4,FALSE)="","",VLOOKUP($A94,'B-Ligands'!$A:$G,4,FALSE))</f>
        <v>Glutamate</v>
      </c>
      <c r="CU94" s="134">
        <v>22.213589510782903</v>
      </c>
      <c r="CV94" s="135">
        <v>5.4551573424012227</v>
      </c>
      <c r="CW94" s="135">
        <v>6.0957945534630831</v>
      </c>
      <c r="CX94" s="135">
        <v>8.1478812235217859</v>
      </c>
      <c r="CY94" s="135">
        <v>4.0280495231756959</v>
      </c>
      <c r="CZ94" s="135">
        <v>13.548504129981779</v>
      </c>
      <c r="DA94" s="135">
        <v>13.527990831890497</v>
      </c>
      <c r="DB94" s="135">
        <v>7.6625129834086865</v>
      </c>
      <c r="DC94" s="135">
        <v>7.4678454306837274</v>
      </c>
      <c r="DD94" s="135">
        <v>18.177286324796412</v>
      </c>
      <c r="DE94" s="135">
        <v>19.137457311468179</v>
      </c>
      <c r="DF94" s="135">
        <v>22.50544008196179</v>
      </c>
      <c r="DG94" s="135">
        <v>10.565963397040363</v>
      </c>
      <c r="DH94" s="135">
        <v>0.85022859461307332</v>
      </c>
      <c r="DI94" s="135">
        <v>7.4387890226161595</v>
      </c>
      <c r="DJ94" s="66">
        <f t="shared" si="89"/>
        <v>0</v>
      </c>
      <c r="DK94" s="67">
        <f t="shared" si="90"/>
        <v>62.857948630508986</v>
      </c>
      <c r="DL94" s="67">
        <f t="shared" si="91"/>
        <v>36.467764464553539</v>
      </c>
      <c r="DM94" s="67">
        <f t="shared" si="92"/>
        <v>12.641323207149057</v>
      </c>
      <c r="DN94" s="67">
        <f t="shared" si="93"/>
        <v>38.356032891619691</v>
      </c>
      <c r="DO94" s="67">
        <f t="shared" si="94"/>
        <v>7.7720757206678881</v>
      </c>
      <c r="DP94" s="67">
        <f t="shared" si="95"/>
        <v>0</v>
      </c>
      <c r="DQ94" s="67">
        <f t="shared" si="96"/>
        <v>0</v>
      </c>
      <c r="DR94" s="67">
        <f t="shared" si="97"/>
        <v>0</v>
      </c>
      <c r="DS94" s="67">
        <f t="shared" si="98"/>
        <v>0</v>
      </c>
      <c r="DT94" s="67">
        <f t="shared" si="99"/>
        <v>0</v>
      </c>
      <c r="DU94" s="67">
        <f t="shared" si="100"/>
        <v>0</v>
      </c>
      <c r="DV94" s="67">
        <f t="shared" si="101"/>
        <v>0</v>
      </c>
      <c r="DW94" s="67">
        <f t="shared" si="102"/>
        <v>0</v>
      </c>
      <c r="DX94" s="67">
        <f t="shared" si="103"/>
        <v>0</v>
      </c>
    </row>
    <row r="95" spans="1:128" s="28" customFormat="1">
      <c r="A95" s="33" t="s">
        <v>178</v>
      </c>
      <c r="B95" s="205" t="s">
        <v>5559</v>
      </c>
      <c r="C95" t="str">
        <f>IF(VLOOKUP($A95,'B-Ligands'!$A:$G,5,FALSE)="","",VLOOKUP($A95,'B-Ligands'!$A:$G,5,FALSE))</f>
        <v>Guide To Pharmacology</v>
      </c>
      <c r="D95" s="19">
        <f>IF(VLOOKUP($A95,'B-Ligands'!$A:$G,6,FALSE)="","",VLOOKUP($A95,'B-Ligands'!$A:$G,6,FALSE))</f>
        <v>1504</v>
      </c>
      <c r="E95" t="str">
        <f>IF(VLOOKUP($A95,'B-Ligands'!$A:$G,7,FALSE)="","",VLOOKUP($A95,'B-Ligands'!$A:$G,7,FALSE))</f>
        <v>Phys</v>
      </c>
      <c r="F95" s="20" t="str">
        <f t="shared" si="145"/>
        <v/>
      </c>
      <c r="G95" s="19">
        <f t="shared" si="146"/>
        <v>1</v>
      </c>
      <c r="H95" s="19" t="str">
        <f t="shared" si="147"/>
        <v/>
      </c>
      <c r="I95" s="19" t="str">
        <f t="shared" si="148"/>
        <v/>
      </c>
      <c r="J95" s="189">
        <f t="shared" si="104"/>
        <v>1</v>
      </c>
      <c r="K95" s="147" t="str">
        <f t="shared" si="105"/>
        <v>Gi/o</v>
      </c>
      <c r="L95" s="20">
        <f t="shared" si="106"/>
        <v>0</v>
      </c>
      <c r="M95" s="19">
        <f t="shared" si="107"/>
        <v>1</v>
      </c>
      <c r="N95" s="19">
        <f t="shared" si="108"/>
        <v>0</v>
      </c>
      <c r="O95" s="19">
        <f t="shared" si="109"/>
        <v>0</v>
      </c>
      <c r="P95" s="20">
        <f t="shared" si="110"/>
        <v>0</v>
      </c>
      <c r="Q95" s="19">
        <f t="shared" si="111"/>
        <v>100</v>
      </c>
      <c r="R95" s="19">
        <f t="shared" si="112"/>
        <v>0</v>
      </c>
      <c r="S95" s="19">
        <f t="shared" si="113"/>
        <v>0</v>
      </c>
      <c r="T95" s="20">
        <f t="shared" si="114"/>
        <v>0</v>
      </c>
      <c r="U95" s="21">
        <f t="shared" si="115"/>
        <v>6.9284226968250691</v>
      </c>
      <c r="V95" s="21">
        <f t="shared" si="116"/>
        <v>0</v>
      </c>
      <c r="W95" s="21">
        <f t="shared" si="117"/>
        <v>0</v>
      </c>
      <c r="X95" s="147" t="str">
        <f t="shared" si="118"/>
        <v>GoA</v>
      </c>
      <c r="Y95" s="32">
        <f t="shared" si="119"/>
        <v>0</v>
      </c>
      <c r="Z95" s="31">
        <f t="shared" si="120"/>
        <v>0</v>
      </c>
      <c r="AA95" s="31">
        <f t="shared" si="121"/>
        <v>0</v>
      </c>
      <c r="AB95" s="31">
        <f t="shared" si="122"/>
        <v>100</v>
      </c>
      <c r="AC95" s="31">
        <f t="shared" si="123"/>
        <v>98.990749059226445</v>
      </c>
      <c r="AD95" s="31">
        <f t="shared" si="124"/>
        <v>91.81023011514732</v>
      </c>
      <c r="AE95" s="31">
        <f t="shared" si="125"/>
        <v>0</v>
      </c>
      <c r="AF95" s="31">
        <f t="shared" si="126"/>
        <v>0</v>
      </c>
      <c r="AG95" s="31">
        <f t="shared" si="127"/>
        <v>0</v>
      </c>
      <c r="AH95" s="31">
        <f t="shared" si="128"/>
        <v>0</v>
      </c>
      <c r="AI95" s="31">
        <f t="shared" si="129"/>
        <v>0</v>
      </c>
      <c r="AJ95" s="31">
        <f t="shared" si="130"/>
        <v>0</v>
      </c>
      <c r="AK95" s="7" cm="1">
        <f t="array" ref="AK95">_xlfn.IFS(AZ95=0,0,AZ95&gt;0,(LOG(0.01*AZ95/10^-CD95)))</f>
        <v>0</v>
      </c>
      <c r="AL95" s="8" cm="1">
        <f t="array" ref="AL95">_xlfn.IFS(BA95=0,0,BA95&gt;0,(LOG(0.01*BA95/10^-CE95)))</f>
        <v>0</v>
      </c>
      <c r="AM95" s="8" cm="1">
        <f t="array" ref="AM95">_xlfn.IFS(BB95=0,0,BB95&gt;0,(LOG(0.01*BB95/10^-CF95)))</f>
        <v>0</v>
      </c>
      <c r="AN95" s="8" cm="1">
        <f t="array" ref="AN95">_xlfn.IFS(BC95=0,0,BC95&gt;0,(LOG(0.01*BC95/10^-CG95)))</f>
        <v>6.9284226968250691</v>
      </c>
      <c r="AO95" s="8" cm="1">
        <f t="array" ref="AO95">_xlfn.IFS(BD95=0,0,BD95&gt;0,(LOG(0.01*BD95/10^-CH95)))</f>
        <v>6.8584975255765936</v>
      </c>
      <c r="AP95" s="8" cm="1">
        <f t="array" ref="AP95">_xlfn.IFS(BE95=0,0,BE95&gt;0,(LOG(0.01*BE95/10^-CI95)))</f>
        <v>6.3610008213051916</v>
      </c>
      <c r="AQ95" s="8" cm="1">
        <f t="array" ref="AQ95">_xlfn.IFS(BF95=0,0,BF95&gt;0,(LOG(0.01*BF95/10^-CJ95)))</f>
        <v>0</v>
      </c>
      <c r="AR95" s="8" cm="1">
        <f t="array" ref="AR95">_xlfn.IFS(BG95=0,0,BG95&gt;0,(LOG(0.01*BG95/10^-CK95)))</f>
        <v>0</v>
      </c>
      <c r="AS95" s="8" cm="1">
        <f t="array" ref="AS95">_xlfn.IFS(BH95=0,0,BH95&gt;0,(LOG(0.01*BH95/10^-CL95)))</f>
        <v>0</v>
      </c>
      <c r="AT95" s="8" cm="1">
        <f t="array" ref="AT95">_xlfn.IFS(BI95=0,0,BI95&gt;0,(LOG(0.01*BI95/10^-CM95)))</f>
        <v>0</v>
      </c>
      <c r="AU95" s="8" cm="1">
        <f t="array" ref="AU95">_xlfn.IFS(BJ95=0,0,BJ95&gt;0,(LOG(0.01*BJ95/10^-CN95)))</f>
        <v>0</v>
      </c>
      <c r="AV95" s="8" cm="1">
        <f t="array" ref="AV95">_xlfn.IFS(BK95=0,0,BK95&gt;0,(LOG(0.01*BK95/10^-CO95)))</f>
        <v>0</v>
      </c>
      <c r="AW95" s="8" cm="1">
        <f t="array" ref="AW95">_xlfn.IFS(BL95=0,0,BL95&gt;0,(LOG(0.01*BL95/10^-CP95)))</f>
        <v>0</v>
      </c>
      <c r="AX95" s="8" cm="1">
        <f t="array" ref="AX95">_xlfn.IFS(BM95=0,0,BM95&gt;0,(LOG(0.01*BM95/10^-CQ95)))</f>
        <v>0</v>
      </c>
      <c r="AY95" s="8" cm="1">
        <f t="array" ref="AY95">_xlfn.IFS(BN95=0,0,BN95&gt;0,(LOG(0.01*BN95/10^-CR95)))</f>
        <v>0</v>
      </c>
      <c r="AZ95" s="32">
        <f t="shared" si="88"/>
        <v>0</v>
      </c>
      <c r="BA95" s="31">
        <f t="shared" si="131"/>
        <v>0</v>
      </c>
      <c r="BB95" s="31">
        <f t="shared" si="132"/>
        <v>0</v>
      </c>
      <c r="BC95" s="31">
        <f t="shared" si="133"/>
        <v>6.3011917659804988</v>
      </c>
      <c r="BD95" s="31">
        <f t="shared" si="134"/>
        <v>6.032502708559047</v>
      </c>
      <c r="BE95" s="31">
        <f t="shared" si="135"/>
        <v>3.4994582881906822</v>
      </c>
      <c r="BF95" s="31">
        <f t="shared" si="136"/>
        <v>0</v>
      </c>
      <c r="BG95" s="31">
        <f t="shared" si="137"/>
        <v>0</v>
      </c>
      <c r="BH95" s="31">
        <f t="shared" si="138"/>
        <v>0</v>
      </c>
      <c r="BI95" s="31">
        <f t="shared" si="139"/>
        <v>0</v>
      </c>
      <c r="BJ95" s="31">
        <f t="shared" si="140"/>
        <v>0</v>
      </c>
      <c r="BK95" s="31">
        <f t="shared" si="141"/>
        <v>0</v>
      </c>
      <c r="BL95" s="31">
        <f t="shared" si="142"/>
        <v>0</v>
      </c>
      <c r="BM95" s="31">
        <f t="shared" si="143"/>
        <v>0</v>
      </c>
      <c r="BN95" s="31">
        <f t="shared" si="144"/>
        <v>0</v>
      </c>
      <c r="BO95" s="134"/>
      <c r="BP95" s="135"/>
      <c r="BQ95" s="135"/>
      <c r="BR95" s="135">
        <v>58.16</v>
      </c>
      <c r="BS95" s="135">
        <v>55.68</v>
      </c>
      <c r="BT95" s="135">
        <v>32.299999999999997</v>
      </c>
      <c r="BU95" s="135"/>
      <c r="BV95" s="135"/>
      <c r="BW95" s="135"/>
      <c r="BX95" s="135"/>
      <c r="BY95" s="135"/>
      <c r="BZ95" s="135"/>
      <c r="CA95" s="135"/>
      <c r="CB95" s="135"/>
      <c r="CC95" s="135"/>
      <c r="CD95" s="30"/>
      <c r="CE95" s="29"/>
      <c r="CF95" s="29"/>
      <c r="CG95" s="29">
        <v>8.1289999999999996</v>
      </c>
      <c r="CH95" s="29">
        <v>8.0779999999999994</v>
      </c>
      <c r="CI95" s="29">
        <v>7.8170000000000002</v>
      </c>
      <c r="CJ95" s="29"/>
      <c r="CK95" s="29"/>
      <c r="CL95" s="29"/>
      <c r="CM95" s="29"/>
      <c r="CN95" s="29"/>
      <c r="CO95" s="29"/>
      <c r="CP95" s="29"/>
      <c r="CQ95" s="29"/>
      <c r="CR95" s="29"/>
      <c r="CS95" s="168" t="str">
        <f>IF(VLOOKUP($A95,'B-Ligands'!$A:$G,3,FALSE)="","",VLOOKUP($A95,'B-Ligands'!$A:$G,3,FALSE))</f>
        <v>NPY</v>
      </c>
      <c r="CT95" s="169" t="str">
        <f>IF(VLOOKUP($A95,'B-Ligands'!$A:$G,4,FALSE)="","",VLOOKUP($A95,'B-Ligands'!$A:$G,4,FALSE))</f>
        <v>Neuropeptide Y</v>
      </c>
      <c r="CU95" s="134">
        <v>3.4652763793406041</v>
      </c>
      <c r="CV95" s="135">
        <v>1.2496732509924213</v>
      </c>
      <c r="CW95" s="135">
        <v>8.9515295072511609</v>
      </c>
      <c r="CX95" s="135">
        <v>9.9994898349612811</v>
      </c>
      <c r="CY95" s="135">
        <v>8.0812203564176777</v>
      </c>
      <c r="CZ95" s="135">
        <v>4.8134976384569388</v>
      </c>
      <c r="DA95" s="135">
        <v>9.3049874642420694</v>
      </c>
      <c r="DB95" s="135">
        <v>5.1277247434139612</v>
      </c>
      <c r="DC95" s="135">
        <v>2.4062411734112996</v>
      </c>
      <c r="DD95" s="135">
        <v>6.2777841751832266</v>
      </c>
      <c r="DE95" s="135">
        <v>4.1247269598598217</v>
      </c>
      <c r="DF95" s="135">
        <v>6.1265788320013987</v>
      </c>
      <c r="DG95" s="135">
        <v>13.144933752826846</v>
      </c>
      <c r="DH95" s="135">
        <v>13.526386072985236</v>
      </c>
      <c r="DI95" s="135">
        <v>8.0692195835470972</v>
      </c>
      <c r="DJ95" s="66">
        <f t="shared" si="89"/>
        <v>0</v>
      </c>
      <c r="DK95" s="67">
        <f t="shared" si="90"/>
        <v>0</v>
      </c>
      <c r="DL95" s="67">
        <f t="shared" si="91"/>
        <v>0</v>
      </c>
      <c r="DM95" s="67">
        <f t="shared" si="92"/>
        <v>5.8162967271244987</v>
      </c>
      <c r="DN95" s="67">
        <f t="shared" si="93"/>
        <v>6.8900484758817262</v>
      </c>
      <c r="DO95" s="67">
        <f t="shared" si="94"/>
        <v>6.7102972570179542</v>
      </c>
      <c r="DP95" s="67">
        <f t="shared" si="95"/>
        <v>0</v>
      </c>
      <c r="DQ95" s="67">
        <f t="shared" si="96"/>
        <v>0</v>
      </c>
      <c r="DR95" s="67">
        <f t="shared" si="97"/>
        <v>0</v>
      </c>
      <c r="DS95" s="67">
        <f t="shared" si="98"/>
        <v>0</v>
      </c>
      <c r="DT95" s="67">
        <f t="shared" si="99"/>
        <v>0</v>
      </c>
      <c r="DU95" s="67">
        <f t="shared" si="100"/>
        <v>0</v>
      </c>
      <c r="DV95" s="67">
        <f t="shared" si="101"/>
        <v>0</v>
      </c>
      <c r="DW95" s="67">
        <f t="shared" si="102"/>
        <v>0</v>
      </c>
      <c r="DX95" s="67">
        <f t="shared" si="103"/>
        <v>0</v>
      </c>
    </row>
    <row r="96" spans="1:128" s="28" customFormat="1">
      <c r="A96" s="33" t="s">
        <v>93</v>
      </c>
      <c r="B96" s="205" t="s">
        <v>5559</v>
      </c>
      <c r="C96" t="str">
        <f>IF(VLOOKUP($A96,'B-Ligands'!$A:$G,5,FALSE)="","",VLOOKUP($A96,'B-Ligands'!$A:$G,5,FALSE))</f>
        <v>Guide To Pharmacology</v>
      </c>
      <c r="D96" s="19">
        <f>IF(VLOOKUP($A96,'B-Ligands'!$A:$G,6,FALSE)="","",VLOOKUP($A96,'B-Ligands'!$A:$G,6,FALSE))</f>
        <v>5533</v>
      </c>
      <c r="E96" t="str">
        <f>IF(VLOOKUP($A96,'B-Ligands'!$A:$G,7,FALSE)="","",VLOOKUP($A96,'B-Ligands'!$A:$G,7,FALSE))</f>
        <v>Phys</v>
      </c>
      <c r="F96" s="20" t="str">
        <f t="shared" si="145"/>
        <v/>
      </c>
      <c r="G96" s="19">
        <f t="shared" si="146"/>
        <v>1</v>
      </c>
      <c r="H96" s="19" t="str">
        <f t="shared" si="147"/>
        <v/>
      </c>
      <c r="I96" s="19" t="str">
        <f t="shared" si="148"/>
        <v/>
      </c>
      <c r="J96" s="189">
        <f t="shared" si="104"/>
        <v>1</v>
      </c>
      <c r="K96" s="147" t="str">
        <f t="shared" si="105"/>
        <v>Gi/o</v>
      </c>
      <c r="L96" s="20">
        <f t="shared" si="106"/>
        <v>0</v>
      </c>
      <c r="M96" s="19">
        <f t="shared" si="107"/>
        <v>1</v>
      </c>
      <c r="N96" s="19">
        <f t="shared" si="108"/>
        <v>0</v>
      </c>
      <c r="O96" s="19">
        <f t="shared" si="109"/>
        <v>0</v>
      </c>
      <c r="P96" s="20">
        <f t="shared" si="110"/>
        <v>0</v>
      </c>
      <c r="Q96" s="19">
        <f t="shared" si="111"/>
        <v>100</v>
      </c>
      <c r="R96" s="19">
        <f t="shared" si="112"/>
        <v>0</v>
      </c>
      <c r="S96" s="19">
        <f t="shared" si="113"/>
        <v>0</v>
      </c>
      <c r="T96" s="20">
        <f t="shared" si="114"/>
        <v>0</v>
      </c>
      <c r="U96" s="21">
        <f t="shared" si="115"/>
        <v>3.8007515341620737</v>
      </c>
      <c r="V96" s="21">
        <f t="shared" si="116"/>
        <v>0</v>
      </c>
      <c r="W96" s="21">
        <f t="shared" si="117"/>
        <v>0</v>
      </c>
      <c r="X96" s="147" t="str">
        <f t="shared" si="118"/>
        <v>Gz</v>
      </c>
      <c r="Y96" s="32">
        <f t="shared" si="119"/>
        <v>0</v>
      </c>
      <c r="Z96" s="31">
        <f t="shared" si="120"/>
        <v>87.696057938469565</v>
      </c>
      <c r="AA96" s="31">
        <f t="shared" si="121"/>
        <v>81.00224998686511</v>
      </c>
      <c r="AB96" s="31">
        <f t="shared" si="122"/>
        <v>43.032755681509919</v>
      </c>
      <c r="AC96" s="31">
        <f t="shared" si="123"/>
        <v>0</v>
      </c>
      <c r="AD96" s="31">
        <f t="shared" si="124"/>
        <v>100</v>
      </c>
      <c r="AE96" s="31">
        <f t="shared" si="125"/>
        <v>0</v>
      </c>
      <c r="AF96" s="31">
        <f t="shared" si="126"/>
        <v>0</v>
      </c>
      <c r="AG96" s="31">
        <f t="shared" si="127"/>
        <v>0</v>
      </c>
      <c r="AH96" s="31">
        <f t="shared" si="128"/>
        <v>0</v>
      </c>
      <c r="AI96" s="31">
        <f t="shared" si="129"/>
        <v>0</v>
      </c>
      <c r="AJ96" s="31">
        <f t="shared" si="130"/>
        <v>0</v>
      </c>
      <c r="AK96" s="7" cm="1">
        <f t="array" ref="AK96">_xlfn.IFS(AZ96=0,0,AZ96&gt;0,(LOG(0.01*AZ96/10^-CD96)))</f>
        <v>0</v>
      </c>
      <c r="AL96" s="8" cm="1">
        <f t="array" ref="AL96">_xlfn.IFS(BA96=0,0,BA96&gt;0,(LOG(0.01*BA96/10^-CE96)))</f>
        <v>3.333109267496043</v>
      </c>
      <c r="AM96" s="8" cm="1">
        <f t="array" ref="AM96">_xlfn.IFS(BB96=0,0,BB96&gt;0,(LOG(0.01*BB96/10^-CF96)))</f>
        <v>3.0786942590815736</v>
      </c>
      <c r="AN96" s="8" cm="1">
        <f t="array" ref="AN96">_xlfn.IFS(BC96=0,0,BC96&gt;0,(LOG(0.01*BC96/10^-CG96)))</f>
        <v>1.6355681217572053</v>
      </c>
      <c r="AO96" s="8" cm="1">
        <f t="array" ref="AO96">_xlfn.IFS(BD96=0,0,BD96&gt;0,(LOG(0.01*BD96/10^-CH96)))</f>
        <v>0</v>
      </c>
      <c r="AP96" s="8" cm="1">
        <f t="array" ref="AP96">_xlfn.IFS(BE96=0,0,BE96&gt;0,(LOG(0.01*BE96/10^-CI96)))</f>
        <v>3.8007515341620737</v>
      </c>
      <c r="AQ96" s="8" cm="1">
        <f t="array" ref="AQ96">_xlfn.IFS(BF96=0,0,BF96&gt;0,(LOG(0.01*BF96/10^-CJ96)))</f>
        <v>0</v>
      </c>
      <c r="AR96" s="8" cm="1">
        <f t="array" ref="AR96">_xlfn.IFS(BG96=0,0,BG96&gt;0,(LOG(0.01*BG96/10^-CK96)))</f>
        <v>0</v>
      </c>
      <c r="AS96" s="8" cm="1">
        <f t="array" ref="AS96">_xlfn.IFS(BH96=0,0,BH96&gt;0,(LOG(0.01*BH96/10^-CL96)))</f>
        <v>0</v>
      </c>
      <c r="AT96" s="8" cm="1">
        <f t="array" ref="AT96">_xlfn.IFS(BI96=0,0,BI96&gt;0,(LOG(0.01*BI96/10^-CM96)))</f>
        <v>0</v>
      </c>
      <c r="AU96" s="8" cm="1">
        <f t="array" ref="AU96">_xlfn.IFS(BJ96=0,0,BJ96&gt;0,(LOG(0.01*BJ96/10^-CN96)))</f>
        <v>0</v>
      </c>
      <c r="AV96" s="8" cm="1">
        <f t="array" ref="AV96">_xlfn.IFS(BK96=0,0,BK96&gt;0,(LOG(0.01*BK96/10^-CO96)))</f>
        <v>0</v>
      </c>
      <c r="AW96" s="8" cm="1">
        <f t="array" ref="AW96">_xlfn.IFS(BL96=0,0,BL96&gt;0,(LOG(0.01*BL96/10^-CP96)))</f>
        <v>0</v>
      </c>
      <c r="AX96" s="8" cm="1">
        <f t="array" ref="AX96">_xlfn.IFS(BM96=0,0,BM96&gt;0,(LOG(0.01*BM96/10^-CQ96)))</f>
        <v>0</v>
      </c>
      <c r="AY96" s="8" cm="1">
        <f t="array" ref="AY96">_xlfn.IFS(BN96=0,0,BN96&gt;0,(LOG(0.01*BN96/10^-CR96)))</f>
        <v>1.0177459374301314</v>
      </c>
      <c r="AZ96" s="32">
        <f t="shared" si="88"/>
        <v>0</v>
      </c>
      <c r="BA96" s="31">
        <f t="shared" si="131"/>
        <v>16.110509209100755</v>
      </c>
      <c r="BB96" s="31">
        <f t="shared" si="132"/>
        <v>11.473456121343446</v>
      </c>
      <c r="BC96" s="31">
        <f t="shared" si="133"/>
        <v>9.4095341278439868</v>
      </c>
      <c r="BD96" s="31">
        <f t="shared" si="134"/>
        <v>0</v>
      </c>
      <c r="BE96" s="31">
        <f t="shared" si="135"/>
        <v>4.2242686890574213</v>
      </c>
      <c r="BF96" s="31">
        <f t="shared" si="136"/>
        <v>0</v>
      </c>
      <c r="BG96" s="31">
        <f t="shared" si="137"/>
        <v>0</v>
      </c>
      <c r="BH96" s="31">
        <f t="shared" si="138"/>
        <v>0</v>
      </c>
      <c r="BI96" s="31">
        <f t="shared" si="139"/>
        <v>0</v>
      </c>
      <c r="BJ96" s="31">
        <f t="shared" si="140"/>
        <v>0</v>
      </c>
      <c r="BK96" s="31">
        <f t="shared" si="141"/>
        <v>0</v>
      </c>
      <c r="BL96" s="31">
        <f t="shared" si="142"/>
        <v>0</v>
      </c>
      <c r="BM96" s="31">
        <f t="shared" si="143"/>
        <v>0</v>
      </c>
      <c r="BN96" s="31">
        <f t="shared" si="144"/>
        <v>3.987915407854985</v>
      </c>
      <c r="BO96" s="134"/>
      <c r="BP96" s="135">
        <v>148.69999999999999</v>
      </c>
      <c r="BQ96" s="135">
        <v>105.9</v>
      </c>
      <c r="BR96" s="176">
        <v>86.85</v>
      </c>
      <c r="BS96" s="135"/>
      <c r="BT96" s="135">
        <v>38.99</v>
      </c>
      <c r="BU96" s="135"/>
      <c r="BV96" s="135"/>
      <c r="BW96" s="135"/>
      <c r="BX96" s="135"/>
      <c r="BY96" s="135"/>
      <c r="BZ96" s="135"/>
      <c r="CA96" s="135"/>
      <c r="CB96" s="135"/>
      <c r="CC96" s="176">
        <v>118.8</v>
      </c>
      <c r="CD96" s="30"/>
      <c r="CE96" s="29">
        <v>4.1260000000000003</v>
      </c>
      <c r="CF96" s="29">
        <v>4.0190000000000001</v>
      </c>
      <c r="CG96" s="39">
        <v>2.6619999999999999</v>
      </c>
      <c r="CH96" s="29"/>
      <c r="CI96" s="29">
        <v>5.1749999999999998</v>
      </c>
      <c r="CJ96" s="29"/>
      <c r="CK96" s="29"/>
      <c r="CL96" s="29"/>
      <c r="CM96" s="29"/>
      <c r="CN96" s="29"/>
      <c r="CO96" s="29"/>
      <c r="CP96" s="29"/>
      <c r="CQ96" s="29"/>
      <c r="CR96" s="39">
        <v>2.4169999999999998</v>
      </c>
      <c r="CS96" s="168" t="str">
        <f>IF(VLOOKUP($A96,'B-Ligands'!$A:$G,3,FALSE)="","",VLOOKUP($A96,'B-Ligands'!$A:$G,3,FALSE))</f>
        <v>Undecanoic acid</v>
      </c>
      <c r="CT96" s="169" t="str">
        <f>IF(VLOOKUP($A96,'B-Ligands'!$A:$G,4,FALSE)="","",VLOOKUP($A96,'B-Ligands'!$A:$G,4,FALSE))</f>
        <v>Decanoic Acid</v>
      </c>
      <c r="CU96" s="134">
        <v>10.413715139087291</v>
      </c>
      <c r="CV96" s="135">
        <v>8.0166175774056327</v>
      </c>
      <c r="CW96" s="135">
        <v>15.85407835712998</v>
      </c>
      <c r="CX96" s="135">
        <v>32.441870139071014</v>
      </c>
      <c r="CY96" s="135">
        <v>33.857526665680972</v>
      </c>
      <c r="CZ96" s="135">
        <v>6.6895390553450405</v>
      </c>
      <c r="DA96" s="135">
        <v>9.2415306743587955</v>
      </c>
      <c r="DB96" s="135">
        <v>8.5313615263313061</v>
      </c>
      <c r="DC96" s="135">
        <v>14.889118836453068</v>
      </c>
      <c r="DD96" s="135">
        <v>14.103521396886361</v>
      </c>
      <c r="DE96" s="135">
        <v>4.6289462865151565</v>
      </c>
      <c r="DF96" s="135">
        <v>8.5301539036151972</v>
      </c>
      <c r="DG96" s="135">
        <v>25.578451576553704</v>
      </c>
      <c r="DH96" s="135">
        <v>28.68929661138738</v>
      </c>
      <c r="DI96" s="135">
        <v>7.7037656538958306</v>
      </c>
      <c r="DJ96" s="66">
        <f t="shared" si="89"/>
        <v>0</v>
      </c>
      <c r="DK96" s="67">
        <f t="shared" si="90"/>
        <v>18.548970131630355</v>
      </c>
      <c r="DL96" s="67">
        <f t="shared" si="91"/>
        <v>6.6796692696030542</v>
      </c>
      <c r="DM96" s="67">
        <f t="shared" si="92"/>
        <v>2.6770959759006967</v>
      </c>
      <c r="DN96" s="67">
        <f t="shared" si="93"/>
        <v>0</v>
      </c>
      <c r="DO96" s="67">
        <f t="shared" si="94"/>
        <v>5.8285032313020757</v>
      </c>
      <c r="DP96" s="67">
        <f t="shared" si="95"/>
        <v>0</v>
      </c>
      <c r="DQ96" s="67">
        <f t="shared" si="96"/>
        <v>0</v>
      </c>
      <c r="DR96" s="67">
        <f t="shared" si="97"/>
        <v>0</v>
      </c>
      <c r="DS96" s="67">
        <f t="shared" si="98"/>
        <v>0</v>
      </c>
      <c r="DT96" s="67">
        <f t="shared" si="99"/>
        <v>0</v>
      </c>
      <c r="DU96" s="67">
        <f t="shared" si="100"/>
        <v>0</v>
      </c>
      <c r="DV96" s="67">
        <f t="shared" si="101"/>
        <v>0</v>
      </c>
      <c r="DW96" s="67">
        <f t="shared" si="102"/>
        <v>0</v>
      </c>
      <c r="DX96" s="67">
        <f t="shared" si="103"/>
        <v>15.421029836223312</v>
      </c>
    </row>
    <row r="97" spans="1:128" s="28" customFormat="1">
      <c r="A97" s="33" t="s">
        <v>76</v>
      </c>
      <c r="B97" s="205" t="s">
        <v>5559</v>
      </c>
      <c r="C97" t="str">
        <f>IF(VLOOKUP($A97,'B-Ligands'!$A:$G,5,FALSE)="","",VLOOKUP($A97,'B-Ligands'!$A:$G,5,FALSE))</f>
        <v>Guide To Pharmacology</v>
      </c>
      <c r="D97" s="19">
        <f>IF(VLOOKUP($A97,'B-Ligands'!$A:$G,6,FALSE)="","",VLOOKUP($A97,'B-Ligands'!$A:$G,6,FALSE))</f>
        <v>4358</v>
      </c>
      <c r="E97" t="str">
        <f>IF(VLOOKUP($A97,'B-Ligands'!$A:$G,7,FALSE)="","",VLOOKUP($A97,'B-Ligands'!$A:$G,7,FALSE))</f>
        <v>Phys</v>
      </c>
      <c r="F97" s="20" t="str">
        <f t="shared" si="145"/>
        <v/>
      </c>
      <c r="G97" s="19">
        <f t="shared" si="146"/>
        <v>1</v>
      </c>
      <c r="H97" s="19" t="str">
        <f t="shared" si="147"/>
        <v/>
      </c>
      <c r="I97" s="19" t="str">
        <f t="shared" si="148"/>
        <v/>
      </c>
      <c r="J97" s="189">
        <f t="shared" si="104"/>
        <v>1</v>
      </c>
      <c r="K97" s="147" t="str">
        <f t="shared" si="105"/>
        <v>Gi/o</v>
      </c>
      <c r="L97" s="20">
        <f t="shared" si="106"/>
        <v>0</v>
      </c>
      <c r="M97" s="19">
        <f t="shared" si="107"/>
        <v>1</v>
      </c>
      <c r="N97" s="19">
        <f t="shared" si="108"/>
        <v>0</v>
      </c>
      <c r="O97" s="19">
        <f t="shared" si="109"/>
        <v>0</v>
      </c>
      <c r="P97" s="20">
        <f t="shared" si="110"/>
        <v>0</v>
      </c>
      <c r="Q97" s="19">
        <f t="shared" si="111"/>
        <v>100</v>
      </c>
      <c r="R97" s="19">
        <f t="shared" si="112"/>
        <v>0</v>
      </c>
      <c r="S97" s="19">
        <f t="shared" si="113"/>
        <v>0</v>
      </c>
      <c r="T97" s="20">
        <f t="shared" si="114"/>
        <v>0</v>
      </c>
      <c r="U97" s="21">
        <f t="shared" si="115"/>
        <v>8.4970088071418495</v>
      </c>
      <c r="V97" s="21">
        <f t="shared" si="116"/>
        <v>0</v>
      </c>
      <c r="W97" s="21">
        <f t="shared" si="117"/>
        <v>0</v>
      </c>
      <c r="X97" s="147" t="str">
        <f t="shared" si="118"/>
        <v>Gi2</v>
      </c>
      <c r="Y97" s="32">
        <f t="shared" si="119"/>
        <v>0</v>
      </c>
      <c r="Z97" s="31">
        <f t="shared" si="120"/>
        <v>97.495692352893457</v>
      </c>
      <c r="AA97" s="31">
        <f t="shared" si="121"/>
        <v>100</v>
      </c>
      <c r="AB97" s="31">
        <f t="shared" si="122"/>
        <v>92.295685276824543</v>
      </c>
      <c r="AC97" s="31">
        <f t="shared" si="123"/>
        <v>94.775699430944456</v>
      </c>
      <c r="AD97" s="31">
        <f t="shared" si="124"/>
        <v>88.088282887600698</v>
      </c>
      <c r="AE97" s="31">
        <f t="shared" si="125"/>
        <v>0</v>
      </c>
      <c r="AF97" s="31">
        <f t="shared" si="126"/>
        <v>0</v>
      </c>
      <c r="AG97" s="31">
        <f t="shared" si="127"/>
        <v>0</v>
      </c>
      <c r="AH97" s="31">
        <f t="shared" si="128"/>
        <v>0</v>
      </c>
      <c r="AI97" s="31">
        <f t="shared" si="129"/>
        <v>0</v>
      </c>
      <c r="AJ97" s="31">
        <f t="shared" si="130"/>
        <v>0</v>
      </c>
      <c r="AK97" s="7" cm="1">
        <f t="array" ref="AK97">_xlfn.IFS(AZ97=0,0,AZ97&gt;0,(LOG(0.01*AZ97/10^-CD97)))</f>
        <v>0</v>
      </c>
      <c r="AL97" s="8" cm="1">
        <f t="array" ref="AL97">_xlfn.IFS(BA97=0,0,BA97&gt;0,(LOG(0.01*BA97/10^-CE97)))</f>
        <v>8.2842175658092803</v>
      </c>
      <c r="AM97" s="8" cm="1">
        <f t="array" ref="AM97">_xlfn.IFS(BB97=0,0,BB97&gt;0,(LOG(0.01*BB97/10^-CF97)))</f>
        <v>8.4970088071418495</v>
      </c>
      <c r="AN97" s="8" cm="1">
        <f t="array" ref="AN97">_xlfn.IFS(BC97=0,0,BC97&gt;0,(LOG(0.01*BC97/10^-CG97)))</f>
        <v>7.8423725065837049</v>
      </c>
      <c r="AO97" s="8" cm="1">
        <f t="array" ref="AO97">_xlfn.IFS(BD97=0,0,BD97&gt;0,(LOG(0.01*BD97/10^-CH97)))</f>
        <v>8.053099527677638</v>
      </c>
      <c r="AP97" s="8" cm="1">
        <f t="array" ref="AP97">_xlfn.IFS(BE97=0,0,BE97&gt;0,(LOG(0.01*BE97/10^-CI97)))</f>
        <v>7.4848691550194584</v>
      </c>
      <c r="AQ97" s="8" cm="1">
        <f t="array" ref="AQ97">_xlfn.IFS(BF97=0,0,BF97&gt;0,(LOG(0.01*BF97/10^-CJ97)))</f>
        <v>0</v>
      </c>
      <c r="AR97" s="8" cm="1">
        <f t="array" ref="AR97">_xlfn.IFS(BG97=0,0,BG97&gt;0,(LOG(0.01*BG97/10^-CK97)))</f>
        <v>0</v>
      </c>
      <c r="AS97" s="8" cm="1">
        <f t="array" ref="AS97">_xlfn.IFS(BH97=0,0,BH97&gt;0,(LOG(0.01*BH97/10^-CL97)))</f>
        <v>0</v>
      </c>
      <c r="AT97" s="8" cm="1">
        <f t="array" ref="AT97">_xlfn.IFS(BI97=0,0,BI97&gt;0,(LOG(0.01*BI97/10^-CM97)))</f>
        <v>0</v>
      </c>
      <c r="AU97" s="8" cm="1">
        <f t="array" ref="AU97">_xlfn.IFS(BJ97=0,0,BJ97&gt;0,(LOG(0.01*BJ97/10^-CN97)))</f>
        <v>0</v>
      </c>
      <c r="AV97" s="8" cm="1">
        <f t="array" ref="AV97">_xlfn.IFS(BK97=0,0,BK97&gt;0,(LOG(0.01*BK97/10^-CO97)))</f>
        <v>0</v>
      </c>
      <c r="AW97" s="8" cm="1">
        <f t="array" ref="AW97">_xlfn.IFS(BL97=0,0,BL97&gt;0,(LOG(0.01*BL97/10^-CP97)))</f>
        <v>6.4392212078438957</v>
      </c>
      <c r="AX97" s="8" cm="1">
        <f t="array" ref="AX97">_xlfn.IFS(BM97=0,0,BM97&gt;0,(LOG(0.01*BM97/10^-CQ97)))</f>
        <v>4.7967105723913184</v>
      </c>
      <c r="AY97" s="8" cm="1">
        <f t="array" ref="AY97">_xlfn.IFS(BN97=0,0,BN97&gt;0,(LOG(0.01*BN97/10^-CR97)))</f>
        <v>5.7643190386320251</v>
      </c>
      <c r="AZ97" s="32">
        <f t="shared" si="88"/>
        <v>0</v>
      </c>
      <c r="BA97" s="31">
        <f t="shared" si="131"/>
        <v>38.125677139761649</v>
      </c>
      <c r="BB97" s="31">
        <f t="shared" si="132"/>
        <v>21.928494041170097</v>
      </c>
      <c r="BC97" s="31">
        <f t="shared" si="133"/>
        <v>15.113759479956663</v>
      </c>
      <c r="BD97" s="31">
        <f t="shared" si="134"/>
        <v>20.801733477789817</v>
      </c>
      <c r="BE97" s="31">
        <f t="shared" si="135"/>
        <v>12.643553629469123</v>
      </c>
      <c r="BF97" s="31">
        <f t="shared" si="136"/>
        <v>0</v>
      </c>
      <c r="BG97" s="31">
        <f t="shared" si="137"/>
        <v>0</v>
      </c>
      <c r="BH97" s="31">
        <f t="shared" si="138"/>
        <v>0</v>
      </c>
      <c r="BI97" s="31">
        <f t="shared" si="139"/>
        <v>0</v>
      </c>
      <c r="BJ97" s="31">
        <f t="shared" si="140"/>
        <v>0</v>
      </c>
      <c r="BK97" s="31">
        <f t="shared" si="141"/>
        <v>0</v>
      </c>
      <c r="BL97" s="31">
        <f t="shared" si="142"/>
        <v>0.99362202081235318</v>
      </c>
      <c r="BM97" s="31">
        <f t="shared" si="143"/>
        <v>2.2735817388385362</v>
      </c>
      <c r="BN97" s="31">
        <f t="shared" si="144"/>
        <v>3.1211816045652903</v>
      </c>
      <c r="BO97" s="134"/>
      <c r="BP97" s="135">
        <v>351.9</v>
      </c>
      <c r="BQ97" s="135">
        <v>202.4</v>
      </c>
      <c r="BR97" s="135">
        <v>139.5</v>
      </c>
      <c r="BS97" s="135">
        <v>192</v>
      </c>
      <c r="BT97" s="135">
        <v>116.7</v>
      </c>
      <c r="BU97" s="135"/>
      <c r="BV97" s="135"/>
      <c r="BW97" s="135"/>
      <c r="BX97" s="135"/>
      <c r="BY97" s="135"/>
      <c r="BZ97" s="135"/>
      <c r="CA97" s="135">
        <v>29.6</v>
      </c>
      <c r="CB97" s="176">
        <v>67.73</v>
      </c>
      <c r="CC97" s="176">
        <v>92.98</v>
      </c>
      <c r="CD97" s="30"/>
      <c r="CE97" s="29">
        <v>8.7029999999999994</v>
      </c>
      <c r="CF97" s="29">
        <v>9.1560000000000006</v>
      </c>
      <c r="CG97" s="29">
        <v>8.6630000000000003</v>
      </c>
      <c r="CH97" s="29">
        <v>8.7349999999999994</v>
      </c>
      <c r="CI97" s="29">
        <v>8.3829999999999991</v>
      </c>
      <c r="CJ97" s="29"/>
      <c r="CK97" s="29"/>
      <c r="CL97" s="29"/>
      <c r="CM97" s="29"/>
      <c r="CN97" s="29"/>
      <c r="CO97" s="29"/>
      <c r="CP97" s="29">
        <v>8.4420000000000002</v>
      </c>
      <c r="CQ97" s="39">
        <v>6.44</v>
      </c>
      <c r="CR97" s="39">
        <v>7.27</v>
      </c>
      <c r="CS97" s="168" t="str">
        <f>IF(VLOOKUP($A97,'B-Ligands'!$A:$G,3,FALSE)="","",VLOOKUP($A97,'B-Ligands'!$A:$G,3,FALSE))</f>
        <v>CXCL12</v>
      </c>
      <c r="CT97" s="169" t="str">
        <f>IF(VLOOKUP($A97,'B-Ligands'!$A:$G,4,FALSE)="","",VLOOKUP($A97,'B-Ligands'!$A:$G,4,FALSE))</f>
        <v>Stromal cell-derived factor</v>
      </c>
      <c r="CU97" s="134">
        <v>14.237232109459157</v>
      </c>
      <c r="CV97" s="135">
        <v>11.793970954053261</v>
      </c>
      <c r="CW97" s="135">
        <v>14.004069700785481</v>
      </c>
      <c r="CX97" s="135">
        <v>33.174223954866285</v>
      </c>
      <c r="CY97" s="135">
        <v>33.355034612498301</v>
      </c>
      <c r="CZ97" s="135">
        <v>26.701420197437752</v>
      </c>
      <c r="DA97" s="135">
        <v>4.5475412537220841</v>
      </c>
      <c r="DB97" s="135">
        <v>4.3538062727199227</v>
      </c>
      <c r="DC97" s="135">
        <v>12.665953352356414</v>
      </c>
      <c r="DD97" s="135">
        <v>8.5567299087345035</v>
      </c>
      <c r="DE97" s="135">
        <v>4.9340855309524398</v>
      </c>
      <c r="DF97" s="135">
        <v>1.7247644284744599</v>
      </c>
      <c r="DG97" s="135">
        <v>3.0688579124838231</v>
      </c>
      <c r="DH97" s="135">
        <v>5.3021675603785123</v>
      </c>
      <c r="DI97" s="135">
        <v>17.792877332614037</v>
      </c>
      <c r="DJ97" s="66">
        <f t="shared" si="89"/>
        <v>0</v>
      </c>
      <c r="DK97" s="67">
        <f t="shared" si="90"/>
        <v>29.837278841106667</v>
      </c>
      <c r="DL97" s="67">
        <f t="shared" si="91"/>
        <v>14.45294148947627</v>
      </c>
      <c r="DM97" s="67">
        <f t="shared" si="92"/>
        <v>4.2050719917304029</v>
      </c>
      <c r="DN97" s="67">
        <f t="shared" si="93"/>
        <v>5.7562524587534565</v>
      </c>
      <c r="DO97" s="67">
        <f t="shared" si="94"/>
        <v>4.3705540430841374</v>
      </c>
      <c r="DP97" s="67">
        <f t="shared" si="95"/>
        <v>0</v>
      </c>
      <c r="DQ97" s="67">
        <f t="shared" si="96"/>
        <v>0</v>
      </c>
      <c r="DR97" s="67">
        <f t="shared" si="97"/>
        <v>0</v>
      </c>
      <c r="DS97" s="67">
        <f t="shared" si="98"/>
        <v>0</v>
      </c>
      <c r="DT97" s="67">
        <f t="shared" si="99"/>
        <v>0</v>
      </c>
      <c r="DU97" s="67">
        <f t="shared" si="100"/>
        <v>0</v>
      </c>
      <c r="DV97" s="67">
        <f t="shared" si="101"/>
        <v>9.6452820052665214</v>
      </c>
      <c r="DW97" s="67">
        <f t="shared" si="102"/>
        <v>12.774021044926178</v>
      </c>
      <c r="DX97" s="67">
        <f t="shared" si="103"/>
        <v>5.2256865633288703</v>
      </c>
    </row>
    <row r="98" spans="1:128" s="28" customFormat="1">
      <c r="A98" s="33" t="s">
        <v>17</v>
      </c>
      <c r="B98" s="205" t="s">
        <v>5559</v>
      </c>
      <c r="C98" t="str">
        <f>IF(VLOOKUP($A98,'B-Ligands'!$A:$G,5,FALSE)="","",VLOOKUP($A98,'B-Ligands'!$A:$G,5,FALSE))</f>
        <v>Guide To Pharmacology</v>
      </c>
      <c r="D98" s="19">
        <f>IF(VLOOKUP($A98,'B-Ligands'!$A:$G,6,FALSE)="","",VLOOKUP($A98,'B-Ligands'!$A:$G,6,FALSE))</f>
        <v>5</v>
      </c>
      <c r="E98" t="str">
        <f>IF(VLOOKUP($A98,'B-Ligands'!$A:$G,7,FALSE)="","",VLOOKUP($A98,'B-Ligands'!$A:$G,7,FALSE))</f>
        <v>Phys</v>
      </c>
      <c r="F98" s="20" t="str">
        <f t="shared" si="145"/>
        <v/>
      </c>
      <c r="G98" s="19">
        <f t="shared" si="146"/>
        <v>1</v>
      </c>
      <c r="H98" s="19" t="str">
        <f t="shared" si="147"/>
        <v/>
      </c>
      <c r="I98" s="19" t="str">
        <f t="shared" si="148"/>
        <v/>
      </c>
      <c r="J98" s="189">
        <f t="shared" si="104"/>
        <v>1</v>
      </c>
      <c r="K98" s="147" t="str">
        <f t="shared" si="105"/>
        <v>Gi/o</v>
      </c>
      <c r="L98" s="20">
        <f t="shared" si="106"/>
        <v>0</v>
      </c>
      <c r="M98" s="19">
        <f t="shared" si="107"/>
        <v>1</v>
      </c>
      <c r="N98" s="19">
        <f t="shared" si="108"/>
        <v>0</v>
      </c>
      <c r="O98" s="19">
        <f t="shared" si="109"/>
        <v>0</v>
      </c>
      <c r="P98" s="20">
        <f t="shared" si="110"/>
        <v>0</v>
      </c>
      <c r="Q98" s="19">
        <f t="shared" si="111"/>
        <v>100</v>
      </c>
      <c r="R98" s="19">
        <f t="shared" si="112"/>
        <v>0</v>
      </c>
      <c r="S98" s="19">
        <f t="shared" si="113"/>
        <v>0</v>
      </c>
      <c r="T98" s="20">
        <f t="shared" si="114"/>
        <v>0</v>
      </c>
      <c r="U98" s="21">
        <f t="shared" si="115"/>
        <v>8.6095543898758624</v>
      </c>
      <c r="V98" s="21">
        <f t="shared" si="116"/>
        <v>0</v>
      </c>
      <c r="W98" s="21">
        <f t="shared" si="117"/>
        <v>0</v>
      </c>
      <c r="X98" s="147" t="str">
        <f t="shared" si="118"/>
        <v>Gi1</v>
      </c>
      <c r="Y98" s="32">
        <f t="shared" si="119"/>
        <v>0</v>
      </c>
      <c r="Z98" s="31">
        <f t="shared" si="120"/>
        <v>100</v>
      </c>
      <c r="AA98" s="31">
        <f t="shared" si="121"/>
        <v>99.910236804414794</v>
      </c>
      <c r="AB98" s="31">
        <f t="shared" si="122"/>
        <v>94.198603280867786</v>
      </c>
      <c r="AC98" s="31">
        <f t="shared" si="123"/>
        <v>93.965613657341393</v>
      </c>
      <c r="AD98" s="31">
        <f t="shared" si="124"/>
        <v>43.109322680822629</v>
      </c>
      <c r="AE98" s="31">
        <f t="shared" si="125"/>
        <v>0</v>
      </c>
      <c r="AF98" s="31">
        <f t="shared" si="126"/>
        <v>0</v>
      </c>
      <c r="AG98" s="31">
        <f t="shared" si="127"/>
        <v>0</v>
      </c>
      <c r="AH98" s="31">
        <f t="shared" si="128"/>
        <v>0</v>
      </c>
      <c r="AI98" s="31">
        <f t="shared" si="129"/>
        <v>0</v>
      </c>
      <c r="AJ98" s="31">
        <f t="shared" si="130"/>
        <v>0</v>
      </c>
      <c r="AK98" s="7" cm="1">
        <f t="array" ref="AK98">_xlfn.IFS(AZ98=0,0,AZ98&gt;0,(LOG(0.01*AZ98/10^-CD98)))</f>
        <v>0</v>
      </c>
      <c r="AL98" s="8" cm="1">
        <f t="array" ref="AL98">_xlfn.IFS(BA98=0,0,BA98&gt;0,(LOG(0.01*BA98/10^-CE98)))</f>
        <v>8.6095543898758624</v>
      </c>
      <c r="AM98" s="8" cm="1">
        <f t="array" ref="AM98">_xlfn.IFS(BB98=0,0,BB98&gt;0,(LOG(0.01*BB98/10^-CF98)))</f>
        <v>8.6018261787298638</v>
      </c>
      <c r="AN98" s="8" cm="1">
        <f t="array" ref="AN98">_xlfn.IFS(BC98=0,0,BC98&gt;0,(LOG(0.01*BC98/10^-CG98)))</f>
        <v>8.1100799839697011</v>
      </c>
      <c r="AO98" s="8" cm="1">
        <f t="array" ref="AO98">_xlfn.IFS(BD98=0,0,BD98&gt;0,(LOG(0.01*BD98/10^-CH98)))</f>
        <v>8.0900206156094292</v>
      </c>
      <c r="AP98" s="8" cm="1">
        <f t="array" ref="AP98">_xlfn.IFS(BE98=0,0,BE98&gt;0,(LOG(0.01*BE98/10^-CI98)))</f>
        <v>3.7115205833125153</v>
      </c>
      <c r="AQ98" s="8" cm="1">
        <f t="array" ref="AQ98">_xlfn.IFS(BF98=0,0,BF98&gt;0,(LOG(0.01*BF98/10^-CJ98)))</f>
        <v>0</v>
      </c>
      <c r="AR98" s="8" cm="1">
        <f t="array" ref="AR98">_xlfn.IFS(BG98=0,0,BG98&gt;0,(LOG(0.01*BG98/10^-CK98)))</f>
        <v>0</v>
      </c>
      <c r="AS98" s="8" cm="1">
        <f t="array" ref="AS98">_xlfn.IFS(BH98=0,0,BH98&gt;0,(LOG(0.01*BH98/10^-CL98)))</f>
        <v>0</v>
      </c>
      <c r="AT98" s="8" cm="1">
        <f t="array" ref="AT98">_xlfn.IFS(BI98=0,0,BI98&gt;0,(LOG(0.01*BI98/10^-CM98)))</f>
        <v>0</v>
      </c>
      <c r="AU98" s="8" cm="1">
        <f t="array" ref="AU98">_xlfn.IFS(BJ98=0,0,BJ98&gt;0,(LOG(0.01*BJ98/10^-CN98)))</f>
        <v>0</v>
      </c>
      <c r="AV98" s="8" cm="1">
        <f t="array" ref="AV98">_xlfn.IFS(BK98=0,0,BK98&gt;0,(LOG(0.01*BK98/10^-CO98)))</f>
        <v>0</v>
      </c>
      <c r="AW98" s="8" cm="1">
        <f t="array" ref="AW98">_xlfn.IFS(BL98=0,0,BL98&gt;0,(LOG(0.01*BL98/10^-CP98)))</f>
        <v>0</v>
      </c>
      <c r="AX98" s="8" cm="1">
        <f t="array" ref="AX98">_xlfn.IFS(BM98=0,0,BM98&gt;0,(LOG(0.01*BM98/10^-CQ98)))</f>
        <v>0</v>
      </c>
      <c r="AY98" s="8" cm="1">
        <f t="array" ref="AY98">_xlfn.IFS(BN98=0,0,BN98&gt;0,(LOG(0.01*BN98/10^-CR98)))</f>
        <v>0</v>
      </c>
      <c r="AZ98" s="32">
        <f t="shared" si="88"/>
        <v>0</v>
      </c>
      <c r="BA98" s="31">
        <f t="shared" si="131"/>
        <v>9.8981581798483216</v>
      </c>
      <c r="BB98" s="31">
        <f t="shared" si="132"/>
        <v>11.798483206933911</v>
      </c>
      <c r="BC98" s="31">
        <f t="shared" si="133"/>
        <v>7.9447453954496208</v>
      </c>
      <c r="BD98" s="31">
        <f t="shared" si="134"/>
        <v>9.5503791982665227</v>
      </c>
      <c r="BE98" s="31">
        <f t="shared" si="135"/>
        <v>14.57204767063922</v>
      </c>
      <c r="BF98" s="31">
        <f t="shared" si="136"/>
        <v>0</v>
      </c>
      <c r="BG98" s="31">
        <f t="shared" si="137"/>
        <v>0</v>
      </c>
      <c r="BH98" s="31">
        <f t="shared" si="138"/>
        <v>0</v>
      </c>
      <c r="BI98" s="31">
        <f t="shared" si="139"/>
        <v>0</v>
      </c>
      <c r="BJ98" s="31">
        <f t="shared" si="140"/>
        <v>0</v>
      </c>
      <c r="BK98" s="31">
        <f t="shared" si="141"/>
        <v>0</v>
      </c>
      <c r="BL98" s="31">
        <f t="shared" si="142"/>
        <v>0</v>
      </c>
      <c r="BM98" s="31">
        <f t="shared" si="143"/>
        <v>0</v>
      </c>
      <c r="BN98" s="31">
        <f t="shared" si="144"/>
        <v>0</v>
      </c>
      <c r="BO98" s="170"/>
      <c r="BP98" s="133">
        <v>91.36</v>
      </c>
      <c r="BQ98" s="133">
        <v>108.9</v>
      </c>
      <c r="BR98" s="133">
        <v>73.33</v>
      </c>
      <c r="BS98" s="133">
        <v>88.15</v>
      </c>
      <c r="BT98" s="176">
        <v>134.5</v>
      </c>
      <c r="BU98" s="174"/>
      <c r="BV98" s="174"/>
      <c r="BW98" s="133"/>
      <c r="BX98" s="133"/>
      <c r="BY98" s="174"/>
      <c r="BZ98" s="174"/>
      <c r="CA98" s="174"/>
      <c r="CB98" s="133"/>
      <c r="CC98" s="133"/>
      <c r="CD98" s="36"/>
      <c r="CE98" s="34">
        <v>9.6140000000000008</v>
      </c>
      <c r="CF98" s="34">
        <v>9.5299999999999994</v>
      </c>
      <c r="CG98" s="34">
        <v>9.2100000000000009</v>
      </c>
      <c r="CH98" s="34">
        <v>9.11</v>
      </c>
      <c r="CI98" s="39">
        <v>4.548</v>
      </c>
      <c r="CJ98" s="34"/>
      <c r="CK98" s="34"/>
      <c r="CL98" s="34"/>
      <c r="CM98" s="34"/>
      <c r="CN98" s="34"/>
      <c r="CO98" s="34"/>
      <c r="CP98" s="34"/>
      <c r="CQ98" s="34"/>
      <c r="CR98" s="34"/>
      <c r="CS98" s="168" t="str">
        <f>IF(VLOOKUP($A98,'B-Ligands'!$A:$G,3,FALSE)="","",VLOOKUP($A98,'B-Ligands'!$A:$G,3,FALSE))</f>
        <v/>
      </c>
      <c r="CT98" s="169" t="str">
        <f>IF(VLOOKUP($A98,'B-Ligands'!$A:$G,4,FALSE)="","",VLOOKUP($A98,'B-Ligands'!$A:$G,4,FALSE))</f>
        <v>Serotonin</v>
      </c>
      <c r="CU98" s="132">
        <v>9.4073894528169291</v>
      </c>
      <c r="CV98" s="133">
        <v>37.953434987069755</v>
      </c>
      <c r="CW98" s="133">
        <v>9.1365572772557826</v>
      </c>
      <c r="CX98" s="133">
        <v>20.405446342999305</v>
      </c>
      <c r="CY98" s="133">
        <v>17.37347842626702</v>
      </c>
      <c r="CZ98" s="133">
        <v>35.664656280447552</v>
      </c>
      <c r="DA98" s="133">
        <v>8.2941554339971137</v>
      </c>
      <c r="DB98" s="133">
        <v>5.7190348708368788</v>
      </c>
      <c r="DC98" s="133">
        <v>5.222151769542327</v>
      </c>
      <c r="DD98" s="133">
        <v>11.514710651359506</v>
      </c>
      <c r="DE98" s="133">
        <v>6.7565204387735438</v>
      </c>
      <c r="DF98" s="133">
        <v>15.662567997008189</v>
      </c>
      <c r="DG98" s="133">
        <v>17.329867561980365</v>
      </c>
      <c r="DH98" s="133">
        <v>5.1771416509338248</v>
      </c>
      <c r="DI98" s="133">
        <v>5.4598959395217941</v>
      </c>
      <c r="DJ98" s="66">
        <f t="shared" si="89"/>
        <v>0</v>
      </c>
      <c r="DK98" s="67">
        <f t="shared" si="90"/>
        <v>2.4071602486342849</v>
      </c>
      <c r="DL98" s="67">
        <f t="shared" si="91"/>
        <v>11.91915036433819</v>
      </c>
      <c r="DM98" s="67">
        <f t="shared" si="92"/>
        <v>3.593648419514138</v>
      </c>
      <c r="DN98" s="67">
        <f t="shared" si="93"/>
        <v>5.073825623009709</v>
      </c>
      <c r="DO98" s="67">
        <f t="shared" si="94"/>
        <v>3.7712406070134197</v>
      </c>
      <c r="DP98" s="67">
        <f t="shared" si="95"/>
        <v>0</v>
      </c>
      <c r="DQ98" s="67">
        <f t="shared" si="96"/>
        <v>0</v>
      </c>
      <c r="DR98" s="67">
        <f t="shared" si="97"/>
        <v>0</v>
      </c>
      <c r="DS98" s="67">
        <f t="shared" si="98"/>
        <v>0</v>
      </c>
      <c r="DT98" s="67">
        <f t="shared" si="99"/>
        <v>0</v>
      </c>
      <c r="DU98" s="67">
        <f t="shared" si="100"/>
        <v>0</v>
      </c>
      <c r="DV98" s="67">
        <f t="shared" si="101"/>
        <v>0</v>
      </c>
      <c r="DW98" s="67">
        <f t="shared" si="102"/>
        <v>0</v>
      </c>
      <c r="DX98" s="67">
        <f t="shared" si="103"/>
        <v>0</v>
      </c>
    </row>
    <row r="99" spans="1:128" s="28" customFormat="1">
      <c r="A99" s="33" t="s">
        <v>102</v>
      </c>
      <c r="B99" s="205" t="s">
        <v>5559</v>
      </c>
      <c r="C99" t="str">
        <f>IF(VLOOKUP($A99,'B-Ligands'!$A:$G,5,FALSE)="","",VLOOKUP($A99,'B-Ligands'!$A:$G,5,FALSE))</f>
        <v>Guide To Pharmacology</v>
      </c>
      <c r="D99" s="19">
        <f>IF(VLOOKUP($A99,'B-Ligands'!$A:$G,6,FALSE)="","",VLOOKUP($A99,'B-Ligands'!$A:$G,6,FALSE))</f>
        <v>2346</v>
      </c>
      <c r="E99" t="str">
        <f>IF(VLOOKUP($A99,'B-Ligands'!$A:$G,7,FALSE)="","",VLOOKUP($A99,'B-Ligands'!$A:$G,7,FALSE))</f>
        <v>Phys</v>
      </c>
      <c r="F99" s="20">
        <f t="shared" si="145"/>
        <v>1</v>
      </c>
      <c r="G99" s="19">
        <f t="shared" si="146"/>
        <v>1</v>
      </c>
      <c r="H99" s="19" t="str">
        <f t="shared" si="147"/>
        <v/>
      </c>
      <c r="I99" s="19">
        <f t="shared" si="148"/>
        <v>1</v>
      </c>
      <c r="J99" s="189">
        <f t="shared" si="104"/>
        <v>3</v>
      </c>
      <c r="K99" s="147" t="str">
        <f t="shared" si="105"/>
        <v>G12/13</v>
      </c>
      <c r="L99" s="20">
        <f t="shared" si="106"/>
        <v>2</v>
      </c>
      <c r="M99" s="19">
        <f t="shared" si="107"/>
        <v>3</v>
      </c>
      <c r="N99" s="19">
        <f t="shared" si="108"/>
        <v>0</v>
      </c>
      <c r="O99" s="19">
        <f t="shared" si="109"/>
        <v>1</v>
      </c>
      <c r="P99" s="20">
        <f t="shared" si="110"/>
        <v>94.048694433666483</v>
      </c>
      <c r="Q99" s="19">
        <f t="shared" si="111"/>
        <v>74.178513978899176</v>
      </c>
      <c r="R99" s="19">
        <f t="shared" si="112"/>
        <v>0</v>
      </c>
      <c r="S99" s="19">
        <f t="shared" si="113"/>
        <v>100</v>
      </c>
      <c r="T99" s="20">
        <f t="shared" si="114"/>
        <v>6.6921563462664739</v>
      </c>
      <c r="U99" s="21">
        <f t="shared" si="115"/>
        <v>5.2782679873417333</v>
      </c>
      <c r="V99" s="21">
        <f t="shared" si="116"/>
        <v>0</v>
      </c>
      <c r="W99" s="21">
        <f t="shared" si="117"/>
        <v>7.1156291818452848</v>
      </c>
      <c r="X99" s="147" t="str">
        <f t="shared" si="118"/>
        <v>G13</v>
      </c>
      <c r="Y99" s="32">
        <f t="shared" si="119"/>
        <v>94.048694433666483</v>
      </c>
      <c r="Z99" s="31">
        <f t="shared" si="120"/>
        <v>0</v>
      </c>
      <c r="AA99" s="31">
        <f t="shared" si="121"/>
        <v>0</v>
      </c>
      <c r="AB99" s="31">
        <f t="shared" si="122"/>
        <v>0</v>
      </c>
      <c r="AC99" s="31">
        <f t="shared" si="123"/>
        <v>74.178513978899176</v>
      </c>
      <c r="AD99" s="31">
        <f t="shared" si="124"/>
        <v>0</v>
      </c>
      <c r="AE99" s="31">
        <f t="shared" si="125"/>
        <v>0</v>
      </c>
      <c r="AF99" s="31">
        <f t="shared" si="126"/>
        <v>0</v>
      </c>
      <c r="AG99" s="31">
        <f t="shared" si="127"/>
        <v>0</v>
      </c>
      <c r="AH99" s="31">
        <f t="shared" si="128"/>
        <v>0</v>
      </c>
      <c r="AI99" s="31">
        <f t="shared" si="129"/>
        <v>0</v>
      </c>
      <c r="AJ99" s="31">
        <f t="shared" si="130"/>
        <v>100</v>
      </c>
      <c r="AK99" s="7" cm="1">
        <f t="array" ref="AK99">_xlfn.IFS(AZ99=0,0,AZ99&gt;0,(LOG(0.01*AZ99/10^-CD99)))</f>
        <v>6.6921563462664739</v>
      </c>
      <c r="AL99" s="8" cm="1">
        <f t="array" ref="AL99">_xlfn.IFS(BA99=0,0,BA99&gt;0,(LOG(0.01*BA99/10^-CE99)))</f>
        <v>0</v>
      </c>
      <c r="AM99" s="8" cm="1">
        <f t="array" ref="AM99">_xlfn.IFS(BB99=0,0,BB99&gt;0,(LOG(0.01*BB99/10^-CF99)))</f>
        <v>0</v>
      </c>
      <c r="AN99" s="8" cm="1">
        <f t="array" ref="AN99">_xlfn.IFS(BC99=0,0,BC99&gt;0,(LOG(0.01*BC99/10^-CG99)))</f>
        <v>0</v>
      </c>
      <c r="AO99" s="8" cm="1">
        <f t="array" ref="AO99">_xlfn.IFS(BD99=0,0,BD99&gt;0,(LOG(0.01*BD99/10^-CH99)))</f>
        <v>5.2782679873417333</v>
      </c>
      <c r="AP99" s="8" cm="1">
        <f t="array" ref="AP99">_xlfn.IFS(BE99=0,0,BE99&gt;0,(LOG(0.01*BE99/10^-CI99)))</f>
        <v>0</v>
      </c>
      <c r="AQ99" s="8" cm="1">
        <f t="array" ref="AQ99">_xlfn.IFS(BF99=0,0,BF99&gt;0,(LOG(0.01*BF99/10^-CJ99)))</f>
        <v>0</v>
      </c>
      <c r="AR99" s="8" cm="1">
        <f t="array" ref="AR99">_xlfn.IFS(BG99=0,0,BG99&gt;0,(LOG(0.01*BG99/10^-CK99)))</f>
        <v>0</v>
      </c>
      <c r="AS99" s="8" cm="1">
        <f t="array" ref="AS99">_xlfn.IFS(BH99=0,0,BH99&gt;0,(LOG(0.01*BH99/10^-CL99)))</f>
        <v>0</v>
      </c>
      <c r="AT99" s="8" cm="1">
        <f t="array" ref="AT99">_xlfn.IFS(BI99=0,0,BI99&gt;0,(LOG(0.01*BI99/10^-CM99)))</f>
        <v>0</v>
      </c>
      <c r="AU99" s="8" cm="1">
        <f t="array" ref="AU99">_xlfn.IFS(BJ99=0,0,BJ99&gt;0,(LOG(0.01*BJ99/10^-CN99)))</f>
        <v>0</v>
      </c>
      <c r="AV99" s="8" cm="1">
        <f t="array" ref="AV99">_xlfn.IFS(BK99=0,0,BK99&gt;0,(LOG(0.01*BK99/10^-CO99)))</f>
        <v>7.1156291818452848</v>
      </c>
      <c r="AW99" s="8" cm="1">
        <f t="array" ref="AW99">_xlfn.IFS(BL99=0,0,BL99&gt;0,(LOG(0.01*BL99/10^-CP99)))</f>
        <v>4.2625027507293503</v>
      </c>
      <c r="AX99" s="8" cm="1">
        <f t="array" ref="AX99">_xlfn.IFS(BM99=0,0,BM99&gt;0,(LOG(0.01*BM99/10^-CQ99)))</f>
        <v>4.6697072663386896</v>
      </c>
      <c r="AY99" s="8" cm="1">
        <f t="array" ref="AY99">_xlfn.IFS(BN99=0,0,BN99&gt;0,(LOG(0.01*BN99/10^-CR99)))</f>
        <v>0</v>
      </c>
      <c r="AZ99" s="32">
        <f t="shared" si="88"/>
        <v>49.448867115737904</v>
      </c>
      <c r="BA99" s="31">
        <f t="shared" si="131"/>
        <v>0</v>
      </c>
      <c r="BB99" s="31">
        <f t="shared" si="132"/>
        <v>0</v>
      </c>
      <c r="BC99" s="31">
        <f t="shared" si="133"/>
        <v>0</v>
      </c>
      <c r="BD99" s="31">
        <f t="shared" si="134"/>
        <v>9.4030335861321781</v>
      </c>
      <c r="BE99" s="31">
        <f t="shared" si="135"/>
        <v>0</v>
      </c>
      <c r="BF99" s="31">
        <f t="shared" si="136"/>
        <v>0</v>
      </c>
      <c r="BG99" s="31">
        <f t="shared" si="137"/>
        <v>0</v>
      </c>
      <c r="BH99" s="31">
        <f t="shared" si="138"/>
        <v>0</v>
      </c>
      <c r="BI99" s="31">
        <f t="shared" si="139"/>
        <v>0</v>
      </c>
      <c r="BJ99" s="31">
        <f t="shared" si="140"/>
        <v>0</v>
      </c>
      <c r="BK99" s="31">
        <f t="shared" si="141"/>
        <v>16.581704899461908</v>
      </c>
      <c r="BL99" s="31">
        <f t="shared" si="142"/>
        <v>1.9342061094326954</v>
      </c>
      <c r="BM99" s="31">
        <f t="shared" si="143"/>
        <v>2.3105068815038603</v>
      </c>
      <c r="BN99" s="31">
        <f t="shared" si="144"/>
        <v>0</v>
      </c>
      <c r="BO99" s="134">
        <v>32.299999999999997</v>
      </c>
      <c r="BP99" s="135"/>
      <c r="BQ99" s="135"/>
      <c r="BR99" s="135"/>
      <c r="BS99" s="135">
        <v>86.79</v>
      </c>
      <c r="BT99" s="173"/>
      <c r="BU99" s="135"/>
      <c r="BV99" s="135"/>
      <c r="BW99" s="135"/>
      <c r="BX99" s="135"/>
      <c r="BY99" s="135"/>
      <c r="BZ99" s="135">
        <v>117.1</v>
      </c>
      <c r="CA99" s="135">
        <v>57.62</v>
      </c>
      <c r="CB99" s="135">
        <v>68.83</v>
      </c>
      <c r="CC99" s="173"/>
      <c r="CD99" s="30">
        <v>6.9980000000000002</v>
      </c>
      <c r="CE99" s="29"/>
      <c r="CF99" s="29"/>
      <c r="CG99" s="29"/>
      <c r="CH99" s="29">
        <v>6.3049999999999997</v>
      </c>
      <c r="CI99" s="37"/>
      <c r="CJ99" s="29"/>
      <c r="CK99" s="29"/>
      <c r="CL99" s="29"/>
      <c r="CM99" s="29"/>
      <c r="CN99" s="29"/>
      <c r="CO99" s="29">
        <v>7.8959999999999999</v>
      </c>
      <c r="CP99" s="29">
        <v>5.976</v>
      </c>
      <c r="CQ99" s="29">
        <v>6.306</v>
      </c>
      <c r="CR99" s="37"/>
      <c r="CS99" s="168" t="str">
        <f>IF(VLOOKUP($A99,'B-Ligands'!$A:$G,3,FALSE)="","",VLOOKUP($A99,'B-Ligands'!$A:$G,3,FALSE))</f>
        <v/>
      </c>
      <c r="CT99" s="169" t="str">
        <f>IF(VLOOKUP($A99,'B-Ligands'!$A:$G,4,FALSE)="","",VLOOKUP($A99,'B-Ligands'!$A:$G,4,FALSE))</f>
        <v>pH (proton)</v>
      </c>
      <c r="CU99" s="134">
        <v>9.448258995989157</v>
      </c>
      <c r="CV99" s="135">
        <v>14.507999213248752</v>
      </c>
      <c r="CW99" s="135">
        <v>23.877755045154533</v>
      </c>
      <c r="CX99" s="135">
        <v>21.486262793616348</v>
      </c>
      <c r="CY99" s="135">
        <v>5.4131600918494254</v>
      </c>
      <c r="CZ99" s="135">
        <v>8.4076019263569695</v>
      </c>
      <c r="DA99" s="135">
        <v>22.437029394263654</v>
      </c>
      <c r="DB99" s="135">
        <v>14.093858851625425</v>
      </c>
      <c r="DC99" s="135">
        <v>16.079995855789733</v>
      </c>
      <c r="DD99" s="135">
        <v>12.621107752147328</v>
      </c>
      <c r="DE99" s="135">
        <v>10.685358714716713</v>
      </c>
      <c r="DF99" s="135">
        <v>4.8039058136836523</v>
      </c>
      <c r="DG99" s="135">
        <v>22.590174537216456</v>
      </c>
      <c r="DH99" s="135">
        <v>3.6902362451215875</v>
      </c>
      <c r="DI99" s="135">
        <v>22.745251668815044</v>
      </c>
      <c r="DJ99" s="66">
        <f t="shared" si="89"/>
        <v>3.4186192412497944</v>
      </c>
      <c r="DK99" s="67">
        <f t="shared" si="90"/>
        <v>0</v>
      </c>
      <c r="DL99" s="67">
        <f t="shared" si="91"/>
        <v>0</v>
      </c>
      <c r="DM99" s="67">
        <f t="shared" si="92"/>
        <v>0</v>
      </c>
      <c r="DN99" s="67">
        <f t="shared" si="93"/>
        <v>16.033148572620156</v>
      </c>
      <c r="DO99" s="67">
        <f t="shared" si="94"/>
        <v>0</v>
      </c>
      <c r="DP99" s="67">
        <f t="shared" si="95"/>
        <v>0</v>
      </c>
      <c r="DQ99" s="67">
        <f t="shared" si="96"/>
        <v>0</v>
      </c>
      <c r="DR99" s="67">
        <f t="shared" si="97"/>
        <v>0</v>
      </c>
      <c r="DS99" s="67">
        <f t="shared" si="98"/>
        <v>0</v>
      </c>
      <c r="DT99" s="67">
        <f t="shared" si="99"/>
        <v>0</v>
      </c>
      <c r="DU99" s="67">
        <f t="shared" si="100"/>
        <v>24.375998310884302</v>
      </c>
      <c r="DV99" s="67">
        <f t="shared" si="101"/>
        <v>2.5506664370863197</v>
      </c>
      <c r="DW99" s="67">
        <f t="shared" si="102"/>
        <v>18.651922377867209</v>
      </c>
      <c r="DX99" s="67">
        <f t="shared" si="103"/>
        <v>0</v>
      </c>
    </row>
    <row r="100" spans="1:128" s="28" customFormat="1">
      <c r="A100" s="33" t="s">
        <v>168</v>
      </c>
      <c r="B100" s="205" t="s">
        <v>5559</v>
      </c>
      <c r="C100" t="str">
        <f>IF(VLOOKUP($A100,'B-Ligands'!$A:$G,5,FALSE)="","",VLOOKUP($A100,'B-Ligands'!$A:$G,5,FALSE))</f>
        <v>Guide To Pharmacology</v>
      </c>
      <c r="D100" s="19">
        <f>IF(VLOOKUP($A100,'B-Ligands'!$A:$G,6,FALSE)="","",VLOOKUP($A100,'B-Ligands'!$A:$G,6,FALSE))</f>
        <v>1369</v>
      </c>
      <c r="E100" t="str">
        <f>IF(VLOOKUP($A100,'B-Ligands'!$A:$G,7,FALSE)="","",VLOOKUP($A100,'B-Ligands'!$A:$G,7,FALSE))</f>
        <v>Phys</v>
      </c>
      <c r="F100" s="20" t="str">
        <f t="shared" si="145"/>
        <v/>
      </c>
      <c r="G100" s="19">
        <f t="shared" si="146"/>
        <v>1</v>
      </c>
      <c r="H100" s="19" t="str">
        <f t="shared" si="147"/>
        <v/>
      </c>
      <c r="I100" s="19" t="str">
        <f t="shared" si="148"/>
        <v/>
      </c>
      <c r="J100" s="189">
        <f t="shared" si="104"/>
        <v>1</v>
      </c>
      <c r="K100" s="147" t="str">
        <f t="shared" si="105"/>
        <v>Gi/o</v>
      </c>
      <c r="L100" s="20">
        <f t="shared" si="106"/>
        <v>0</v>
      </c>
      <c r="M100" s="19">
        <f t="shared" si="107"/>
        <v>1</v>
      </c>
      <c r="N100" s="19">
        <f t="shared" si="108"/>
        <v>0</v>
      </c>
      <c r="O100" s="19">
        <f t="shared" si="109"/>
        <v>0</v>
      </c>
      <c r="P100" s="20">
        <f t="shared" si="110"/>
        <v>0</v>
      </c>
      <c r="Q100" s="19">
        <f t="shared" si="111"/>
        <v>100</v>
      </c>
      <c r="R100" s="19">
        <f t="shared" si="112"/>
        <v>0</v>
      </c>
      <c r="S100" s="19">
        <f t="shared" si="113"/>
        <v>0</v>
      </c>
      <c r="T100" s="20">
        <f t="shared" si="114"/>
        <v>0</v>
      </c>
      <c r="U100" s="21">
        <f t="shared" si="115"/>
        <v>4.1165522178990637</v>
      </c>
      <c r="V100" s="21">
        <f t="shared" si="116"/>
        <v>0</v>
      </c>
      <c r="W100" s="21">
        <f t="shared" si="117"/>
        <v>0</v>
      </c>
      <c r="X100" s="147" t="str">
        <f t="shared" si="118"/>
        <v>GoA</v>
      </c>
      <c r="Y100" s="32">
        <f t="shared" si="119"/>
        <v>0</v>
      </c>
      <c r="Z100" s="31">
        <f t="shared" si="120"/>
        <v>87.067220843777918</v>
      </c>
      <c r="AA100" s="31">
        <f t="shared" si="121"/>
        <v>0</v>
      </c>
      <c r="AB100" s="31">
        <f t="shared" si="122"/>
        <v>100</v>
      </c>
      <c r="AC100" s="31">
        <f t="shared" si="123"/>
        <v>97.757448982723815</v>
      </c>
      <c r="AD100" s="31">
        <f t="shared" si="124"/>
        <v>0</v>
      </c>
      <c r="AE100" s="31">
        <f t="shared" si="125"/>
        <v>0</v>
      </c>
      <c r="AF100" s="31">
        <f t="shared" si="126"/>
        <v>0</v>
      </c>
      <c r="AG100" s="31">
        <f t="shared" si="127"/>
        <v>0</v>
      </c>
      <c r="AH100" s="31">
        <f t="shared" si="128"/>
        <v>0</v>
      </c>
      <c r="AI100" s="31">
        <f t="shared" si="129"/>
        <v>0</v>
      </c>
      <c r="AJ100" s="31">
        <f t="shared" si="130"/>
        <v>0</v>
      </c>
      <c r="AK100" s="7" cm="1">
        <f t="array" ref="AK100">_xlfn.IFS(AZ100=0,0,AZ100&gt;0,(LOG(0.01*AZ100/10^-CD100)))</f>
        <v>0</v>
      </c>
      <c r="AL100" s="8" cm="1">
        <f t="array" ref="AL100">_xlfn.IFS(BA100=0,0,BA100&gt;0,(LOG(0.01*BA100/10^-CE100)))</f>
        <v>3.5841676107076155</v>
      </c>
      <c r="AM100" s="8" cm="1">
        <f t="array" ref="AM100">_xlfn.IFS(BB100=0,0,BB100&gt;0,(LOG(0.01*BB100/10^-CF100)))</f>
        <v>0</v>
      </c>
      <c r="AN100" s="8" cm="1">
        <f t="array" ref="AN100">_xlfn.IFS(BC100=0,0,BC100&gt;0,(LOG(0.01*BC100/10^-CG100)))</f>
        <v>4.1165522178990637</v>
      </c>
      <c r="AO100" s="8" cm="1">
        <f t="array" ref="AO100">_xlfn.IFS(BD100=0,0,BD100&gt;0,(LOG(0.01*BD100/10^-CH100)))</f>
        <v>4.0242364342598629</v>
      </c>
      <c r="AP100" s="8" cm="1">
        <f t="array" ref="AP100">_xlfn.IFS(BE100=0,0,BE100&gt;0,(LOG(0.01*BE100/10^-CI100)))</f>
        <v>0</v>
      </c>
      <c r="AQ100" s="8" cm="1">
        <f t="array" ref="AQ100">_xlfn.IFS(BF100=0,0,BF100&gt;0,(LOG(0.01*BF100/10^-CJ100)))</f>
        <v>0</v>
      </c>
      <c r="AR100" s="8" cm="1">
        <f t="array" ref="AR100">_xlfn.IFS(BG100=0,0,BG100&gt;0,(LOG(0.01*BG100/10^-CK100)))</f>
        <v>0</v>
      </c>
      <c r="AS100" s="8" cm="1">
        <f t="array" ref="AS100">_xlfn.IFS(BH100=0,0,BH100&gt;0,(LOG(0.01*BH100/10^-CL100)))</f>
        <v>0</v>
      </c>
      <c r="AT100" s="8" cm="1">
        <f t="array" ref="AT100">_xlfn.IFS(BI100=0,0,BI100&gt;0,(LOG(0.01*BI100/10^-CM100)))</f>
        <v>0</v>
      </c>
      <c r="AU100" s="8" cm="1">
        <f t="array" ref="AU100">_xlfn.IFS(BJ100=0,0,BJ100&gt;0,(LOG(0.01*BJ100/10^-CN100)))</f>
        <v>0</v>
      </c>
      <c r="AV100" s="8" cm="1">
        <f t="array" ref="AV100">_xlfn.IFS(BK100=0,0,BK100&gt;0,(LOG(0.01*BK100/10^-CO100)))</f>
        <v>0</v>
      </c>
      <c r="AW100" s="8" cm="1">
        <f t="array" ref="AW100">_xlfn.IFS(BL100=0,0,BL100&gt;0,(LOG(0.01*BL100/10^-CP100)))</f>
        <v>0</v>
      </c>
      <c r="AX100" s="8" cm="1">
        <f t="array" ref="AX100">_xlfn.IFS(BM100=0,0,BM100&gt;0,(LOG(0.01*BM100/10^-CQ100)))</f>
        <v>0</v>
      </c>
      <c r="AY100" s="8" cm="1">
        <f t="array" ref="AY100">_xlfn.IFS(BN100=0,0,BN100&gt;0,(LOG(0.01*BN100/10^-CR100)))</f>
        <v>0</v>
      </c>
      <c r="AZ100" s="32">
        <f t="shared" si="88"/>
        <v>0</v>
      </c>
      <c r="BA100" s="31">
        <f t="shared" si="131"/>
        <v>10.096424702058505</v>
      </c>
      <c r="BB100" s="31">
        <f t="shared" si="132"/>
        <v>0</v>
      </c>
      <c r="BC100" s="31">
        <f t="shared" si="133"/>
        <v>7.3206933911159258</v>
      </c>
      <c r="BD100" s="31">
        <f t="shared" si="134"/>
        <v>15.178764897074757</v>
      </c>
      <c r="BE100" s="31">
        <f t="shared" si="135"/>
        <v>0</v>
      </c>
      <c r="BF100" s="31">
        <f t="shared" si="136"/>
        <v>0</v>
      </c>
      <c r="BG100" s="31">
        <f t="shared" si="137"/>
        <v>0</v>
      </c>
      <c r="BH100" s="31">
        <f t="shared" si="138"/>
        <v>0</v>
      </c>
      <c r="BI100" s="31">
        <f t="shared" si="139"/>
        <v>0</v>
      </c>
      <c r="BJ100" s="31">
        <f t="shared" si="140"/>
        <v>0</v>
      </c>
      <c r="BK100" s="31">
        <f t="shared" si="141"/>
        <v>0</v>
      </c>
      <c r="BL100" s="31">
        <f t="shared" si="142"/>
        <v>0</v>
      </c>
      <c r="BM100" s="31">
        <f t="shared" si="143"/>
        <v>0</v>
      </c>
      <c r="BN100" s="31">
        <f t="shared" si="144"/>
        <v>0</v>
      </c>
      <c r="BO100" s="134"/>
      <c r="BP100" s="135">
        <v>93.19</v>
      </c>
      <c r="BQ100" s="135"/>
      <c r="BR100" s="135">
        <v>67.569999999999993</v>
      </c>
      <c r="BS100" s="135">
        <v>140.1</v>
      </c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30"/>
      <c r="CE100" s="29">
        <v>4.58</v>
      </c>
      <c r="CF100" s="29"/>
      <c r="CG100" s="29">
        <v>5.2519999999999998</v>
      </c>
      <c r="CH100" s="29">
        <v>4.843</v>
      </c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168" t="str">
        <f>IF(VLOOKUP($A100,'B-Ligands'!$A:$G,3,FALSE)="","",VLOOKUP($A100,'B-Ligands'!$A:$G,3,FALSE))</f>
        <v/>
      </c>
      <c r="CT100" s="169" t="str">
        <f>IF(VLOOKUP($A100,'B-Ligands'!$A:$G,4,FALSE)="","",VLOOKUP($A100,'B-Ligands'!$A:$G,4,FALSE))</f>
        <v>Glutamate</v>
      </c>
      <c r="CU100" s="134">
        <v>12.809733185944987</v>
      </c>
      <c r="CV100" s="135">
        <v>11.241917687672283</v>
      </c>
      <c r="CW100" s="135">
        <v>13.818863473910431</v>
      </c>
      <c r="CX100" s="135">
        <v>10.158791585607874</v>
      </c>
      <c r="CY100" s="135">
        <v>7.6607850516820646</v>
      </c>
      <c r="CZ100" s="135">
        <v>8.4729655455664936</v>
      </c>
      <c r="DA100" s="135">
        <v>8.9890628274777828</v>
      </c>
      <c r="DB100" s="135">
        <v>8.6814953217081499</v>
      </c>
      <c r="DC100" s="135">
        <v>10.299356801312886</v>
      </c>
      <c r="DD100" s="135">
        <v>7.2409991428541192</v>
      </c>
      <c r="DE100" s="135">
        <v>11.185521796808853</v>
      </c>
      <c r="DF100" s="135">
        <v>28.171145092606377</v>
      </c>
      <c r="DG100" s="135">
        <v>22.824688812876804</v>
      </c>
      <c r="DH100" s="135">
        <v>7.310991515942713</v>
      </c>
      <c r="DI100" s="135">
        <v>23.888908166530367</v>
      </c>
      <c r="DJ100" s="66">
        <f t="shared" si="89"/>
        <v>0</v>
      </c>
      <c r="DK100" s="67">
        <f t="shared" si="90"/>
        <v>8.2895109703739198</v>
      </c>
      <c r="DL100" s="67">
        <f t="shared" si="91"/>
        <v>0</v>
      </c>
      <c r="DM100" s="67">
        <f t="shared" si="92"/>
        <v>6.6513816560354986</v>
      </c>
      <c r="DN100" s="67">
        <f t="shared" si="93"/>
        <v>18.287942952953429</v>
      </c>
      <c r="DO100" s="67">
        <f t="shared" si="94"/>
        <v>0</v>
      </c>
      <c r="DP100" s="67">
        <f t="shared" si="95"/>
        <v>0</v>
      </c>
      <c r="DQ100" s="67">
        <f t="shared" si="96"/>
        <v>0</v>
      </c>
      <c r="DR100" s="67">
        <f t="shared" si="97"/>
        <v>0</v>
      </c>
      <c r="DS100" s="67">
        <f t="shared" si="98"/>
        <v>0</v>
      </c>
      <c r="DT100" s="67">
        <f t="shared" si="99"/>
        <v>0</v>
      </c>
      <c r="DU100" s="67">
        <f t="shared" si="100"/>
        <v>0</v>
      </c>
      <c r="DV100" s="67">
        <f t="shared" si="101"/>
        <v>0</v>
      </c>
      <c r="DW100" s="67">
        <f t="shared" si="102"/>
        <v>0</v>
      </c>
      <c r="DX100" s="67">
        <f t="shared" si="103"/>
        <v>0</v>
      </c>
    </row>
    <row r="101" spans="1:128" s="28" customFormat="1">
      <c r="A101" s="33" t="s">
        <v>48</v>
      </c>
      <c r="B101" s="205" t="s">
        <v>5559</v>
      </c>
      <c r="C101" t="str">
        <f>IF(VLOOKUP($A101,'B-Ligands'!$A:$G,5,FALSE)="","",VLOOKUP($A101,'B-Ligands'!$A:$G,5,FALSE))</f>
        <v>Guide To Pharmacology</v>
      </c>
      <c r="D101" s="19">
        <f>IF(VLOOKUP($A101,'B-Ligands'!$A:$G,6,FALSE)="","",VLOOKUP($A101,'B-Ligands'!$A:$G,6,FALSE))</f>
        <v>611</v>
      </c>
      <c r="E101" t="str">
        <f>IF(VLOOKUP($A101,'B-Ligands'!$A:$G,7,FALSE)="","",VLOOKUP($A101,'B-Ligands'!$A:$G,7,FALSE))</f>
        <v>Phys</v>
      </c>
      <c r="F101" s="20">
        <f t="shared" si="145"/>
        <v>1</v>
      </c>
      <c r="G101" s="19" t="str">
        <f t="shared" si="146"/>
        <v/>
      </c>
      <c r="H101" s="19" t="str">
        <f t="shared" si="147"/>
        <v/>
      </c>
      <c r="I101" s="19" t="str">
        <f t="shared" si="148"/>
        <v/>
      </c>
      <c r="J101" s="189">
        <f t="shared" si="104"/>
        <v>1</v>
      </c>
      <c r="K101" s="147" t="str">
        <f t="shared" si="105"/>
        <v>Gs</v>
      </c>
      <c r="L101" s="20">
        <f t="shared" si="106"/>
        <v>1</v>
      </c>
      <c r="M101" s="19">
        <f t="shared" si="107"/>
        <v>0</v>
      </c>
      <c r="N101" s="19">
        <f t="shared" si="108"/>
        <v>0</v>
      </c>
      <c r="O101" s="19">
        <f t="shared" si="109"/>
        <v>0</v>
      </c>
      <c r="P101" s="20">
        <f t="shared" si="110"/>
        <v>100</v>
      </c>
      <c r="Q101" s="19">
        <f t="shared" si="111"/>
        <v>0</v>
      </c>
      <c r="R101" s="19">
        <f t="shared" si="112"/>
        <v>0</v>
      </c>
      <c r="S101" s="19">
        <f t="shared" si="113"/>
        <v>0</v>
      </c>
      <c r="T101" s="20">
        <f t="shared" si="114"/>
        <v>5.9140000000000006</v>
      </c>
      <c r="U101" s="21">
        <f t="shared" si="115"/>
        <v>0</v>
      </c>
      <c r="V101" s="21">
        <f t="shared" si="116"/>
        <v>0</v>
      </c>
      <c r="W101" s="21">
        <f t="shared" si="117"/>
        <v>0</v>
      </c>
      <c r="X101" s="147" t="str">
        <f t="shared" si="118"/>
        <v>GsL</v>
      </c>
      <c r="Y101" s="32">
        <f t="shared" si="119"/>
        <v>100</v>
      </c>
      <c r="Z101" s="31">
        <f t="shared" si="120"/>
        <v>0</v>
      </c>
      <c r="AA101" s="31">
        <f t="shared" si="121"/>
        <v>0</v>
      </c>
      <c r="AB101" s="31">
        <f t="shared" si="122"/>
        <v>0</v>
      </c>
      <c r="AC101" s="31">
        <f t="shared" si="123"/>
        <v>0</v>
      </c>
      <c r="AD101" s="31">
        <f t="shared" si="124"/>
        <v>0</v>
      </c>
      <c r="AE101" s="31">
        <f t="shared" si="125"/>
        <v>0</v>
      </c>
      <c r="AF101" s="31">
        <f t="shared" si="126"/>
        <v>0</v>
      </c>
      <c r="AG101" s="31">
        <f t="shared" si="127"/>
        <v>0</v>
      </c>
      <c r="AH101" s="31">
        <f t="shared" si="128"/>
        <v>0</v>
      </c>
      <c r="AI101" s="31">
        <f t="shared" si="129"/>
        <v>0</v>
      </c>
      <c r="AJ101" s="31">
        <f t="shared" si="130"/>
        <v>0</v>
      </c>
      <c r="AK101" s="7" cm="1">
        <f t="array" ref="AK101">_xlfn.IFS(AZ101=0,0,AZ101&gt;0,(LOG(0.01*AZ101/10^-CD101)))</f>
        <v>5.9140000000000006</v>
      </c>
      <c r="AL101" s="8" cm="1">
        <f t="array" ref="AL101">_xlfn.IFS(BA101=0,0,BA101&gt;0,(LOG(0.01*BA101/10^-CE101)))</f>
        <v>0</v>
      </c>
      <c r="AM101" s="8" cm="1">
        <f t="array" ref="AM101">_xlfn.IFS(BB101=0,0,BB101&gt;0,(LOG(0.01*BB101/10^-CF101)))</f>
        <v>0</v>
      </c>
      <c r="AN101" s="8" cm="1">
        <f t="array" ref="AN101">_xlfn.IFS(BC101=0,0,BC101&gt;0,(LOG(0.01*BC101/10^-CG101)))</f>
        <v>0</v>
      </c>
      <c r="AO101" s="8" cm="1">
        <f t="array" ref="AO101">_xlfn.IFS(BD101=0,0,BD101&gt;0,(LOG(0.01*BD101/10^-CH101)))</f>
        <v>0</v>
      </c>
      <c r="AP101" s="8" cm="1">
        <f t="array" ref="AP101">_xlfn.IFS(BE101=0,0,BE101&gt;0,(LOG(0.01*BE101/10^-CI101)))</f>
        <v>0</v>
      </c>
      <c r="AQ101" s="8" cm="1">
        <f t="array" ref="AQ101">_xlfn.IFS(BF101=0,0,BF101&gt;0,(LOG(0.01*BF101/10^-CJ101)))</f>
        <v>0</v>
      </c>
      <c r="AR101" s="8" cm="1">
        <f t="array" ref="AR101">_xlfn.IFS(BG101=0,0,BG101&gt;0,(LOG(0.01*BG101/10^-CK101)))</f>
        <v>0</v>
      </c>
      <c r="AS101" s="8" cm="1">
        <f t="array" ref="AS101">_xlfn.IFS(BH101=0,0,BH101&gt;0,(LOG(0.01*BH101/10^-CL101)))</f>
        <v>0</v>
      </c>
      <c r="AT101" s="8" cm="1">
        <f t="array" ref="AT101">_xlfn.IFS(BI101=0,0,BI101&gt;0,(LOG(0.01*BI101/10^-CM101)))</f>
        <v>0</v>
      </c>
      <c r="AU101" s="8" cm="1">
        <f t="array" ref="AU101">_xlfn.IFS(BJ101=0,0,BJ101&gt;0,(LOG(0.01*BJ101/10^-CN101)))</f>
        <v>0</v>
      </c>
      <c r="AV101" s="8" cm="1">
        <f t="array" ref="AV101">_xlfn.IFS(BK101=0,0,BK101&gt;0,(LOG(0.01*BK101/10^-CO101)))</f>
        <v>0</v>
      </c>
      <c r="AW101" s="8" cm="1">
        <f t="array" ref="AW101">_xlfn.IFS(BL101=0,0,BL101&gt;0,(LOG(0.01*BL101/10^-CP101)))</f>
        <v>0</v>
      </c>
      <c r="AX101" s="8" cm="1">
        <f t="array" ref="AX101">_xlfn.IFS(BM101=0,0,BM101&gt;0,(LOG(0.01*BM101/10^-CQ101)))</f>
        <v>0</v>
      </c>
      <c r="AY101" s="8" cm="1">
        <f t="array" ref="AY101">_xlfn.IFS(BN101=0,0,BN101&gt;0,(LOG(0.01*BN101/10^-CR101)))</f>
        <v>0</v>
      </c>
      <c r="AZ101" s="32">
        <f t="shared" si="88"/>
        <v>100</v>
      </c>
      <c r="BA101" s="31">
        <f t="shared" si="131"/>
        <v>0</v>
      </c>
      <c r="BB101" s="31">
        <f t="shared" si="132"/>
        <v>0</v>
      </c>
      <c r="BC101" s="31">
        <f t="shared" si="133"/>
        <v>0</v>
      </c>
      <c r="BD101" s="31">
        <f t="shared" si="134"/>
        <v>0</v>
      </c>
      <c r="BE101" s="31">
        <f t="shared" si="135"/>
        <v>0</v>
      </c>
      <c r="BF101" s="31">
        <f t="shared" si="136"/>
        <v>0</v>
      </c>
      <c r="BG101" s="31">
        <f t="shared" si="137"/>
        <v>0</v>
      </c>
      <c r="BH101" s="31">
        <f t="shared" si="138"/>
        <v>0</v>
      </c>
      <c r="BI101" s="31">
        <f t="shared" si="139"/>
        <v>0</v>
      </c>
      <c r="BJ101" s="31">
        <f t="shared" si="140"/>
        <v>0</v>
      </c>
      <c r="BK101" s="31">
        <f t="shared" si="141"/>
        <v>0</v>
      </c>
      <c r="BL101" s="31">
        <f t="shared" si="142"/>
        <v>0</v>
      </c>
      <c r="BM101" s="31">
        <f t="shared" si="143"/>
        <v>0</v>
      </c>
      <c r="BN101" s="31">
        <f t="shared" si="144"/>
        <v>0</v>
      </c>
      <c r="BO101" s="132">
        <v>65.319999999999993</v>
      </c>
      <c r="BP101" s="133"/>
      <c r="BQ101" s="133"/>
      <c r="BR101" s="133"/>
      <c r="BS101" s="133"/>
      <c r="BT101" s="133"/>
      <c r="BU101" s="133"/>
      <c r="BV101" s="133"/>
      <c r="BW101" s="133"/>
      <c r="BX101" s="133"/>
      <c r="BY101" s="133"/>
      <c r="BZ101" s="133"/>
      <c r="CA101" s="133"/>
      <c r="CB101" s="133"/>
      <c r="CC101" s="133"/>
      <c r="CD101" s="36">
        <v>5.9139999999999997</v>
      </c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168" t="str">
        <f>IF(VLOOKUP($A101,'B-Ligands'!$A:$G,3,FALSE)="","",VLOOKUP($A101,'B-Ligands'!$A:$G,3,FALSE))</f>
        <v/>
      </c>
      <c r="CT101" s="169" t="str">
        <f>IF(VLOOKUP($A101,'B-Ligands'!$A:$G,4,FALSE)="","",VLOOKUP($A101,'B-Ligands'!$A:$G,4,FALSE))</f>
        <v>Litocholic acid</v>
      </c>
      <c r="CU101" s="132">
        <v>2.7794049864884118</v>
      </c>
      <c r="CV101" s="133">
        <v>13.215061424817764</v>
      </c>
      <c r="CW101" s="133">
        <v>4.9566511180934194</v>
      </c>
      <c r="CX101" s="133">
        <v>15.671218614643861</v>
      </c>
      <c r="CY101" s="133">
        <v>14.468840812143821</v>
      </c>
      <c r="CZ101" s="133">
        <v>1.9950172254486049</v>
      </c>
      <c r="DA101" s="133">
        <v>3.8786338702779481</v>
      </c>
      <c r="DB101" s="133">
        <v>6.2517586202249076</v>
      </c>
      <c r="DC101" s="133">
        <v>4.6764759600432653</v>
      </c>
      <c r="DD101" s="133">
        <v>8.3032015155785626</v>
      </c>
      <c r="DE101" s="133">
        <v>4.3638726065264004</v>
      </c>
      <c r="DF101" s="133">
        <v>3.4156325111031984</v>
      </c>
      <c r="DG101" s="133">
        <v>18.551002685550301</v>
      </c>
      <c r="DH101" s="133">
        <v>3.6166535357088354</v>
      </c>
      <c r="DI101" s="133">
        <v>12.412896466169558</v>
      </c>
      <c r="DJ101" s="66">
        <f t="shared" si="89"/>
        <v>23.50143297487832</v>
      </c>
      <c r="DK101" s="67">
        <f t="shared" si="90"/>
        <v>0</v>
      </c>
      <c r="DL101" s="67">
        <f t="shared" si="91"/>
        <v>0</v>
      </c>
      <c r="DM101" s="67">
        <f t="shared" si="92"/>
        <v>0</v>
      </c>
      <c r="DN101" s="67">
        <f t="shared" si="93"/>
        <v>0</v>
      </c>
      <c r="DO101" s="67">
        <f t="shared" si="94"/>
        <v>0</v>
      </c>
      <c r="DP101" s="67">
        <f t="shared" si="95"/>
        <v>0</v>
      </c>
      <c r="DQ101" s="67">
        <f t="shared" si="96"/>
        <v>0</v>
      </c>
      <c r="DR101" s="67">
        <f t="shared" si="97"/>
        <v>0</v>
      </c>
      <c r="DS101" s="67">
        <f t="shared" si="98"/>
        <v>0</v>
      </c>
      <c r="DT101" s="67">
        <f t="shared" si="99"/>
        <v>0</v>
      </c>
      <c r="DU101" s="67">
        <f t="shared" si="100"/>
        <v>0</v>
      </c>
      <c r="DV101" s="67">
        <f t="shared" si="101"/>
        <v>0</v>
      </c>
      <c r="DW101" s="67">
        <f t="shared" si="102"/>
        <v>0</v>
      </c>
      <c r="DX101" s="67">
        <f t="shared" si="103"/>
        <v>0</v>
      </c>
    </row>
    <row r="102" spans="1:128">
      <c r="AK102" s="7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128">
      <c r="AK103" s="7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128">
      <c r="AK104" s="7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128">
      <c r="AK105" s="7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128">
      <c r="AK106" s="7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</sheetData>
  <phoneticPr fontId="50" type="noConversion"/>
  <conditionalFormatting sqref="L1:O1048576">
    <cfRule type="cellIs" dxfId="12" priority="2" operator="equal">
      <formula>1</formula>
    </cfRule>
  </conditionalFormatting>
  <conditionalFormatting sqref="DJ2:DX1048576">
    <cfRule type="cellIs" dxfId="11" priority="8" operator="lessThan">
      <formula>1.35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7CC8-74D5-F64C-BB6D-EFB7F67BCD38}">
  <sheetPr>
    <tabColor rgb="FF0070C0"/>
  </sheetPr>
  <dimension ref="A1:CD101"/>
  <sheetViews>
    <sheetView zoomScale="125" zoomScaleNormal="120" workbookViewId="0">
      <pane xSplit="1" ySplit="1" topLeftCell="AE2" activePane="bottomRight" state="frozen"/>
      <selection activeCell="B4" sqref="B4"/>
      <selection pane="topRight" activeCell="B4" sqref="B4"/>
      <selection pane="bottomLeft" activeCell="B4" sqref="B4"/>
      <selection pane="bottomRight" sqref="A1:A1048576"/>
    </sheetView>
  </sheetViews>
  <sheetFormatPr baseColWidth="10" defaultRowHeight="16"/>
  <cols>
    <col min="1" max="1" width="8.6640625" style="27" bestFit="1" customWidth="1"/>
    <col min="2" max="2" width="23.83203125" style="23" bestFit="1" customWidth="1"/>
    <col min="3" max="3" width="20.6640625" bestFit="1" customWidth="1"/>
    <col min="4" max="4" width="6.5" style="19" bestFit="1" customWidth="1"/>
    <col min="5" max="5" width="11.6640625" bestFit="1" customWidth="1"/>
    <col min="6" max="6" width="5.1640625" style="1" bestFit="1" customWidth="1"/>
    <col min="7" max="7" width="5.1640625" bestFit="1" customWidth="1"/>
    <col min="8" max="8" width="6.33203125" bestFit="1" customWidth="1"/>
    <col min="9" max="9" width="7.33203125" bestFit="1" customWidth="1"/>
    <col min="10" max="10" width="5.83203125" style="148" bestFit="1" customWidth="1"/>
    <col min="11" max="11" width="7.6640625" style="148" bestFit="1" customWidth="1"/>
    <col min="12" max="12" width="5.33203125" style="1" bestFit="1" customWidth="1"/>
    <col min="13" max="13" width="5.33203125" bestFit="1" customWidth="1"/>
    <col min="14" max="14" width="6.33203125" bestFit="1" customWidth="1"/>
    <col min="15" max="15" width="7.33203125" bestFit="1" customWidth="1"/>
    <col min="16" max="16" width="7" style="20" bestFit="1" customWidth="1"/>
    <col min="17" max="17" width="8.5" style="19" bestFit="1" customWidth="1"/>
    <col min="18" max="18" width="10" style="19" bestFit="1" customWidth="1"/>
    <col min="19" max="19" width="11" style="19" bestFit="1" customWidth="1"/>
    <col min="20" max="20" width="4.1640625" style="1" bestFit="1" customWidth="1"/>
    <col min="21" max="21" width="5.5" bestFit="1" customWidth="1"/>
    <col min="22" max="22" width="6.1640625" customWidth="1"/>
    <col min="23" max="23" width="5.33203125" bestFit="1" customWidth="1"/>
    <col min="24" max="24" width="7.6640625" style="149" bestFit="1" customWidth="1"/>
    <col min="25" max="25" width="7.6640625" style="26" bestFit="1" customWidth="1"/>
    <col min="26" max="32" width="7.6640625" style="25" bestFit="1" customWidth="1"/>
    <col min="33" max="33" width="4.6640625" style="369" bestFit="1" customWidth="1"/>
    <col min="34" max="40" width="4.6640625" style="352" bestFit="1" customWidth="1"/>
    <col min="41" max="41" width="6.1640625" style="369" bestFit="1" customWidth="1"/>
    <col min="42" max="48" width="6.1640625" style="352" bestFit="1" customWidth="1"/>
    <col min="49" max="49" width="6.5" style="369" bestFit="1" customWidth="1"/>
    <col min="50" max="56" width="6.5" style="352" bestFit="1" customWidth="1"/>
    <col min="57" max="57" width="6.1640625" style="368" bestFit="1" customWidth="1"/>
    <col min="58" max="64" width="6.1640625" style="367" bestFit="1" customWidth="1"/>
    <col min="65" max="65" width="6.5" style="368" bestFit="1" customWidth="1"/>
    <col min="66" max="72" width="6.5" style="367" bestFit="1" customWidth="1"/>
    <col min="73" max="73" width="2.1640625" style="368" bestFit="1" customWidth="1"/>
    <col min="74" max="80" width="2.1640625" style="367" bestFit="1" customWidth="1"/>
    <col min="81" max="81" width="8.5" style="213" bestFit="1" customWidth="1"/>
    <col min="82" max="82" width="8.33203125" style="221" bestFit="1" customWidth="1"/>
    <col min="83" max="16384" width="10.83203125" style="23"/>
  </cols>
  <sheetData>
    <row r="1" spans="1:82" s="126" customFormat="1" ht="66" customHeight="1">
      <c r="A1" s="158" t="s">
        <v>3</v>
      </c>
      <c r="B1" s="218" t="s">
        <v>5530</v>
      </c>
      <c r="C1" s="158" t="s">
        <v>5403</v>
      </c>
      <c r="D1" s="150" t="s">
        <v>5404</v>
      </c>
      <c r="E1" s="158" t="s">
        <v>5199</v>
      </c>
      <c r="F1" s="161" t="s">
        <v>5407</v>
      </c>
      <c r="G1" s="166" t="s">
        <v>5408</v>
      </c>
      <c r="H1" s="166" t="s">
        <v>5409</v>
      </c>
      <c r="I1" s="162" t="s">
        <v>5410</v>
      </c>
      <c r="J1" s="160" t="s">
        <v>5411</v>
      </c>
      <c r="K1" s="160" t="s">
        <v>5412</v>
      </c>
      <c r="L1" s="161" t="s">
        <v>5194</v>
      </c>
      <c r="M1" s="166" t="s">
        <v>5195</v>
      </c>
      <c r="N1" s="162" t="s">
        <v>5196</v>
      </c>
      <c r="O1" s="162" t="s">
        <v>5197</v>
      </c>
      <c r="P1" s="163" t="s">
        <v>5185</v>
      </c>
      <c r="Q1" s="164" t="s">
        <v>5186</v>
      </c>
      <c r="R1" s="165" t="s">
        <v>5187</v>
      </c>
      <c r="S1" s="165" t="s">
        <v>5188</v>
      </c>
      <c r="T1" s="161" t="s">
        <v>5560</v>
      </c>
      <c r="U1" s="166" t="s">
        <v>5561</v>
      </c>
      <c r="V1" s="166" t="s">
        <v>5562</v>
      </c>
      <c r="W1" s="162" t="s">
        <v>5563</v>
      </c>
      <c r="X1" s="146" t="s">
        <v>5193</v>
      </c>
      <c r="Y1" s="151" t="s">
        <v>5189</v>
      </c>
      <c r="Z1" s="151" t="s">
        <v>5174</v>
      </c>
      <c r="AA1" s="152" t="s">
        <v>5175</v>
      </c>
      <c r="AB1" s="152" t="s">
        <v>5191</v>
      </c>
      <c r="AC1" s="152" t="s">
        <v>5176</v>
      </c>
      <c r="AD1" s="151" t="s">
        <v>5179</v>
      </c>
      <c r="AE1" s="151" t="s">
        <v>5183</v>
      </c>
      <c r="AF1" s="152" t="s">
        <v>5184</v>
      </c>
      <c r="AG1" s="370" t="s">
        <v>5551</v>
      </c>
      <c r="AH1" s="371" t="s">
        <v>5528</v>
      </c>
      <c r="AI1" s="371" t="s">
        <v>5544</v>
      </c>
      <c r="AJ1" s="371" t="s">
        <v>5553</v>
      </c>
      <c r="AK1" s="371" t="s">
        <v>3263</v>
      </c>
      <c r="AL1" s="371" t="s">
        <v>2853</v>
      </c>
      <c r="AM1" s="371" t="s">
        <v>5529</v>
      </c>
      <c r="AN1" s="371" t="s">
        <v>3265</v>
      </c>
      <c r="AO1" s="349" t="s">
        <v>2776</v>
      </c>
      <c r="AP1" s="350" t="s">
        <v>2779</v>
      </c>
      <c r="AQ1" s="350" t="s">
        <v>2780</v>
      </c>
      <c r="AR1" s="350" t="s">
        <v>2781</v>
      </c>
      <c r="AS1" s="350" t="s">
        <v>2782</v>
      </c>
      <c r="AT1" s="350" t="s">
        <v>2786</v>
      </c>
      <c r="AU1" s="350" t="s">
        <v>2789</v>
      </c>
      <c r="AV1" s="350" t="s">
        <v>2790</v>
      </c>
      <c r="AW1" s="349" t="s">
        <v>2791</v>
      </c>
      <c r="AX1" s="350" t="s">
        <v>2794</v>
      </c>
      <c r="AY1" s="350" t="s">
        <v>2795</v>
      </c>
      <c r="AZ1" s="350" t="s">
        <v>2796</v>
      </c>
      <c r="BA1" s="350" t="s">
        <v>2797</v>
      </c>
      <c r="BB1" s="350" t="s">
        <v>2801</v>
      </c>
      <c r="BC1" s="350" t="s">
        <v>2804</v>
      </c>
      <c r="BD1" s="350" t="s">
        <v>2805</v>
      </c>
      <c r="BE1" s="357" t="s">
        <v>5920</v>
      </c>
      <c r="BF1" s="358" t="s">
        <v>5908</v>
      </c>
      <c r="BG1" s="358" t="s">
        <v>5909</v>
      </c>
      <c r="BH1" s="358" t="s">
        <v>5910</v>
      </c>
      <c r="BI1" s="358" t="s">
        <v>5922</v>
      </c>
      <c r="BJ1" s="358" t="s">
        <v>5911</v>
      </c>
      <c r="BK1" s="358" t="s">
        <v>5912</v>
      </c>
      <c r="BL1" s="358" t="s">
        <v>5913</v>
      </c>
      <c r="BM1" s="357" t="s">
        <v>5921</v>
      </c>
      <c r="BN1" s="358" t="s">
        <v>5914</v>
      </c>
      <c r="BO1" s="358" t="s">
        <v>5915</v>
      </c>
      <c r="BP1" s="358" t="s">
        <v>5916</v>
      </c>
      <c r="BQ1" s="358" t="s">
        <v>5923</v>
      </c>
      <c r="BR1" s="358" t="s">
        <v>5917</v>
      </c>
      <c r="BS1" s="358" t="s">
        <v>5918</v>
      </c>
      <c r="BT1" s="358" t="s">
        <v>5919</v>
      </c>
      <c r="BU1" s="359" t="s">
        <v>5907</v>
      </c>
      <c r="BV1" s="360" t="s">
        <v>5907</v>
      </c>
      <c r="BW1" s="360" t="s">
        <v>5907</v>
      </c>
      <c r="BX1" s="360" t="s">
        <v>5907</v>
      </c>
      <c r="BY1" s="360" t="s">
        <v>5907</v>
      </c>
      <c r="BZ1" s="360" t="s">
        <v>5907</v>
      </c>
      <c r="CA1" s="360" t="s">
        <v>5907</v>
      </c>
      <c r="CB1" s="360" t="s">
        <v>5907</v>
      </c>
      <c r="CC1" s="211" t="s">
        <v>5542</v>
      </c>
      <c r="CD1" s="128" t="s">
        <v>5578</v>
      </c>
    </row>
    <row r="2" spans="1:82" s="28" customFormat="1">
      <c r="A2" s="33" t="s">
        <v>202</v>
      </c>
      <c r="B2" s="205" t="s">
        <v>5556</v>
      </c>
      <c r="C2" t="s">
        <v>2678</v>
      </c>
      <c r="D2" s="19">
        <v>1881</v>
      </c>
      <c r="E2" t="s">
        <v>5575</v>
      </c>
      <c r="F2" s="20">
        <f>IF(T2&gt;0,1,"")</f>
        <v>1</v>
      </c>
      <c r="G2" s="19">
        <f t="shared" ref="G2:I9" si="0">IF(U2&gt;0,1,"")</f>
        <v>1</v>
      </c>
      <c r="H2" s="19">
        <f t="shared" si="0"/>
        <v>1</v>
      </c>
      <c r="I2" s="19">
        <f t="shared" si="0"/>
        <v>1</v>
      </c>
      <c r="J2" s="189">
        <f>COUNTIF(L2:O2,"&gt;0")</f>
        <v>4</v>
      </c>
      <c r="K2" s="147" t="str">
        <f>SUBSTITUTE(INDEX(T$1:W$1,1,MATCH(MAX(T2:W2),T2:W2,0)),"-fam","")</f>
        <v>Gi/o</v>
      </c>
      <c r="L2" s="20">
        <f>IF(T2=0,0,_xlfn.RANK.EQ(T2,$T2:$W2,0))</f>
        <v>2</v>
      </c>
      <c r="M2" s="19">
        <f t="shared" ref="M2:O9" si="1">IF(U2=0,0,_xlfn.RANK.EQ(U2,$T2:$W2,0))</f>
        <v>1</v>
      </c>
      <c r="N2" s="19">
        <f t="shared" si="1"/>
        <v>3</v>
      </c>
      <c r="O2" s="19">
        <f t="shared" si="1"/>
        <v>4</v>
      </c>
      <c r="P2" s="20">
        <f>T2/MAX($T2:$W2)*100</f>
        <v>95.773623127793329</v>
      </c>
      <c r="Q2" s="19">
        <f t="shared" ref="Q2:S9" si="2">U2/MAX($T2:$W2)*100</f>
        <v>100</v>
      </c>
      <c r="R2" s="19">
        <f t="shared" si="2"/>
        <v>92.000498206001254</v>
      </c>
      <c r="S2" s="19">
        <f>W2/MAX($T2:$W2)*100</f>
        <v>89.745136620193264</v>
      </c>
      <c r="T2" s="20">
        <f>AG2</f>
        <v>7.1249733479708182</v>
      </c>
      <c r="U2" s="21">
        <f>MAX(AH2:AK2)</f>
        <v>7.4393900066449135</v>
      </c>
      <c r="V2" s="21">
        <f>MAX(AL2)</f>
        <v>6.8442758696007893</v>
      </c>
      <c r="W2" s="21">
        <f>MAX(AM2:AN2)</f>
        <v>6.6764907251724823</v>
      </c>
      <c r="X2" s="147" t="str">
        <f>INDEX(AG$1:AN$1,1,MATCH(MAX(AG2:AN2),AG2:AN2,0))</f>
        <v>Gi1</v>
      </c>
      <c r="Y2" s="32">
        <f>AG2/MAX($AG2:$AN2)*100</f>
        <v>95.773623127793329</v>
      </c>
      <c r="Z2" s="31">
        <f t="shared" ref="Z2:AF2" si="3">AH2/MAX($AG2:$AN2)*100</f>
        <v>100</v>
      </c>
      <c r="AA2" s="31">
        <f t="shared" si="3"/>
        <v>0</v>
      </c>
      <c r="AB2" s="31">
        <f t="shared" si="3"/>
        <v>0</v>
      </c>
      <c r="AC2" s="31">
        <f t="shared" si="3"/>
        <v>78.706800692459638</v>
      </c>
      <c r="AD2" s="31">
        <f t="shared" si="3"/>
        <v>92.000498206001254</v>
      </c>
      <c r="AE2" s="31">
        <f t="shared" si="3"/>
        <v>89.745136620193264</v>
      </c>
      <c r="AF2" s="31">
        <f t="shared" si="3"/>
        <v>0</v>
      </c>
      <c r="AG2" s="372" cm="1">
        <f t="array" ref="AG2">_xlfn.IFS(AO2=0,0,AO2&gt;0,(LOG(AO2/10^-AW2)))</f>
        <v>7.1249733479708182</v>
      </c>
      <c r="AH2" s="351" cm="1">
        <f t="array" ref="AH2">_xlfn.IFS(AP2=0,0,AP2&gt;0,(LOG(AP2/10^-AX2)))</f>
        <v>7.4393900066449135</v>
      </c>
      <c r="AI2" s="351" cm="1">
        <f t="array" ref="AI2">_xlfn.IFS(AQ2=0,0,AQ2&gt;0,(LOG(AQ2/10^-AY2)))</f>
        <v>0</v>
      </c>
      <c r="AJ2" s="351" cm="1">
        <f t="array" ref="AJ2">_xlfn.IFS(AR2=0,0,AR2&gt;0,(LOG(AR2/10^-AZ2)))</f>
        <v>0</v>
      </c>
      <c r="AK2" s="351" cm="1">
        <f t="array" ref="AK2">_xlfn.IFS(AS2=0,0,AS2&gt;0,(LOG(AS2/10^-BA2)))</f>
        <v>5.8553058652647714</v>
      </c>
      <c r="AL2" s="351" cm="1">
        <f t="array" ref="AL2">_xlfn.IFS(AT2=0,0,AT2&gt;0,(LOG(AT2/10^-BB2)))</f>
        <v>6.8442758696007893</v>
      </c>
      <c r="AM2" s="351" cm="1">
        <f t="array" ref="AM2">_xlfn.IFS(AU2=0,0,AU2&gt;0,(LOG(AU2/10^-BC2)))</f>
        <v>6.6764907251724823</v>
      </c>
      <c r="AN2" s="351" cm="1">
        <f t="array" ref="AN2">_xlfn.IFS(AV2=0,0,AV2&gt;0,(LOG(AV2/10^-BD2)))</f>
        <v>0</v>
      </c>
      <c r="AO2" s="353">
        <v>0.26</v>
      </c>
      <c r="AP2" s="354">
        <v>8.8999999999999996E-2</v>
      </c>
      <c r="AQ2" s="354"/>
      <c r="AR2" s="354"/>
      <c r="AS2" s="354">
        <v>0.106</v>
      </c>
      <c r="AT2" s="354">
        <v>5.2999999999999999E-2</v>
      </c>
      <c r="AU2" s="354">
        <v>7.6999999999999999E-2</v>
      </c>
      <c r="AV2" s="354"/>
      <c r="AW2" s="355">
        <v>7.71</v>
      </c>
      <c r="AX2" s="356">
        <v>8.49</v>
      </c>
      <c r="AY2" s="356"/>
      <c r="AZ2" s="356"/>
      <c r="BA2" s="356">
        <v>6.83</v>
      </c>
      <c r="BB2" s="356">
        <v>8.1199999999999992</v>
      </c>
      <c r="BC2" s="356">
        <v>7.79</v>
      </c>
      <c r="BD2" s="356"/>
      <c r="BE2" s="361">
        <v>1.6E-2</v>
      </c>
      <c r="BF2" s="362">
        <v>0.01</v>
      </c>
      <c r="BG2" s="362"/>
      <c r="BH2" s="362"/>
      <c r="BI2" s="362">
        <v>1.2E-2</v>
      </c>
      <c r="BJ2" s="362">
        <v>7.0000000000000001E-3</v>
      </c>
      <c r="BK2" s="362">
        <v>5.0000000000000001E-3</v>
      </c>
      <c r="BL2" s="362"/>
      <c r="BM2" s="363">
        <v>0.11</v>
      </c>
      <c r="BN2" s="364">
        <v>0.11</v>
      </c>
      <c r="BO2" s="364"/>
      <c r="BP2" s="364"/>
      <c r="BQ2" s="364">
        <v>0.3</v>
      </c>
      <c r="BR2" s="364">
        <v>0.36</v>
      </c>
      <c r="BS2" s="364">
        <v>0.23</v>
      </c>
      <c r="BT2" s="364"/>
      <c r="BU2" s="365">
        <v>5</v>
      </c>
      <c r="BV2" s="366">
        <v>5</v>
      </c>
      <c r="BW2" s="366">
        <v>4</v>
      </c>
      <c r="BX2" s="366">
        <v>4</v>
      </c>
      <c r="BY2" s="366">
        <v>4</v>
      </c>
      <c r="BZ2" s="366">
        <v>5</v>
      </c>
      <c r="CA2" s="366">
        <v>4</v>
      </c>
      <c r="CB2" s="366">
        <v>4</v>
      </c>
      <c r="CC2" s="212" t="s">
        <v>5509</v>
      </c>
      <c r="CD2" s="239" t="s">
        <v>2719</v>
      </c>
    </row>
    <row r="3" spans="1:82" s="28" customFormat="1">
      <c r="A3" s="33" t="s">
        <v>203</v>
      </c>
      <c r="B3" s="205" t="s">
        <v>5556</v>
      </c>
      <c r="C3" t="s">
        <v>2678</v>
      </c>
      <c r="D3" s="19">
        <v>1883</v>
      </c>
      <c r="E3" t="s">
        <v>5575</v>
      </c>
      <c r="F3" s="20" t="str">
        <f t="shared" ref="F3:F9" si="4">IF(T3&gt;0,1,"")</f>
        <v/>
      </c>
      <c r="G3" s="19">
        <f t="shared" si="0"/>
        <v>1</v>
      </c>
      <c r="H3" s="19">
        <f t="shared" si="0"/>
        <v>1</v>
      </c>
      <c r="I3" s="19">
        <f t="shared" si="0"/>
        <v>1</v>
      </c>
      <c r="J3" s="189">
        <f t="shared" ref="J3:J9" si="5">COUNTIF(L3:O3,"&gt;0")</f>
        <v>3</v>
      </c>
      <c r="K3" s="147" t="str">
        <f t="shared" ref="K3:K9" si="6">SUBSTITUTE(INDEX(T$1:W$1,1,MATCH(MAX(T3:W3),T3:W3,0)),"-fam","")</f>
        <v>G12/13</v>
      </c>
      <c r="L3" s="20">
        <f t="shared" ref="L3:L9" si="7">IF(T3=0,0,_xlfn.RANK.EQ(T3,$T3:$W3,0))</f>
        <v>0</v>
      </c>
      <c r="M3" s="19">
        <f t="shared" si="1"/>
        <v>2</v>
      </c>
      <c r="N3" s="19">
        <f t="shared" si="1"/>
        <v>3</v>
      </c>
      <c r="O3" s="19">
        <f t="shared" si="1"/>
        <v>1</v>
      </c>
      <c r="P3" s="20">
        <f t="shared" ref="P3:P9" si="8">T3/MAX($T3:$W3)*100</f>
        <v>0</v>
      </c>
      <c r="Q3" s="19">
        <f t="shared" si="2"/>
        <v>84.040410075113897</v>
      </c>
      <c r="R3" s="19">
        <f t="shared" si="2"/>
        <v>73.989587436412492</v>
      </c>
      <c r="S3" s="19">
        <f t="shared" si="2"/>
        <v>100</v>
      </c>
      <c r="T3" s="20">
        <f t="shared" ref="T3:T9" si="9">AG3</f>
        <v>0</v>
      </c>
      <c r="U3" s="21">
        <f t="shared" ref="U3:U9" si="10">MAX(AH3:AK3)</f>
        <v>6.8020978579357196</v>
      </c>
      <c r="V3" s="21">
        <f t="shared" ref="V3:V9" si="11">MAX(AL3)</f>
        <v>5.9886001717619175</v>
      </c>
      <c r="W3" s="21">
        <f t="shared" ref="W3:W9" si="12">MAX(AM3:AN3)</f>
        <v>8.0938418218760706</v>
      </c>
      <c r="X3" s="147" t="str">
        <f t="shared" ref="X3:X9" si="13">INDEX(AG$1:AN$1,1,MATCH(MAX(AG3:AN3),AG3:AN3,0))</f>
        <v>G12</v>
      </c>
      <c r="Y3" s="32">
        <f t="shared" ref="Y3:Y9" si="14">AG3/MAX($AG3:$AN3)*100</f>
        <v>0</v>
      </c>
      <c r="Z3" s="31">
        <f t="shared" ref="Z3:Z9" si="15">AH3/MAX($AG3:$AN3)*100</f>
        <v>78.72726118893911</v>
      </c>
      <c r="AA3" s="31">
        <f t="shared" ref="AA3:AA9" si="16">AI3/MAX($AG3:$AN3)*100</f>
        <v>79.225587810371138</v>
      </c>
      <c r="AB3" s="31">
        <f t="shared" ref="AB3:AB9" si="17">AJ3/MAX($AG3:$AN3)*100</f>
        <v>84.040410075113897</v>
      </c>
      <c r="AC3" s="31">
        <f t="shared" ref="AC3:AC9" si="18">AK3/MAX($AG3:$AN3)*100</f>
        <v>0</v>
      </c>
      <c r="AD3" s="31">
        <f t="shared" ref="AD3:AD9" si="19">AL3/MAX($AG3:$AN3)*100</f>
        <v>73.989587436412492</v>
      </c>
      <c r="AE3" s="31">
        <f t="shared" ref="AE3:AE9" si="20">AM3/MAX($AG3:$AN3)*100</f>
        <v>100</v>
      </c>
      <c r="AF3" s="31">
        <f t="shared" ref="AF3:AF9" si="21">AN3/MAX($AG3:$AN3)*100</f>
        <v>0</v>
      </c>
      <c r="AG3" s="372" cm="1">
        <f t="array" ref="AG3">_xlfn.IFS(AO3=0,0,AO3&gt;0,(LOG(AO3/10^-AW3)))</f>
        <v>0</v>
      </c>
      <c r="AH3" s="351" cm="1">
        <f t="array" ref="AH3">_xlfn.IFS(AP3=0,0,AP3&gt;0,(LOG(AP3/10^-AX3)))</f>
        <v>6.3720599913279621</v>
      </c>
      <c r="AI3" s="351" cm="1">
        <f t="array" ref="AI3">_xlfn.IFS(AQ3=0,0,AQ3&gt;0,(LOG(AQ3/10^-AY3)))</f>
        <v>6.4123937598229688</v>
      </c>
      <c r="AJ3" s="351" cm="1">
        <f t="array" ref="AJ3">_xlfn.IFS(AR3=0,0,AR3&gt;0,(LOG(AR3/10^-AZ3)))</f>
        <v>6.8020978579357196</v>
      </c>
      <c r="AK3" s="351" cm="1">
        <f t="array" ref="AK3">_xlfn.IFS(AS3=0,0,AS3&gt;0,(LOG(AS3/10^-BA3)))</f>
        <v>0</v>
      </c>
      <c r="AL3" s="351" cm="1">
        <f t="array" ref="AL3">_xlfn.IFS(AT3=0,0,AT3&gt;0,(LOG(AT3/10^-BB3)))</f>
        <v>5.9886001717619175</v>
      </c>
      <c r="AM3" s="351" cm="1">
        <f t="array" ref="AM3">_xlfn.IFS(AU3=0,0,AU3&gt;0,(LOG(AU3/10^-BC3)))</f>
        <v>8.0938418218760706</v>
      </c>
      <c r="AN3" s="351" cm="1">
        <f t="array" ref="AN3">_xlfn.IFS(AV3=0,0,AV3&gt;0,(LOG(AV3/10^-BD3)))</f>
        <v>0</v>
      </c>
      <c r="AO3" s="353"/>
      <c r="AP3" s="354">
        <v>0.04</v>
      </c>
      <c r="AQ3" s="354">
        <v>5.3999999999999999E-2</v>
      </c>
      <c r="AR3" s="354">
        <v>4.7E-2</v>
      </c>
      <c r="AS3" s="354"/>
      <c r="AT3" s="354">
        <v>0.10199999999999999</v>
      </c>
      <c r="AU3" s="354">
        <v>0.41099999999999998</v>
      </c>
      <c r="AV3" s="354"/>
      <c r="AW3" s="355"/>
      <c r="AX3" s="356">
        <v>7.77</v>
      </c>
      <c r="AY3" s="356">
        <v>7.68</v>
      </c>
      <c r="AZ3" s="356">
        <v>8.1300000000000008</v>
      </c>
      <c r="BA3" s="356"/>
      <c r="BB3" s="356">
        <v>6.98</v>
      </c>
      <c r="BC3" s="356">
        <v>8.48</v>
      </c>
      <c r="BD3" s="356"/>
      <c r="BE3" s="361"/>
      <c r="BF3" s="362">
        <v>6.0000000000000001E-3</v>
      </c>
      <c r="BG3" s="362">
        <v>1E-3</v>
      </c>
      <c r="BH3" s="362">
        <v>4.0000000000000001E-3</v>
      </c>
      <c r="BI3" s="362"/>
      <c r="BJ3" s="362">
        <v>7.0000000000000001E-3</v>
      </c>
      <c r="BK3" s="362">
        <v>1.7999999999999999E-2</v>
      </c>
      <c r="BL3" s="362"/>
      <c r="BM3" s="363"/>
      <c r="BN3" s="364">
        <v>0.22</v>
      </c>
      <c r="BO3" s="364">
        <v>0.3</v>
      </c>
      <c r="BP3" s="364">
        <v>0.19</v>
      </c>
      <c r="BQ3" s="364"/>
      <c r="BR3" s="364">
        <v>0.28000000000000003</v>
      </c>
      <c r="BS3" s="364">
        <v>0.09</v>
      </c>
      <c r="BT3" s="364"/>
      <c r="BU3" s="365">
        <v>4</v>
      </c>
      <c r="BV3" s="366">
        <v>5</v>
      </c>
      <c r="BW3" s="366">
        <v>3</v>
      </c>
      <c r="BX3" s="366">
        <v>5</v>
      </c>
      <c r="BY3" s="366">
        <v>4</v>
      </c>
      <c r="BZ3" s="366">
        <v>4</v>
      </c>
      <c r="CA3" s="366">
        <v>5</v>
      </c>
      <c r="CB3" s="366">
        <v>5</v>
      </c>
      <c r="CC3" s="212" t="s">
        <v>5510</v>
      </c>
      <c r="CD3" s="239" t="s">
        <v>2721</v>
      </c>
    </row>
    <row r="4" spans="1:82" s="28" customFormat="1">
      <c r="A4" s="33" t="s">
        <v>204</v>
      </c>
      <c r="B4" s="205" t="s">
        <v>5556</v>
      </c>
      <c r="C4" t="s">
        <v>2678</v>
      </c>
      <c r="D4" s="19">
        <v>1883</v>
      </c>
      <c r="E4" t="s">
        <v>5575</v>
      </c>
      <c r="F4" s="20">
        <f t="shared" si="4"/>
        <v>1</v>
      </c>
      <c r="G4" s="19">
        <f t="shared" si="0"/>
        <v>1</v>
      </c>
      <c r="H4" s="19" t="str">
        <f t="shared" si="0"/>
        <v/>
      </c>
      <c r="I4" s="19">
        <f t="shared" si="0"/>
        <v>1</v>
      </c>
      <c r="J4" s="189">
        <f t="shared" si="5"/>
        <v>3</v>
      </c>
      <c r="K4" s="147" t="str">
        <f t="shared" si="6"/>
        <v>Gi/o</v>
      </c>
      <c r="L4" s="20">
        <f t="shared" si="7"/>
        <v>2</v>
      </c>
      <c r="M4" s="19">
        <f t="shared" si="1"/>
        <v>1</v>
      </c>
      <c r="N4" s="19">
        <f t="shared" si="1"/>
        <v>0</v>
      </c>
      <c r="O4" s="19">
        <f t="shared" si="1"/>
        <v>3</v>
      </c>
      <c r="P4" s="20">
        <f t="shared" si="8"/>
        <v>97.301310089373942</v>
      </c>
      <c r="Q4" s="19">
        <f t="shared" si="2"/>
        <v>100</v>
      </c>
      <c r="R4" s="19">
        <f t="shared" si="2"/>
        <v>0</v>
      </c>
      <c r="S4" s="19">
        <f t="shared" si="2"/>
        <v>81.56785733854106</v>
      </c>
      <c r="T4" s="20">
        <f t="shared" si="9"/>
        <v>7.4261280356782375</v>
      </c>
      <c r="U4" s="21">
        <f t="shared" si="10"/>
        <v>7.632094602690481</v>
      </c>
      <c r="V4" s="21">
        <f t="shared" si="11"/>
        <v>0</v>
      </c>
      <c r="W4" s="21">
        <f t="shared" si="12"/>
        <v>6.2253360374650635</v>
      </c>
      <c r="X4" s="147" t="str">
        <f t="shared" si="13"/>
        <v>Gi1</v>
      </c>
      <c r="Y4" s="32">
        <f t="shared" si="14"/>
        <v>97.301310089373942</v>
      </c>
      <c r="Z4" s="31">
        <f t="shared" si="15"/>
        <v>100</v>
      </c>
      <c r="AA4" s="31">
        <f t="shared" si="16"/>
        <v>82.460036479950958</v>
      </c>
      <c r="AB4" s="31">
        <f t="shared" si="17"/>
        <v>0</v>
      </c>
      <c r="AC4" s="31">
        <f t="shared" si="18"/>
        <v>84.692527921562714</v>
      </c>
      <c r="AD4" s="31">
        <f t="shared" si="19"/>
        <v>0</v>
      </c>
      <c r="AE4" s="31">
        <f t="shared" si="20"/>
        <v>81.56785733854106</v>
      </c>
      <c r="AF4" s="31">
        <f t="shared" si="21"/>
        <v>78.168250870074246</v>
      </c>
      <c r="AG4" s="372" cm="1">
        <f t="array" ref="AG4">_xlfn.IFS(AO4=0,0,AO4&gt;0,(LOG(AO4/10^-AW4)))</f>
        <v>7.4261280356782375</v>
      </c>
      <c r="AH4" s="351" cm="1">
        <f t="array" ref="AH4">_xlfn.IFS(AP4=0,0,AP4&gt;0,(LOG(AP4/10^-AX4)))</f>
        <v>7.632094602690481</v>
      </c>
      <c r="AI4" s="351" cm="1">
        <f t="array" ref="AI4">_xlfn.IFS(AQ4=0,0,AQ4&gt;0,(LOG(AQ4/10^-AY4)))</f>
        <v>6.2934279935629389</v>
      </c>
      <c r="AJ4" s="351" cm="1">
        <f t="array" ref="AJ4">_xlfn.IFS(AR4=0,0,AR4&gt;0,(LOG(AR4/10^-AZ4)))</f>
        <v>0</v>
      </c>
      <c r="AK4" s="351" cm="1">
        <f t="array" ref="AK4">_xlfn.IFS(AS4=0,0,AS4&gt;0,(LOG(AS4/10^-BA4)))</f>
        <v>6.4638138523837174</v>
      </c>
      <c r="AL4" s="351" cm="1">
        <f t="array" ref="AL4">_xlfn.IFS(AT4=0,0,AT4&gt;0,(LOG(AT4/10^-BB4)))</f>
        <v>0</v>
      </c>
      <c r="AM4" s="351" cm="1">
        <f t="array" ref="AM4">_xlfn.IFS(AU4=0,0,AU4&gt;0,(LOG(AU4/10^-BC4)))</f>
        <v>6.2253360374650635</v>
      </c>
      <c r="AN4" s="351" cm="1">
        <f t="array" ref="AN4">_xlfn.IFS(AV4=0,0,AV4&gt;0,(LOG(AV4/10^-BD4)))</f>
        <v>5.9658748556724923</v>
      </c>
      <c r="AO4" s="353">
        <v>0.14000000000000001</v>
      </c>
      <c r="AP4" s="354">
        <v>7.8E-2</v>
      </c>
      <c r="AQ4" s="354">
        <v>5.8000000000000003E-2</v>
      </c>
      <c r="AR4" s="354"/>
      <c r="AS4" s="354">
        <v>8.2000000000000003E-2</v>
      </c>
      <c r="AT4" s="354"/>
      <c r="AU4" s="354">
        <v>0.14299999999999999</v>
      </c>
      <c r="AV4" s="354">
        <v>5.7000000000000002E-2</v>
      </c>
      <c r="AW4" s="355">
        <v>8.2799999999999994</v>
      </c>
      <c r="AX4" s="356">
        <v>8.74</v>
      </c>
      <c r="AY4" s="356">
        <v>7.53</v>
      </c>
      <c r="AZ4" s="356"/>
      <c r="BA4" s="356">
        <v>7.55</v>
      </c>
      <c r="BB4" s="356"/>
      <c r="BC4" s="356">
        <v>7.07</v>
      </c>
      <c r="BD4" s="356">
        <v>7.21</v>
      </c>
      <c r="BE4" s="361">
        <v>6.0000000000000001E-3</v>
      </c>
      <c r="BF4" s="362">
        <v>5.0000000000000001E-3</v>
      </c>
      <c r="BG4" s="362">
        <v>1.4999999999999999E-2</v>
      </c>
      <c r="BH4" s="362"/>
      <c r="BI4" s="362">
        <v>8.9999999999999993E-3</v>
      </c>
      <c r="BJ4" s="362"/>
      <c r="BK4" s="362">
        <v>1.6E-2</v>
      </c>
      <c r="BL4" s="362">
        <v>7.0000000000000001E-3</v>
      </c>
      <c r="BM4" s="363">
        <v>0.14000000000000001</v>
      </c>
      <c r="BN4" s="364">
        <v>0.1</v>
      </c>
      <c r="BO4" s="364">
        <v>0.22</v>
      </c>
      <c r="BP4" s="364"/>
      <c r="BQ4" s="364">
        <v>0.28000000000000003</v>
      </c>
      <c r="BR4" s="364"/>
      <c r="BS4" s="364">
        <v>0.17</v>
      </c>
      <c r="BT4" s="364">
        <v>0.24</v>
      </c>
      <c r="BU4" s="365">
        <v>5</v>
      </c>
      <c r="BV4" s="366">
        <v>5</v>
      </c>
      <c r="BW4" s="366">
        <v>3</v>
      </c>
      <c r="BX4" s="366">
        <v>4</v>
      </c>
      <c r="BY4" s="366">
        <v>5</v>
      </c>
      <c r="BZ4" s="366">
        <v>4</v>
      </c>
      <c r="CA4" s="366">
        <v>5</v>
      </c>
      <c r="CB4" s="366">
        <v>5</v>
      </c>
      <c r="CC4" s="212" t="s">
        <v>5511</v>
      </c>
      <c r="CD4" s="239" t="s">
        <v>2721</v>
      </c>
    </row>
    <row r="5" spans="1:82" s="28" customFormat="1">
      <c r="A5" s="33" t="s">
        <v>205</v>
      </c>
      <c r="B5" s="205" t="s">
        <v>5556</v>
      </c>
      <c r="C5" t="s">
        <v>2678</v>
      </c>
      <c r="D5" s="19">
        <v>1883</v>
      </c>
      <c r="E5" t="s">
        <v>5575</v>
      </c>
      <c r="F5" s="20" t="str">
        <f t="shared" si="4"/>
        <v/>
      </c>
      <c r="G5" s="19">
        <f t="shared" si="0"/>
        <v>1</v>
      </c>
      <c r="H5" s="19" t="str">
        <f t="shared" si="0"/>
        <v/>
      </c>
      <c r="I5" s="19">
        <f t="shared" si="0"/>
        <v>1</v>
      </c>
      <c r="J5" s="189">
        <f t="shared" si="5"/>
        <v>2</v>
      </c>
      <c r="K5" s="147" t="str">
        <f t="shared" si="6"/>
        <v>Gi/o</v>
      </c>
      <c r="L5" s="20">
        <f t="shared" si="7"/>
        <v>0</v>
      </c>
      <c r="M5" s="19">
        <f t="shared" si="1"/>
        <v>1</v>
      </c>
      <c r="N5" s="19">
        <f t="shared" si="1"/>
        <v>0</v>
      </c>
      <c r="O5" s="19">
        <f t="shared" si="1"/>
        <v>2</v>
      </c>
      <c r="P5" s="20">
        <f t="shared" si="8"/>
        <v>0</v>
      </c>
      <c r="Q5" s="19">
        <f t="shared" si="2"/>
        <v>100</v>
      </c>
      <c r="R5" s="19">
        <f t="shared" si="2"/>
        <v>0</v>
      </c>
      <c r="S5" s="19">
        <f t="shared" si="2"/>
        <v>88.759386953250925</v>
      </c>
      <c r="T5" s="20">
        <f t="shared" si="9"/>
        <v>0</v>
      </c>
      <c r="U5" s="21">
        <f t="shared" si="10"/>
        <v>9.1264597338485292</v>
      </c>
      <c r="V5" s="21">
        <f t="shared" si="11"/>
        <v>0</v>
      </c>
      <c r="W5" s="21">
        <f t="shared" si="12"/>
        <v>8.1005897102992499</v>
      </c>
      <c r="X5" s="147" t="str">
        <f>INDEX(AG$1:AN$1,1,MATCH(MAX(AG5:AN5),AG5:AN5,0))</f>
        <v>GoA</v>
      </c>
      <c r="Y5" s="32">
        <f t="shared" si="14"/>
        <v>0</v>
      </c>
      <c r="Z5" s="31">
        <f t="shared" si="15"/>
        <v>96.173889455758172</v>
      </c>
      <c r="AA5" s="31">
        <f t="shared" si="16"/>
        <v>91.595128138851351</v>
      </c>
      <c r="AB5" s="31">
        <f t="shared" si="17"/>
        <v>87.507820842170958</v>
      </c>
      <c r="AC5" s="31">
        <f t="shared" si="18"/>
        <v>100</v>
      </c>
      <c r="AD5" s="31">
        <f t="shared" si="19"/>
        <v>0</v>
      </c>
      <c r="AE5" s="31">
        <f t="shared" si="20"/>
        <v>71.799860640520365</v>
      </c>
      <c r="AF5" s="31">
        <f t="shared" si="21"/>
        <v>88.759386953250925</v>
      </c>
      <c r="AG5" s="372" cm="1">
        <f t="array" ref="AG5">_xlfn.IFS(AO5=0,0,AO5&gt;0,(LOG(AO5/10^-AW5)))</f>
        <v>0</v>
      </c>
      <c r="AH5" s="351" cm="1">
        <f t="array" ref="AH5">_xlfn.IFS(AP5=0,0,AP5&gt;0,(LOG(AP5/10^-AX5)))</f>
        <v>8.7772712956557655</v>
      </c>
      <c r="AI5" s="351" cm="1">
        <f t="array" ref="AI5">_xlfn.IFS(AQ5=0,0,AQ5&gt;0,(LOG(AQ5/10^-AY5)))</f>
        <v>8.3593924877592318</v>
      </c>
      <c r="AJ5" s="351" cm="1">
        <f t="array" ref="AJ5">_xlfn.IFS(AR5=0,0,AR5&gt;0,(LOG(AR5/10^-AZ5)))</f>
        <v>7.9863660331290429</v>
      </c>
      <c r="AK5" s="351" cm="1">
        <f t="array" ref="AK5">_xlfn.IFS(AS5=0,0,AS5&gt;0,(LOG(AS5/10^-BA5)))</f>
        <v>9.1264597338485292</v>
      </c>
      <c r="AL5" s="351" cm="1">
        <f t="array" ref="AL5">_xlfn.IFS(AT5=0,0,AT5&gt;0,(LOG(AT5/10^-BB5)))</f>
        <v>0</v>
      </c>
      <c r="AM5" s="351" cm="1">
        <f t="array" ref="AM5">_xlfn.IFS(AU5=0,0,AU5&gt;0,(LOG(AU5/10^-BC5)))</f>
        <v>6.5527853703164496</v>
      </c>
      <c r="AN5" s="351" cm="1">
        <f t="array" ref="AN5">_xlfn.IFS(AV5=0,0,AV5&gt;0,(LOG(AV5/10^-BD5)))</f>
        <v>8.1005897102992499</v>
      </c>
      <c r="AO5" s="353"/>
      <c r="AP5" s="354">
        <v>0.13100000000000001</v>
      </c>
      <c r="AQ5" s="354">
        <v>0.28799999999999998</v>
      </c>
      <c r="AR5" s="354">
        <v>0.28599999999999998</v>
      </c>
      <c r="AS5" s="354">
        <v>0.217</v>
      </c>
      <c r="AT5" s="354"/>
      <c r="AU5" s="354">
        <v>0.121</v>
      </c>
      <c r="AV5" s="354">
        <v>0.129</v>
      </c>
      <c r="AW5" s="355"/>
      <c r="AX5" s="356">
        <v>9.66</v>
      </c>
      <c r="AY5" s="356">
        <v>8.9</v>
      </c>
      <c r="AZ5" s="356">
        <v>8.5299999999999994</v>
      </c>
      <c r="BA5" s="356">
        <v>9.7899999999999991</v>
      </c>
      <c r="BB5" s="356"/>
      <c r="BC5" s="356">
        <v>7.47</v>
      </c>
      <c r="BD5" s="356">
        <v>8.99</v>
      </c>
      <c r="BE5" s="361"/>
      <c r="BF5" s="362">
        <v>1.4999999999999999E-2</v>
      </c>
      <c r="BG5" s="362">
        <v>8.9999999999999993E-3</v>
      </c>
      <c r="BH5" s="362">
        <v>1.2E-2</v>
      </c>
      <c r="BI5" s="362">
        <v>1.6E-2</v>
      </c>
      <c r="BJ5" s="362"/>
      <c r="BK5" s="362">
        <v>5.0999999999999997E-2</v>
      </c>
      <c r="BL5" s="362">
        <v>7.0000000000000001E-3</v>
      </c>
      <c r="BM5" s="363"/>
      <c r="BN5" s="364">
        <v>0.04</v>
      </c>
      <c r="BO5" s="364">
        <v>0.11</v>
      </c>
      <c r="BP5" s="364">
        <v>0.05</v>
      </c>
      <c r="BQ5" s="364">
        <v>0.1</v>
      </c>
      <c r="BR5" s="364"/>
      <c r="BS5" s="364">
        <v>0.17</v>
      </c>
      <c r="BT5" s="364">
        <v>0.18</v>
      </c>
      <c r="BU5" s="365">
        <v>4</v>
      </c>
      <c r="BV5" s="366">
        <v>4</v>
      </c>
      <c r="BW5" s="366">
        <v>3</v>
      </c>
      <c r="BX5" s="366">
        <v>7</v>
      </c>
      <c r="BY5" s="366">
        <v>7</v>
      </c>
      <c r="BZ5" s="366">
        <v>4</v>
      </c>
      <c r="CA5" s="366">
        <v>7</v>
      </c>
      <c r="CB5" s="366">
        <v>7</v>
      </c>
      <c r="CC5" s="212" t="s">
        <v>5512</v>
      </c>
      <c r="CD5" s="239" t="s">
        <v>2721</v>
      </c>
    </row>
    <row r="6" spans="1:82" s="28" customFormat="1">
      <c r="A6" s="33" t="s">
        <v>206</v>
      </c>
      <c r="B6" s="205" t="s">
        <v>5556</v>
      </c>
      <c r="C6" t="s">
        <v>2678</v>
      </c>
      <c r="D6" s="19">
        <v>1883</v>
      </c>
      <c r="E6" t="s">
        <v>5575</v>
      </c>
      <c r="F6" s="20">
        <f t="shared" si="4"/>
        <v>1</v>
      </c>
      <c r="G6" s="19">
        <f t="shared" si="0"/>
        <v>1</v>
      </c>
      <c r="H6" s="19" t="str">
        <f t="shared" si="0"/>
        <v/>
      </c>
      <c r="I6" s="19">
        <f t="shared" si="0"/>
        <v>1</v>
      </c>
      <c r="J6" s="189">
        <f t="shared" si="5"/>
        <v>3</v>
      </c>
      <c r="K6" s="147" t="str">
        <f t="shared" si="6"/>
        <v>G12/13</v>
      </c>
      <c r="L6" s="20">
        <f t="shared" si="7"/>
        <v>3</v>
      </c>
      <c r="M6" s="19">
        <f t="shared" si="1"/>
        <v>2</v>
      </c>
      <c r="N6" s="19">
        <f t="shared" si="1"/>
        <v>0</v>
      </c>
      <c r="O6" s="19">
        <f t="shared" si="1"/>
        <v>1</v>
      </c>
      <c r="P6" s="20">
        <f t="shared" si="8"/>
        <v>82.324466075427395</v>
      </c>
      <c r="Q6" s="19">
        <f t="shared" si="2"/>
        <v>90.112810754222465</v>
      </c>
      <c r="R6" s="19">
        <f t="shared" si="2"/>
        <v>0</v>
      </c>
      <c r="S6" s="19">
        <f t="shared" si="2"/>
        <v>100</v>
      </c>
      <c r="T6" s="20">
        <f t="shared" si="9"/>
        <v>7.1130380486862954</v>
      </c>
      <c r="U6" s="21">
        <f t="shared" si="10"/>
        <v>7.7859703454569198</v>
      </c>
      <c r="V6" s="21">
        <f t="shared" si="11"/>
        <v>0</v>
      </c>
      <c r="W6" s="21">
        <f t="shared" si="12"/>
        <v>8.6402480183341623</v>
      </c>
      <c r="X6" s="147" t="str">
        <f t="shared" si="13"/>
        <v>G12</v>
      </c>
      <c r="Y6" s="32">
        <f t="shared" si="14"/>
        <v>82.324466075427395</v>
      </c>
      <c r="Z6" s="31">
        <f t="shared" si="15"/>
        <v>90.112810754222465</v>
      </c>
      <c r="AA6" s="31">
        <f t="shared" si="16"/>
        <v>89.581162426571126</v>
      </c>
      <c r="AB6" s="31">
        <f t="shared" si="17"/>
        <v>0</v>
      </c>
      <c r="AC6" s="31">
        <f t="shared" si="18"/>
        <v>81.401863062218879</v>
      </c>
      <c r="AD6" s="31">
        <f t="shared" si="19"/>
        <v>0</v>
      </c>
      <c r="AE6" s="31">
        <f t="shared" si="20"/>
        <v>100</v>
      </c>
      <c r="AF6" s="31">
        <f t="shared" si="21"/>
        <v>70.235078969974438</v>
      </c>
      <c r="AG6" s="372" cm="1">
        <f t="array" ref="AG6">_xlfn.IFS(AO6=0,0,AO6&gt;0,(LOG(AO6/10^-AW6)))</f>
        <v>7.1130380486862954</v>
      </c>
      <c r="AH6" s="351" cm="1">
        <f t="array" ref="AH6">_xlfn.IFS(AP6=0,0,AP6&gt;0,(LOG(AP6/10^-AX6)))</f>
        <v>7.7859703454569198</v>
      </c>
      <c r="AI6" s="351" cm="1">
        <f t="array" ref="AI6">_xlfn.IFS(AQ6=0,0,AQ6&gt;0,(LOG(AQ6/10^-AY6)))</f>
        <v>7.7400346113625185</v>
      </c>
      <c r="AJ6" s="351" cm="1">
        <f t="array" ref="AJ6">_xlfn.IFS(AR6=0,0,AR6&gt;0,(LOG(AR6/10^-AZ6)))</f>
        <v>0</v>
      </c>
      <c r="AK6" s="351" cm="1">
        <f t="array" ref="AK6">_xlfn.IFS(AS6=0,0,AS6&gt;0,(LOG(AS6/10^-BA6)))</f>
        <v>7.0333228601204558</v>
      </c>
      <c r="AL6" s="351" cm="1">
        <f t="array" ref="AL6">_xlfn.IFS(AT6=0,0,AT6&gt;0,(LOG(AT6/10^-BB6)))</f>
        <v>0</v>
      </c>
      <c r="AM6" s="351" cm="1">
        <f t="array" ref="AM6">_xlfn.IFS(AU6=0,0,AU6&gt;0,(LOG(AU6/10^-BC6)))</f>
        <v>8.6402480183341623</v>
      </c>
      <c r="AN6" s="351" cm="1">
        <f t="array" ref="AN6">_xlfn.IFS(AV6=0,0,AV6&gt;0,(LOG(AV6/10^-BD6)))</f>
        <v>6.0684850188786505</v>
      </c>
      <c r="AO6" s="353">
        <v>0.17499999999999999</v>
      </c>
      <c r="AP6" s="354">
        <v>0.20699999999999999</v>
      </c>
      <c r="AQ6" s="354">
        <v>0.19500000000000001</v>
      </c>
      <c r="AR6" s="354"/>
      <c r="AS6" s="354">
        <v>7.2999999999999995E-2</v>
      </c>
      <c r="AT6" s="354"/>
      <c r="AU6" s="354">
        <v>0.224</v>
      </c>
      <c r="AV6" s="354">
        <v>8.1000000000000003E-2</v>
      </c>
      <c r="AW6" s="355">
        <v>7.87</v>
      </c>
      <c r="AX6" s="356">
        <v>8.4700000000000006</v>
      </c>
      <c r="AY6" s="356">
        <v>8.4499999999999993</v>
      </c>
      <c r="AZ6" s="356"/>
      <c r="BA6" s="356">
        <v>8.17</v>
      </c>
      <c r="BB6" s="356"/>
      <c r="BC6" s="356">
        <v>9.2899999999999991</v>
      </c>
      <c r="BD6" s="356">
        <v>7.16</v>
      </c>
      <c r="BE6" s="361">
        <v>3.0000000000000001E-3</v>
      </c>
      <c r="BF6" s="362">
        <v>1.9E-2</v>
      </c>
      <c r="BG6" s="362">
        <v>2.1999999999999999E-2</v>
      </c>
      <c r="BH6" s="362"/>
      <c r="BI6" s="362">
        <v>5.0000000000000001E-3</v>
      </c>
      <c r="BJ6" s="362"/>
      <c r="BK6" s="362">
        <v>2.8000000000000001E-2</v>
      </c>
      <c r="BL6" s="362">
        <v>7.0000000000000001E-3</v>
      </c>
      <c r="BM6" s="363">
        <v>0.05</v>
      </c>
      <c r="BN6" s="364">
        <v>0.05</v>
      </c>
      <c r="BO6" s="364">
        <v>0.1</v>
      </c>
      <c r="BP6" s="364"/>
      <c r="BQ6" s="364">
        <v>0.21</v>
      </c>
      <c r="BR6" s="364"/>
      <c r="BS6" s="364">
        <v>0.08</v>
      </c>
      <c r="BT6" s="364">
        <v>0.17</v>
      </c>
      <c r="BU6" s="365">
        <v>4</v>
      </c>
      <c r="BV6" s="366">
        <v>4</v>
      </c>
      <c r="BW6" s="366">
        <v>3</v>
      </c>
      <c r="BX6" s="366">
        <v>4</v>
      </c>
      <c r="BY6" s="366">
        <v>4</v>
      </c>
      <c r="BZ6" s="366">
        <v>4</v>
      </c>
      <c r="CA6" s="366">
        <v>4</v>
      </c>
      <c r="CB6" s="366">
        <v>4</v>
      </c>
      <c r="CC6" s="212" t="s">
        <v>5513</v>
      </c>
      <c r="CD6" s="239" t="s">
        <v>2721</v>
      </c>
    </row>
    <row r="7" spans="1:82" s="28" customFormat="1">
      <c r="A7" s="33" t="s">
        <v>207</v>
      </c>
      <c r="B7" s="205" t="s">
        <v>5556</v>
      </c>
      <c r="C7" t="s">
        <v>2678</v>
      </c>
      <c r="D7" s="19">
        <v>5456</v>
      </c>
      <c r="E7" t="s">
        <v>5576</v>
      </c>
      <c r="F7" s="20" t="str">
        <f t="shared" si="4"/>
        <v/>
      </c>
      <c r="G7" s="19" t="str">
        <f t="shared" si="0"/>
        <v/>
      </c>
      <c r="H7" s="19">
        <f t="shared" si="0"/>
        <v>1</v>
      </c>
      <c r="I7" s="19">
        <f t="shared" si="0"/>
        <v>1</v>
      </c>
      <c r="J7" s="189">
        <f t="shared" si="5"/>
        <v>2</v>
      </c>
      <c r="K7" s="147" t="str">
        <f t="shared" si="6"/>
        <v>G12/13</v>
      </c>
      <c r="L7" s="20">
        <f t="shared" si="7"/>
        <v>0</v>
      </c>
      <c r="M7" s="19">
        <f t="shared" si="1"/>
        <v>0</v>
      </c>
      <c r="N7" s="19">
        <f t="shared" si="1"/>
        <v>2</v>
      </c>
      <c r="O7" s="19">
        <f t="shared" si="1"/>
        <v>1</v>
      </c>
      <c r="P7" s="20">
        <f t="shared" si="8"/>
        <v>0</v>
      </c>
      <c r="Q7" s="19">
        <f t="shared" si="2"/>
        <v>0</v>
      </c>
      <c r="R7" s="19">
        <f t="shared" si="2"/>
        <v>96.347383018343677</v>
      </c>
      <c r="S7" s="19">
        <f t="shared" si="2"/>
        <v>100</v>
      </c>
      <c r="T7" s="20">
        <f t="shared" si="9"/>
        <v>0</v>
      </c>
      <c r="U7" s="21">
        <f t="shared" si="10"/>
        <v>0</v>
      </c>
      <c r="V7" s="21">
        <f t="shared" si="11"/>
        <v>6.1460748027008272</v>
      </c>
      <c r="W7" s="21">
        <f t="shared" si="12"/>
        <v>6.3790780923760737</v>
      </c>
      <c r="X7" s="147" t="str">
        <f t="shared" si="13"/>
        <v>G12</v>
      </c>
      <c r="Y7" s="32">
        <f t="shared" si="14"/>
        <v>0</v>
      </c>
      <c r="Z7" s="31">
        <f t="shared" si="15"/>
        <v>0</v>
      </c>
      <c r="AA7" s="31">
        <f t="shared" si="16"/>
        <v>0</v>
      </c>
      <c r="AB7" s="31">
        <f t="shared" si="17"/>
        <v>0</v>
      </c>
      <c r="AC7" s="31">
        <f t="shared" si="18"/>
        <v>0</v>
      </c>
      <c r="AD7" s="31">
        <f t="shared" si="19"/>
        <v>96.347383018343677</v>
      </c>
      <c r="AE7" s="31">
        <f t="shared" si="20"/>
        <v>100</v>
      </c>
      <c r="AF7" s="31">
        <f t="shared" si="21"/>
        <v>97.549485075573472</v>
      </c>
      <c r="AG7" s="372" cm="1">
        <f t="array" ref="AG7">_xlfn.IFS(AO7=0,0,AO7&gt;0,(LOG(AO7/10^-AW7)))</f>
        <v>0</v>
      </c>
      <c r="AH7" s="351" cm="1">
        <f t="array" ref="AH7">_xlfn.IFS(AP7=0,0,AP7&gt;0,(LOG(AP7/10^-AX7)))</f>
        <v>0</v>
      </c>
      <c r="AI7" s="351" cm="1">
        <f t="array" ref="AI7">_xlfn.IFS(AQ7=0,0,AQ7&gt;0,(LOG(AQ7/10^-AY7)))</f>
        <v>0</v>
      </c>
      <c r="AJ7" s="351" cm="1">
        <f t="array" ref="AJ7">_xlfn.IFS(AR7=0,0,AR7&gt;0,(LOG(AR7/10^-AZ7)))</f>
        <v>0</v>
      </c>
      <c r="AK7" s="351" cm="1">
        <f t="array" ref="AK7">_xlfn.IFS(AS7=0,0,AS7&gt;0,(LOG(AS7/10^-BA7)))</f>
        <v>0</v>
      </c>
      <c r="AL7" s="351" cm="1">
        <f t="array" ref="AL7">_xlfn.IFS(AT7=0,0,AT7&gt;0,(LOG(AT7/10^-BB7)))</f>
        <v>6.1460748027008272</v>
      </c>
      <c r="AM7" s="351" cm="1">
        <f t="array" ref="AM7">_xlfn.IFS(AU7=0,0,AU7&gt;0,(LOG(AU7/10^-BC7)))</f>
        <v>6.3790780923760737</v>
      </c>
      <c r="AN7" s="351" cm="1">
        <f t="array" ref="AN7">_xlfn.IFS(AV7=0,0,AV7&gt;0,(LOG(AV7/10^-BD7)))</f>
        <v>6.2227578316815748</v>
      </c>
      <c r="AO7" s="353"/>
      <c r="AP7" s="354"/>
      <c r="AQ7" s="354"/>
      <c r="AR7" s="354"/>
      <c r="AS7" s="354"/>
      <c r="AT7" s="354">
        <v>6.7000000000000004E-2</v>
      </c>
      <c r="AU7" s="354">
        <v>8.3000000000000004E-2</v>
      </c>
      <c r="AV7" s="354">
        <v>4.5999999999999999E-2</v>
      </c>
      <c r="AW7" s="355"/>
      <c r="AX7" s="356"/>
      <c r="AY7" s="356"/>
      <c r="AZ7" s="356"/>
      <c r="BA7" s="356"/>
      <c r="BB7" s="356">
        <v>7.32</v>
      </c>
      <c r="BC7" s="356">
        <v>7.46</v>
      </c>
      <c r="BD7" s="356">
        <v>7.56</v>
      </c>
      <c r="BE7" s="361"/>
      <c r="BF7" s="362"/>
      <c r="BG7" s="362"/>
      <c r="BH7" s="362"/>
      <c r="BI7" s="362"/>
      <c r="BJ7" s="362">
        <v>8.9999999999999993E-3</v>
      </c>
      <c r="BK7" s="362">
        <v>8.9999999999999993E-3</v>
      </c>
      <c r="BL7" s="362">
        <v>3.0000000000000001E-3</v>
      </c>
      <c r="BM7" s="363"/>
      <c r="BN7" s="364"/>
      <c r="BO7" s="364"/>
      <c r="BP7" s="364"/>
      <c r="BQ7" s="364"/>
      <c r="BR7" s="364">
        <v>0.2</v>
      </c>
      <c r="BS7" s="364">
        <v>0.11</v>
      </c>
      <c r="BT7" s="364">
        <v>0.21</v>
      </c>
      <c r="BU7" s="365">
        <v>5</v>
      </c>
      <c r="BV7" s="366">
        <v>5</v>
      </c>
      <c r="BW7" s="366">
        <v>5</v>
      </c>
      <c r="BX7" s="366">
        <v>5</v>
      </c>
      <c r="BY7" s="366">
        <v>5</v>
      </c>
      <c r="BZ7" s="366">
        <v>5</v>
      </c>
      <c r="CA7" s="366">
        <v>5</v>
      </c>
      <c r="CB7" s="366">
        <v>5</v>
      </c>
      <c r="CC7" s="212" t="s">
        <v>2547</v>
      </c>
      <c r="CD7" s="239" t="s">
        <v>5577</v>
      </c>
    </row>
    <row r="8" spans="1:82" s="28" customFormat="1">
      <c r="A8" s="33" t="s">
        <v>208</v>
      </c>
      <c r="B8" s="205" t="s">
        <v>5556</v>
      </c>
      <c r="C8" t="s">
        <v>2678</v>
      </c>
      <c r="D8" s="19">
        <v>1895</v>
      </c>
      <c r="E8" t="s">
        <v>5576</v>
      </c>
      <c r="F8" s="20">
        <f t="shared" si="4"/>
        <v>1</v>
      </c>
      <c r="G8" s="19">
        <f t="shared" si="0"/>
        <v>1</v>
      </c>
      <c r="H8" s="19">
        <f t="shared" si="0"/>
        <v>1</v>
      </c>
      <c r="I8" s="19">
        <f t="shared" si="0"/>
        <v>1</v>
      </c>
      <c r="J8" s="189">
        <f t="shared" si="5"/>
        <v>4</v>
      </c>
      <c r="K8" s="147" t="str">
        <f t="shared" si="6"/>
        <v>G12/13</v>
      </c>
      <c r="L8" s="20">
        <f t="shared" si="7"/>
        <v>2</v>
      </c>
      <c r="M8" s="19">
        <f t="shared" si="1"/>
        <v>3</v>
      </c>
      <c r="N8" s="19">
        <f t="shared" si="1"/>
        <v>4</v>
      </c>
      <c r="O8" s="19">
        <f t="shared" si="1"/>
        <v>1</v>
      </c>
      <c r="P8" s="20">
        <f t="shared" si="8"/>
        <v>99.010128883264272</v>
      </c>
      <c r="Q8" s="19">
        <f t="shared" si="2"/>
        <v>97.569215910354075</v>
      </c>
      <c r="R8" s="19">
        <f t="shared" si="2"/>
        <v>95.856522418341186</v>
      </c>
      <c r="S8" s="19">
        <f t="shared" si="2"/>
        <v>100</v>
      </c>
      <c r="T8" s="20">
        <f t="shared" si="9"/>
        <v>8.6241084391474008</v>
      </c>
      <c r="U8" s="21">
        <f t="shared" si="10"/>
        <v>8.4986001717619182</v>
      </c>
      <c r="V8" s="21">
        <f t="shared" si="11"/>
        <v>8.3494189257142946</v>
      </c>
      <c r="W8" s="21">
        <f t="shared" si="12"/>
        <v>8.7103294747908748</v>
      </c>
      <c r="X8" s="147" t="str">
        <f t="shared" si="13"/>
        <v>G12</v>
      </c>
      <c r="Y8" s="32">
        <f t="shared" si="14"/>
        <v>99.010128883264272</v>
      </c>
      <c r="Z8" s="31">
        <f t="shared" si="15"/>
        <v>97.569215910354075</v>
      </c>
      <c r="AA8" s="31">
        <f t="shared" si="16"/>
        <v>96.715543698093953</v>
      </c>
      <c r="AB8" s="31">
        <f t="shared" si="17"/>
        <v>0</v>
      </c>
      <c r="AC8" s="31">
        <f t="shared" si="18"/>
        <v>82.939702736745119</v>
      </c>
      <c r="AD8" s="31">
        <f t="shared" si="19"/>
        <v>95.856522418341186</v>
      </c>
      <c r="AE8" s="31">
        <f t="shared" si="20"/>
        <v>100</v>
      </c>
      <c r="AF8" s="31">
        <f t="shared" si="21"/>
        <v>90.669671154776324</v>
      </c>
      <c r="AG8" s="372" cm="1">
        <f t="array" ref="AG8">_xlfn.IFS(AO8=0,0,AO8&gt;0,(LOG(AO8/10^-AW8)))</f>
        <v>8.6241084391474008</v>
      </c>
      <c r="AH8" s="351" cm="1">
        <f t="array" ref="AH8">_xlfn.IFS(AP8=0,0,AP8&gt;0,(LOG(AP8/10^-AX8)))</f>
        <v>8.4986001717619182</v>
      </c>
      <c r="AI8" s="351" cm="1">
        <f t="array" ref="AI8">_xlfn.IFS(AQ8=0,0,AQ8&gt;0,(LOG(AQ8/10^-AY8)))</f>
        <v>8.4242425094393258</v>
      </c>
      <c r="AJ8" s="351" cm="1">
        <f t="array" ref="AJ8">_xlfn.IFS(AR8=0,0,AR8&gt;0,(LOG(AR8/10^-AZ8)))</f>
        <v>0</v>
      </c>
      <c r="AK8" s="351" cm="1">
        <f t="array" ref="AK8">_xlfn.IFS(AS8=0,0,AS8&gt;0,(LOG(AS8/10^-BA8)))</f>
        <v>7.2243213737826437</v>
      </c>
      <c r="AL8" s="351" cm="1">
        <f t="array" ref="AL8">_xlfn.IFS(AT8=0,0,AT8&gt;0,(LOG(AT8/10^-BB8)))</f>
        <v>8.3494189257142946</v>
      </c>
      <c r="AM8" s="351" cm="1">
        <f t="array" ref="AM8">_xlfn.IFS(AU8=0,0,AU8&gt;0,(LOG(AU8/10^-BC8)))</f>
        <v>8.7103294747908748</v>
      </c>
      <c r="AN8" s="351" cm="1">
        <f t="array" ref="AN8">_xlfn.IFS(AV8=0,0,AV8&gt;0,(LOG(AV8/10^-BD8)))</f>
        <v>7.8976270912904418</v>
      </c>
      <c r="AO8" s="353">
        <v>0.22600000000000001</v>
      </c>
      <c r="AP8" s="354">
        <v>0.10199999999999999</v>
      </c>
      <c r="AQ8" s="354">
        <v>0.09</v>
      </c>
      <c r="AR8" s="354"/>
      <c r="AS8" s="354">
        <v>0.10100000000000001</v>
      </c>
      <c r="AT8" s="354">
        <v>8.5000000000000006E-2</v>
      </c>
      <c r="AU8" s="354">
        <v>0.34699999999999998</v>
      </c>
      <c r="AV8" s="354">
        <v>7.9000000000000001E-2</v>
      </c>
      <c r="AW8" s="355">
        <v>9.27</v>
      </c>
      <c r="AX8" s="356">
        <v>9.49</v>
      </c>
      <c r="AY8" s="356">
        <v>9.4700000000000006</v>
      </c>
      <c r="AZ8" s="356"/>
      <c r="BA8" s="356">
        <v>8.2200000000000006</v>
      </c>
      <c r="BB8" s="356">
        <v>9.42</v>
      </c>
      <c r="BC8" s="356">
        <v>9.17</v>
      </c>
      <c r="BD8" s="356">
        <v>9</v>
      </c>
      <c r="BE8" s="361">
        <v>3.0000000000000001E-3</v>
      </c>
      <c r="BF8" s="362">
        <v>8.9999999999999993E-3</v>
      </c>
      <c r="BG8" s="362">
        <v>1.0999999999999999E-2</v>
      </c>
      <c r="BH8" s="362"/>
      <c r="BI8" s="362">
        <v>1.4999999999999999E-2</v>
      </c>
      <c r="BJ8" s="362">
        <v>8.9999999999999993E-3</v>
      </c>
      <c r="BK8" s="362">
        <v>3.7999999999999999E-2</v>
      </c>
      <c r="BL8" s="362">
        <v>4.0000000000000001E-3</v>
      </c>
      <c r="BM8" s="363">
        <v>0.05</v>
      </c>
      <c r="BN8" s="364">
        <v>0.21</v>
      </c>
      <c r="BO8" s="364">
        <v>0.28999999999999998</v>
      </c>
      <c r="BP8" s="364"/>
      <c r="BQ8" s="364">
        <v>0.19</v>
      </c>
      <c r="BR8" s="364">
        <v>0.27</v>
      </c>
      <c r="BS8" s="364">
        <v>0.11</v>
      </c>
      <c r="BT8" s="364">
        <v>0.19</v>
      </c>
      <c r="BU8" s="365">
        <v>5</v>
      </c>
      <c r="BV8" s="366">
        <v>4</v>
      </c>
      <c r="BW8" s="366">
        <v>3</v>
      </c>
      <c r="BX8" s="366">
        <v>4</v>
      </c>
      <c r="BY8" s="366">
        <v>4</v>
      </c>
      <c r="BZ8" s="366">
        <v>4</v>
      </c>
      <c r="CA8" s="366">
        <v>5</v>
      </c>
      <c r="CB8" s="366">
        <v>5</v>
      </c>
      <c r="CC8" s="212" t="s">
        <v>2546</v>
      </c>
      <c r="CD8" s="239" t="s">
        <v>554</v>
      </c>
    </row>
    <row r="9" spans="1:82" s="28" customFormat="1">
      <c r="A9" s="33" t="s">
        <v>209</v>
      </c>
      <c r="B9" s="205" t="s">
        <v>5556</v>
      </c>
      <c r="C9" t="s">
        <v>2678</v>
      </c>
      <c r="D9" s="19">
        <v>1888</v>
      </c>
      <c r="E9" t="s">
        <v>5576</v>
      </c>
      <c r="F9" s="20" t="str">
        <f t="shared" si="4"/>
        <v/>
      </c>
      <c r="G9" s="19" t="str">
        <f t="shared" si="0"/>
        <v/>
      </c>
      <c r="H9" s="19">
        <f t="shared" si="0"/>
        <v>1</v>
      </c>
      <c r="I9" s="19">
        <f t="shared" si="0"/>
        <v>1</v>
      </c>
      <c r="J9" s="189">
        <f t="shared" si="5"/>
        <v>2</v>
      </c>
      <c r="K9" s="147" t="str">
        <f t="shared" si="6"/>
        <v>G12/13</v>
      </c>
      <c r="L9" s="20">
        <f t="shared" si="7"/>
        <v>0</v>
      </c>
      <c r="M9" s="19">
        <f t="shared" si="1"/>
        <v>0</v>
      </c>
      <c r="N9" s="19">
        <f t="shared" si="1"/>
        <v>2</v>
      </c>
      <c r="O9" s="19">
        <f t="shared" si="1"/>
        <v>1</v>
      </c>
      <c r="P9" s="20">
        <f t="shared" si="8"/>
        <v>0</v>
      </c>
      <c r="Q9" s="19">
        <f t="shared" si="2"/>
        <v>0</v>
      </c>
      <c r="R9" s="19">
        <f t="shared" si="2"/>
        <v>82.176222951041339</v>
      </c>
      <c r="S9" s="19">
        <f t="shared" si="2"/>
        <v>100</v>
      </c>
      <c r="T9" s="20">
        <f t="shared" si="9"/>
        <v>0</v>
      </c>
      <c r="U9" s="21">
        <f t="shared" si="10"/>
        <v>0</v>
      </c>
      <c r="V9" s="21">
        <f t="shared" si="11"/>
        <v>7.1578017299302275</v>
      </c>
      <c r="W9" s="21">
        <f t="shared" si="12"/>
        <v>8.710307523131938</v>
      </c>
      <c r="X9" s="147" t="str">
        <f t="shared" si="13"/>
        <v>G12</v>
      </c>
      <c r="Y9" s="32">
        <f t="shared" si="14"/>
        <v>0</v>
      </c>
      <c r="Z9" s="31">
        <f t="shared" si="15"/>
        <v>0</v>
      </c>
      <c r="AA9" s="31">
        <f t="shared" si="16"/>
        <v>0</v>
      </c>
      <c r="AB9" s="31">
        <f t="shared" si="17"/>
        <v>0</v>
      </c>
      <c r="AC9" s="31">
        <f t="shared" si="18"/>
        <v>0</v>
      </c>
      <c r="AD9" s="31">
        <f t="shared" si="19"/>
        <v>82.176222951041339</v>
      </c>
      <c r="AE9" s="31">
        <f t="shared" si="20"/>
        <v>100</v>
      </c>
      <c r="AF9" s="31">
        <f t="shared" si="21"/>
        <v>94.921273732796749</v>
      </c>
      <c r="AG9" s="372" cm="1">
        <f t="array" ref="AG9">_xlfn.IFS(AO9=0,0,AO9&gt;0,(LOG(AO9/10^-AW9)))</f>
        <v>0</v>
      </c>
      <c r="AH9" s="351" cm="1">
        <f t="array" ref="AH9">_xlfn.IFS(AP9=0,0,AP9&gt;0,(LOG(AP9/10^-AX9)))</f>
        <v>0</v>
      </c>
      <c r="AI9" s="351" cm="1">
        <f t="array" ref="AI9">_xlfn.IFS(AQ9=0,0,AQ9&gt;0,(LOG(AQ9/10^-AY9)))</f>
        <v>0</v>
      </c>
      <c r="AJ9" s="351" cm="1">
        <f t="array" ref="AJ9">_xlfn.IFS(AR9=0,0,AR9&gt;0,(LOG(AR9/10^-AZ9)))</f>
        <v>0</v>
      </c>
      <c r="AK9" s="351" cm="1">
        <f t="array" ref="AK9">_xlfn.IFS(AS9=0,0,AS9&gt;0,(LOG(AS9/10^-BA9)))</f>
        <v>0</v>
      </c>
      <c r="AL9" s="351" cm="1">
        <f t="array" ref="AL9">_xlfn.IFS(AT9=0,0,AT9&gt;0,(LOG(AT9/10^-BB9)))</f>
        <v>7.1578017299302275</v>
      </c>
      <c r="AM9" s="351" cm="1">
        <f t="array" ref="AM9">_xlfn.IFS(AU9=0,0,AU9&gt;0,(LOG(AU9/10^-BC9)))</f>
        <v>8.710307523131938</v>
      </c>
      <c r="AN9" s="351" cm="1">
        <f t="array" ref="AN9">_xlfn.IFS(AV9=0,0,AV9&gt;0,(LOG(AV9/10^-BD9)))</f>
        <v>8.2679348470004559</v>
      </c>
      <c r="AO9" s="353"/>
      <c r="AP9" s="354"/>
      <c r="AQ9" s="354"/>
      <c r="AR9" s="354"/>
      <c r="AS9" s="354"/>
      <c r="AT9" s="354">
        <v>0.19400000000000001</v>
      </c>
      <c r="AU9" s="354">
        <v>0.44700000000000001</v>
      </c>
      <c r="AV9" s="354">
        <v>0.22800000000000001</v>
      </c>
      <c r="AW9" s="355"/>
      <c r="AX9" s="356"/>
      <c r="AY9" s="356"/>
      <c r="AZ9" s="356"/>
      <c r="BA9" s="356"/>
      <c r="BB9" s="356">
        <v>7.87</v>
      </c>
      <c r="BC9" s="356">
        <v>9.06</v>
      </c>
      <c r="BD9" s="356">
        <v>8.91</v>
      </c>
      <c r="BE9" s="361"/>
      <c r="BF9" s="362"/>
      <c r="BG9" s="362"/>
      <c r="BH9" s="362"/>
      <c r="BI9" s="362"/>
      <c r="BJ9" s="362">
        <v>6.0000000000000001E-3</v>
      </c>
      <c r="BK9" s="362">
        <v>3.5999999999999997E-2</v>
      </c>
      <c r="BL9" s="362">
        <v>3.0000000000000001E-3</v>
      </c>
      <c r="BM9" s="363"/>
      <c r="BN9" s="364"/>
      <c r="BO9" s="364"/>
      <c r="BP9" s="364"/>
      <c r="BQ9" s="364"/>
      <c r="BR9" s="364">
        <v>0.05</v>
      </c>
      <c r="BS9" s="364">
        <v>0.04</v>
      </c>
      <c r="BT9" s="364">
        <v>0.06</v>
      </c>
      <c r="BU9" s="365">
        <v>5</v>
      </c>
      <c r="BV9" s="366">
        <v>5</v>
      </c>
      <c r="BW9" s="366">
        <v>5</v>
      </c>
      <c r="BX9" s="366">
        <v>5</v>
      </c>
      <c r="BY9" s="366">
        <v>5</v>
      </c>
      <c r="BZ9" s="366">
        <v>5</v>
      </c>
      <c r="CA9" s="366">
        <v>5</v>
      </c>
      <c r="CB9" s="366">
        <v>5</v>
      </c>
      <c r="CC9" s="212" t="s">
        <v>2537</v>
      </c>
      <c r="CD9" s="239" t="s">
        <v>567</v>
      </c>
    </row>
    <row r="10" spans="1:82">
      <c r="B10" s="28"/>
    </row>
    <row r="11" spans="1:82">
      <c r="B11" s="28"/>
    </row>
    <row r="12" spans="1:82">
      <c r="B12" s="28"/>
    </row>
    <row r="13" spans="1:82">
      <c r="B13" s="28"/>
    </row>
    <row r="14" spans="1:82">
      <c r="B14" s="28"/>
    </row>
    <row r="15" spans="1:82">
      <c r="B15" s="28"/>
    </row>
    <row r="16" spans="1:82">
      <c r="B16" s="28"/>
    </row>
    <row r="17" spans="2:2">
      <c r="B17" s="28"/>
    </row>
    <row r="18" spans="2:2">
      <c r="B18" s="28"/>
    </row>
    <row r="19" spans="2:2">
      <c r="B19" s="28"/>
    </row>
    <row r="20" spans="2:2">
      <c r="B20" s="28"/>
    </row>
    <row r="21" spans="2:2">
      <c r="B21" s="28"/>
    </row>
    <row r="22" spans="2:2">
      <c r="B22" s="28"/>
    </row>
    <row r="23" spans="2:2">
      <c r="B23" s="28"/>
    </row>
    <row r="24" spans="2:2">
      <c r="B24" s="28"/>
    </row>
    <row r="25" spans="2:2">
      <c r="B25" s="28"/>
    </row>
    <row r="26" spans="2:2">
      <c r="B26" s="28"/>
    </row>
    <row r="27" spans="2:2">
      <c r="B27" s="28"/>
    </row>
    <row r="28" spans="2:2">
      <c r="B28" s="28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  <row r="40" spans="2:2">
      <c r="B40" s="28"/>
    </row>
    <row r="41" spans="2:2">
      <c r="B41" s="28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  <row r="56" spans="2:2">
      <c r="B56" s="28"/>
    </row>
    <row r="57" spans="2:2">
      <c r="B57" s="28"/>
    </row>
    <row r="58" spans="2:2">
      <c r="B58" s="28"/>
    </row>
    <row r="59" spans="2:2">
      <c r="B59" s="28"/>
    </row>
    <row r="60" spans="2:2">
      <c r="B60" s="28"/>
    </row>
    <row r="61" spans="2:2">
      <c r="B61" s="28"/>
    </row>
    <row r="62" spans="2:2">
      <c r="B62" s="28"/>
    </row>
    <row r="63" spans="2:2">
      <c r="B63" s="28"/>
    </row>
    <row r="64" spans="2:2">
      <c r="B64" s="28"/>
    </row>
    <row r="65" spans="2:2">
      <c r="B65" s="28"/>
    </row>
    <row r="66" spans="2:2">
      <c r="B66" s="28"/>
    </row>
    <row r="67" spans="2:2">
      <c r="B67" s="28"/>
    </row>
    <row r="68" spans="2:2">
      <c r="B68" s="28"/>
    </row>
    <row r="69" spans="2:2">
      <c r="B69" s="28"/>
    </row>
    <row r="70" spans="2:2">
      <c r="B70" s="28"/>
    </row>
    <row r="71" spans="2:2">
      <c r="B71" s="28"/>
    </row>
    <row r="72" spans="2:2">
      <c r="B72" s="28"/>
    </row>
    <row r="73" spans="2:2">
      <c r="B73" s="28"/>
    </row>
    <row r="74" spans="2:2">
      <c r="B74" s="28"/>
    </row>
    <row r="75" spans="2:2">
      <c r="B75" s="28"/>
    </row>
    <row r="76" spans="2:2">
      <c r="B76" s="28"/>
    </row>
    <row r="77" spans="2:2">
      <c r="B77" s="28"/>
    </row>
    <row r="78" spans="2:2">
      <c r="B78" s="28"/>
    </row>
    <row r="79" spans="2:2">
      <c r="B79" s="28"/>
    </row>
    <row r="80" spans="2:2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  <row r="96" spans="2:2">
      <c r="B96" s="28"/>
    </row>
    <row r="97" spans="2:2">
      <c r="B97" s="28"/>
    </row>
    <row r="98" spans="2:2">
      <c r="B98" s="28"/>
    </row>
    <row r="99" spans="2:2">
      <c r="B99" s="28"/>
    </row>
    <row r="100" spans="2:2">
      <c r="B100" s="28"/>
    </row>
    <row r="101" spans="2:2">
      <c r="B101" s="28"/>
    </row>
  </sheetData>
  <phoneticPr fontId="50" type="noConversion"/>
  <conditionalFormatting sqref="L1:O1048576">
    <cfRule type="cellIs" dxfId="10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7B74-D652-8E45-8686-E371FE03130B}">
  <sheetPr>
    <tabColor rgb="FF0070C0"/>
  </sheetPr>
  <dimension ref="A1:O101"/>
  <sheetViews>
    <sheetView zoomScale="116" zoomScaleNormal="100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sqref="A1:A1048576"/>
    </sheetView>
  </sheetViews>
  <sheetFormatPr baseColWidth="10" defaultColWidth="10.83203125" defaultRowHeight="16"/>
  <cols>
    <col min="1" max="1" width="7.33203125" style="12" bestFit="1" customWidth="1"/>
    <col min="2" max="2" width="4.33203125" style="23" bestFit="1" customWidth="1"/>
    <col min="3" max="3" width="7.1640625" style="9" bestFit="1" customWidth="1"/>
    <col min="4" max="4" width="5.33203125" style="9" bestFit="1" customWidth="1"/>
    <col min="5" max="5" width="11.6640625" style="9" bestFit="1" customWidth="1"/>
    <col min="6" max="6" width="5.33203125" style="1" bestFit="1" customWidth="1"/>
    <col min="7" max="7" width="5.33203125" bestFit="1" customWidth="1"/>
    <col min="8" max="8" width="6.33203125" bestFit="1" customWidth="1"/>
    <col min="9" max="9" width="7.33203125" bestFit="1" customWidth="1"/>
    <col min="10" max="10" width="4.6640625" style="8" bestFit="1" customWidth="1"/>
    <col min="11" max="11" width="5.83203125" style="17" bestFit="1" customWidth="1"/>
    <col min="12" max="12" width="6.1640625" style="15" bestFit="1" customWidth="1"/>
    <col min="13" max="13" width="6.1640625" style="15" customWidth="1"/>
    <col min="14" max="14" width="9" style="325" customWidth="1"/>
    <col min="15" max="15" width="7.83203125" style="326" customWidth="1"/>
    <col min="16" max="16384" width="10.83203125" style="18"/>
  </cols>
  <sheetData>
    <row r="1" spans="1:15" s="104" customFormat="1" ht="68" customHeight="1">
      <c r="A1" s="323" t="s">
        <v>254</v>
      </c>
      <c r="B1" s="218" t="s">
        <v>5530</v>
      </c>
      <c r="C1" s="158" t="s">
        <v>5403</v>
      </c>
      <c r="D1" s="150" t="s">
        <v>5404</v>
      </c>
      <c r="E1" s="158" t="s">
        <v>5199</v>
      </c>
      <c r="F1" s="161" t="s">
        <v>5407</v>
      </c>
      <c r="G1" s="166" t="s">
        <v>5408</v>
      </c>
      <c r="H1" s="166" t="s">
        <v>5409</v>
      </c>
      <c r="I1" s="162" t="s">
        <v>5410</v>
      </c>
      <c r="J1" s="151" t="s">
        <v>2853</v>
      </c>
      <c r="K1" s="110" t="s">
        <v>2786</v>
      </c>
      <c r="L1" s="107" t="s">
        <v>2801</v>
      </c>
      <c r="M1" s="107"/>
      <c r="N1" s="324" t="s">
        <v>580</v>
      </c>
      <c r="O1" s="324" t="s">
        <v>581</v>
      </c>
    </row>
    <row r="2" spans="1:15">
      <c r="A2" s="12" t="s">
        <v>148</v>
      </c>
      <c r="B2" s="205" t="s">
        <v>5556</v>
      </c>
      <c r="C2" s="9" t="str">
        <f>IF(VLOOKUP($A2,'I-Ligands'!$A:$G,5,FALSE)="","",VLOOKUP($A2,'I-Ligands'!$A:$G,5,FALSE))</f>
        <v>Guide to Pharmacology</v>
      </c>
      <c r="D2" s="9">
        <f>IF(VLOOKUP($A2,'I-Ligands'!$A:$G,6,FALSE)="","",VLOOKUP($A2,'I-Ligands'!$A:$G,6,FALSE))</f>
        <v>2906</v>
      </c>
      <c r="E2" s="9" t="str">
        <f>IF(VLOOKUP($A2,'I-Ligands'!$A:$G,7,FALSE)="","",VLOOKUP($A2,'I-Ligands'!$A:$G,7,FALSE))</f>
        <v>Phys</v>
      </c>
      <c r="F2" s="20"/>
      <c r="G2" s="19"/>
      <c r="H2" s="19">
        <f>IF(J2&gt;0,1,"")</f>
        <v>1</v>
      </c>
      <c r="I2" s="19"/>
      <c r="J2" s="8" cm="1">
        <f t="array" ref="J2">_xlfn.IFS(K2=0,0,K2&gt;0,(LOG(0.01*K2/10^-L2)))</f>
        <v>7.0310678622717369</v>
      </c>
      <c r="K2" s="17">
        <v>23.5</v>
      </c>
      <c r="L2" s="15">
        <v>7.66</v>
      </c>
      <c r="N2" s="325" t="str">
        <f>IF(VLOOKUP($A2,'I-Ligands'!$A:$G,3,FALSE)="","",VLOOKUP($A2,'I-Ligands'!$A:$G,3,FALSE))</f>
        <v>Lysophosphatidic acid</v>
      </c>
      <c r="O2" s="326" t="str">
        <f>IF(VLOOKUP($A2,'I-Ligands'!$A:$G,4,FALSE)="","",VLOOKUP($A2,'I-Ligands'!$A:$G,4,FALSE))</f>
        <v>1-oleoyl-2-hydroxy-sn-glycero-3-phosphate, sodium salt</v>
      </c>
    </row>
    <row r="3" spans="1:15">
      <c r="A3" s="12" t="s">
        <v>198</v>
      </c>
      <c r="B3" s="205" t="s">
        <v>5556</v>
      </c>
      <c r="C3" s="9" t="str">
        <f>IF(VLOOKUP($A3,'I-Ligands'!$A:$G,5,FALSE)="","",VLOOKUP($A3,'I-Ligands'!$A:$G,5,FALSE))</f>
        <v>Guide to Pharmacology</v>
      </c>
      <c r="D3" s="9">
        <f>IF(VLOOKUP($A3,'I-Ligands'!$A:$G,6,FALSE)="","",VLOOKUP($A3,'I-Ligands'!$A:$G,6,FALSE))</f>
        <v>4448</v>
      </c>
      <c r="E3" s="9" t="str">
        <f>IF(VLOOKUP($A3,'I-Ligands'!$A:$G,7,FALSE)="","",VLOOKUP($A3,'I-Ligands'!$A:$G,7,FALSE))</f>
        <v>Phys</v>
      </c>
      <c r="F3" s="20"/>
      <c r="G3" s="19"/>
      <c r="H3" s="19">
        <f t="shared" ref="H3:H54" si="0">IF(J3&gt;0,1,"")</f>
        <v>1</v>
      </c>
      <c r="I3" s="19"/>
      <c r="J3" s="8" cm="1">
        <f t="array" ref="J3">_xlfn.IFS(K3=0,0,K3&gt;0,(LOG(0.01*K3/10^-L3)))</f>
        <v>7.0673173347481768</v>
      </c>
      <c r="K3" s="17">
        <v>14.7</v>
      </c>
      <c r="L3" s="15">
        <v>7.9</v>
      </c>
      <c r="N3" s="325" t="str">
        <f>IF(VLOOKUP($A3,'I-Ligands'!$A:$G,3,FALSE)="","",VLOOKUP($A3,'I-Ligands'!$A:$G,3,FALSE))</f>
        <v>Parathyroid Hormone</v>
      </c>
      <c r="O3" s="326" t="str">
        <f>IF(VLOOKUP($A3,'I-Ligands'!$A:$G,4,FALSE)="","",VLOOKUP($A3,'I-Ligands'!$A:$G,4,FALSE))</f>
        <v>SVSEIQLMHNLGKHLNSMERVEWLRKKLQDVHNF</v>
      </c>
    </row>
    <row r="4" spans="1:15">
      <c r="A4" s="12" t="s">
        <v>35</v>
      </c>
      <c r="B4" s="205" t="s">
        <v>5556</v>
      </c>
      <c r="C4" s="9" t="str">
        <f>IF(VLOOKUP($A4,'I-Ligands'!$A:$G,5,FALSE)="","",VLOOKUP($A4,'I-Ligands'!$A:$G,5,FALSE))</f>
        <v>Guide to Pharmacology</v>
      </c>
      <c r="D4" s="9">
        <f>IF(VLOOKUP($A4,'I-Ligands'!$A:$G,6,FALSE)="","",VLOOKUP($A4,'I-Ligands'!$A:$G,6,FALSE))</f>
        <v>505</v>
      </c>
      <c r="E4" s="9" t="str">
        <f>IF(VLOOKUP($A4,'I-Ligands'!$A:$G,7,FALSE)="","",VLOOKUP($A4,'I-Ligands'!$A:$G,7,FALSE))</f>
        <v>Phys</v>
      </c>
      <c r="F4" s="20"/>
      <c r="G4" s="19"/>
      <c r="H4" s="19">
        <f t="shared" si="0"/>
        <v>1</v>
      </c>
      <c r="I4" s="19"/>
      <c r="J4" s="8" cm="1">
        <f t="array" ref="J4">_xlfn.IFS(K4=0,0,K4&gt;0,(LOG(0.01*K4/10^-L4)))</f>
        <v>7.0717233080073418</v>
      </c>
      <c r="K4" s="17">
        <v>40.9</v>
      </c>
      <c r="L4" s="15">
        <v>7.46</v>
      </c>
      <c r="N4" s="325" t="str">
        <f>IF(VLOOKUP($A4,'I-Ligands'!$A:$G,3,FALSE)="","",VLOOKUP($A4,'I-Ligands'!$A:$G,3,FALSE))</f>
        <v>Norepinephrine</v>
      </c>
      <c r="O4" s="326" t="str">
        <f>IF(VLOOKUP($A4,'I-Ligands'!$A:$G,4,FALSE)="","",VLOOKUP($A4,'I-Ligands'!$A:$G,4,FALSE))</f>
        <v>L-(−)-Norepinephrine (+)-bitartrate salt monohydrate</v>
      </c>
    </row>
    <row r="5" spans="1:15">
      <c r="A5" s="12" t="s">
        <v>210</v>
      </c>
      <c r="B5" s="205" t="s">
        <v>5556</v>
      </c>
      <c r="C5" s="9" t="str">
        <f>IF(VLOOKUP($A5,'I-Ligands'!$A:$G,5,FALSE)="","",VLOOKUP($A5,'I-Ligands'!$A:$G,5,FALSE))</f>
        <v>Guide to Pharmacology</v>
      </c>
      <c r="D5" s="9">
        <f>IF(VLOOKUP($A5,'I-Ligands'!$A:$G,6,FALSE)="","",VLOOKUP($A5,'I-Ligands'!$A:$G,6,FALSE))</f>
        <v>3742</v>
      </c>
      <c r="E5" s="9" t="str">
        <f>IF(VLOOKUP($A5,'I-Ligands'!$A:$G,7,FALSE)="","",VLOOKUP($A5,'I-Ligands'!$A:$G,7,FALSE))</f>
        <v>Phys</v>
      </c>
      <c r="F5" s="20"/>
      <c r="G5" s="19"/>
      <c r="H5" s="19">
        <f t="shared" si="0"/>
        <v>1</v>
      </c>
      <c r="I5" s="19"/>
      <c r="J5" s="8" cm="1">
        <f t="array" ref="J5">_xlfn.IFS(K5=0,0,K5&gt;0,(LOG(0.01*K5/10^-L5)))</f>
        <v>7.0765112613645762</v>
      </c>
      <c r="K5" s="17">
        <v>26.7</v>
      </c>
      <c r="L5" s="15">
        <v>7.65</v>
      </c>
      <c r="N5" s="325" t="str">
        <f>IF(VLOOKUP($A5,'I-Ligands'!$A:$G,3,FALSE)="","",VLOOKUP($A5,'I-Ligands'!$A:$G,3,FALSE))</f>
        <v>PAR1 peptide</v>
      </c>
      <c r="O5" s="326" t="str">
        <f>IF(VLOOKUP($A5,'I-Ligands'!$A:$G,4,FALSE)="","",VLOOKUP($A5,'I-Ligands'!$A:$G,4,FALSE))</f>
        <v xml:space="preserve">TFLLR-NH2 </v>
      </c>
    </row>
    <row r="6" spans="1:15">
      <c r="A6" s="12" t="s">
        <v>155</v>
      </c>
      <c r="B6" s="205" t="s">
        <v>5556</v>
      </c>
      <c r="C6" s="9" t="str">
        <f>IF(VLOOKUP($A6,'I-Ligands'!$A:$G,5,FALSE)="","",VLOOKUP($A6,'I-Ligands'!$A:$G,5,FALSE))</f>
        <v>Guide to Pharmacology</v>
      </c>
      <c r="D6" s="9">
        <f>IF(VLOOKUP($A6,'I-Ligands'!$A:$G,6,FALSE)="","",VLOOKUP($A6,'I-Ligands'!$A:$G,6,FALSE))</f>
        <v>911</v>
      </c>
      <c r="E6" s="9" t="str">
        <f>IF(VLOOKUP($A6,'I-Ligands'!$A:$G,7,FALSE)="","",VLOOKUP($A6,'I-Ligands'!$A:$G,7,FALSE))</f>
        <v>Phys</v>
      </c>
      <c r="F6" s="20"/>
      <c r="G6" s="19"/>
      <c r="H6" s="19">
        <f t="shared" si="0"/>
        <v>1</v>
      </c>
      <c r="I6" s="19"/>
      <c r="J6" s="8" cm="1">
        <f t="array" ref="J6">_xlfn.IFS(K6=0,0,K6&gt;0,(LOG(0.01*K6/10^-L6)))</f>
        <v>7.1632997640812519</v>
      </c>
      <c r="K6" s="17">
        <v>25.9</v>
      </c>
      <c r="L6" s="15">
        <v>7.75</v>
      </c>
      <c r="N6" s="325" t="str">
        <f>IF(VLOOKUP($A6,'I-Ligands'!$A:$G,3,FALSE)="","",VLOOKUP($A6,'I-Ligands'!$A:$G,3,FALSE))</f>
        <v>Sphingosine 1-phosphate</v>
      </c>
      <c r="O6" s="326" t="str">
        <f>IF(VLOOKUP($A6,'I-Ligands'!$A:$G,4,FALSE)="","",VLOOKUP($A6,'I-Ligands'!$A:$G,4,FALSE))</f>
        <v>Sphingosine-1-Phosphate</v>
      </c>
    </row>
    <row r="7" spans="1:15">
      <c r="A7" s="12" t="s">
        <v>20</v>
      </c>
      <c r="B7" s="205" t="s">
        <v>5556</v>
      </c>
      <c r="C7" s="9" t="str">
        <f>IF(VLOOKUP($A7,'I-Ligands'!$A:$G,5,FALSE)="","",VLOOKUP($A7,'I-Ligands'!$A:$G,5,FALSE))</f>
        <v>Guide to Pharmacology</v>
      </c>
      <c r="D7" s="9">
        <f>IF(VLOOKUP($A7,'I-Ligands'!$A:$G,6,FALSE)="","",VLOOKUP($A7,'I-Ligands'!$A:$G,6,FALSE))</f>
        <v>5</v>
      </c>
      <c r="E7" s="9" t="str">
        <f>IF(VLOOKUP($A7,'I-Ligands'!$A:$G,7,FALSE)="","",VLOOKUP($A7,'I-Ligands'!$A:$G,7,FALSE))</f>
        <v>Phys</v>
      </c>
      <c r="F7" s="20"/>
      <c r="G7" s="19"/>
      <c r="H7" s="19">
        <f t="shared" si="0"/>
        <v>1</v>
      </c>
      <c r="I7" s="19"/>
      <c r="J7" s="8" cm="1">
        <f t="array" ref="J7">_xlfn.IFS(K7=0,0,K7&gt;0,(LOG(0.01*K7/10^-L7)))</f>
        <v>7.17</v>
      </c>
      <c r="K7" s="17">
        <v>10</v>
      </c>
      <c r="L7" s="15">
        <v>8.17</v>
      </c>
      <c r="N7" s="325" t="str">
        <f>IF(VLOOKUP($A7,'I-Ligands'!$A:$G,3,FALSE)="","",VLOOKUP($A7,'I-Ligands'!$A:$G,3,FALSE))</f>
        <v>Serotonin</v>
      </c>
      <c r="O7" s="326" t="str">
        <f>IF(VLOOKUP($A7,'I-Ligands'!$A:$G,4,FALSE)="","",VLOOKUP($A7,'I-Ligands'!$A:$G,4,FALSE))</f>
        <v>5-Hydroxytryptamine Hydrochloride</v>
      </c>
    </row>
    <row r="8" spans="1:15">
      <c r="A8" s="12" t="s">
        <v>135</v>
      </c>
      <c r="B8" s="205" t="s">
        <v>5556</v>
      </c>
      <c r="C8" s="9" t="str">
        <f>IF(VLOOKUP($A8,'I-Ligands'!$A:$G,5,FALSE)="","",VLOOKUP($A8,'I-Ligands'!$A:$G,5,FALSE))</f>
        <v>Guide to Pharmacology</v>
      </c>
      <c r="D8" s="9">
        <f>IF(VLOOKUP($A8,'I-Ligands'!$A:$G,6,FALSE)="","",VLOOKUP($A8,'I-Ligands'!$A:$G,6,FALSE))</f>
        <v>1204</v>
      </c>
      <c r="E8" s="9" t="str">
        <f>IF(VLOOKUP($A8,'I-Ligands'!$A:$G,7,FALSE)="","",VLOOKUP($A8,'I-Ligands'!$A:$G,7,FALSE))</f>
        <v>Phys</v>
      </c>
      <c r="F8" s="20"/>
      <c r="G8" s="19"/>
      <c r="H8" s="19">
        <f t="shared" si="0"/>
        <v>1</v>
      </c>
      <c r="I8" s="19"/>
      <c r="J8" s="8" cm="1">
        <f t="array" ref="J8">_xlfn.IFS(K8=0,0,K8&gt;0,(LOG(0.01*K8/10^-L8)))</f>
        <v>7.182288344383057</v>
      </c>
      <c r="K8" s="17">
        <v>14.2</v>
      </c>
      <c r="L8" s="15">
        <v>8.0299999999999994</v>
      </c>
      <c r="N8" s="325" t="str">
        <f>IF(VLOOKUP($A8,'I-Ligands'!$A:$G,3,FALSE)="","",VLOOKUP($A8,'I-Ligands'!$A:$G,3,FALSE))</f>
        <v>Histamine</v>
      </c>
      <c r="O8" s="326" t="str">
        <f>IF(VLOOKUP($A8,'I-Ligands'!$A:$G,4,FALSE)="","",VLOOKUP($A8,'I-Ligands'!$A:$G,4,FALSE))</f>
        <v>Histamine Dihydrochloride</v>
      </c>
    </row>
    <row r="9" spans="1:15">
      <c r="A9" s="12" t="s">
        <v>212</v>
      </c>
      <c r="B9" s="205" t="s">
        <v>5556</v>
      </c>
      <c r="C9" s="9" t="str">
        <f>IF(VLOOKUP($A9,'I-Ligands'!$A:$G,5,FALSE)="","",VLOOKUP($A9,'I-Ligands'!$A:$G,5,FALSE))</f>
        <v>Guide to Pharmacology</v>
      </c>
      <c r="D9" s="9">
        <f>IF(VLOOKUP($A9,'I-Ligands'!$A:$G,6,FALSE)="","",VLOOKUP($A9,'I-Ligands'!$A:$G,6,FALSE))</f>
        <v>4453</v>
      </c>
      <c r="E9" s="9" t="str">
        <f>IF(VLOOKUP($A9,'I-Ligands'!$A:$G,7,FALSE)="","",VLOOKUP($A9,'I-Ligands'!$A:$G,7,FALSE))</f>
        <v>Phys</v>
      </c>
      <c r="F9" s="20"/>
      <c r="G9" s="19"/>
      <c r="H9" s="19">
        <f t="shared" si="0"/>
        <v>1</v>
      </c>
      <c r="I9" s="19"/>
      <c r="J9" s="8" cm="1">
        <f t="array" ref="J9">_xlfn.IFS(K9=0,0,K9&gt;0,(LOG(0.01*K9/10^-L9)))</f>
        <v>7.2045689040341987</v>
      </c>
      <c r="K9" s="17">
        <v>27.2</v>
      </c>
      <c r="L9" s="15">
        <v>7.77</v>
      </c>
      <c r="N9" s="325" t="str">
        <f>IF(VLOOKUP($A9,'I-Ligands'!$A:$G,3,FALSE)="","",VLOOKUP($A9,'I-Ligands'!$A:$G,3,FALSE))</f>
        <v>Thrombin</v>
      </c>
      <c r="O9" s="326" t="str">
        <f>IF(VLOOKUP($A9,'I-Ligands'!$A:$G,4,FALSE)="","",VLOOKUP($A9,'I-Ligands'!$A:$G,4,FALSE))</f>
        <v>Thrombin from bovine plasma</v>
      </c>
    </row>
    <row r="10" spans="1:15">
      <c r="A10" s="12" t="s">
        <v>221</v>
      </c>
      <c r="B10" s="205" t="s">
        <v>5556</v>
      </c>
      <c r="C10" s="9" t="str">
        <f>IF(VLOOKUP($A10,'I-Ligands'!$A:$G,5,FALSE)="","",VLOOKUP($A10,'I-Ligands'!$A:$G,5,FALSE))</f>
        <v>Guide to Pharmacology</v>
      </c>
      <c r="D10" s="9">
        <f>IF(VLOOKUP($A10,'I-Ligands'!$A:$G,6,FALSE)="","",VLOOKUP($A10,'I-Ligands'!$A:$G,6,FALSE))</f>
        <v>2019</v>
      </c>
      <c r="E10" s="9" t="str">
        <f>IF(VLOOKUP($A10,'I-Ligands'!$A:$G,7,FALSE)="","",VLOOKUP($A10,'I-Ligands'!$A:$G,7,FALSE))</f>
        <v>Phys</v>
      </c>
      <c r="F10" s="20"/>
      <c r="G10" s="19"/>
      <c r="H10" s="19">
        <f t="shared" si="0"/>
        <v>1</v>
      </c>
      <c r="I10" s="19"/>
      <c r="J10" s="8" cm="1">
        <f t="array" ref="J10">_xlfn.IFS(K10=0,0,K10&gt;0,(LOG(0.01*K10/10^-L10)))</f>
        <v>7.2646660642520899</v>
      </c>
      <c r="K10" s="17">
        <v>36.700000000000003</v>
      </c>
      <c r="L10" s="15">
        <v>7.7</v>
      </c>
      <c r="N10" s="325" t="str">
        <f>IF(VLOOKUP($A10,'I-Ligands'!$A:$G,3,FALSE)="","",VLOOKUP($A10,'I-Ligands'!$A:$G,3,FALSE))</f>
        <v>Somatostatin</v>
      </c>
      <c r="O10" s="326" t="str">
        <f>IF(VLOOKUP($A10,'I-Ligands'!$A:$G,4,FALSE)="","",VLOOKUP($A10,'I-Ligands'!$A:$G,4,FALSE))</f>
        <v>AGCKNFFWKTFTSC</v>
      </c>
    </row>
    <row r="11" spans="1:15">
      <c r="A11" s="12" t="s">
        <v>146</v>
      </c>
      <c r="B11" s="205" t="s">
        <v>5556</v>
      </c>
      <c r="C11" s="9" t="str">
        <f>IF(VLOOKUP($A11,'I-Ligands'!$A:$G,5,FALSE)="","",VLOOKUP($A11,'I-Ligands'!$A:$G,5,FALSE))</f>
        <v>Guide to Pharmacology</v>
      </c>
      <c r="D11" s="9">
        <f>IF(VLOOKUP($A11,'I-Ligands'!$A:$G,6,FALSE)="","",VLOOKUP($A11,'I-Ligands'!$A:$G,6,FALSE))</f>
        <v>2487</v>
      </c>
      <c r="E11" s="9" t="str">
        <f>IF(VLOOKUP($A11,'I-Ligands'!$A:$G,7,FALSE)="","",VLOOKUP($A11,'I-Ligands'!$A:$G,7,FALSE))</f>
        <v>Phys</v>
      </c>
      <c r="F11" s="20"/>
      <c r="G11" s="19"/>
      <c r="H11" s="19">
        <f t="shared" si="0"/>
        <v>1</v>
      </c>
      <c r="I11" s="19"/>
      <c r="J11" s="8" cm="1">
        <f t="array" ref="J11">_xlfn.IFS(K11=0,0,K11&gt;0,(LOG(0.01*K11/10^-L11)))</f>
        <v>7.2950980400142571</v>
      </c>
      <c r="K11" s="17">
        <v>7</v>
      </c>
      <c r="L11" s="15">
        <v>8.4499999999999993</v>
      </c>
      <c r="N11" s="325" t="str">
        <f>IF(VLOOKUP($A11,'I-Ligands'!$A:$G,3,FALSE)="","",VLOOKUP($A11,'I-Ligands'!$A:$G,3,FALSE))</f>
        <v>Leukotriene B4</v>
      </c>
      <c r="O11" s="326" t="str">
        <f>IF(VLOOKUP($A11,'I-Ligands'!$A:$G,4,FALSE)="","",VLOOKUP($A11,'I-Ligands'!$A:$G,4,FALSE))</f>
        <v>Leukotriene B4</v>
      </c>
    </row>
    <row r="12" spans="1:15">
      <c r="A12" s="12" t="s">
        <v>132</v>
      </c>
      <c r="B12" s="205" t="s">
        <v>5556</v>
      </c>
      <c r="C12" s="9" t="str">
        <f>IF(VLOOKUP($A12,'I-Ligands'!$A:$G,5,FALSE)="","",VLOOKUP($A12,'I-Ligands'!$A:$G,5,FALSE))</f>
        <v>CAS registry number</v>
      </c>
      <c r="D12" s="9" t="str">
        <f>IF(VLOOKUP($A12,'I-Ligands'!$A:$G,6,FALSE)="","",VLOOKUP($A12,'I-Ligands'!$A:$G,6,FALSE))</f>
        <v>1032823-75-8</v>
      </c>
      <c r="E12" s="9" t="str">
        <f>IF(VLOOKUP($A12,'I-Ligands'!$A:$G,7,FALSE)="","",VLOOKUP($A12,'I-Ligands'!$A:$G,7,FALSE))</f>
        <v>Surr</v>
      </c>
      <c r="F12" s="20"/>
      <c r="G12" s="19"/>
      <c r="H12" s="19">
        <f t="shared" si="0"/>
        <v>1</v>
      </c>
      <c r="I12" s="19"/>
      <c r="J12" s="8" cm="1">
        <f t="array" ref="J12">_xlfn.IFS(K12=0,0,K12&gt;0,(LOG(0.01*K12/10^-L12)))</f>
        <v>7.3195150145426311</v>
      </c>
      <c r="K12" s="17">
        <v>16.2</v>
      </c>
      <c r="L12" s="15">
        <v>8.11</v>
      </c>
      <c r="N12" s="325" t="str">
        <f>IF(VLOOKUP($A12,'I-Ligands'!$A:$G,3,FALSE)="","",VLOOKUP($A12,'I-Ligands'!$A:$G,3,FALSE))</f>
        <v>GSK1292263</v>
      </c>
      <c r="O12" s="326" t="str">
        <f>IF(VLOOKUP($A12,'I-Ligands'!$A:$G,4,FALSE)="","",VLOOKUP($A12,'I-Ligands'!$A:$G,4,FALSE))</f>
        <v>GSK1292263</v>
      </c>
    </row>
    <row r="13" spans="1:15">
      <c r="A13" s="12" t="s">
        <v>22</v>
      </c>
      <c r="B13" s="205" t="s">
        <v>5556</v>
      </c>
      <c r="C13" s="9" t="str">
        <f>IF(VLOOKUP($A13,'I-Ligands'!$A:$G,5,FALSE)="","",VLOOKUP($A13,'I-Ligands'!$A:$G,5,FALSE))</f>
        <v>Guide to Pharmacology</v>
      </c>
      <c r="D13" s="9">
        <f>IF(VLOOKUP($A13,'I-Ligands'!$A:$G,6,FALSE)="","",VLOOKUP($A13,'I-Ligands'!$A:$G,6,FALSE))</f>
        <v>5</v>
      </c>
      <c r="E13" s="9" t="str">
        <f>IF(VLOOKUP($A13,'I-Ligands'!$A:$G,7,FALSE)="","",VLOOKUP($A13,'I-Ligands'!$A:$G,7,FALSE))</f>
        <v>Phys</v>
      </c>
      <c r="F13" s="20"/>
      <c r="G13" s="19"/>
      <c r="H13" s="19">
        <f t="shared" si="0"/>
        <v>1</v>
      </c>
      <c r="I13" s="19"/>
      <c r="J13" s="8" cm="1">
        <f t="array" ref="J13">_xlfn.IFS(K13=0,0,K13&gt;0,(LOG(0.01*K13/10^-L13)))</f>
        <v>7.3642758696007897</v>
      </c>
      <c r="K13" s="17">
        <v>5.3</v>
      </c>
      <c r="L13" s="15">
        <v>8.64</v>
      </c>
      <c r="N13" s="325" t="str">
        <f>IF(VLOOKUP($A13,'I-Ligands'!$A:$G,3,FALSE)="","",VLOOKUP($A13,'I-Ligands'!$A:$G,3,FALSE))</f>
        <v>Serotonin</v>
      </c>
      <c r="O13" s="326" t="str">
        <f>IF(VLOOKUP($A13,'I-Ligands'!$A:$G,4,FALSE)="","",VLOOKUP($A13,'I-Ligands'!$A:$G,4,FALSE))</f>
        <v>5-Hydroxytryptamine Hydrochloride</v>
      </c>
    </row>
    <row r="14" spans="1:15">
      <c r="A14" s="12" t="s">
        <v>213</v>
      </c>
      <c r="B14" s="205" t="s">
        <v>5556</v>
      </c>
      <c r="C14" s="9" t="str">
        <f>IF(VLOOKUP($A14,'I-Ligands'!$A:$G,5,FALSE)="","",VLOOKUP($A14,'I-Ligands'!$A:$G,5,FALSE))</f>
        <v>Guide to Pharmacology</v>
      </c>
      <c r="D14" s="9">
        <f>IF(VLOOKUP($A14,'I-Ligands'!$A:$G,6,FALSE)="","",VLOOKUP($A14,'I-Ligands'!$A:$G,6,FALSE))</f>
        <v>4453</v>
      </c>
      <c r="E14" s="9" t="str">
        <f>IF(VLOOKUP($A14,'I-Ligands'!$A:$G,7,FALSE)="","",VLOOKUP($A14,'I-Ligands'!$A:$G,7,FALSE))</f>
        <v>Phys</v>
      </c>
      <c r="F14" s="20"/>
      <c r="G14" s="19"/>
      <c r="H14" s="19">
        <f t="shared" si="0"/>
        <v>1</v>
      </c>
      <c r="I14" s="19"/>
      <c r="J14" s="8" cm="1">
        <f t="array" ref="J14">_xlfn.IFS(K14=0,0,K14&gt;0,(LOG(0.01*K14/10^-L14)))</f>
        <v>7.3964597338485296</v>
      </c>
      <c r="K14" s="17">
        <v>21.7</v>
      </c>
      <c r="L14" s="15">
        <v>8.06</v>
      </c>
      <c r="N14" s="325" t="str">
        <f>IF(VLOOKUP($A14,'I-Ligands'!$A:$G,3,FALSE)="","",VLOOKUP($A14,'I-Ligands'!$A:$G,3,FALSE))</f>
        <v>Thrombin</v>
      </c>
      <c r="O14" s="326" t="str">
        <f>IF(VLOOKUP($A14,'I-Ligands'!$A:$G,4,FALSE)="","",VLOOKUP($A14,'I-Ligands'!$A:$G,4,FALSE))</f>
        <v>Thrombin from bovine plasma</v>
      </c>
    </row>
    <row r="15" spans="1:15">
      <c r="A15" s="12" t="s">
        <v>205</v>
      </c>
      <c r="B15" s="205" t="s">
        <v>5556</v>
      </c>
      <c r="C15" s="9" t="str">
        <f>IF(VLOOKUP($A15,'I-Ligands'!$A:$G,5,FALSE)="","",VLOOKUP($A15,'I-Ligands'!$A:$G,5,FALSE))</f>
        <v>Guide to Pharmacology</v>
      </c>
      <c r="D15" s="9">
        <f>IF(VLOOKUP($A15,'I-Ligands'!$A:$G,6,FALSE)="","",VLOOKUP($A15,'I-Ligands'!$A:$G,6,FALSE))</f>
        <v>1883</v>
      </c>
      <c r="E15" s="9" t="str">
        <f>IF(VLOOKUP($A15,'I-Ligands'!$A:$G,7,FALSE)="","",VLOOKUP($A15,'I-Ligands'!$A:$G,7,FALSE))</f>
        <v>Phys</v>
      </c>
      <c r="F15" s="20"/>
      <c r="G15" s="19"/>
      <c r="H15" s="19">
        <f t="shared" si="0"/>
        <v>1</v>
      </c>
      <c r="I15" s="19"/>
      <c r="J15" s="8" cm="1">
        <f t="array" ref="J15">_xlfn.IFS(K15=0,0,K15&gt;0,(LOG(0.01*K15/10^-L15)))</f>
        <v>7.4838153659804316</v>
      </c>
      <c r="K15" s="17">
        <v>24.2</v>
      </c>
      <c r="L15" s="15">
        <v>8.1</v>
      </c>
      <c r="N15" s="325" t="str">
        <f>IF(VLOOKUP($A15,'I-Ligands'!$A:$G,3,FALSE)="","",VLOOKUP($A15,'I-Ligands'!$A:$G,3,FALSE))</f>
        <v>Prostaglandin E2</v>
      </c>
      <c r="O15" s="326" t="str">
        <f>IF(VLOOKUP($A15,'I-Ligands'!$A:$G,4,FALSE)="","",VLOOKUP($A15,'I-Ligands'!$A:$G,4,FALSE))</f>
        <v>Prostaglandin E2</v>
      </c>
    </row>
    <row r="16" spans="1:15">
      <c r="A16" s="12" t="s">
        <v>160</v>
      </c>
      <c r="B16" s="205" t="s">
        <v>5556</v>
      </c>
      <c r="C16" s="9" t="str">
        <f>IF(VLOOKUP($A16,'I-Ligands'!$A:$G,5,FALSE)="","",VLOOKUP($A16,'I-Ligands'!$A:$G,5,FALSE))</f>
        <v>Guide to Pharmacology</v>
      </c>
      <c r="D16" s="9">
        <f>IF(VLOOKUP($A16,'I-Ligands'!$A:$G,6,FALSE)="","",VLOOKUP($A16,'I-Ligands'!$A:$G,6,FALSE))</f>
        <v>1320</v>
      </c>
      <c r="E16" s="9" t="str">
        <f>IF(VLOOKUP($A16,'I-Ligands'!$A:$G,7,FALSE)="","",VLOOKUP($A16,'I-Ligands'!$A:$G,7,FALSE))</f>
        <v>Phys</v>
      </c>
      <c r="F16" s="20"/>
      <c r="G16" s="19"/>
      <c r="H16" s="19">
        <f t="shared" si="0"/>
        <v>1</v>
      </c>
      <c r="I16" s="19"/>
      <c r="J16" s="8" cm="1">
        <f t="array" ref="J16">_xlfn.IFS(K16=0,0,K16&gt;0,(LOG(0.01*K16/10^-L16)))</f>
        <v>7.4923937598229688</v>
      </c>
      <c r="K16" s="17">
        <v>5.4</v>
      </c>
      <c r="L16" s="15">
        <v>8.76</v>
      </c>
      <c r="N16" s="325" t="str">
        <f>IF(VLOOKUP($A16,'I-Ligands'!$A:$G,3,FALSE)="","",VLOOKUP($A16,'I-Ligands'!$A:$G,3,FALSE))</f>
        <v>α-MSH</v>
      </c>
      <c r="O16" s="326" t="str">
        <f>IF(VLOOKUP($A16,'I-Ligands'!$A:$G,4,FALSE)="","",VLOOKUP($A16,'I-Ligands'!$A:$G,4,FALSE))</f>
        <v>Ac-SYSMEHFRWGKPV-NH2</v>
      </c>
    </row>
    <row r="17" spans="1:15">
      <c r="A17" s="12" t="s">
        <v>26</v>
      </c>
      <c r="B17" s="205" t="s">
        <v>5556</v>
      </c>
      <c r="C17" s="9" t="str">
        <f>IF(VLOOKUP($A17,'I-Ligands'!$A:$G,5,FALSE)="","",VLOOKUP($A17,'I-Ligands'!$A:$G,5,FALSE))</f>
        <v>Guide to Pharmacology</v>
      </c>
      <c r="D17" s="9">
        <f>IF(VLOOKUP($A17,'I-Ligands'!$A:$G,6,FALSE)="","",VLOOKUP($A17,'I-Ligands'!$A:$G,6,FALSE))</f>
        <v>294</v>
      </c>
      <c r="E17" s="9" t="str">
        <f>IF(VLOOKUP($A17,'I-Ligands'!$A:$G,7,FALSE)="","",VLOOKUP($A17,'I-Ligands'!$A:$G,7,FALSE))</f>
        <v>Phys</v>
      </c>
      <c r="F17" s="20"/>
      <c r="G17" s="19"/>
      <c r="H17" s="19">
        <f t="shared" si="0"/>
        <v>1</v>
      </c>
      <c r="I17" s="19"/>
      <c r="J17" s="8" cm="1">
        <f t="array" ref="J17">_xlfn.IFS(K17=0,0,K17&gt;0,(LOG(0.01*K17/10^-L17)))</f>
        <v>7.5177109650189129</v>
      </c>
      <c r="K17" s="17">
        <v>38.700000000000003</v>
      </c>
      <c r="L17" s="15">
        <v>7.93</v>
      </c>
      <c r="N17" s="325" t="str">
        <f>IF(VLOOKUP($A17,'I-Ligands'!$A:$G,3,FALSE)="","",VLOOKUP($A17,'I-Ligands'!$A:$G,3,FALSE))</f>
        <v>Acetylcholine</v>
      </c>
      <c r="O17" s="326" t="str">
        <f>IF(VLOOKUP($A17,'I-Ligands'!$A:$G,4,FALSE)="","",VLOOKUP($A17,'I-Ligands'!$A:$G,4,FALSE))</f>
        <v>Acetylcholine Chloride</v>
      </c>
    </row>
    <row r="18" spans="1:15">
      <c r="A18" s="12" t="s">
        <v>52</v>
      </c>
      <c r="B18" s="205" t="s">
        <v>5556</v>
      </c>
      <c r="C18" s="9" t="str">
        <f>IF(VLOOKUP($A18,'I-Ligands'!$A:$G,5,FALSE)="","",VLOOKUP($A18,'I-Ligands'!$A:$G,5,FALSE))</f>
        <v>Guide to Pharmacology</v>
      </c>
      <c r="D18" s="9">
        <f>IF(VLOOKUP($A18,'I-Ligands'!$A:$G,6,FALSE)="","",VLOOKUP($A18,'I-Ligands'!$A:$G,6,FALSE))</f>
        <v>649</v>
      </c>
      <c r="E18" s="9" t="str">
        <f>IF(VLOOKUP($A18,'I-Ligands'!$A:$G,7,FALSE)="","",VLOOKUP($A18,'I-Ligands'!$A:$G,7,FALSE))</f>
        <v>Phys</v>
      </c>
      <c r="F18" s="20"/>
      <c r="G18" s="19"/>
      <c r="H18" s="19">
        <f t="shared" si="0"/>
        <v>1</v>
      </c>
      <c r="I18" s="19"/>
      <c r="J18" s="8" cm="1">
        <f t="array" ref="J18">_xlfn.IFS(K18=0,0,K18&gt;0,(LOG(0.01*K18/10^-L18)))</f>
        <v>7.5490780923760754</v>
      </c>
      <c r="K18" s="17">
        <v>8.3000000000000007</v>
      </c>
      <c r="L18" s="15">
        <v>8.6300000000000008</v>
      </c>
      <c r="N18" s="325" t="str">
        <f>IF(VLOOKUP($A18,'I-Ligands'!$A:$G,3,FALSE)="","",VLOOKUP($A18,'I-Ligands'!$A:$G,3,FALSE))</f>
        <v>Bradykinin</v>
      </c>
      <c r="O18" s="326" t="str">
        <f>IF(VLOOKUP($A18,'I-Ligands'!$A:$G,4,FALSE)="","",VLOOKUP($A18,'I-Ligands'!$A:$G,4,FALSE))</f>
        <v>RPPGFSPFR</v>
      </c>
    </row>
    <row r="19" spans="1:15">
      <c r="A19" s="12" t="s">
        <v>149</v>
      </c>
      <c r="B19" s="205" t="s">
        <v>5556</v>
      </c>
      <c r="C19" s="9" t="str">
        <f>IF(VLOOKUP($A19,'I-Ligands'!$A:$G,5,FALSE)="","",VLOOKUP($A19,'I-Ligands'!$A:$G,5,FALSE))</f>
        <v>Guide to Pharmacology</v>
      </c>
      <c r="D19" s="9">
        <f>IF(VLOOKUP($A19,'I-Ligands'!$A:$G,6,FALSE)="","",VLOOKUP($A19,'I-Ligands'!$A:$G,6,FALSE))</f>
        <v>2906</v>
      </c>
      <c r="E19" s="9" t="str">
        <f>IF(VLOOKUP($A19,'I-Ligands'!$A:$G,7,FALSE)="","",VLOOKUP($A19,'I-Ligands'!$A:$G,7,FALSE))</f>
        <v>Phys</v>
      </c>
      <c r="F19" s="20"/>
      <c r="G19" s="19"/>
      <c r="H19" s="19">
        <f t="shared" si="0"/>
        <v>1</v>
      </c>
      <c r="I19" s="19"/>
      <c r="J19" s="8" cm="1">
        <f t="array" ref="J19">_xlfn.IFS(K19=0,0,K19&gt;0,(LOG(0.01*K19/10^-L19)))</f>
        <v>7.5667205671564073</v>
      </c>
      <c r="K19" s="17">
        <v>13.7</v>
      </c>
      <c r="L19" s="15">
        <v>8.43</v>
      </c>
      <c r="N19" s="325" t="str">
        <f>IF(VLOOKUP($A19,'I-Ligands'!$A:$G,3,FALSE)="","",VLOOKUP($A19,'I-Ligands'!$A:$G,3,FALSE))</f>
        <v>Lysophosphatidic acid</v>
      </c>
      <c r="O19" s="326" t="str">
        <f>IF(VLOOKUP($A19,'I-Ligands'!$A:$G,4,FALSE)="","",VLOOKUP($A19,'I-Ligands'!$A:$G,4,FALSE))</f>
        <v>1-oleoyl-2-hydroxy-sn-glycero-3-phosphate, sodium salt</v>
      </c>
    </row>
    <row r="20" spans="1:15">
      <c r="A20" s="12" t="s">
        <v>21</v>
      </c>
      <c r="B20" s="205" t="s">
        <v>5556</v>
      </c>
      <c r="C20" s="9" t="str">
        <f>IF(VLOOKUP($A20,'I-Ligands'!$A:$G,5,FALSE)="","",VLOOKUP($A20,'I-Ligands'!$A:$G,5,FALSE))</f>
        <v>Guide to Pharmacology</v>
      </c>
      <c r="D20" s="9">
        <f>IF(VLOOKUP($A20,'I-Ligands'!$A:$G,6,FALSE)="","",VLOOKUP($A20,'I-Ligands'!$A:$G,6,FALSE))</f>
        <v>5</v>
      </c>
      <c r="E20" s="9" t="str">
        <f>IF(VLOOKUP($A20,'I-Ligands'!$A:$G,7,FALSE)="","",VLOOKUP($A20,'I-Ligands'!$A:$G,7,FALSE))</f>
        <v>Phys</v>
      </c>
      <c r="F20" s="20"/>
      <c r="G20" s="19"/>
      <c r="H20" s="19">
        <f t="shared" si="0"/>
        <v>1</v>
      </c>
      <c r="I20" s="19"/>
      <c r="J20" s="8" cm="1">
        <f t="array" ref="J20">_xlfn.IFS(K20=0,0,K20&gt;0,(LOG(0.01*K20/10^-L20)))</f>
        <v>7.6330784434834209</v>
      </c>
      <c r="K20" s="17">
        <v>11.3</v>
      </c>
      <c r="L20" s="15">
        <v>8.58</v>
      </c>
      <c r="N20" s="325" t="str">
        <f>IF(VLOOKUP($A20,'I-Ligands'!$A:$G,3,FALSE)="","",VLOOKUP($A20,'I-Ligands'!$A:$G,3,FALSE))</f>
        <v>Serotonin</v>
      </c>
      <c r="O20" s="326" t="str">
        <f>IF(VLOOKUP($A20,'I-Ligands'!$A:$G,4,FALSE)="","",VLOOKUP($A20,'I-Ligands'!$A:$G,4,FALSE))</f>
        <v>5-Hydroxytryptamine Hydrochloride</v>
      </c>
    </row>
    <row r="21" spans="1:15">
      <c r="A21" s="12" t="s">
        <v>201</v>
      </c>
      <c r="B21" s="205" t="s">
        <v>5556</v>
      </c>
      <c r="C21" s="9" t="str">
        <f>IF(VLOOKUP($A21,'I-Ligands'!$A:$G,5,FALSE)="","",VLOOKUP($A21,'I-Ligands'!$A:$G,5,FALSE))</f>
        <v>Guide to Pharmacology</v>
      </c>
      <c r="D21" s="9">
        <f>IF(VLOOKUP($A21,'I-Ligands'!$A:$G,6,FALSE)="","",VLOOKUP($A21,'I-Ligands'!$A:$G,6,FALSE))</f>
        <v>1871</v>
      </c>
      <c r="E21" s="9" t="str">
        <f>IF(VLOOKUP($A21,'I-Ligands'!$A:$G,7,FALSE)="","",VLOOKUP($A21,'I-Ligands'!$A:$G,7,FALSE))</f>
        <v>Phys</v>
      </c>
      <c r="F21" s="20"/>
      <c r="G21" s="19"/>
      <c r="H21" s="19">
        <f t="shared" si="0"/>
        <v>1</v>
      </c>
      <c r="I21" s="19"/>
      <c r="J21" s="8" cm="1">
        <f t="array" ref="J21">_xlfn.IFS(K21=0,0,K21&gt;0,(LOG(0.01*K21/10^-L21)))</f>
        <v>7.809827993775718</v>
      </c>
      <c r="K21" s="17">
        <v>33.1</v>
      </c>
      <c r="L21" s="15">
        <v>8.2899999999999991</v>
      </c>
      <c r="N21" s="325" t="str">
        <f>IF(VLOOKUP($A21,'I-Ligands'!$A:$G,3,FALSE)="","",VLOOKUP($A21,'I-Ligands'!$A:$G,3,FALSE))</f>
        <v>Prolactin-Releasing Peptide-20</v>
      </c>
      <c r="O21" s="326" t="str">
        <f>IF(VLOOKUP($A21,'I-Ligands'!$A:$G,4,FALSE)="","",VLOOKUP($A21,'I-Ligands'!$A:$G,4,FALSE))</f>
        <v>TPDINPAWYASRGIRPVGRF-NH2</v>
      </c>
    </row>
    <row r="22" spans="1:15">
      <c r="A22" s="12" t="s">
        <v>25</v>
      </c>
      <c r="B22" s="205" t="s">
        <v>5556</v>
      </c>
      <c r="C22" s="9" t="str">
        <f>IF(VLOOKUP($A22,'I-Ligands'!$A:$G,5,FALSE)="","",VLOOKUP($A22,'I-Ligands'!$A:$G,5,FALSE))</f>
        <v>Guide to Pharmacology</v>
      </c>
      <c r="D22" s="9">
        <f>IF(VLOOKUP($A22,'I-Ligands'!$A:$G,6,FALSE)="","",VLOOKUP($A22,'I-Ligands'!$A:$G,6,FALSE))</f>
        <v>5</v>
      </c>
      <c r="E22" s="9" t="str">
        <f>IF(VLOOKUP($A22,'I-Ligands'!$A:$G,7,FALSE)="","",VLOOKUP($A22,'I-Ligands'!$A:$G,7,FALSE))</f>
        <v>Phys</v>
      </c>
      <c r="F22" s="20"/>
      <c r="G22" s="19"/>
      <c r="H22" s="19">
        <f t="shared" si="0"/>
        <v>1</v>
      </c>
      <c r="I22" s="19"/>
      <c r="J22" s="8" cm="1">
        <f t="array" ref="J22">_xlfn.IFS(K22=0,0,K22&gt;0,(LOG(0.01*K22/10^-L22)))</f>
        <v>7.8334216851622358</v>
      </c>
      <c r="K22" s="17">
        <v>12.4</v>
      </c>
      <c r="L22" s="15">
        <v>8.74</v>
      </c>
      <c r="N22" s="325" t="str">
        <f>IF(VLOOKUP($A22,'I-Ligands'!$A:$G,3,FALSE)="","",VLOOKUP($A22,'I-Ligands'!$A:$G,3,FALSE))</f>
        <v>Serotonin</v>
      </c>
      <c r="O22" s="326" t="str">
        <f>IF(VLOOKUP($A22,'I-Ligands'!$A:$G,4,FALSE)="","",VLOOKUP($A22,'I-Ligands'!$A:$G,4,FALSE))</f>
        <v>5-Hydroxytryptamine Hydrochloride</v>
      </c>
    </row>
    <row r="23" spans="1:15">
      <c r="A23" s="12" t="s">
        <v>187</v>
      </c>
      <c r="B23" s="205" t="s">
        <v>5556</v>
      </c>
      <c r="C23" s="9" t="str">
        <f>IF(VLOOKUP($A23,'I-Ligands'!$A:$G,5,FALSE)="","",VLOOKUP($A23,'I-Ligands'!$A:$G,5,FALSE))</f>
        <v>Guide to Pharmacology</v>
      </c>
      <c r="D23" s="9">
        <f>IF(VLOOKUP($A23,'I-Ligands'!$A:$G,6,FALSE)="","",VLOOKUP($A23,'I-Ligands'!$A:$G,6,FALSE))</f>
        <v>1697</v>
      </c>
      <c r="E23" s="9" t="str">
        <f>IF(VLOOKUP($A23,'I-Ligands'!$A:$G,7,FALSE)="","",VLOOKUP($A23,'I-Ligands'!$A:$G,7,FALSE))</f>
        <v>Phys</v>
      </c>
      <c r="F23" s="20"/>
      <c r="G23" s="19"/>
      <c r="H23" s="19">
        <f t="shared" si="0"/>
        <v>1</v>
      </c>
      <c r="I23" s="19"/>
      <c r="J23" s="8" cm="1">
        <f t="array" ref="J23">_xlfn.IFS(K23=0,0,K23&gt;0,(LOG(0.01*K23/10^-L23)))</f>
        <v>7.8463403673750438</v>
      </c>
      <c r="K23" s="17">
        <v>42.3</v>
      </c>
      <c r="L23" s="15">
        <v>8.2200000000000006</v>
      </c>
      <c r="N23" s="325" t="str">
        <f>IF(VLOOKUP($A23,'I-Ligands'!$A:$G,3,FALSE)="","",VLOOKUP($A23,'I-Ligands'!$A:$G,3,FALSE))</f>
        <v>Orexin-A</v>
      </c>
      <c r="O23" s="326" t="str">
        <f>IF(VLOOKUP($A23,'I-Ligands'!$A:$G,4,FALSE)="","",VLOOKUP($A23,'I-Ligands'!$A:$G,4,FALSE))</f>
        <v>Pyr-PLPDCCRQKTCSCRLYELLHGAGNHAAGILTL-NH2</v>
      </c>
    </row>
    <row r="24" spans="1:15">
      <c r="A24" s="12" t="s">
        <v>34</v>
      </c>
      <c r="B24" s="205" t="s">
        <v>5556</v>
      </c>
      <c r="C24" s="9" t="str">
        <f>IF(VLOOKUP($A24,'I-Ligands'!$A:$G,5,FALSE)="","",VLOOKUP($A24,'I-Ligands'!$A:$G,5,FALSE))</f>
        <v>Guide to Pharmacology</v>
      </c>
      <c r="D24" s="9">
        <f>IF(VLOOKUP($A24,'I-Ligands'!$A:$G,6,FALSE)="","",VLOOKUP($A24,'I-Ligands'!$A:$G,6,FALSE))</f>
        <v>505</v>
      </c>
      <c r="E24" s="9" t="str">
        <f>IF(VLOOKUP($A24,'I-Ligands'!$A:$G,7,FALSE)="","",VLOOKUP($A24,'I-Ligands'!$A:$G,7,FALSE))</f>
        <v>Phys</v>
      </c>
      <c r="F24" s="20"/>
      <c r="G24" s="19"/>
      <c r="H24" s="19">
        <f t="shared" si="0"/>
        <v>1</v>
      </c>
      <c r="I24" s="19"/>
      <c r="J24" s="8" cm="1">
        <f t="array" ref="J24">_xlfn.IFS(K24=0,0,K24&gt;0,(LOG(0.01*K24/10^-L24)))</f>
        <v>7.9928254269591799</v>
      </c>
      <c r="K24" s="17">
        <v>34.9</v>
      </c>
      <c r="L24" s="15">
        <v>8.4499999999999993</v>
      </c>
      <c r="N24" s="325" t="str">
        <f>IF(VLOOKUP($A24,'I-Ligands'!$A:$G,3,FALSE)="","",VLOOKUP($A24,'I-Ligands'!$A:$G,3,FALSE))</f>
        <v>Norepinephrine</v>
      </c>
      <c r="O24" s="326" t="str">
        <f>IF(VLOOKUP($A24,'I-Ligands'!$A:$G,4,FALSE)="","",VLOOKUP($A24,'I-Ligands'!$A:$G,4,FALSE))</f>
        <v>L-(−)-Norepinephrine (+)-bitartrate salt monohydrate</v>
      </c>
    </row>
    <row r="25" spans="1:15">
      <c r="A25" s="12" t="s">
        <v>227</v>
      </c>
      <c r="B25" s="205" t="s">
        <v>5556</v>
      </c>
      <c r="C25" s="9" t="str">
        <f>IF(VLOOKUP($A25,'I-Ligands'!$A:$G,5,FALSE)="","",VLOOKUP($A25,'I-Ligands'!$A:$G,5,FALSE))</f>
        <v>Guide to Pharmacology</v>
      </c>
      <c r="D25" s="9">
        <f>IF(VLOOKUP($A25,'I-Ligands'!$A:$G,6,FALSE)="","",VLOOKUP($A25,'I-Ligands'!$A:$G,6,FALSE))</f>
        <v>2174</v>
      </c>
      <c r="E25" s="9" t="str">
        <f>IF(VLOOKUP($A25,'I-Ligands'!$A:$G,7,FALSE)="","",VLOOKUP($A25,'I-Ligands'!$A:$G,7,FALSE))</f>
        <v>Phys</v>
      </c>
      <c r="F25" s="20"/>
      <c r="G25" s="19"/>
      <c r="H25" s="19">
        <f t="shared" si="0"/>
        <v>1</v>
      </c>
      <c r="I25" s="19"/>
      <c r="J25" s="8" cm="1">
        <f t="array" ref="J25">_xlfn.IFS(K25=0,0,K25&gt;0,(LOG(0.01*K25/10^-L25)))</f>
        <v>8.0109090820652185</v>
      </c>
      <c r="K25" s="17">
        <v>27.6</v>
      </c>
      <c r="L25" s="15">
        <v>8.57</v>
      </c>
      <c r="N25" s="325" t="str">
        <f>IF(VLOOKUP($A25,'I-Ligands'!$A:$G,3,FALSE)="","",VLOOKUP($A25,'I-Ligands'!$A:$G,3,FALSE))</f>
        <v>Oxytocin</v>
      </c>
      <c r="O25" s="326" t="str">
        <f>IF(VLOOKUP($A25,'I-Ligands'!$A:$G,4,FALSE)="","",VLOOKUP($A25,'I-Ligands'!$A:$G,4,FALSE))</f>
        <v>CYIQNCPLG-NH2</v>
      </c>
    </row>
    <row r="26" spans="1:15">
      <c r="A26" s="12" t="s">
        <v>208</v>
      </c>
      <c r="B26" s="205" t="s">
        <v>5556</v>
      </c>
      <c r="C26" s="9" t="str">
        <f>IF(VLOOKUP($A26,'I-Ligands'!$A:$G,5,FALSE)="","",VLOOKUP($A26,'I-Ligands'!$A:$G,5,FALSE))</f>
        <v>Guide to Pharmacology</v>
      </c>
      <c r="D26" s="9">
        <f>IF(VLOOKUP($A26,'I-Ligands'!$A:$G,6,FALSE)="","",VLOOKUP($A26,'I-Ligands'!$A:$G,6,FALSE))</f>
        <v>1895</v>
      </c>
      <c r="E26" s="9" t="str">
        <f>IF(VLOOKUP($A26,'I-Ligands'!$A:$G,7,FALSE)="","",VLOOKUP($A26,'I-Ligands'!$A:$G,7,FALSE))</f>
        <v>Surr</v>
      </c>
      <c r="F26" s="20"/>
      <c r="G26" s="19"/>
      <c r="H26" s="19">
        <f t="shared" si="0"/>
        <v>1</v>
      </c>
      <c r="I26" s="19"/>
      <c r="J26" s="8" cm="1">
        <f t="array" ref="J26">_xlfn.IFS(K26=0,0,K26&gt;0,(LOG(0.01*K26/10^-L26)))</f>
        <v>8.0222928644564764</v>
      </c>
      <c r="K26" s="17">
        <v>36.5</v>
      </c>
      <c r="L26" s="15">
        <v>8.4600000000000009</v>
      </c>
      <c r="N26" s="325" t="str">
        <f>IF(VLOOKUP($A26,'I-Ligands'!$A:$G,3,FALSE)="","",VLOOKUP($A26,'I-Ligands'!$A:$G,3,FALSE))</f>
        <v>Iloprost</v>
      </c>
      <c r="O26" s="326" t="str">
        <f>IF(VLOOKUP($A26,'I-Ligands'!$A:$G,4,FALSE)="","",VLOOKUP($A26,'I-Ligands'!$A:$G,4,FALSE))</f>
        <v>Iloprost</v>
      </c>
    </row>
    <row r="27" spans="1:15">
      <c r="A27" s="12" t="s">
        <v>199</v>
      </c>
      <c r="B27" s="205" t="s">
        <v>5556</v>
      </c>
      <c r="C27" s="9" t="str">
        <f>IF(VLOOKUP($A27,'I-Ligands'!$A:$G,5,FALSE)="","",VLOOKUP($A27,'I-Ligands'!$A:$G,5,FALSE))</f>
        <v>Guide to Pharmacology</v>
      </c>
      <c r="D27" s="9">
        <f>IF(VLOOKUP($A27,'I-Ligands'!$A:$G,6,FALSE)="","",VLOOKUP($A27,'I-Ligands'!$A:$G,6,FALSE))</f>
        <v>1815</v>
      </c>
      <c r="E27" s="9" t="str">
        <f>IF(VLOOKUP($A27,'I-Ligands'!$A:$G,7,FALSE)="","",VLOOKUP($A27,'I-Ligands'!$A:$G,7,FALSE))</f>
        <v>Phys</v>
      </c>
      <c r="F27" s="20"/>
      <c r="G27" s="19"/>
      <c r="H27" s="19">
        <f t="shared" si="0"/>
        <v>1</v>
      </c>
      <c r="I27" s="19"/>
      <c r="J27" s="8" cm="1">
        <f t="array" ref="J27">_xlfn.IFS(K27=0,0,K27&gt;0,(LOG(0.01*K27/10^-L27)))</f>
        <v>8.0748178230095391</v>
      </c>
      <c r="K27" s="17">
        <v>18.399999999999999</v>
      </c>
      <c r="L27" s="15">
        <v>8.81</v>
      </c>
      <c r="N27" s="325" t="str">
        <f>IF(VLOOKUP($A27,'I-Ligands'!$A:$G,3,FALSE)="","",VLOOKUP($A27,'I-Ligands'!$A:$G,3,FALSE))</f>
        <v>TIP39</v>
      </c>
      <c r="O27" s="326" t="str">
        <f>IF(VLOOKUP($A27,'I-Ligands'!$A:$G,4,FALSE)="","",VLOOKUP($A27,'I-Ligands'!$A:$G,4,FALSE))</f>
        <v>SLALADDAAFRERARLLAALERRHWLNSYMHKLLVLDAP</v>
      </c>
    </row>
    <row r="28" spans="1:15">
      <c r="A28" s="12" t="s">
        <v>231</v>
      </c>
      <c r="B28" s="205" t="s">
        <v>5556</v>
      </c>
      <c r="C28" s="9" t="str">
        <f>IF(VLOOKUP($A28,'I-Ligands'!$A:$G,5,FALSE)="","",VLOOKUP($A28,'I-Ligands'!$A:$G,5,FALSE))</f>
        <v>Guide to Pharmacology</v>
      </c>
      <c r="D28" s="9">
        <f>IF(VLOOKUP($A28,'I-Ligands'!$A:$G,6,FALSE)="","",VLOOKUP($A28,'I-Ligands'!$A:$G,6,FALSE))</f>
        <v>2257</v>
      </c>
      <c r="E28" s="9" t="str">
        <f>IF(VLOOKUP($A28,'I-Ligands'!$A:$G,7,FALSE)="","",VLOOKUP($A28,'I-Ligands'!$A:$G,7,FALSE))</f>
        <v>Phys</v>
      </c>
      <c r="F28" s="20"/>
      <c r="G28" s="19"/>
      <c r="H28" s="19">
        <f t="shared" si="0"/>
        <v>1</v>
      </c>
      <c r="I28" s="19"/>
      <c r="J28" s="8" cm="1">
        <f t="array" ref="J28">_xlfn.IFS(K28=0,0,K28&gt;0,(LOG(0.01*K28/10^-L28)))</f>
        <v>8.1014741105041015</v>
      </c>
      <c r="K28" s="17">
        <v>43.8</v>
      </c>
      <c r="L28" s="15">
        <v>8.4600000000000009</v>
      </c>
      <c r="N28" s="325" t="str">
        <f>IF(VLOOKUP($A28,'I-Ligands'!$A:$G,3,FALSE)="","",VLOOKUP($A28,'I-Ligands'!$A:$G,3,FALSE))</f>
        <v>PACAP27</v>
      </c>
      <c r="O28" s="326" t="str">
        <f>IF(VLOOKUP($A28,'I-Ligands'!$A:$G,4,FALSE)="","",VLOOKUP($A28,'I-Ligands'!$A:$G,4,FALSE))</f>
        <v>HSDGIFTDSYSRYRKQMAVKKYLAAVL-NH2</v>
      </c>
    </row>
    <row r="29" spans="1:15">
      <c r="A29" s="12" t="s">
        <v>28</v>
      </c>
      <c r="B29" s="205" t="s">
        <v>5556</v>
      </c>
      <c r="C29" s="9" t="str">
        <f>IF(VLOOKUP($A29,'I-Ligands'!$A:$G,5,FALSE)="","",VLOOKUP($A29,'I-Ligands'!$A:$G,5,FALSE))</f>
        <v>Guide to Pharmacology</v>
      </c>
      <c r="D29" s="9">
        <f>IF(VLOOKUP($A29,'I-Ligands'!$A:$G,6,FALSE)="","",VLOOKUP($A29,'I-Ligands'!$A:$G,6,FALSE))</f>
        <v>294</v>
      </c>
      <c r="E29" s="9" t="str">
        <f>IF(VLOOKUP($A29,'I-Ligands'!$A:$G,7,FALSE)="","",VLOOKUP($A29,'I-Ligands'!$A:$G,7,FALSE))</f>
        <v>Phys</v>
      </c>
      <c r="F29" s="20"/>
      <c r="G29" s="19"/>
      <c r="H29" s="19">
        <f t="shared" si="0"/>
        <v>1</v>
      </c>
      <c r="I29" s="19"/>
      <c r="J29" s="8" cm="1">
        <f t="array" ref="J29">_xlfn.IFS(K29=0,0,K29&gt;0,(LOG(0.01*K29/10^-L29)))</f>
        <v>8.1148448600085121</v>
      </c>
      <c r="K29" s="17">
        <v>28.5</v>
      </c>
      <c r="L29" s="15">
        <v>8.66</v>
      </c>
      <c r="N29" s="325" t="str">
        <f>IF(VLOOKUP($A29,'I-Ligands'!$A:$G,3,FALSE)="","",VLOOKUP($A29,'I-Ligands'!$A:$G,3,FALSE))</f>
        <v>Acetylcholine</v>
      </c>
      <c r="O29" s="326" t="str">
        <f>IF(VLOOKUP($A29,'I-Ligands'!$A:$G,4,FALSE)="","",VLOOKUP($A29,'I-Ligands'!$A:$G,4,FALSE))</f>
        <v>Acetylcholine Chloride</v>
      </c>
    </row>
    <row r="30" spans="1:15">
      <c r="A30" s="12" t="s">
        <v>30</v>
      </c>
      <c r="B30" s="205" t="s">
        <v>5556</v>
      </c>
      <c r="C30" s="9" t="str">
        <f>IF(VLOOKUP($A30,'I-Ligands'!$A:$G,5,FALSE)="","",VLOOKUP($A30,'I-Ligands'!$A:$G,5,FALSE))</f>
        <v>Guide to Pharmacology</v>
      </c>
      <c r="D30" s="9">
        <f>IF(VLOOKUP($A30,'I-Ligands'!$A:$G,6,FALSE)="","",VLOOKUP($A30,'I-Ligands'!$A:$G,6,FALSE))</f>
        <v>294</v>
      </c>
      <c r="E30" s="9" t="str">
        <f>IF(VLOOKUP($A30,'I-Ligands'!$A:$G,7,FALSE)="","",VLOOKUP($A30,'I-Ligands'!$A:$G,7,FALSE))</f>
        <v>Phys</v>
      </c>
      <c r="F30" s="20"/>
      <c r="G30" s="19"/>
      <c r="H30" s="19">
        <f t="shared" si="0"/>
        <v>1</v>
      </c>
      <c r="I30" s="19"/>
      <c r="J30" s="8" cm="1">
        <f t="array" ref="J30">_xlfn.IFS(K30=0,0,K30&gt;0,(LOG(0.01*K30/10^-L30)))</f>
        <v>8.125604203273598</v>
      </c>
      <c r="K30" s="17">
        <v>27.9</v>
      </c>
      <c r="L30" s="15">
        <v>8.68</v>
      </c>
      <c r="N30" s="325" t="str">
        <f>IF(VLOOKUP($A30,'I-Ligands'!$A:$G,3,FALSE)="","",VLOOKUP($A30,'I-Ligands'!$A:$G,3,FALSE))</f>
        <v>Acetylcholine</v>
      </c>
      <c r="O30" s="326" t="str">
        <f>IF(VLOOKUP($A30,'I-Ligands'!$A:$G,4,FALSE)="","",VLOOKUP($A30,'I-Ligands'!$A:$G,4,FALSE))</f>
        <v>Acetylcholine Chloride</v>
      </c>
    </row>
    <row r="31" spans="1:15">
      <c r="A31" s="12" t="s">
        <v>123</v>
      </c>
      <c r="B31" s="205" t="s">
        <v>5556</v>
      </c>
      <c r="C31" s="9" t="str">
        <f>IF(VLOOKUP($A31,'I-Ligands'!$A:$G,5,FALSE)="","",VLOOKUP($A31,'I-Ligands'!$A:$G,5,FALSE))</f>
        <v>Guide to Pharmacology</v>
      </c>
      <c r="D31" s="9">
        <f>IF(VLOOKUP($A31,'I-Ligands'!$A:$G,6,FALSE)="","",VLOOKUP($A31,'I-Ligands'!$A:$G,6,FALSE))</f>
        <v>3592</v>
      </c>
      <c r="E31" s="9" t="str">
        <f>IF(VLOOKUP($A31,'I-Ligands'!$A:$G,7,FALSE)="","",VLOOKUP($A31,'I-Ligands'!$A:$G,7,FALSE))</f>
        <v>Phys</v>
      </c>
      <c r="F31" s="20"/>
      <c r="G31" s="19"/>
      <c r="H31" s="19">
        <f t="shared" si="0"/>
        <v>1</v>
      </c>
      <c r="I31" s="19"/>
      <c r="J31" s="8" cm="1">
        <f t="array" ref="J31">_xlfn.IFS(K31=0,0,K31&gt;0,(LOG(0.01*K31/10^-L31)))</f>
        <v>8.1396737214810386</v>
      </c>
      <c r="K31" s="17">
        <v>25.1</v>
      </c>
      <c r="L31" s="15">
        <v>8.74</v>
      </c>
      <c r="N31" s="325" t="str">
        <f>IF(VLOOKUP($A31,'I-Ligands'!$A:$G,3,FALSE)="","",VLOOKUP($A31,'I-Ligands'!$A:$G,3,FALSE))</f>
        <v>Galanin</v>
      </c>
      <c r="O31" s="326" t="str">
        <f>IF(VLOOKUP($A31,'I-Ligands'!$A:$G,4,FALSE)="","",VLOOKUP($A31,'I-Ligands'!$A:$G,4,FALSE))</f>
        <v>GWTLNSAGYLLGPHAVGNHRSFSDKNGLTS</v>
      </c>
    </row>
    <row r="32" spans="1:15">
      <c r="A32" s="12" t="s">
        <v>224</v>
      </c>
      <c r="B32" s="205" t="s">
        <v>5556</v>
      </c>
      <c r="C32" s="9" t="str">
        <f>IF(VLOOKUP($A32,'I-Ligands'!$A:$G,5,FALSE)="","",VLOOKUP($A32,'I-Ligands'!$A:$G,5,FALSE))</f>
        <v>Guide to Pharmacology</v>
      </c>
      <c r="D32" s="9">
        <f>IF(VLOOKUP($A32,'I-Ligands'!$A:$G,6,FALSE)="","",VLOOKUP($A32,'I-Ligands'!$A:$G,6,FALSE))</f>
        <v>2089</v>
      </c>
      <c r="E32" s="9" t="str">
        <f>IF(VLOOKUP($A32,'I-Ligands'!$A:$G,7,FALSE)="","",VLOOKUP($A32,'I-Ligands'!$A:$G,7,FALSE))</f>
        <v>Phys</v>
      </c>
      <c r="F32" s="20"/>
      <c r="G32" s="19"/>
      <c r="H32" s="19">
        <f t="shared" si="0"/>
        <v>1</v>
      </c>
      <c r="I32" s="19"/>
      <c r="J32" s="8" cm="1">
        <f t="array" ref="J32">_xlfn.IFS(K32=0,0,K32&gt;0,(LOG(0.01*K32/10^-L32)))</f>
        <v>8.1526682161121933</v>
      </c>
      <c r="K32" s="17">
        <v>35.700000000000003</v>
      </c>
      <c r="L32" s="15">
        <v>8.6</v>
      </c>
      <c r="N32" s="325" t="str">
        <f>IF(VLOOKUP($A32,'I-Ligands'!$A:$G,3,FALSE)="","",VLOOKUP($A32,'I-Ligands'!$A:$G,3,FALSE))</f>
        <v>Neurokinin A</v>
      </c>
      <c r="O32" s="326" t="str">
        <f>IF(VLOOKUP($A32,'I-Ligands'!$A:$G,4,FALSE)="","",VLOOKUP($A32,'I-Ligands'!$A:$G,4,FALSE))</f>
        <v>HKTDSFVGLM-NH2</v>
      </c>
    </row>
    <row r="33" spans="1:15">
      <c r="A33" s="12" t="s">
        <v>145</v>
      </c>
      <c r="B33" s="205" t="s">
        <v>5556</v>
      </c>
      <c r="C33" s="9" t="str">
        <f>IF(VLOOKUP($A33,'I-Ligands'!$A:$G,5,FALSE)="","",VLOOKUP($A33,'I-Ligands'!$A:$G,5,FALSE))</f>
        <v>Guide to Pharmacology</v>
      </c>
      <c r="D33" s="9">
        <f>IF(VLOOKUP($A33,'I-Ligands'!$A:$G,6,FALSE)="","",VLOOKUP($A33,'I-Ligands'!$A:$G,6,FALSE))</f>
        <v>3353</v>
      </c>
      <c r="E33" s="9" t="str">
        <f>IF(VLOOKUP($A33,'I-Ligands'!$A:$G,7,FALSE)="","",VLOOKUP($A33,'I-Ligands'!$A:$G,7,FALSE))</f>
        <v>Phys</v>
      </c>
      <c r="F33" s="20"/>
      <c r="G33" s="19"/>
      <c r="H33" s="19">
        <f t="shared" si="0"/>
        <v>1</v>
      </c>
      <c r="I33" s="19"/>
      <c r="J33" s="8" cm="1">
        <f t="array" ref="J33">_xlfn.IFS(K33=0,0,K33&gt;0,(LOG(0.01*K33/10^-L33)))</f>
        <v>8.1914499979728763</v>
      </c>
      <c r="K33" s="17">
        <v>35.6</v>
      </c>
      <c r="L33" s="15">
        <v>8.64</v>
      </c>
      <c r="N33" s="325" t="str">
        <f>IF(VLOOKUP($A33,'I-Ligands'!$A:$G,3,FALSE)="","",VLOOKUP($A33,'I-Ligands'!$A:$G,3,FALSE))</f>
        <v>Leukotriene D4</v>
      </c>
      <c r="O33" s="326" t="str">
        <f>IF(VLOOKUP($A33,'I-Ligands'!$A:$G,4,FALSE)="","",VLOOKUP($A33,'I-Ligands'!$A:$G,4,FALSE))</f>
        <v>Leukotriene D4</v>
      </c>
    </row>
    <row r="34" spans="1:15">
      <c r="A34" s="12" t="s">
        <v>158</v>
      </c>
      <c r="B34" s="205" t="s">
        <v>5556</v>
      </c>
      <c r="C34" s="9" t="str">
        <f>IF(VLOOKUP($A34,'I-Ligands'!$A:$G,5,FALSE)="","",VLOOKUP($A34,'I-Ligands'!$A:$G,5,FALSE))</f>
        <v>Guide to Pharmacology</v>
      </c>
      <c r="D34" s="9">
        <f>IF(VLOOKUP($A34,'I-Ligands'!$A:$G,6,FALSE)="","",VLOOKUP($A34,'I-Ligands'!$A:$G,6,FALSE))</f>
        <v>1298</v>
      </c>
      <c r="E34" s="9" t="str">
        <f>IF(VLOOKUP($A34,'I-Ligands'!$A:$G,7,FALSE)="","",VLOOKUP($A34,'I-Ligands'!$A:$G,7,FALSE))</f>
        <v>Phys</v>
      </c>
      <c r="F34" s="20"/>
      <c r="G34" s="19"/>
      <c r="H34" s="19">
        <f t="shared" si="0"/>
        <v>1</v>
      </c>
      <c r="I34" s="19"/>
      <c r="J34" s="8" cm="1">
        <f t="array" ref="J34">_xlfn.IFS(K34=0,0,K34&gt;0,(LOG(0.01*K34/10^-L34)))</f>
        <v>8.1975289612146351</v>
      </c>
      <c r="K34" s="17">
        <v>48.7</v>
      </c>
      <c r="L34" s="15">
        <v>8.51</v>
      </c>
      <c r="N34" s="325" t="str">
        <f>IF(VLOOKUP($A34,'I-Ligands'!$A:$G,3,FALSE)="","",VLOOKUP($A34,'I-Ligands'!$A:$G,3,FALSE))</f>
        <v>MCH</v>
      </c>
      <c r="O34" s="326" t="str">
        <f>IF(VLOOKUP($A34,'I-Ligands'!$A:$G,4,FALSE)="","",VLOOKUP($A34,'I-Ligands'!$A:$G,4,FALSE))</f>
        <v>DFDMLRCMLGRVYRPCWQV</v>
      </c>
    </row>
    <row r="35" spans="1:15">
      <c r="A35" s="12" t="s">
        <v>159</v>
      </c>
      <c r="B35" s="205" t="s">
        <v>5556</v>
      </c>
      <c r="C35" s="9" t="str">
        <f>IF(VLOOKUP($A35,'I-Ligands'!$A:$G,5,FALSE)="","",VLOOKUP($A35,'I-Ligands'!$A:$G,5,FALSE))</f>
        <v>Guide to Pharmacology</v>
      </c>
      <c r="D35" s="9">
        <f>IF(VLOOKUP($A35,'I-Ligands'!$A:$G,6,FALSE)="","",VLOOKUP($A35,'I-Ligands'!$A:$G,6,FALSE))</f>
        <v>1298</v>
      </c>
      <c r="E35" s="9" t="str">
        <f>IF(VLOOKUP($A35,'I-Ligands'!$A:$G,7,FALSE)="","",VLOOKUP($A35,'I-Ligands'!$A:$G,7,FALSE))</f>
        <v>Phys</v>
      </c>
      <c r="F35" s="20"/>
      <c r="G35" s="19"/>
      <c r="H35" s="19">
        <f t="shared" si="0"/>
        <v>1</v>
      </c>
      <c r="I35" s="19"/>
      <c r="J35" s="8" cm="1">
        <f t="array" ref="J35">_xlfn.IFS(K35=0,0,K35&gt;0,(LOG(0.01*K35/10^-L35)))</f>
        <v>8.3863025007672878</v>
      </c>
      <c r="K35" s="17">
        <v>36</v>
      </c>
      <c r="L35" s="15">
        <v>8.83</v>
      </c>
      <c r="N35" s="325" t="str">
        <f>IF(VLOOKUP($A35,'I-Ligands'!$A:$G,3,FALSE)="","",VLOOKUP($A35,'I-Ligands'!$A:$G,3,FALSE))</f>
        <v>MCH</v>
      </c>
      <c r="O35" s="326" t="str">
        <f>IF(VLOOKUP($A35,'I-Ligands'!$A:$G,4,FALSE)="","",VLOOKUP($A35,'I-Ligands'!$A:$G,4,FALSE))</f>
        <v>DFDMLRCMLGRVYRPCWQV</v>
      </c>
    </row>
    <row r="36" spans="1:15">
      <c r="A36" s="12" t="s">
        <v>230</v>
      </c>
      <c r="B36" s="205" t="s">
        <v>5556</v>
      </c>
      <c r="C36" s="9" t="str">
        <f>IF(VLOOKUP($A36,'I-Ligands'!$A:$G,5,FALSE)="","",VLOOKUP($A36,'I-Ligands'!$A:$G,5,FALSE))</f>
        <v>Guide to Pharmacology</v>
      </c>
      <c r="D36" s="9">
        <f>IF(VLOOKUP($A36,'I-Ligands'!$A:$G,6,FALSE)="","",VLOOKUP($A36,'I-Ligands'!$A:$G,6,FALSE))</f>
        <v>2168</v>
      </c>
      <c r="E36" s="9" t="str">
        <f>IF(VLOOKUP($A36,'I-Ligands'!$A:$G,7,FALSE)="","",VLOOKUP($A36,'I-Ligands'!$A:$G,7,FALSE))</f>
        <v>Phys</v>
      </c>
      <c r="F36" s="20"/>
      <c r="G36" s="19"/>
      <c r="H36" s="19">
        <f t="shared" si="0"/>
        <v>1</v>
      </c>
      <c r="I36" s="19"/>
      <c r="J36" s="8" cm="1">
        <f t="array" ref="J36">_xlfn.IFS(K36=0,0,K36&gt;0,(LOG(0.01*K36/10^-L36)))</f>
        <v>8.4948337166199384</v>
      </c>
      <c r="K36" s="17">
        <v>25.4</v>
      </c>
      <c r="L36" s="15">
        <v>9.09</v>
      </c>
      <c r="N36" s="325" t="str">
        <f>IF(VLOOKUP($A36,'I-Ligands'!$A:$G,3,FALSE)="","",VLOOKUP($A36,'I-Ligands'!$A:$G,3,FALSE))</f>
        <v>Vasopressin</v>
      </c>
      <c r="O36" s="326" t="str">
        <f>IF(VLOOKUP($A36,'I-Ligands'!$A:$G,4,FALSE)="","",VLOOKUP($A36,'I-Ligands'!$A:$G,4,FALSE))</f>
        <v>CYFQNCPRG-NH2</v>
      </c>
    </row>
    <row r="37" spans="1:15">
      <c r="A37" s="12" t="s">
        <v>203</v>
      </c>
      <c r="B37" s="205" t="s">
        <v>5556</v>
      </c>
      <c r="C37" s="9" t="str">
        <f>IF(VLOOKUP($A37,'I-Ligands'!$A:$G,5,FALSE)="","",VLOOKUP($A37,'I-Ligands'!$A:$G,5,FALSE))</f>
        <v>Guide to Pharmacology</v>
      </c>
      <c r="D37" s="9">
        <f>IF(VLOOKUP($A37,'I-Ligands'!$A:$G,6,FALSE)="","",VLOOKUP($A37,'I-Ligands'!$A:$G,6,FALSE))</f>
        <v>1883</v>
      </c>
      <c r="E37" s="9" t="str">
        <f>IF(VLOOKUP($A37,'I-Ligands'!$A:$G,7,FALSE)="","",VLOOKUP($A37,'I-Ligands'!$A:$G,7,FALSE))</f>
        <v>Phys</v>
      </c>
      <c r="F37" s="20"/>
      <c r="G37" s="19"/>
      <c r="H37" s="19">
        <f t="shared" si="0"/>
        <v>1</v>
      </c>
      <c r="I37" s="19"/>
      <c r="J37" s="8" cm="1">
        <f t="array" ref="J37">_xlfn.IFS(K37=0,0,K37&gt;0,(LOG(0.01*K37/10^-L37)))</f>
        <v>8.5210646070264993</v>
      </c>
      <c r="K37" s="17">
        <v>39</v>
      </c>
      <c r="L37" s="15">
        <v>8.93</v>
      </c>
      <c r="N37" s="325" t="str">
        <f>IF(VLOOKUP($A37,'I-Ligands'!$A:$G,3,FALSE)="","",VLOOKUP($A37,'I-Ligands'!$A:$G,3,FALSE))</f>
        <v>Prostaglandin E2</v>
      </c>
      <c r="O37" s="326" t="str">
        <f>IF(VLOOKUP($A37,'I-Ligands'!$A:$G,4,FALSE)="","",VLOOKUP($A37,'I-Ligands'!$A:$G,4,FALSE))</f>
        <v>Prostaglandin E2</v>
      </c>
    </row>
    <row r="38" spans="1:15">
      <c r="A38" s="12" t="s">
        <v>207</v>
      </c>
      <c r="B38" s="205" t="s">
        <v>5556</v>
      </c>
      <c r="C38" s="9" t="str">
        <f>IF(VLOOKUP($A38,'I-Ligands'!$A:$G,5,FALSE)="","",VLOOKUP($A38,'I-Ligands'!$A:$G,5,FALSE))</f>
        <v>Guide to Pharmacology</v>
      </c>
      <c r="D38" s="9">
        <f>IF(VLOOKUP($A38,'I-Ligands'!$A:$G,6,FALSE)="","",VLOOKUP($A38,'I-Ligands'!$A:$G,6,FALSE))</f>
        <v>1884</v>
      </c>
      <c r="E38" s="9" t="str">
        <f>IF(VLOOKUP($A38,'I-Ligands'!$A:$G,7,FALSE)="","",VLOOKUP($A38,'I-Ligands'!$A:$G,7,FALSE))</f>
        <v>Phys</v>
      </c>
      <c r="F38" s="20"/>
      <c r="G38" s="19"/>
      <c r="H38" s="19">
        <f t="shared" si="0"/>
        <v>1</v>
      </c>
      <c r="I38" s="19"/>
      <c r="J38" s="8" cm="1">
        <f t="array" ref="J38">_xlfn.IFS(K38=0,0,K38&gt;0,(LOG(0.01*K38/10^-L38)))</f>
        <v>8.5685664955938439</v>
      </c>
      <c r="K38" s="17">
        <v>30.1</v>
      </c>
      <c r="L38" s="15">
        <v>9.09</v>
      </c>
      <c r="N38" s="325" t="str">
        <f>IF(VLOOKUP($A38,'I-Ligands'!$A:$G,3,FALSE)="","",VLOOKUP($A38,'I-Ligands'!$A:$G,3,FALSE))</f>
        <v>Prostaglandin F2α</v>
      </c>
      <c r="O38" s="326" t="str">
        <f>IF(VLOOKUP($A38,'I-Ligands'!$A:$G,4,FALSE)="","",VLOOKUP($A38,'I-Ligands'!$A:$G,4,FALSE))</f>
        <v>Prostaglandin F2α</v>
      </c>
    </row>
    <row r="39" spans="1:15">
      <c r="A39" s="12" t="s">
        <v>172</v>
      </c>
      <c r="B39" s="205" t="s">
        <v>5556</v>
      </c>
      <c r="C39" s="9" t="str">
        <f>IF(VLOOKUP($A39,'I-Ligands'!$A:$G,5,FALSE)="","",VLOOKUP($A39,'I-Ligands'!$A:$G,5,FALSE))</f>
        <v>Guide to Pharmacology</v>
      </c>
      <c r="D39" s="9">
        <f>IF(VLOOKUP($A39,'I-Ligands'!$A:$G,6,FALSE)="","",VLOOKUP($A39,'I-Ligands'!$A:$G,6,FALSE))</f>
        <v>1470</v>
      </c>
      <c r="E39" s="9" t="str">
        <f>IF(VLOOKUP($A39,'I-Ligands'!$A:$G,7,FALSE)="","",VLOOKUP($A39,'I-Ligands'!$A:$G,7,FALSE))</f>
        <v>Phys</v>
      </c>
      <c r="F39" s="20"/>
      <c r="G39" s="19"/>
      <c r="H39" s="19">
        <f t="shared" si="0"/>
        <v>1</v>
      </c>
      <c r="I39" s="19"/>
      <c r="J39" s="8" cm="1">
        <f t="array" ref="J39">_xlfn.IFS(K39=0,0,K39&gt;0,(LOG(0.01*K39/10^-L39)))</f>
        <v>8.6174917998372251</v>
      </c>
      <c r="K39" s="17">
        <v>37.799999999999997</v>
      </c>
      <c r="L39" s="15">
        <v>9.0399999999999991</v>
      </c>
      <c r="N39" s="325" t="str">
        <f>IF(VLOOKUP($A39,'I-Ligands'!$A:$G,3,FALSE)="","",VLOOKUP($A39,'I-Ligands'!$A:$G,3,FALSE))</f>
        <v>Neuromedin-U25</v>
      </c>
      <c r="O39" s="326" t="str">
        <f>IF(VLOOKUP($A39,'I-Ligands'!$A:$G,4,FALSE)="","",VLOOKUP($A39,'I-Ligands'!$A:$G,4,FALSE))</f>
        <v>FRVDEEFQSPFASQSRGYFLFRPRN-NH2</v>
      </c>
    </row>
    <row r="40" spans="1:15">
      <c r="A40" s="12" t="s">
        <v>200</v>
      </c>
      <c r="B40" s="205" t="s">
        <v>5556</v>
      </c>
      <c r="C40" s="9" t="str">
        <f>IF(VLOOKUP($A40,'I-Ligands'!$A:$G,5,FALSE)="","",VLOOKUP($A40,'I-Ligands'!$A:$G,5,FALSE))</f>
        <v>Guide to Pharmacology</v>
      </c>
      <c r="D40" s="9">
        <f>IF(VLOOKUP($A40,'I-Ligands'!$A:$G,6,FALSE)="","",VLOOKUP($A40,'I-Ligands'!$A:$G,6,FALSE))</f>
        <v>1831</v>
      </c>
      <c r="E40" s="9" t="str">
        <f>IF(VLOOKUP($A40,'I-Ligands'!$A:$G,7,FALSE)="","",VLOOKUP($A40,'I-Ligands'!$A:$G,7,FALSE))</f>
        <v>Phys</v>
      </c>
      <c r="F40" s="20"/>
      <c r="G40" s="19"/>
      <c r="H40" s="19">
        <f t="shared" si="0"/>
        <v>1</v>
      </c>
      <c r="I40" s="19"/>
      <c r="J40" s="8" cm="1">
        <f t="array" ref="J40">_xlfn.IFS(K40=0,0,K40&gt;0,(LOG(0.01*K40/10^-L40)))</f>
        <v>8.7464907251724817</v>
      </c>
      <c r="K40" s="17">
        <v>7.7</v>
      </c>
      <c r="L40" s="15">
        <v>9.86</v>
      </c>
      <c r="N40" s="325" t="str">
        <f>IF(VLOOKUP($A40,'I-Ligands'!$A:$G,3,FALSE)="","",VLOOKUP($A40,'I-Ligands'!$A:$G,3,FALSE))</f>
        <v>PAF</v>
      </c>
      <c r="O40" s="326" t="str">
        <f>IF(VLOOKUP($A40,'I-Ligands'!$A:$G,4,FALSE)="","",VLOOKUP($A40,'I-Ligands'!$A:$G,4,FALSE))</f>
        <v>1-O-hexadecyl-2-acetyl-sn-glycero-3-phosphocholine</v>
      </c>
    </row>
    <row r="41" spans="1:15">
      <c r="A41" s="12" t="s">
        <v>209</v>
      </c>
      <c r="B41" s="205" t="s">
        <v>5556</v>
      </c>
      <c r="C41" s="9" t="str">
        <f>IF(VLOOKUP($A41,'I-Ligands'!$A:$G,5,FALSE)="","",VLOOKUP($A41,'I-Ligands'!$A:$G,5,FALSE))</f>
        <v>Guide to Pharmacology</v>
      </c>
      <c r="D41" s="9">
        <f>IF(VLOOKUP($A41,'I-Ligands'!$A:$G,6,FALSE)="","",VLOOKUP($A41,'I-Ligands'!$A:$G,6,FALSE))</f>
        <v>1888</v>
      </c>
      <c r="E41" s="9" t="str">
        <f>IF(VLOOKUP($A41,'I-Ligands'!$A:$G,7,FALSE)="","",VLOOKUP($A41,'I-Ligands'!$A:$G,7,FALSE))</f>
        <v>Surr</v>
      </c>
      <c r="F41" s="20"/>
      <c r="G41" s="19"/>
      <c r="H41" s="19">
        <f t="shared" si="0"/>
        <v>1</v>
      </c>
      <c r="I41" s="19"/>
      <c r="J41" s="8" cm="1">
        <f t="array" ref="J41">_xlfn.IFS(K41=0,0,K41&gt;0,(LOG(0.01*K41/10^-L41)))</f>
        <v>8.7684892569546395</v>
      </c>
      <c r="K41" s="17">
        <v>43.5</v>
      </c>
      <c r="L41" s="15">
        <v>9.1300000000000008</v>
      </c>
      <c r="N41" s="325" t="str">
        <f>IF(VLOOKUP($A41,'I-Ligands'!$A:$G,3,FALSE)="","",VLOOKUP($A41,'I-Ligands'!$A:$G,3,FALSE))</f>
        <v>U-46619</v>
      </c>
      <c r="O41" s="326" t="str">
        <f>IF(VLOOKUP($A41,'I-Ligands'!$A:$G,4,FALSE)="","",VLOOKUP($A41,'I-Ligands'!$A:$G,4,FALSE))</f>
        <v>U-46619</v>
      </c>
    </row>
    <row r="42" spans="1:15">
      <c r="A42" s="12" t="s">
        <v>173</v>
      </c>
      <c r="B42" s="205" t="s">
        <v>5556</v>
      </c>
      <c r="C42" s="9" t="str">
        <f>IF(VLOOKUP($A42,'I-Ligands'!$A:$G,5,FALSE)="","",VLOOKUP($A42,'I-Ligands'!$A:$G,5,FALSE))</f>
        <v>Guide to Pharmacology</v>
      </c>
      <c r="D42" s="9">
        <f>IF(VLOOKUP($A42,'I-Ligands'!$A:$G,6,FALSE)="","",VLOOKUP($A42,'I-Ligands'!$A:$G,6,FALSE))</f>
        <v>1470</v>
      </c>
      <c r="E42" s="9" t="str">
        <f>IF(VLOOKUP($A42,'I-Ligands'!$A:$G,7,FALSE)="","",VLOOKUP($A42,'I-Ligands'!$A:$G,7,FALSE))</f>
        <v>Phys</v>
      </c>
      <c r="F42" s="20"/>
      <c r="G42" s="19"/>
      <c r="H42" s="19">
        <f t="shared" si="0"/>
        <v>1</v>
      </c>
      <c r="I42" s="19"/>
      <c r="J42" s="8" cm="1">
        <f t="array" ref="J42">_xlfn.IFS(K42=0,0,K42&gt;0,(LOG(0.01*K42/10^-L42)))</f>
        <v>8.8613616938342723</v>
      </c>
      <c r="K42" s="17">
        <v>31</v>
      </c>
      <c r="L42" s="15">
        <v>9.3699999999999992</v>
      </c>
      <c r="N42" s="325" t="str">
        <f>IF(VLOOKUP($A42,'I-Ligands'!$A:$G,3,FALSE)="","",VLOOKUP($A42,'I-Ligands'!$A:$G,3,FALSE))</f>
        <v>Neuromedin-U25</v>
      </c>
      <c r="O42" s="326" t="str">
        <f>IF(VLOOKUP($A42,'I-Ligands'!$A:$G,4,FALSE)="","",VLOOKUP($A42,'I-Ligands'!$A:$G,4,FALSE))</f>
        <v>FRVDEEFQSPFASQSRGYFLFRPRN-NH2</v>
      </c>
    </row>
    <row r="43" spans="1:15">
      <c r="A43" s="12" t="s">
        <v>186</v>
      </c>
      <c r="B43" s="205" t="s">
        <v>5556</v>
      </c>
      <c r="C43" s="9" t="str">
        <f>IF(VLOOKUP($A43,'I-Ligands'!$A:$G,5,FALSE)="","",VLOOKUP($A43,'I-Ligands'!$A:$G,5,FALSE))</f>
        <v>Guide to Pharmacology</v>
      </c>
      <c r="D43" s="9">
        <f>IF(VLOOKUP($A43,'I-Ligands'!$A:$G,6,FALSE)="","",VLOOKUP($A43,'I-Ligands'!$A:$G,6,FALSE))</f>
        <v>1697</v>
      </c>
      <c r="E43" s="9" t="str">
        <f>IF(VLOOKUP($A43,'I-Ligands'!$A:$G,7,FALSE)="","",VLOOKUP($A43,'I-Ligands'!$A:$G,7,FALSE))</f>
        <v>Phys</v>
      </c>
      <c r="F43" s="20"/>
      <c r="G43" s="19"/>
      <c r="H43" s="19">
        <f t="shared" si="0"/>
        <v>1</v>
      </c>
      <c r="I43" s="19"/>
      <c r="J43" s="8" cm="1">
        <f t="array" ref="J43">_xlfn.IFS(K43=0,0,K43&gt;0,(LOG(0.01*K43/10^-L43)))</f>
        <v>8.8777747053878233</v>
      </c>
      <c r="K43" s="17">
        <v>35.299999999999997</v>
      </c>
      <c r="L43" s="15">
        <v>9.33</v>
      </c>
      <c r="N43" s="325" t="str">
        <f>IF(VLOOKUP($A43,'I-Ligands'!$A:$G,3,FALSE)="","",VLOOKUP($A43,'I-Ligands'!$A:$G,3,FALSE))</f>
        <v>Orexin-A</v>
      </c>
      <c r="O43" s="326" t="str">
        <f>IF(VLOOKUP($A43,'I-Ligands'!$A:$G,4,FALSE)="","",VLOOKUP($A43,'I-Ligands'!$A:$G,4,FALSE))</f>
        <v>Pyr-PLPDCCRQKTCSCRLYELLHGAGNHAAGILTL-NH2</v>
      </c>
    </row>
    <row r="44" spans="1:15">
      <c r="A44" s="12" t="s">
        <v>142</v>
      </c>
      <c r="B44" s="205" t="s">
        <v>5556</v>
      </c>
      <c r="C44" s="9" t="str">
        <f>IF(VLOOKUP($A44,'I-Ligands'!$A:$G,5,FALSE)="","",VLOOKUP($A44,'I-Ligands'!$A:$G,5,FALSE))</f>
        <v>Guide to Pharmacology</v>
      </c>
      <c r="D44" s="9">
        <f>IF(VLOOKUP($A44,'I-Ligands'!$A:$G,6,FALSE)="","",VLOOKUP($A44,'I-Ligands'!$A:$G,6,FALSE))</f>
        <v>1283</v>
      </c>
      <c r="E44" s="9" t="str">
        <f>IF(VLOOKUP($A44,'I-Ligands'!$A:$G,7,FALSE)="","",VLOOKUP($A44,'I-Ligands'!$A:$G,7,FALSE))</f>
        <v>Phys</v>
      </c>
      <c r="F44" s="20"/>
      <c r="G44" s="19"/>
      <c r="H44" s="19">
        <f t="shared" si="0"/>
        <v>1</v>
      </c>
      <c r="I44" s="19"/>
      <c r="J44" s="8" cm="1">
        <f t="array" ref="J44">_xlfn.IFS(K44=0,0,K44&gt;0,(LOG(0.01*K44/10^-L44)))</f>
        <v>8.8855443375464489</v>
      </c>
      <c r="K44" s="17">
        <v>31.3</v>
      </c>
      <c r="L44" s="15">
        <v>9.39</v>
      </c>
      <c r="N44" s="325" t="str">
        <f>IF(VLOOKUP($A44,'I-Ligands'!$A:$G,3,FALSE)="","",VLOOKUP($A44,'I-Ligands'!$A:$G,3,FALSE))</f>
        <v xml:space="preserve">Kisspeptin-10 </v>
      </c>
      <c r="O44" s="326" t="str">
        <f>IF(VLOOKUP($A44,'I-Ligands'!$A:$G,4,FALSE)="","",VLOOKUP($A44,'I-Ligands'!$A:$G,4,FALSE))</f>
        <v>YNWNSFGLRF-NH2</v>
      </c>
    </row>
    <row r="45" spans="1:15">
      <c r="A45" s="12" t="s">
        <v>144</v>
      </c>
      <c r="B45" s="205" t="s">
        <v>5556</v>
      </c>
      <c r="C45" s="9" t="str">
        <f>IF(VLOOKUP($A45,'I-Ligands'!$A:$G,5,FALSE)="","",VLOOKUP($A45,'I-Ligands'!$A:$G,5,FALSE))</f>
        <v>Guide to Pharmacology</v>
      </c>
      <c r="D45" s="9">
        <f>IF(VLOOKUP($A45,'I-Ligands'!$A:$G,6,FALSE)="","",VLOOKUP($A45,'I-Ligands'!$A:$G,6,FALSE))</f>
        <v>3353</v>
      </c>
      <c r="E45" s="9" t="str">
        <f>IF(VLOOKUP($A45,'I-Ligands'!$A:$G,7,FALSE)="","",VLOOKUP($A45,'I-Ligands'!$A:$G,7,FALSE))</f>
        <v>Phys</v>
      </c>
      <c r="F45" s="20"/>
      <c r="G45" s="19"/>
      <c r="H45" s="19">
        <f t="shared" si="0"/>
        <v>1</v>
      </c>
      <c r="I45" s="19"/>
      <c r="J45" s="8" cm="1">
        <f t="array" ref="J45">_xlfn.IFS(K45=0,0,K45&gt;0,(LOG(0.01*K45/10^-L45)))</f>
        <v>8.9602283530550952</v>
      </c>
      <c r="K45" s="17">
        <v>35.5</v>
      </c>
      <c r="L45" s="15">
        <v>9.41</v>
      </c>
      <c r="N45" s="325" t="str">
        <f>IF(VLOOKUP($A45,'I-Ligands'!$A:$G,3,FALSE)="","",VLOOKUP($A45,'I-Ligands'!$A:$G,3,FALSE))</f>
        <v>Leukotriene D4</v>
      </c>
      <c r="O45" s="326" t="str">
        <f>IF(VLOOKUP($A45,'I-Ligands'!$A:$G,4,FALSE)="","",VLOOKUP($A45,'I-Ligands'!$A:$G,4,FALSE))</f>
        <v>Leukotriene D4</v>
      </c>
    </row>
    <row r="46" spans="1:15">
      <c r="A46" s="12" t="s">
        <v>131</v>
      </c>
      <c r="B46" s="205" t="s">
        <v>5556</v>
      </c>
      <c r="C46" s="9" t="str">
        <f>IF(VLOOKUP($A46,'I-Ligands'!$A:$G,5,FALSE)="","",VLOOKUP($A46,'I-Ligands'!$A:$G,5,FALSE))</f>
        <v>Guide to Pharmacology</v>
      </c>
      <c r="D46" s="9">
        <f>IF(VLOOKUP($A46,'I-Ligands'!$A:$G,6,FALSE)="","",VLOOKUP($A46,'I-Ligands'!$A:$G,6,FALSE))</f>
        <v>1175</v>
      </c>
      <c r="E46" s="9" t="str">
        <f>IF(VLOOKUP($A46,'I-Ligands'!$A:$G,7,FALSE)="","",VLOOKUP($A46,'I-Ligands'!$A:$G,7,FALSE))</f>
        <v>Surr</v>
      </c>
      <c r="F46" s="20"/>
      <c r="G46" s="19"/>
      <c r="H46" s="19">
        <f t="shared" si="0"/>
        <v>1</v>
      </c>
      <c r="I46" s="19"/>
      <c r="J46" s="8" cm="1">
        <f t="array" ref="J46">_xlfn.IFS(K46=0,0,K46&gt;0,(LOG(0.01*K46/10^-L46)))</f>
        <v>9.1202491083193618</v>
      </c>
      <c r="K46" s="17">
        <v>28.2</v>
      </c>
      <c r="L46" s="15">
        <v>9.67</v>
      </c>
      <c r="N46" s="325" t="str">
        <f>IF(VLOOKUP($A46,'I-Ligands'!$A:$G,3,FALSE)="","",VLOOKUP($A46,'I-Ligands'!$A:$G,3,FALSE))</f>
        <v>Leuprolide</v>
      </c>
      <c r="O46" s="326" t="str">
        <f>IF(VLOOKUP($A46,'I-Ligands'!$A:$G,4,FALSE)="","",VLOOKUP($A46,'I-Ligands'!$A:$G,4,FALSE))</f>
        <v>Pyr-His-Trp-Ser-Tyr-D-Leu-Leu-Arg-Pro-NHEt, acetate salt</v>
      </c>
    </row>
    <row r="47" spans="1:15">
      <c r="A47" s="12" t="s">
        <v>125</v>
      </c>
      <c r="B47" s="205" t="s">
        <v>5556</v>
      </c>
      <c r="C47" s="9" t="str">
        <f>IF(VLOOKUP($A47,'I-Ligands'!$A:$G,5,FALSE)="","",VLOOKUP($A47,'I-Ligands'!$A:$G,5,FALSE))</f>
        <v>Guide to Pharmacology</v>
      </c>
      <c r="D47" s="9">
        <f>IF(VLOOKUP($A47,'I-Ligands'!$A:$G,6,FALSE)="","",VLOOKUP($A47,'I-Ligands'!$A:$G,6,FALSE))</f>
        <v>5867</v>
      </c>
      <c r="E47" s="9" t="str">
        <f>IF(VLOOKUP($A47,'I-Ligands'!$A:$G,7,FALSE)="","",VLOOKUP($A47,'I-Ligands'!$A:$G,7,FALSE))</f>
        <v>Surr</v>
      </c>
      <c r="F47" s="20"/>
      <c r="G47" s="19"/>
      <c r="H47" s="19">
        <f t="shared" si="0"/>
        <v>1</v>
      </c>
      <c r="I47" s="19"/>
      <c r="J47" s="8" cm="1">
        <f t="array" ref="J47">_xlfn.IFS(K47=0,0,K47&gt;0,(LOG(0.01*K47/10^-L47)))</f>
        <v>9.1723937598229686</v>
      </c>
      <c r="K47" s="17">
        <v>5.4</v>
      </c>
      <c r="L47" s="15">
        <v>10.44</v>
      </c>
      <c r="N47" s="325" t="str">
        <f>IF(VLOOKUP($A47,'I-Ligands'!$A:$G,3,FALSE)="","",VLOOKUP($A47,'I-Ligands'!$A:$G,3,FALSE))</f>
        <v>MK-0677</v>
      </c>
      <c r="O47" s="326" t="str">
        <f>IF(VLOOKUP($A47,'I-Ligands'!$A:$G,4,FALSE)="","",VLOOKUP($A47,'I-Ligands'!$A:$G,4,FALSE))</f>
        <v>MK 0677</v>
      </c>
    </row>
    <row r="48" spans="1:15">
      <c r="A48" s="12" t="s">
        <v>226</v>
      </c>
      <c r="B48" s="205" t="s">
        <v>5556</v>
      </c>
      <c r="C48" s="9" t="str">
        <f>IF(VLOOKUP($A48,'I-Ligands'!$A:$G,5,FALSE)="","",VLOOKUP($A48,'I-Ligands'!$A:$G,5,FALSE))</f>
        <v>Guide to Pharmacology</v>
      </c>
      <c r="D48" s="9">
        <f>IF(VLOOKUP($A48,'I-Ligands'!$A:$G,6,FALSE)="","",VLOOKUP($A48,'I-Ligands'!$A:$G,6,FALSE))</f>
        <v>2153</v>
      </c>
      <c r="E48" s="9" t="str">
        <f>IF(VLOOKUP($A48,'I-Ligands'!$A:$G,7,FALSE)="","",VLOOKUP($A48,'I-Ligands'!$A:$G,7,FALSE))</f>
        <v>Phys</v>
      </c>
      <c r="F48" s="20"/>
      <c r="G48" s="19"/>
      <c r="H48" s="19">
        <f t="shared" si="0"/>
        <v>1</v>
      </c>
      <c r="I48" s="19"/>
      <c r="J48" s="8" cm="1">
        <f t="array" ref="J48">_xlfn.IFS(K48=0,0,K48&gt;0,(LOG(0.01*K48/10^-L48)))</f>
        <v>9.1753229787866584</v>
      </c>
      <c r="K48" s="17">
        <v>11.1</v>
      </c>
      <c r="L48" s="15">
        <v>10.130000000000001</v>
      </c>
      <c r="N48" s="325" t="str">
        <f>IF(VLOOKUP($A48,'I-Ligands'!$A:$G,3,FALSE)="","",VLOOKUP($A48,'I-Ligands'!$A:$G,3,FALSE))</f>
        <v>Urotensin II</v>
      </c>
      <c r="O48" s="326" t="str">
        <f>IF(VLOOKUP($A48,'I-Ligands'!$A:$G,4,FALSE)="","",VLOOKUP($A48,'I-Ligands'!$A:$G,4,FALSE))</f>
        <v>ETPDCFWKYCV</v>
      </c>
    </row>
    <row r="49" spans="1:15">
      <c r="A49" s="12" t="s">
        <v>179</v>
      </c>
      <c r="B49" s="205" t="s">
        <v>5556</v>
      </c>
      <c r="C49" s="9" t="str">
        <f>IF(VLOOKUP($A49,'I-Ligands'!$A:$G,5,FALSE)="","",VLOOKUP($A49,'I-Ligands'!$A:$G,5,FALSE))</f>
        <v>Guide to Pharmacology</v>
      </c>
      <c r="D49" s="9">
        <f>IF(VLOOKUP($A49,'I-Ligands'!$A:$G,6,FALSE)="","",VLOOKUP($A49,'I-Ligands'!$A:$G,6,FALSE))</f>
        <v>1579</v>
      </c>
      <c r="E49" s="9" t="str">
        <f>IF(VLOOKUP($A49,'I-Ligands'!$A:$G,7,FALSE)="","",VLOOKUP($A49,'I-Ligands'!$A:$G,7,FALSE))</f>
        <v>Phys</v>
      </c>
      <c r="F49" s="20"/>
      <c r="G49" s="19"/>
      <c r="H49" s="19">
        <f t="shared" si="0"/>
        <v>1</v>
      </c>
      <c r="I49" s="19"/>
      <c r="J49" s="8" cm="1">
        <f t="array" ref="J49">_xlfn.IFS(K49=0,0,K49&gt;0,(LOG(0.01*K49/10^-L49)))</f>
        <v>9.2928716022004814</v>
      </c>
      <c r="K49" s="17">
        <v>37.4</v>
      </c>
      <c r="L49" s="15">
        <v>9.7200000000000006</v>
      </c>
      <c r="N49" s="325" t="str">
        <f>IF(VLOOKUP($A49,'I-Ligands'!$A:$G,3,FALSE)="","",VLOOKUP($A49,'I-Ligands'!$A:$G,3,FALSE))</f>
        <v>NT</v>
      </c>
      <c r="O49" s="326" t="str">
        <f>IF(VLOOKUP($A49,'I-Ligands'!$A:$G,4,FALSE)="","",VLOOKUP($A49,'I-Ligands'!$A:$G,4,FALSE))</f>
        <v>Neurotensin</v>
      </c>
    </row>
    <row r="50" spans="1:15">
      <c r="A50" s="12" t="s">
        <v>113</v>
      </c>
      <c r="B50" s="205" t="s">
        <v>5556</v>
      </c>
      <c r="C50" s="9" t="str">
        <f>IF(VLOOKUP($A50,'I-Ligands'!$A:$G,5,FALSE)="","",VLOOKUP($A50,'I-Ligands'!$A:$G,5,FALSE))</f>
        <v>Guide to Pharmacology</v>
      </c>
      <c r="D50" s="9">
        <f>IF(VLOOKUP($A50,'I-Ligands'!$A:$G,6,FALSE)="","",VLOOKUP($A50,'I-Ligands'!$A:$G,6,FALSE))</f>
        <v>989</v>
      </c>
      <c r="E50" s="9" t="str">
        <f>IF(VLOOKUP($A50,'I-Ligands'!$A:$G,7,FALSE)="","",VLOOKUP($A50,'I-Ligands'!$A:$G,7,FALSE))</f>
        <v>Phys</v>
      </c>
      <c r="F50" s="20"/>
      <c r="G50" s="19"/>
      <c r="H50" s="19">
        <f t="shared" si="0"/>
        <v>1</v>
      </c>
      <c r="I50" s="19"/>
      <c r="J50" s="8" cm="1">
        <f t="array" ref="J50">_xlfn.IFS(K50=0,0,K50&gt;0,(LOG(0.01*K50/10^-L50)))</f>
        <v>9.3727564493172135</v>
      </c>
      <c r="K50" s="17">
        <v>29.7</v>
      </c>
      <c r="L50" s="15">
        <v>9.9</v>
      </c>
      <c r="N50" s="325" t="str">
        <f>IF(VLOOKUP($A50,'I-Ligands'!$A:$G,3,FALSE)="","",VLOOKUP($A50,'I-Ligands'!$A:$G,3,FALSE))</f>
        <v>Endothelin-1</v>
      </c>
      <c r="O50" s="326" t="str">
        <f>IF(VLOOKUP($A50,'I-Ligands'!$A:$G,4,FALSE)="","",VLOOKUP($A50,'I-Ligands'!$A:$G,4,FALSE))</f>
        <v>CSCSSLMDKECVYFCHLDIIW</v>
      </c>
    </row>
    <row r="51" spans="1:15">
      <c r="A51" s="12" t="s">
        <v>222</v>
      </c>
      <c r="B51" s="205" t="s">
        <v>5556</v>
      </c>
      <c r="C51" s="9" t="str">
        <f>IF(VLOOKUP($A51,'I-Ligands'!$A:$G,5,FALSE)="","",VLOOKUP($A51,'I-Ligands'!$A:$G,5,FALSE))</f>
        <v>Guide to Pharmacology</v>
      </c>
      <c r="D51" s="9">
        <f>IF(VLOOKUP($A51,'I-Ligands'!$A:$G,6,FALSE)="","",VLOOKUP($A51,'I-Ligands'!$A:$G,6,FALSE))</f>
        <v>2098</v>
      </c>
      <c r="E51" s="9" t="str">
        <f>IF(VLOOKUP($A51,'I-Ligands'!$A:$G,7,FALSE)="","",VLOOKUP($A51,'I-Ligands'!$A:$G,7,FALSE))</f>
        <v>Phys</v>
      </c>
      <c r="F51" s="20"/>
      <c r="G51" s="19"/>
      <c r="H51" s="19">
        <f t="shared" si="0"/>
        <v>1</v>
      </c>
      <c r="I51" s="19"/>
      <c r="J51" s="8" cm="1">
        <f t="array" ref="J51">_xlfn.IFS(K51=0,0,K51&gt;0,(LOG(0.01*K51/10^-L51)))</f>
        <v>9.4909728956867507</v>
      </c>
      <c r="K51" s="17">
        <v>39.9</v>
      </c>
      <c r="L51" s="15">
        <v>9.89</v>
      </c>
      <c r="N51" s="325" t="str">
        <f>IF(VLOOKUP($A51,'I-Ligands'!$A:$G,3,FALSE)="","",VLOOKUP($A51,'I-Ligands'!$A:$G,3,FALSE))</f>
        <v>Substance P</v>
      </c>
      <c r="O51" s="326" t="str">
        <f>IF(VLOOKUP($A51,'I-Ligands'!$A:$G,4,FALSE)="","",VLOOKUP($A51,'I-Ligands'!$A:$G,4,FALSE))</f>
        <v>RPKPQQFFGLM-NH2</v>
      </c>
    </row>
    <row r="52" spans="1:15">
      <c r="A52" s="12" t="s">
        <v>229</v>
      </c>
      <c r="B52" s="205" t="s">
        <v>5556</v>
      </c>
      <c r="C52" s="9" t="str">
        <f>IF(VLOOKUP($A52,'I-Ligands'!$A:$G,5,FALSE)="","",VLOOKUP($A52,'I-Ligands'!$A:$G,5,FALSE))</f>
        <v>Guide to Pharmacology</v>
      </c>
      <c r="D52" s="9">
        <f>IF(VLOOKUP($A52,'I-Ligands'!$A:$G,6,FALSE)="","",VLOOKUP($A52,'I-Ligands'!$A:$G,6,FALSE))</f>
        <v>2168</v>
      </c>
      <c r="E52" s="9" t="str">
        <f>IF(VLOOKUP($A52,'I-Ligands'!$A:$G,7,FALSE)="","",VLOOKUP($A52,'I-Ligands'!$A:$G,7,FALSE))</f>
        <v>Phys</v>
      </c>
      <c r="F52" s="20"/>
      <c r="G52" s="19"/>
      <c r="H52" s="19">
        <f t="shared" si="0"/>
        <v>1</v>
      </c>
      <c r="I52" s="19"/>
      <c r="J52" s="8" cm="1">
        <f t="array" ref="J52">_xlfn.IFS(K52=0,0,K52&gt;0,(LOG(0.01*K52/10^-L52)))</f>
        <v>9.493841821876071</v>
      </c>
      <c r="K52" s="17">
        <v>41.1</v>
      </c>
      <c r="L52" s="15">
        <v>9.8800000000000008</v>
      </c>
      <c r="N52" s="325" t="str">
        <f>IF(VLOOKUP($A52,'I-Ligands'!$A:$G,3,FALSE)="","",VLOOKUP($A52,'I-Ligands'!$A:$G,3,FALSE))</f>
        <v>Vasopressin</v>
      </c>
      <c r="O52" s="326" t="str">
        <f>IF(VLOOKUP($A52,'I-Ligands'!$A:$G,4,FALSE)="","",VLOOKUP($A52,'I-Ligands'!$A:$G,4,FALSE))</f>
        <v>CYFQNCPRG-NH2</v>
      </c>
    </row>
    <row r="53" spans="1:15">
      <c r="A53" s="12" t="s">
        <v>223</v>
      </c>
      <c r="B53" s="205" t="s">
        <v>5556</v>
      </c>
      <c r="C53" s="9" t="str">
        <f>IF(VLOOKUP($A53,'I-Ligands'!$A:$G,5,FALSE)="","",VLOOKUP($A53,'I-Ligands'!$A:$G,5,FALSE))</f>
        <v>Guide to Pharmacology</v>
      </c>
      <c r="D53" s="9">
        <f>IF(VLOOKUP($A53,'I-Ligands'!$A:$G,6,FALSE)="","",VLOOKUP($A53,'I-Ligands'!$A:$G,6,FALSE))</f>
        <v>2090</v>
      </c>
      <c r="E53" s="9" t="str">
        <f>IF(VLOOKUP($A53,'I-Ligands'!$A:$G,7,FALSE)="","",VLOOKUP($A53,'I-Ligands'!$A:$G,7,FALSE))</f>
        <v>Phys</v>
      </c>
      <c r="F53" s="20"/>
      <c r="G53" s="19"/>
      <c r="H53" s="19">
        <f t="shared" si="0"/>
        <v>1</v>
      </c>
      <c r="I53" s="19"/>
      <c r="J53" s="8" cm="1">
        <f t="array" ref="J53">_xlfn.IFS(K53=0,0,K53&gt;0,(LOG(0.01*K53/10^-L53)))</f>
        <v>9.509202522331103</v>
      </c>
      <c r="K53" s="17">
        <v>32.299999999999997</v>
      </c>
      <c r="L53" s="15">
        <v>10</v>
      </c>
      <c r="N53" s="325" t="str">
        <f>IF(VLOOKUP($A53,'I-Ligands'!$A:$G,3,FALSE)="","",VLOOKUP($A53,'I-Ligands'!$A:$G,3,FALSE))</f>
        <v>Neurokinin B</v>
      </c>
      <c r="O53" s="326" t="str">
        <f>IF(VLOOKUP($A53,'I-Ligands'!$A:$G,4,FALSE)="","",VLOOKUP($A53,'I-Ligands'!$A:$G,4,FALSE))</f>
        <v>DMHDFFVGLM-NH2</v>
      </c>
    </row>
    <row r="54" spans="1:15">
      <c r="A54" s="12" t="s">
        <v>225</v>
      </c>
      <c r="B54" s="205" t="s">
        <v>5556</v>
      </c>
      <c r="C54" s="9" t="str">
        <f>IF(VLOOKUP($A54,'I-Ligands'!$A:$G,5,FALSE)="","",VLOOKUP($A54,'I-Ligands'!$A:$G,5,FALSE))</f>
        <v>Guide to Pharmacology</v>
      </c>
      <c r="D54" s="9">
        <f>IF(VLOOKUP($A54,'I-Ligands'!$A:$G,6,FALSE)="","",VLOOKUP($A54,'I-Ligands'!$A:$G,6,FALSE))</f>
        <v>2139</v>
      </c>
      <c r="E54" s="9" t="str">
        <f>IF(VLOOKUP($A54,'I-Ligands'!$A:$G,7,FALSE)="","",VLOOKUP($A54,'I-Ligands'!$A:$G,7,FALSE))</f>
        <v>Phys</v>
      </c>
      <c r="F54" s="20"/>
      <c r="G54" s="19"/>
      <c r="H54" s="19">
        <f t="shared" si="0"/>
        <v>1</v>
      </c>
      <c r="I54" s="19"/>
      <c r="J54" s="8" cm="1">
        <f t="array" ref="J54">_xlfn.IFS(K54=0,0,K54&gt;0,(LOG(0.01*K54/10^-L54)))</f>
        <v>9.5765179805548808</v>
      </c>
      <c r="K54" s="17">
        <v>46.4</v>
      </c>
      <c r="L54" s="15">
        <v>9.91</v>
      </c>
      <c r="N54" s="325" t="str">
        <f>IF(VLOOKUP($A54,'I-Ligands'!$A:$G,3,FALSE)="","",VLOOKUP($A54,'I-Ligands'!$A:$G,3,FALSE))</f>
        <v>TRH</v>
      </c>
      <c r="O54" s="326" t="str">
        <f>IF(VLOOKUP($A54,'I-Ligands'!$A:$G,4,FALSE)="","",VLOOKUP($A54,'I-Ligands'!$A:$G,4,FALSE))</f>
        <v>Thyrotropin releasing hormone</v>
      </c>
    </row>
    <row r="55" spans="1:15">
      <c r="A55" s="12" t="s">
        <v>171</v>
      </c>
      <c r="B55" s="205" t="s">
        <v>5556</v>
      </c>
      <c r="C55" s="9" t="str">
        <f>IF(VLOOKUP($A55,'I-Ligands'!$A:$G,5,FALSE)="","",VLOOKUP($A55,'I-Ligands'!$A:$G,5,FALSE))</f>
        <v>Guide to Pharmacology</v>
      </c>
      <c r="D55" s="9">
        <f>IF(VLOOKUP($A55,'I-Ligands'!$A:$G,6,FALSE)="","",VLOOKUP($A55,'I-Ligands'!$A:$G,6,FALSE))</f>
        <v>1458</v>
      </c>
      <c r="E55" s="9" t="str">
        <f>IF(VLOOKUP($A55,'I-Ligands'!$A:$G,7,FALSE)="","",VLOOKUP($A55,'I-Ligands'!$A:$G,7,FALSE))</f>
        <v>Phys</v>
      </c>
      <c r="H55" s="19">
        <f t="shared" ref="H55:H63" si="1">IF(J55&gt;0,1,"")</f>
        <v>1</v>
      </c>
      <c r="I55" s="19"/>
      <c r="J55" s="8" cm="1">
        <f t="array" ref="J55">_xlfn.IFS(K55=0,0,K55&gt;0,(LOG(0.01*K55/10^-L55)))</f>
        <v>9.6860982020128326</v>
      </c>
      <c r="K55" s="17">
        <v>45.3</v>
      </c>
      <c r="L55" s="15">
        <v>10.029999999999999</v>
      </c>
      <c r="N55" s="325" t="str">
        <f>IF(VLOOKUP($A55,'I-Ligands'!$A:$G,3,FALSE)="","",VLOOKUP($A55,'I-Ligands'!$A:$G,3,FALSE))</f>
        <v>Motilin</v>
      </c>
      <c r="O55" s="326" t="str">
        <f>IF(VLOOKUP($A55,'I-Ligands'!$A:$G,4,FALSE)="","",VLOOKUP($A55,'I-Ligands'!$A:$G,4,FALSE))</f>
        <v>FVPIFTYGELQRMQEKERNKGQ</v>
      </c>
    </row>
    <row r="56" spans="1:15">
      <c r="A56" s="12" t="s">
        <v>54</v>
      </c>
      <c r="B56" s="205" t="s">
        <v>5556</v>
      </c>
      <c r="C56" s="9" t="str">
        <f>IF(VLOOKUP($A56,'I-Ligands'!$A:$G,5,FALSE)="","",VLOOKUP($A56,'I-Ligands'!$A:$G,5,FALSE))</f>
        <v>Guide to Pharmacology</v>
      </c>
      <c r="D56" s="9">
        <f>IF(VLOOKUP($A56,'I-Ligands'!$A:$G,6,FALSE)="","",VLOOKUP($A56,'I-Ligands'!$A:$G,6,FALSE))</f>
        <v>650</v>
      </c>
      <c r="E56" s="9" t="str">
        <f>IF(VLOOKUP($A56,'I-Ligands'!$A:$G,7,FALSE)="","",VLOOKUP($A56,'I-Ligands'!$A:$G,7,FALSE))</f>
        <v>Phys</v>
      </c>
      <c r="H56" s="19">
        <f t="shared" si="1"/>
        <v>1</v>
      </c>
      <c r="I56" s="19"/>
      <c r="J56" s="8" cm="1">
        <f t="array" ref="J56">_xlfn.IFS(K56=0,0,K56&gt;0,(LOG(0.01*K56/10^-L56)))</f>
        <v>9.8085507165004469</v>
      </c>
      <c r="K56" s="17">
        <v>30.8</v>
      </c>
      <c r="L56" s="15">
        <v>10.32</v>
      </c>
      <c r="N56" s="325" t="str">
        <f>IF(VLOOKUP($A56,'I-Ligands'!$A:$G,3,FALSE)="","",VLOOKUP($A56,'I-Ligands'!$A:$G,3,FALSE))</f>
        <v>Lysyl-Bradykinin</v>
      </c>
      <c r="O56" s="326" t="str">
        <f>IF(VLOOKUP($A56,'I-Ligands'!$A:$G,4,FALSE)="","",VLOOKUP($A56,'I-Ligands'!$A:$G,4,FALSE))</f>
        <v>KRPPGFSPFR</v>
      </c>
    </row>
    <row r="57" spans="1:15">
      <c r="A57" s="12" t="s">
        <v>50</v>
      </c>
      <c r="B57" s="205" t="s">
        <v>5556</v>
      </c>
      <c r="C57" s="9" t="str">
        <f>IF(VLOOKUP($A57,'I-Ligands'!$A:$G,5,FALSE)="","",VLOOKUP($A57,'I-Ligands'!$A:$G,5,FALSE))</f>
        <v>Guide to Pharmacology</v>
      </c>
      <c r="D57" s="9">
        <f>IF(VLOOKUP($A57,'I-Ligands'!$A:$G,6,FALSE)="","",VLOOKUP($A57,'I-Ligands'!$A:$G,6,FALSE))</f>
        <v>616</v>
      </c>
      <c r="E57" s="9" t="str">
        <f>IF(VLOOKUP($A57,'I-Ligands'!$A:$G,7,FALSE)="","",VLOOKUP($A57,'I-Ligands'!$A:$G,7,FALSE))</f>
        <v>Phys</v>
      </c>
      <c r="H57" s="19">
        <f t="shared" si="1"/>
        <v>1</v>
      </c>
      <c r="I57" s="19"/>
      <c r="J57" s="8" cm="1">
        <f t="array" ref="J57">_xlfn.IFS(K57=0,0,K57&gt;0,(LOG(0.01*K57/10^-L57)))</f>
        <v>9.9420633629117088</v>
      </c>
      <c r="K57" s="17">
        <v>38.200000000000003</v>
      </c>
      <c r="L57" s="15">
        <v>10.36</v>
      </c>
      <c r="N57" s="325" t="str">
        <f>IF(VLOOKUP($A57,'I-Ligands'!$A:$G,3,FALSE)="","",VLOOKUP($A57,'I-Ligands'!$A:$G,3,FALSE))</f>
        <v>Bombesin</v>
      </c>
      <c r="O57" s="326" t="str">
        <f>IF(VLOOKUP($A57,'I-Ligands'!$A:$G,4,FALSE)="","",VLOOKUP($A57,'I-Ligands'!$A:$G,4,FALSE))</f>
        <v>Pyr-QRLGNQWAVGHLM-NH2</v>
      </c>
    </row>
    <row r="58" spans="1:15">
      <c r="A58" s="12" t="s">
        <v>43</v>
      </c>
      <c r="B58" s="205" t="s">
        <v>5556</v>
      </c>
      <c r="C58" s="9" t="str">
        <f>IF(VLOOKUP($A58,'I-Ligands'!$A:$G,5,FALSE)="","",VLOOKUP($A58,'I-Ligands'!$A:$G,5,FALSE))</f>
        <v>Guide to Pharmacology</v>
      </c>
      <c r="D58" s="9">
        <f>IF(VLOOKUP($A58,'I-Ligands'!$A:$G,6,FALSE)="","",VLOOKUP($A58,'I-Ligands'!$A:$G,6,FALSE))</f>
        <v>2504</v>
      </c>
      <c r="E58" s="9" t="str">
        <f>IF(VLOOKUP($A58,'I-Ligands'!$A:$G,7,FALSE)="","",VLOOKUP($A58,'I-Ligands'!$A:$G,7,FALSE))</f>
        <v>Phys</v>
      </c>
      <c r="H58" s="19">
        <f t="shared" si="1"/>
        <v>1</v>
      </c>
      <c r="I58" s="19"/>
      <c r="J58" s="8" cm="1">
        <f t="array" ref="J58">_xlfn.IFS(K58=0,0,K58&gt;0,(LOG(0.01*K58/10^-L58)))</f>
        <v>9.9932176000679398</v>
      </c>
      <c r="K58" s="17">
        <v>32.6</v>
      </c>
      <c r="L58" s="15">
        <v>10.48</v>
      </c>
      <c r="N58" s="325" t="str">
        <f>IF(VLOOKUP($A58,'I-Ligands'!$A:$G,3,FALSE)="","",VLOOKUP($A58,'I-Ligands'!$A:$G,3,FALSE))</f>
        <v>Angiotensin II</v>
      </c>
      <c r="O58" s="326" t="str">
        <f>IF(VLOOKUP($A58,'I-Ligands'!$A:$G,4,FALSE)="","",VLOOKUP($A58,'I-Ligands'!$A:$G,4,FALSE))</f>
        <v>DRVYIHPF</v>
      </c>
    </row>
    <row r="59" spans="1:15">
      <c r="A59" s="12" t="s">
        <v>112</v>
      </c>
      <c r="B59" s="205" t="s">
        <v>5556</v>
      </c>
      <c r="C59" s="9" t="str">
        <f>IF(VLOOKUP($A59,'I-Ligands'!$A:$G,5,FALSE)="","",VLOOKUP($A59,'I-Ligands'!$A:$G,5,FALSE))</f>
        <v>Guide to Pharmacology</v>
      </c>
      <c r="D59" s="9">
        <f>IF(VLOOKUP($A59,'I-Ligands'!$A:$G,6,FALSE)="","",VLOOKUP($A59,'I-Ligands'!$A:$G,6,FALSE))</f>
        <v>989</v>
      </c>
      <c r="E59" s="9" t="str">
        <f>IF(VLOOKUP($A59,'I-Ligands'!$A:$G,7,FALSE)="","",VLOOKUP($A59,'I-Ligands'!$A:$G,7,FALSE))</f>
        <v>Phys</v>
      </c>
      <c r="H59" s="19">
        <f t="shared" si="1"/>
        <v>1</v>
      </c>
      <c r="I59" s="19"/>
      <c r="J59" s="8" cm="1">
        <f t="array" ref="J59">_xlfn.IFS(K59=0,0,K59&gt;0,(LOG(0.01*K59/10^-L59)))</f>
        <v>10.0070003411209</v>
      </c>
      <c r="K59" s="17">
        <v>41.4</v>
      </c>
      <c r="L59" s="15">
        <v>10.39</v>
      </c>
      <c r="N59" s="325" t="str">
        <f>IF(VLOOKUP($A59,'I-Ligands'!$A:$G,3,FALSE)="","",VLOOKUP($A59,'I-Ligands'!$A:$G,3,FALSE))</f>
        <v>Endothelin-1</v>
      </c>
      <c r="O59" s="326" t="str">
        <f>IF(VLOOKUP($A59,'I-Ligands'!$A:$G,4,FALSE)="","",VLOOKUP($A59,'I-Ligands'!$A:$G,4,FALSE))</f>
        <v>CSCSSLMDKECVYFCHLDIIW</v>
      </c>
    </row>
    <row r="60" spans="1:15">
      <c r="A60" s="12" t="s">
        <v>81</v>
      </c>
      <c r="B60" s="205" t="s">
        <v>5556</v>
      </c>
      <c r="C60" s="9" t="str">
        <f>IF(VLOOKUP($A60,'I-Ligands'!$A:$G,5,FALSE)="","",VLOOKUP($A60,'I-Ligands'!$A:$G,5,FALSE))</f>
        <v>Guide to Pharmacology</v>
      </c>
      <c r="D60" s="9">
        <f>IF(VLOOKUP($A60,'I-Ligands'!$A:$G,6,FALSE)="","",VLOOKUP($A60,'I-Ligands'!$A:$G,6,FALSE))</f>
        <v>864</v>
      </c>
      <c r="E60" s="9" t="str">
        <f>IF(VLOOKUP($A60,'I-Ligands'!$A:$G,7,FALSE)="","",VLOOKUP($A60,'I-Ligands'!$A:$G,7,FALSE))</f>
        <v>Phys</v>
      </c>
      <c r="H60" s="19">
        <f t="shared" si="1"/>
        <v>1</v>
      </c>
      <c r="I60" s="19"/>
      <c r="J60" s="8" cm="1">
        <f t="array" ref="J60">_xlfn.IFS(K60=0,0,K60&gt;0,(LOG(0.01*K60/10^-L60)))</f>
        <v>10.019076098792778</v>
      </c>
      <c r="K60" s="17">
        <v>34.6</v>
      </c>
      <c r="L60" s="15">
        <v>10.48</v>
      </c>
      <c r="N60" s="325" t="str">
        <f>IF(VLOOKUP($A60,'I-Ligands'!$A:$G,3,FALSE)="","",VLOOKUP($A60,'I-Ligands'!$A:$G,3,FALSE))</f>
        <v>CCK-Octapeptide</v>
      </c>
      <c r="O60" s="326" t="str">
        <f>IF(VLOOKUP($A60,'I-Ligands'!$A:$G,4,FALSE)="","",VLOOKUP($A60,'I-Ligands'!$A:$G,4,FALSE))</f>
        <v>DY(SO3H)MGWMDF-NH2</v>
      </c>
    </row>
    <row r="61" spans="1:15">
      <c r="A61" s="12" t="s">
        <v>228</v>
      </c>
      <c r="B61" s="205" t="s">
        <v>5556</v>
      </c>
      <c r="C61" s="9" t="str">
        <f>IF(VLOOKUP($A61,'I-Ligands'!$A:$G,5,FALSE)="","",VLOOKUP($A61,'I-Ligands'!$A:$G,5,FALSE))</f>
        <v>Guide to Pharmacology</v>
      </c>
      <c r="D61" s="9">
        <f>IF(VLOOKUP($A61,'I-Ligands'!$A:$G,6,FALSE)="","",VLOOKUP($A61,'I-Ligands'!$A:$G,6,FALSE))</f>
        <v>2168</v>
      </c>
      <c r="E61" s="9" t="str">
        <f>IF(VLOOKUP($A61,'I-Ligands'!$A:$G,7,FALSE)="","",VLOOKUP($A61,'I-Ligands'!$A:$G,7,FALSE))</f>
        <v>Phys</v>
      </c>
      <c r="H61" s="19">
        <f t="shared" si="1"/>
        <v>1</v>
      </c>
      <c r="I61" s="19"/>
      <c r="J61" s="8" cm="1">
        <f t="array" ref="J61">_xlfn.IFS(K61=0,0,K61&gt;0,(LOG(0.01*K61/10^-L61)))</f>
        <v>10.124026106056135</v>
      </c>
      <c r="K61" s="17">
        <v>34.200000000000003</v>
      </c>
      <c r="L61" s="15">
        <v>10.59</v>
      </c>
      <c r="N61" s="325" t="str">
        <f>IF(VLOOKUP($A61,'I-Ligands'!$A:$G,3,FALSE)="","",VLOOKUP($A61,'I-Ligands'!$A:$G,3,FALSE))</f>
        <v>Vasopressin</v>
      </c>
      <c r="O61" s="326" t="str">
        <f>IF(VLOOKUP($A61,'I-Ligands'!$A:$G,4,FALSE)="","",VLOOKUP($A61,'I-Ligands'!$A:$G,4,FALSE))</f>
        <v>CYFQNCPRG-NH2</v>
      </c>
    </row>
    <row r="62" spans="1:15">
      <c r="A62" s="12" t="s">
        <v>51</v>
      </c>
      <c r="B62" s="205" t="s">
        <v>5556</v>
      </c>
      <c r="C62" s="9" t="str">
        <f>IF(VLOOKUP($A62,'I-Ligands'!$A:$G,5,FALSE)="","",VLOOKUP($A62,'I-Ligands'!$A:$G,5,FALSE))</f>
        <v>Guide to Pharmacology</v>
      </c>
      <c r="D62" s="9">
        <f>IF(VLOOKUP($A62,'I-Ligands'!$A:$G,6,FALSE)="","",VLOOKUP($A62,'I-Ligands'!$A:$G,6,FALSE))</f>
        <v>613</v>
      </c>
      <c r="E62" s="9" t="str">
        <f>IF(VLOOKUP($A62,'I-Ligands'!$A:$G,7,FALSE)="","",VLOOKUP($A62,'I-Ligands'!$A:$G,7,FALSE))</f>
        <v>Phys</v>
      </c>
      <c r="H62" s="19">
        <f t="shared" si="1"/>
        <v>1</v>
      </c>
      <c r="I62" s="19"/>
      <c r="J62" s="8" cm="1">
        <f t="array" ref="J62">_xlfn.IFS(K62=0,0,K62&gt;0,(LOG(0.01*K62/10^-L62)))</f>
        <v>10.423198773968624</v>
      </c>
      <c r="K62" s="17">
        <v>38.299999999999997</v>
      </c>
      <c r="L62" s="15">
        <v>10.84</v>
      </c>
      <c r="N62" s="325" t="str">
        <f>IF(VLOOKUP($A62,'I-Ligands'!$A:$G,3,FALSE)="","",VLOOKUP($A62,'I-Ligands'!$A:$G,3,FALSE))</f>
        <v>Neuromedin B</v>
      </c>
      <c r="O62" s="326" t="str">
        <f>IF(VLOOKUP($A62,'I-Ligands'!$A:$G,4,FALSE)="","",VLOOKUP($A62,'I-Ligands'!$A:$G,4,FALSE))</f>
        <v>GNLWATGHFM-NH2</v>
      </c>
    </row>
    <row r="63" spans="1:15">
      <c r="A63" s="12" t="s">
        <v>80</v>
      </c>
      <c r="B63" s="205" t="s">
        <v>5556</v>
      </c>
      <c r="C63" s="9" t="str">
        <f>IF(VLOOKUP($A63,'I-Ligands'!$A:$G,5,FALSE)="","",VLOOKUP($A63,'I-Ligands'!$A:$G,5,FALSE))</f>
        <v>Guide to Pharmacology</v>
      </c>
      <c r="D63" s="9">
        <f>IF(VLOOKUP($A63,'I-Ligands'!$A:$G,6,FALSE)="","",VLOOKUP($A63,'I-Ligands'!$A:$G,6,FALSE))</f>
        <v>864</v>
      </c>
      <c r="E63" s="9" t="str">
        <f>IF(VLOOKUP($A63,'I-Ligands'!$A:$G,7,FALSE)="","",VLOOKUP($A63,'I-Ligands'!$A:$G,7,FALSE))</f>
        <v>Phys</v>
      </c>
      <c r="H63" s="19">
        <f t="shared" si="1"/>
        <v>1</v>
      </c>
      <c r="I63" s="19"/>
      <c r="J63" s="8" cm="1">
        <f t="array" ref="J63">_xlfn.IFS(K63=0,0,K63&gt;0,(LOG(0.01*K63/10^-L63)))</f>
        <v>10.503941998634089</v>
      </c>
      <c r="K63" s="17">
        <v>47.2</v>
      </c>
      <c r="L63" s="15">
        <v>10.83</v>
      </c>
      <c r="N63" s="325" t="str">
        <f>IF(VLOOKUP($A63,'I-Ligands'!$A:$G,3,FALSE)="","",VLOOKUP($A63,'I-Ligands'!$A:$G,3,FALSE))</f>
        <v>CCK-Octapeptide</v>
      </c>
      <c r="O63" s="326" t="str">
        <f>IF(VLOOKUP($A63,'I-Ligands'!$A:$G,4,FALSE)="","",VLOOKUP($A63,'I-Ligands'!$A:$G,4,FALSE))</f>
        <v>DY(SO3H)MGWMDF-NH2</v>
      </c>
    </row>
    <row r="64" spans="1:15">
      <c r="B64" s="28"/>
    </row>
    <row r="65" spans="2:2">
      <c r="B65" s="28"/>
    </row>
    <row r="66" spans="2:2">
      <c r="B66" s="28"/>
    </row>
    <row r="67" spans="2:2">
      <c r="B67" s="28"/>
    </row>
    <row r="68" spans="2:2">
      <c r="B68" s="28"/>
    </row>
    <row r="69" spans="2:2">
      <c r="B69" s="28"/>
    </row>
    <row r="70" spans="2:2">
      <c r="B70" s="28"/>
    </row>
    <row r="71" spans="2:2">
      <c r="B71" s="28"/>
    </row>
    <row r="72" spans="2:2">
      <c r="B72" s="28"/>
    </row>
    <row r="73" spans="2:2">
      <c r="B73" s="28"/>
    </row>
    <row r="74" spans="2:2">
      <c r="B74" s="28"/>
    </row>
    <row r="75" spans="2:2">
      <c r="B75" s="28"/>
    </row>
    <row r="76" spans="2:2">
      <c r="B76" s="28"/>
    </row>
    <row r="77" spans="2:2">
      <c r="B77" s="28"/>
    </row>
    <row r="78" spans="2:2">
      <c r="B78" s="28"/>
    </row>
    <row r="79" spans="2:2">
      <c r="B79" s="28"/>
    </row>
    <row r="80" spans="2:2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  <row r="96" spans="2:2">
      <c r="B96" s="28"/>
    </row>
    <row r="97" spans="2:2">
      <c r="B97" s="28"/>
    </row>
    <row r="98" spans="2:2">
      <c r="B98" s="28"/>
    </row>
    <row r="99" spans="2:2">
      <c r="B99" s="28"/>
    </row>
    <row r="100" spans="2:2">
      <c r="B100" s="28"/>
    </row>
    <row r="101" spans="2:2">
      <c r="B101" s="28"/>
    </row>
  </sheetData>
  <phoneticPr fontId="5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5D31-57E0-5244-91DD-08DA9AD4FDC7}">
  <sheetPr>
    <tabColor rgb="FF0070C0"/>
  </sheetPr>
  <dimension ref="A1:AU43"/>
  <sheetViews>
    <sheetView zoomScale="207" zoomScaleNormal="120" workbookViewId="0">
      <pane xSplit="1" ySplit="1" topLeftCell="AC2" activePane="bottomRight" state="frozen"/>
      <selection activeCell="B4" sqref="B4"/>
      <selection pane="topRight" activeCell="B4" sqref="B4"/>
      <selection pane="bottomLeft" activeCell="B4" sqref="B4"/>
      <selection pane="bottomRight" sqref="A1:A1048576"/>
    </sheetView>
  </sheetViews>
  <sheetFormatPr baseColWidth="10" defaultRowHeight="16"/>
  <cols>
    <col min="1" max="1" width="8.6640625" style="27" bestFit="1" customWidth="1"/>
    <col min="2" max="2" width="4.33203125" style="23" bestFit="1" customWidth="1"/>
    <col min="3" max="3" width="11.6640625" customWidth="1"/>
    <col min="4" max="4" width="11.5" style="19" customWidth="1"/>
    <col min="5" max="5" width="5.83203125" style="223" bestFit="1" customWidth="1"/>
    <col min="6" max="6" width="5.33203125" style="1" bestFit="1" customWidth="1"/>
    <col min="7" max="7" width="5.33203125" bestFit="1" customWidth="1"/>
    <col min="8" max="8" width="6.33203125" bestFit="1" customWidth="1"/>
    <col min="9" max="9" width="7.33203125" bestFit="1" customWidth="1"/>
    <col min="10" max="10" width="5.83203125" style="148" bestFit="1" customWidth="1"/>
    <col min="11" max="11" width="7.6640625" style="148" bestFit="1" customWidth="1"/>
    <col min="12" max="12" width="5.33203125" style="1" bestFit="1" customWidth="1"/>
    <col min="13" max="13" width="5.33203125" bestFit="1" customWidth="1"/>
    <col min="14" max="14" width="6.33203125" bestFit="1" customWidth="1"/>
    <col min="15" max="15" width="7.33203125" bestFit="1" customWidth="1"/>
    <col min="16" max="16" width="10" style="20" bestFit="1" customWidth="1"/>
    <col min="17" max="18" width="10" style="19" bestFit="1" customWidth="1"/>
    <col min="19" max="19" width="11" style="19" bestFit="1" customWidth="1"/>
    <col min="20" max="20" width="4.6640625" style="315" bestFit="1" customWidth="1"/>
    <col min="21" max="21" width="5.83203125" style="316" bestFit="1" customWidth="1"/>
    <col min="22" max="23" width="6.6640625" style="316" customWidth="1"/>
    <col min="24" max="24" width="7.6640625" style="149" bestFit="1" customWidth="1"/>
    <col min="25" max="25" width="7.83203125" style="26" bestFit="1" customWidth="1"/>
    <col min="26" max="27" width="7.83203125" style="25" bestFit="1" customWidth="1"/>
    <col min="28" max="29" width="7.83203125" style="25" customWidth="1"/>
    <col min="30" max="30" width="7.83203125" style="25" bestFit="1" customWidth="1"/>
    <col min="31" max="31" width="5" style="308" bestFit="1" customWidth="1"/>
    <col min="32" max="33" width="4.6640625" style="309" bestFit="1" customWidth="1"/>
    <col min="34" max="36" width="5" style="309" bestFit="1" customWidth="1"/>
    <col min="37" max="37" width="5" style="95" customWidth="1"/>
    <col min="38" max="40" width="7" style="294" bestFit="1" customWidth="1"/>
    <col min="41" max="41" width="7.33203125" style="294" customWidth="1"/>
    <col min="42" max="42" width="7" style="294" bestFit="1" customWidth="1"/>
    <col min="43" max="43" width="7.33203125" style="294" customWidth="1"/>
    <col min="44" max="44" width="6.1640625" style="294" customWidth="1"/>
    <col min="45" max="45" width="9.1640625" style="221" bestFit="1" customWidth="1"/>
    <col min="46" max="46" width="22.5" style="69" bestFit="1" customWidth="1"/>
    <col min="47" max="16384" width="10.83203125" style="23"/>
  </cols>
  <sheetData>
    <row r="1" spans="1:47" s="126" customFormat="1" ht="66" customHeight="1">
      <c r="A1" s="158" t="s">
        <v>3</v>
      </c>
      <c r="B1" s="218" t="s">
        <v>5530</v>
      </c>
      <c r="C1" s="158" t="s">
        <v>5403</v>
      </c>
      <c r="D1" s="150" t="s">
        <v>5404</v>
      </c>
      <c r="E1" s="158" t="s">
        <v>5199</v>
      </c>
      <c r="F1" s="161" t="s">
        <v>5407</v>
      </c>
      <c r="G1" s="166" t="s">
        <v>5408</v>
      </c>
      <c r="H1" s="166" t="s">
        <v>5409</v>
      </c>
      <c r="I1" s="162" t="s">
        <v>5410</v>
      </c>
      <c r="J1" s="160" t="s">
        <v>5411</v>
      </c>
      <c r="K1" s="160" t="s">
        <v>5412</v>
      </c>
      <c r="L1" s="161" t="s">
        <v>5194</v>
      </c>
      <c r="M1" s="166" t="s">
        <v>5195</v>
      </c>
      <c r="N1" s="162" t="s">
        <v>5196</v>
      </c>
      <c r="O1" s="162" t="s">
        <v>5197</v>
      </c>
      <c r="P1" s="163" t="s">
        <v>5185</v>
      </c>
      <c r="Q1" s="164" t="s">
        <v>5186</v>
      </c>
      <c r="R1" s="165" t="s">
        <v>5187</v>
      </c>
      <c r="S1" s="165" t="s">
        <v>5188</v>
      </c>
      <c r="T1" s="312" t="s">
        <v>5560</v>
      </c>
      <c r="U1" s="313" t="s">
        <v>5561</v>
      </c>
      <c r="V1" s="313" t="s">
        <v>5562</v>
      </c>
      <c r="W1" s="314" t="s">
        <v>5563</v>
      </c>
      <c r="X1" s="146" t="s">
        <v>5193</v>
      </c>
      <c r="Y1" s="151" t="s">
        <v>5173</v>
      </c>
      <c r="Z1" s="153" t="s">
        <v>5174</v>
      </c>
      <c r="AA1" s="153" t="s">
        <v>5179</v>
      </c>
      <c r="AB1" s="153" t="s">
        <v>5182</v>
      </c>
      <c r="AC1" s="153" t="s">
        <v>5183</v>
      </c>
      <c r="AD1" s="152" t="s">
        <v>5184</v>
      </c>
      <c r="AE1" s="306" t="s">
        <v>3264</v>
      </c>
      <c r="AF1" s="307" t="s">
        <v>5528</v>
      </c>
      <c r="AG1" s="307" t="s">
        <v>2853</v>
      </c>
      <c r="AH1" s="307" t="s">
        <v>2852</v>
      </c>
      <c r="AI1" s="307" t="s">
        <v>5529</v>
      </c>
      <c r="AJ1" s="307" t="s">
        <v>3265</v>
      </c>
      <c r="AK1" s="222"/>
      <c r="AL1" s="293" t="s">
        <v>5652</v>
      </c>
      <c r="AM1" s="293" t="s">
        <v>5589</v>
      </c>
      <c r="AN1" s="293" t="s">
        <v>5590</v>
      </c>
      <c r="AO1" s="293" t="s">
        <v>5654</v>
      </c>
      <c r="AP1" s="293" t="s">
        <v>5591</v>
      </c>
      <c r="AQ1" s="293" t="s">
        <v>5592</v>
      </c>
      <c r="AR1" s="293"/>
      <c r="AS1" s="78" t="s">
        <v>5542</v>
      </c>
      <c r="AT1" s="178" t="s">
        <v>581</v>
      </c>
    </row>
    <row r="2" spans="1:47" s="28" customFormat="1">
      <c r="A2" s="51" t="s">
        <v>20</v>
      </c>
      <c r="B2" s="206" t="s">
        <v>5532</v>
      </c>
      <c r="C2" t="s">
        <v>583</v>
      </c>
      <c r="D2" s="31">
        <v>5</v>
      </c>
      <c r="E2" s="205" t="s">
        <v>5575</v>
      </c>
      <c r="F2" s="20" t="str">
        <f t="shared" ref="F2:F28" si="0">IF(T2&gt;0,1,"")</f>
        <v/>
      </c>
      <c r="G2" s="19" t="str">
        <f t="shared" ref="G2:G28" si="1">IF(U2&gt;0,1,"")</f>
        <v/>
      </c>
      <c r="H2" s="19">
        <f t="shared" ref="H2:H28" si="2">IF(V2&gt;0,1,"")</f>
        <v>1</v>
      </c>
      <c r="I2" s="19" t="str">
        <f t="shared" ref="I2:I28" si="3">IF(W2&gt;0,1,"")</f>
        <v/>
      </c>
      <c r="J2" s="189">
        <f t="shared" ref="J2:J28" si="4">COUNTIF(L2:O2,"&gt;0")</f>
        <v>1</v>
      </c>
      <c r="K2" s="147" t="str">
        <f t="shared" ref="K2:K28" si="5">IF(SUM(T2:W2)=0,"-",SUBSTITUTE(INDEX(T$1:W$1,1,MATCH(MAX(T2:W2),T2:W2,0)),"-fam",""))</f>
        <v>Gq/11</v>
      </c>
      <c r="L2" s="20">
        <f t="shared" ref="L2:L28" si="6">IF(T2=0,0,_xlfn.RANK.EQ(T2,$T2:$W2,0))</f>
        <v>0</v>
      </c>
      <c r="M2" s="19">
        <f t="shared" ref="M2:M28" si="7">IF(U2=0,0,_xlfn.RANK.EQ(U2,$T2:$W2,0))</f>
        <v>0</v>
      </c>
      <c r="N2" s="19">
        <f t="shared" ref="N2:N28" si="8">IF(V2=0,0,_xlfn.RANK.EQ(V2,$T2:$W2,0))</f>
        <v>1</v>
      </c>
      <c r="O2" s="19">
        <f t="shared" ref="O2:O28" si="9">IF(W2=0,0,_xlfn.RANK.EQ(W2,$T2:$W2,0))</f>
        <v>0</v>
      </c>
      <c r="P2" s="20">
        <f t="shared" ref="P2:P28" si="10">IF(T2=0,0,T2/MAX($T2:$W2)*100)</f>
        <v>0</v>
      </c>
      <c r="Q2" s="19">
        <f t="shared" ref="Q2:Q28" si="11">IF(U2=0,0,U2/MAX($T2:$W2)*100)</f>
        <v>0</v>
      </c>
      <c r="R2" s="19">
        <f t="shared" ref="R2:R28" si="12">IF(V2=0,0,V2/MAX($T2:$W2)*100)</f>
        <v>100</v>
      </c>
      <c r="S2" s="19">
        <f t="shared" ref="S2:S28" si="13">IF(W2=0,0,W2/MAX($T2:$W2)*100)</f>
        <v>0</v>
      </c>
      <c r="T2" s="315">
        <f t="shared" ref="T2:T28" si="14">AE2</f>
        <v>0</v>
      </c>
      <c r="U2" s="316">
        <f t="shared" ref="U2:U28" si="15">AF2</f>
        <v>0</v>
      </c>
      <c r="V2" s="316">
        <f t="shared" ref="V2:V28" si="16">MAX(AG2:AH2)</f>
        <v>1.2500000000000011E-2</v>
      </c>
      <c r="W2" s="316">
        <f t="shared" ref="W2:W28" si="17">MAX(AI2:AJ2)</f>
        <v>0</v>
      </c>
      <c r="X2" s="147" t="str">
        <f t="shared" ref="X2:X28" si="18">IF(SUM(AE2:AJ2)=0,"-",INDEX(AE$1:AJ$1,1,MATCH(MAX(AE2:AJ2),AE2:AJ2,0)))</f>
        <v>Gq</v>
      </c>
      <c r="Y2" s="32">
        <f t="shared" ref="Y2:Y28" si="19">IF(AE2=0,0,AE2/MAX($AE2:$AJ2)*100)</f>
        <v>0</v>
      </c>
      <c r="Z2" s="31">
        <f t="shared" ref="Z2:Z28" si="20">IF(AF2=0,0,AF2/MAX($AE2:$AJ2)*100)</f>
        <v>0</v>
      </c>
      <c r="AA2" s="31">
        <f t="shared" ref="AA2:AA28" si="21">IF(AG2=0,0,AG2/MAX($AE2:$AJ2)*100)</f>
        <v>100</v>
      </c>
      <c r="AB2" s="31"/>
      <c r="AC2" s="31">
        <f t="shared" ref="AC2:AC28" si="22">IF(AI2=0,0,AI2/MAX($AE2:$AJ2)*100)</f>
        <v>0</v>
      </c>
      <c r="AD2" s="31"/>
      <c r="AE2" s="308">
        <f t="shared" ref="AE2:AE28" si="23">IF(AL2&lt;0.009,0,AL2)</f>
        <v>0</v>
      </c>
      <c r="AF2" s="309">
        <f t="shared" ref="AF2:AF28" si="24">IF(AM2&lt;0.009,0,AM2)</f>
        <v>0</v>
      </c>
      <c r="AG2" s="309">
        <f t="shared" ref="AG2:AG28" si="25">IF(AN2&lt;0.009,0,AN2)</f>
        <v>1.2500000000000011E-2</v>
      </c>
      <c r="AH2" s="309"/>
      <c r="AI2" s="309">
        <f t="shared" ref="AI2:AI28" si="26">IF(AP2&lt;0.009,0,AP2)</f>
        <v>0</v>
      </c>
      <c r="AJ2" s="309"/>
      <c r="AK2" s="95"/>
      <c r="AL2" s="295">
        <v>-5.0000000000000044E-4</v>
      </c>
      <c r="AM2" s="295">
        <v>7.6666666666666732E-3</v>
      </c>
      <c r="AN2" s="295">
        <v>1.2500000000000011E-2</v>
      </c>
      <c r="AO2" s="295"/>
      <c r="AP2" s="295">
        <v>4.8333333333333379E-3</v>
      </c>
      <c r="AQ2" s="295"/>
      <c r="AR2" s="295"/>
      <c r="AS2" s="208" t="s">
        <v>20</v>
      </c>
      <c r="AT2" s="219" t="s">
        <v>5539</v>
      </c>
    </row>
    <row r="3" spans="1:47" s="28" customFormat="1">
      <c r="A3" s="51" t="s">
        <v>31</v>
      </c>
      <c r="B3" s="206" t="s">
        <v>5531</v>
      </c>
      <c r="C3" t="s">
        <v>583</v>
      </c>
      <c r="D3" s="31">
        <v>2844</v>
      </c>
      <c r="E3" s="205" t="s">
        <v>5575</v>
      </c>
      <c r="F3" s="20" t="str">
        <f t="shared" si="0"/>
        <v/>
      </c>
      <c r="G3" s="19">
        <f t="shared" si="1"/>
        <v>1</v>
      </c>
      <c r="H3" s="19" t="str">
        <f t="shared" si="2"/>
        <v/>
      </c>
      <c r="I3" s="19" t="str">
        <f t="shared" si="3"/>
        <v/>
      </c>
      <c r="J3" s="189">
        <f t="shared" si="4"/>
        <v>1</v>
      </c>
      <c r="K3" s="147" t="str">
        <f t="shared" si="5"/>
        <v>Gi/o</v>
      </c>
      <c r="L3" s="20">
        <f t="shared" si="6"/>
        <v>0</v>
      </c>
      <c r="M3" s="19">
        <f t="shared" si="7"/>
        <v>1</v>
      </c>
      <c r="N3" s="19">
        <f t="shared" si="8"/>
        <v>0</v>
      </c>
      <c r="O3" s="19">
        <f t="shared" si="9"/>
        <v>0</v>
      </c>
      <c r="P3" s="20">
        <f t="shared" si="10"/>
        <v>0</v>
      </c>
      <c r="Q3" s="19">
        <f t="shared" si="11"/>
        <v>100</v>
      </c>
      <c r="R3" s="19">
        <f t="shared" si="12"/>
        <v>0</v>
      </c>
      <c r="S3" s="19">
        <f t="shared" si="13"/>
        <v>0</v>
      </c>
      <c r="T3" s="315">
        <f t="shared" si="14"/>
        <v>0</v>
      </c>
      <c r="U3" s="316">
        <f t="shared" si="15"/>
        <v>5.4916666666666655E-2</v>
      </c>
      <c r="V3" s="316">
        <f t="shared" si="16"/>
        <v>0</v>
      </c>
      <c r="W3" s="316">
        <f t="shared" si="17"/>
        <v>0</v>
      </c>
      <c r="X3" s="147" t="str">
        <f t="shared" si="18"/>
        <v>Gi1</v>
      </c>
      <c r="Y3" s="32">
        <f t="shared" si="19"/>
        <v>0</v>
      </c>
      <c r="Z3" s="31">
        <f t="shared" si="20"/>
        <v>100</v>
      </c>
      <c r="AA3" s="31">
        <f t="shared" si="21"/>
        <v>0</v>
      </c>
      <c r="AB3" s="31"/>
      <c r="AC3" s="31">
        <f t="shared" si="22"/>
        <v>0</v>
      </c>
      <c r="AD3" s="31"/>
      <c r="AE3" s="308">
        <f t="shared" si="23"/>
        <v>0</v>
      </c>
      <c r="AF3" s="309">
        <f t="shared" si="24"/>
        <v>5.4916666666666655E-2</v>
      </c>
      <c r="AG3" s="309">
        <f t="shared" si="25"/>
        <v>0</v>
      </c>
      <c r="AH3" s="309"/>
      <c r="AI3" s="309">
        <f t="shared" si="26"/>
        <v>0</v>
      </c>
      <c r="AJ3" s="309"/>
      <c r="AK3" s="95"/>
      <c r="AL3" s="295">
        <v>1.0000000000000009E-3</v>
      </c>
      <c r="AM3" s="295">
        <v>5.4916666666666655E-2</v>
      </c>
      <c r="AN3" s="295">
        <v>3.3333333333333357E-3</v>
      </c>
      <c r="AO3" s="295"/>
      <c r="AP3" s="295">
        <v>-3.1666666666666692E-3</v>
      </c>
      <c r="AQ3" s="295"/>
      <c r="AR3" s="295"/>
      <c r="AS3" s="208" t="s">
        <v>5566</v>
      </c>
      <c r="AT3" s="219" t="s">
        <v>631</v>
      </c>
    </row>
    <row r="4" spans="1:47" s="28" customFormat="1">
      <c r="A4" s="51" t="s">
        <v>28</v>
      </c>
      <c r="B4" s="206" t="s">
        <v>5531</v>
      </c>
      <c r="C4" t="s">
        <v>583</v>
      </c>
      <c r="D4" s="31">
        <v>294</v>
      </c>
      <c r="E4" s="205" t="s">
        <v>5575</v>
      </c>
      <c r="F4" s="20">
        <f t="shared" si="0"/>
        <v>1</v>
      </c>
      <c r="G4" s="19">
        <f t="shared" si="1"/>
        <v>1</v>
      </c>
      <c r="H4" s="19">
        <f t="shared" si="2"/>
        <v>1</v>
      </c>
      <c r="I4" s="19" t="str">
        <f t="shared" si="3"/>
        <v/>
      </c>
      <c r="J4" s="189">
        <f t="shared" si="4"/>
        <v>3</v>
      </c>
      <c r="K4" s="147" t="str">
        <f t="shared" si="5"/>
        <v>Gq/11</v>
      </c>
      <c r="L4" s="20">
        <f t="shared" si="6"/>
        <v>3</v>
      </c>
      <c r="M4" s="19">
        <f t="shared" si="7"/>
        <v>2</v>
      </c>
      <c r="N4" s="19">
        <f t="shared" si="8"/>
        <v>1</v>
      </c>
      <c r="O4" s="19">
        <f t="shared" si="9"/>
        <v>0</v>
      </c>
      <c r="P4" s="20">
        <f t="shared" si="10"/>
        <v>14.561136478944714</v>
      </c>
      <c r="Q4" s="19">
        <f t="shared" si="11"/>
        <v>66.565195332318595</v>
      </c>
      <c r="R4" s="19">
        <f t="shared" si="12"/>
        <v>100</v>
      </c>
      <c r="S4" s="19">
        <f t="shared" si="13"/>
        <v>0</v>
      </c>
      <c r="T4" s="315">
        <f t="shared" si="14"/>
        <v>1.9133333333333353E-2</v>
      </c>
      <c r="U4" s="316">
        <f t="shared" si="15"/>
        <v>8.7466666666666623E-2</v>
      </c>
      <c r="V4" s="316">
        <f t="shared" si="16"/>
        <v>0.13139999999999999</v>
      </c>
      <c r="W4" s="316">
        <f t="shared" si="17"/>
        <v>0</v>
      </c>
      <c r="X4" s="147" t="str">
        <f t="shared" si="18"/>
        <v>Gq</v>
      </c>
      <c r="Y4" s="32">
        <f t="shared" si="19"/>
        <v>14.561136478944714</v>
      </c>
      <c r="Z4" s="31">
        <f t="shared" si="20"/>
        <v>66.565195332318595</v>
      </c>
      <c r="AA4" s="31">
        <f t="shared" si="21"/>
        <v>100</v>
      </c>
      <c r="AB4" s="31"/>
      <c r="AC4" s="31">
        <f t="shared" si="22"/>
        <v>0</v>
      </c>
      <c r="AD4" s="31"/>
      <c r="AE4" s="308">
        <f t="shared" si="23"/>
        <v>1.9133333333333353E-2</v>
      </c>
      <c r="AF4" s="309">
        <f t="shared" si="24"/>
        <v>8.7466666666666623E-2</v>
      </c>
      <c r="AG4" s="309">
        <f t="shared" si="25"/>
        <v>0.13139999999999999</v>
      </c>
      <c r="AH4" s="309"/>
      <c r="AI4" s="309">
        <f t="shared" si="26"/>
        <v>0</v>
      </c>
      <c r="AJ4" s="309"/>
      <c r="AK4" s="95"/>
      <c r="AL4" s="295">
        <v>1.9133333333333353E-2</v>
      </c>
      <c r="AM4" s="295">
        <v>8.7466666666666623E-2</v>
      </c>
      <c r="AN4" s="295">
        <v>0.13139999999999999</v>
      </c>
      <c r="AO4" s="295"/>
      <c r="AP4" s="295">
        <v>-3.5333333333333362E-3</v>
      </c>
      <c r="AQ4" s="295"/>
      <c r="AR4" s="295"/>
      <c r="AS4" s="208" t="s">
        <v>5567</v>
      </c>
      <c r="AT4" s="219" t="s">
        <v>656</v>
      </c>
    </row>
    <row r="5" spans="1:47" s="28" customFormat="1">
      <c r="A5" s="51" t="s">
        <v>29</v>
      </c>
      <c r="B5" s="206" t="s">
        <v>5531</v>
      </c>
      <c r="C5" t="s">
        <v>583</v>
      </c>
      <c r="D5" s="31">
        <v>294</v>
      </c>
      <c r="E5" s="205" t="s">
        <v>5575</v>
      </c>
      <c r="F5" s="20">
        <f t="shared" si="0"/>
        <v>1</v>
      </c>
      <c r="G5" s="19">
        <f t="shared" si="1"/>
        <v>1</v>
      </c>
      <c r="H5" s="19">
        <f t="shared" si="2"/>
        <v>1</v>
      </c>
      <c r="I5" s="19">
        <f t="shared" si="3"/>
        <v>1</v>
      </c>
      <c r="J5" s="189">
        <f t="shared" si="4"/>
        <v>4</v>
      </c>
      <c r="K5" s="147" t="str">
        <f t="shared" si="5"/>
        <v>Gi/o</v>
      </c>
      <c r="L5" s="20">
        <f t="shared" si="6"/>
        <v>2</v>
      </c>
      <c r="M5" s="19">
        <f t="shared" si="7"/>
        <v>1</v>
      </c>
      <c r="N5" s="19">
        <f t="shared" si="8"/>
        <v>4</v>
      </c>
      <c r="O5" s="19">
        <f t="shared" si="9"/>
        <v>3</v>
      </c>
      <c r="P5" s="20">
        <f t="shared" si="10"/>
        <v>16.176781560583628</v>
      </c>
      <c r="Q5" s="19">
        <f t="shared" si="11"/>
        <v>100</v>
      </c>
      <c r="R5" s="19">
        <f t="shared" si="12"/>
        <v>9.2620004229223891</v>
      </c>
      <c r="S5" s="19">
        <f t="shared" si="13"/>
        <v>11.323747092408537</v>
      </c>
      <c r="T5" s="315">
        <f t="shared" si="14"/>
        <v>6.3749999999999987E-2</v>
      </c>
      <c r="U5" s="316">
        <f t="shared" si="15"/>
        <v>0.3940833333333334</v>
      </c>
      <c r="V5" s="316">
        <f t="shared" si="16"/>
        <v>3.6499999999999991E-2</v>
      </c>
      <c r="W5" s="316">
        <f t="shared" si="17"/>
        <v>4.4624999999999984E-2</v>
      </c>
      <c r="X5" s="147" t="str">
        <f t="shared" si="18"/>
        <v>Gi1</v>
      </c>
      <c r="Y5" s="32">
        <f t="shared" si="19"/>
        <v>16.176781560583628</v>
      </c>
      <c r="Z5" s="31">
        <f t="shared" si="20"/>
        <v>100</v>
      </c>
      <c r="AA5" s="31">
        <f t="shared" si="21"/>
        <v>9.2620004229223891</v>
      </c>
      <c r="AB5" s="31"/>
      <c r="AC5" s="31">
        <f t="shared" si="22"/>
        <v>11.323747092408537</v>
      </c>
      <c r="AD5" s="31"/>
      <c r="AE5" s="308">
        <f t="shared" si="23"/>
        <v>6.3749999999999987E-2</v>
      </c>
      <c r="AF5" s="309">
        <f t="shared" si="24"/>
        <v>0.3940833333333334</v>
      </c>
      <c r="AG5" s="309">
        <f t="shared" si="25"/>
        <v>3.6499999999999991E-2</v>
      </c>
      <c r="AH5" s="309"/>
      <c r="AI5" s="309">
        <f t="shared" si="26"/>
        <v>4.4624999999999984E-2</v>
      </c>
      <c r="AJ5" s="309"/>
      <c r="AK5" s="95"/>
      <c r="AL5" s="295">
        <v>6.3749999999999987E-2</v>
      </c>
      <c r="AM5" s="295">
        <v>0.3940833333333334</v>
      </c>
      <c r="AN5" s="295">
        <v>3.6499999999999991E-2</v>
      </c>
      <c r="AO5" s="295"/>
      <c r="AP5" s="295">
        <v>4.4624999999999984E-2</v>
      </c>
      <c r="AQ5" s="295"/>
      <c r="AR5" s="295"/>
      <c r="AS5" s="208" t="s">
        <v>5568</v>
      </c>
      <c r="AT5" s="219" t="s">
        <v>656</v>
      </c>
    </row>
    <row r="6" spans="1:47" s="28" customFormat="1">
      <c r="A6" s="51" t="s">
        <v>37</v>
      </c>
      <c r="B6" s="206" t="s">
        <v>5531</v>
      </c>
      <c r="C6" t="s">
        <v>583</v>
      </c>
      <c r="D6" s="31">
        <v>484</v>
      </c>
      <c r="E6" s="205" t="s">
        <v>5575</v>
      </c>
      <c r="F6" s="20" t="str">
        <f t="shared" si="0"/>
        <v/>
      </c>
      <c r="G6" s="19">
        <f t="shared" si="1"/>
        <v>1</v>
      </c>
      <c r="H6" s="19" t="str">
        <f t="shared" si="2"/>
        <v/>
      </c>
      <c r="I6" s="19" t="str">
        <f t="shared" si="3"/>
        <v/>
      </c>
      <c r="J6" s="189">
        <f t="shared" si="4"/>
        <v>1</v>
      </c>
      <c r="K6" s="147" t="str">
        <f t="shared" si="5"/>
        <v>Gi/o</v>
      </c>
      <c r="L6" s="20">
        <f t="shared" si="6"/>
        <v>0</v>
      </c>
      <c r="M6" s="19">
        <f t="shared" si="7"/>
        <v>1</v>
      </c>
      <c r="N6" s="19">
        <f t="shared" si="8"/>
        <v>0</v>
      </c>
      <c r="O6" s="19">
        <f t="shared" si="9"/>
        <v>0</v>
      </c>
      <c r="P6" s="20">
        <f t="shared" si="10"/>
        <v>0</v>
      </c>
      <c r="Q6" s="19">
        <f t="shared" si="11"/>
        <v>100</v>
      </c>
      <c r="R6" s="19">
        <f t="shared" si="12"/>
        <v>0</v>
      </c>
      <c r="S6" s="19">
        <f t="shared" si="13"/>
        <v>0</v>
      </c>
      <c r="T6" s="315">
        <f t="shared" si="14"/>
        <v>0</v>
      </c>
      <c r="U6" s="316">
        <f t="shared" si="15"/>
        <v>0.10478333333333335</v>
      </c>
      <c r="V6" s="316">
        <f t="shared" si="16"/>
        <v>0</v>
      </c>
      <c r="W6" s="316">
        <f t="shared" si="17"/>
        <v>0</v>
      </c>
      <c r="X6" s="147" t="str">
        <f t="shared" si="18"/>
        <v>Gi1</v>
      </c>
      <c r="Y6" s="32">
        <f t="shared" si="19"/>
        <v>0</v>
      </c>
      <c r="Z6" s="31">
        <f t="shared" si="20"/>
        <v>100</v>
      </c>
      <c r="AA6" s="31">
        <f t="shared" si="21"/>
        <v>0</v>
      </c>
      <c r="AB6" s="31"/>
      <c r="AC6" s="31">
        <f t="shared" si="22"/>
        <v>0</v>
      </c>
      <c r="AD6" s="31"/>
      <c r="AE6" s="308">
        <f t="shared" si="23"/>
        <v>0</v>
      </c>
      <c r="AF6" s="309">
        <f t="shared" si="24"/>
        <v>0.10478333333333335</v>
      </c>
      <c r="AG6" s="309">
        <f t="shared" si="25"/>
        <v>0</v>
      </c>
      <c r="AH6" s="309"/>
      <c r="AI6" s="309">
        <f t="shared" si="26"/>
        <v>0</v>
      </c>
      <c r="AJ6" s="309"/>
      <c r="AK6" s="95"/>
      <c r="AL6" s="295">
        <v>1.2000000000000014E-3</v>
      </c>
      <c r="AM6" s="295">
        <v>0.10478333333333335</v>
      </c>
      <c r="AN6" s="295">
        <v>2.2000000000000023E-3</v>
      </c>
      <c r="AO6" s="295"/>
      <c r="AP6" s="295">
        <v>5.8666666666666346E-3</v>
      </c>
      <c r="AQ6" s="295"/>
      <c r="AR6" s="295"/>
      <c r="AS6" s="207" t="s">
        <v>5565</v>
      </c>
      <c r="AT6" s="219" t="s">
        <v>683</v>
      </c>
    </row>
    <row r="7" spans="1:47" s="28" customFormat="1">
      <c r="A7" s="51" t="s">
        <v>41</v>
      </c>
      <c r="B7" s="206" t="s">
        <v>5531</v>
      </c>
      <c r="C7" t="s">
        <v>583</v>
      </c>
      <c r="D7" s="31">
        <v>484</v>
      </c>
      <c r="E7" s="205" t="s">
        <v>5575</v>
      </c>
      <c r="F7" s="20">
        <f t="shared" si="0"/>
        <v>1</v>
      </c>
      <c r="G7" s="19">
        <f t="shared" si="1"/>
        <v>1</v>
      </c>
      <c r="H7" s="19">
        <f t="shared" si="2"/>
        <v>1</v>
      </c>
      <c r="I7" s="19" t="str">
        <f t="shared" si="3"/>
        <v/>
      </c>
      <c r="J7" s="189">
        <f t="shared" si="4"/>
        <v>3</v>
      </c>
      <c r="K7" s="147" t="str">
        <f t="shared" si="5"/>
        <v>Gs</v>
      </c>
      <c r="L7" s="20">
        <f t="shared" si="6"/>
        <v>1</v>
      </c>
      <c r="M7" s="19">
        <f t="shared" si="7"/>
        <v>2</v>
      </c>
      <c r="N7" s="19">
        <f t="shared" si="8"/>
        <v>3</v>
      </c>
      <c r="O7" s="19">
        <f t="shared" si="9"/>
        <v>0</v>
      </c>
      <c r="P7" s="20">
        <f t="shared" si="10"/>
        <v>100</v>
      </c>
      <c r="Q7" s="19">
        <f t="shared" si="11"/>
        <v>55.663615560640686</v>
      </c>
      <c r="R7" s="19">
        <f t="shared" si="12"/>
        <v>24.675819984744464</v>
      </c>
      <c r="S7" s="19">
        <f t="shared" si="13"/>
        <v>0</v>
      </c>
      <c r="T7" s="315">
        <f t="shared" si="14"/>
        <v>8.7399999999999964E-2</v>
      </c>
      <c r="U7" s="316">
        <f t="shared" si="15"/>
        <v>4.8649999999999943E-2</v>
      </c>
      <c r="V7" s="316">
        <f t="shared" si="16"/>
        <v>2.1566666666666651E-2</v>
      </c>
      <c r="W7" s="316">
        <f t="shared" si="17"/>
        <v>0</v>
      </c>
      <c r="X7" s="147" t="str">
        <f t="shared" si="18"/>
        <v>GsL</v>
      </c>
      <c r="Y7" s="32">
        <f t="shared" si="19"/>
        <v>100</v>
      </c>
      <c r="Z7" s="31">
        <f t="shared" si="20"/>
        <v>55.663615560640686</v>
      </c>
      <c r="AA7" s="31">
        <f t="shared" si="21"/>
        <v>24.675819984744464</v>
      </c>
      <c r="AB7" s="31"/>
      <c r="AC7" s="31">
        <f t="shared" si="22"/>
        <v>0</v>
      </c>
      <c r="AD7" s="31"/>
      <c r="AE7" s="308">
        <f t="shared" si="23"/>
        <v>8.7399999999999964E-2</v>
      </c>
      <c r="AF7" s="309">
        <f t="shared" si="24"/>
        <v>4.8649999999999943E-2</v>
      </c>
      <c r="AG7" s="309">
        <f t="shared" si="25"/>
        <v>2.1566666666666651E-2</v>
      </c>
      <c r="AH7" s="309"/>
      <c r="AI7" s="309">
        <f t="shared" si="26"/>
        <v>0</v>
      </c>
      <c r="AJ7" s="309"/>
      <c r="AK7" s="95"/>
      <c r="AL7" s="295">
        <v>8.7399999999999964E-2</v>
      </c>
      <c r="AM7" s="295">
        <v>4.8649999999999943E-2</v>
      </c>
      <c r="AN7" s="295">
        <v>2.1566666666666651E-2</v>
      </c>
      <c r="AO7" s="295"/>
      <c r="AP7" s="295">
        <v>-8.5000000000000093E-4</v>
      </c>
      <c r="AQ7" s="295"/>
      <c r="AR7" s="295"/>
      <c r="AS7" s="207" t="s">
        <v>5564</v>
      </c>
      <c r="AT7" s="219" t="s">
        <v>683</v>
      </c>
    </row>
    <row r="8" spans="1:47" s="28" customFormat="1">
      <c r="A8" s="51" t="s">
        <v>43</v>
      </c>
      <c r="B8" s="206" t="s">
        <v>5531</v>
      </c>
      <c r="C8" t="s">
        <v>583</v>
      </c>
      <c r="D8" s="31">
        <v>2504</v>
      </c>
      <c r="E8" s="205" t="s">
        <v>5575</v>
      </c>
      <c r="F8" s="20" t="str">
        <f t="shared" si="0"/>
        <v/>
      </c>
      <c r="G8" s="19">
        <f t="shared" si="1"/>
        <v>1</v>
      </c>
      <c r="H8" s="19">
        <f t="shared" si="2"/>
        <v>1</v>
      </c>
      <c r="I8" s="19" t="str">
        <f t="shared" si="3"/>
        <v/>
      </c>
      <c r="J8" s="189">
        <f t="shared" si="4"/>
        <v>2</v>
      </c>
      <c r="K8" s="147" t="str">
        <f t="shared" si="5"/>
        <v>Gq/11</v>
      </c>
      <c r="L8" s="20">
        <f t="shared" si="6"/>
        <v>0</v>
      </c>
      <c r="M8" s="19">
        <f t="shared" si="7"/>
        <v>2</v>
      </c>
      <c r="N8" s="19">
        <f t="shared" si="8"/>
        <v>1</v>
      </c>
      <c r="O8" s="19">
        <f t="shared" si="9"/>
        <v>0</v>
      </c>
      <c r="P8" s="20">
        <f t="shared" si="10"/>
        <v>0</v>
      </c>
      <c r="Q8" s="19">
        <f t="shared" si="11"/>
        <v>58.442694663167046</v>
      </c>
      <c r="R8" s="19">
        <f t="shared" si="12"/>
        <v>100</v>
      </c>
      <c r="S8" s="19">
        <f t="shared" si="13"/>
        <v>0</v>
      </c>
      <c r="T8" s="315">
        <f t="shared" si="14"/>
        <v>0</v>
      </c>
      <c r="U8" s="316">
        <f t="shared" si="15"/>
        <v>2.78333333333333E-2</v>
      </c>
      <c r="V8" s="316">
        <f t="shared" si="16"/>
        <v>4.7624999999999987E-2</v>
      </c>
      <c r="W8" s="316">
        <f t="shared" si="17"/>
        <v>0</v>
      </c>
      <c r="X8" s="147" t="str">
        <f t="shared" si="18"/>
        <v>Gq</v>
      </c>
      <c r="Y8" s="32">
        <f t="shared" si="19"/>
        <v>0</v>
      </c>
      <c r="Z8" s="31">
        <f t="shared" si="20"/>
        <v>58.442694663167046</v>
      </c>
      <c r="AA8" s="31">
        <f t="shared" si="21"/>
        <v>100</v>
      </c>
      <c r="AB8" s="31"/>
      <c r="AC8" s="31">
        <f t="shared" si="22"/>
        <v>0</v>
      </c>
      <c r="AD8" s="31"/>
      <c r="AE8" s="308">
        <f t="shared" si="23"/>
        <v>0</v>
      </c>
      <c r="AF8" s="309">
        <f t="shared" si="24"/>
        <v>2.78333333333333E-2</v>
      </c>
      <c r="AG8" s="309">
        <f t="shared" si="25"/>
        <v>4.7624999999999987E-2</v>
      </c>
      <c r="AH8" s="309"/>
      <c r="AI8" s="309">
        <f t="shared" si="26"/>
        <v>0</v>
      </c>
      <c r="AJ8" s="309"/>
      <c r="AK8" s="95"/>
      <c r="AL8" s="295">
        <v>-5.8750000000000052E-3</v>
      </c>
      <c r="AM8" s="295">
        <v>2.78333333333333E-2</v>
      </c>
      <c r="AN8" s="295">
        <v>4.7624999999999987E-2</v>
      </c>
      <c r="AO8" s="295"/>
      <c r="AP8" s="295">
        <v>-8.5000000000000075E-3</v>
      </c>
      <c r="AQ8" s="295"/>
      <c r="AR8" s="295"/>
      <c r="AS8" s="208" t="s">
        <v>43</v>
      </c>
      <c r="AT8" s="219" t="s">
        <v>5534</v>
      </c>
    </row>
    <row r="9" spans="1:47" s="28" customFormat="1">
      <c r="A9" s="51" t="s">
        <v>103</v>
      </c>
      <c r="B9" s="206" t="s">
        <v>5532</v>
      </c>
      <c r="C9" t="s">
        <v>583</v>
      </c>
      <c r="D9" s="25">
        <v>573</v>
      </c>
      <c r="E9" s="205" t="s">
        <v>5575</v>
      </c>
      <c r="F9" s="20" t="str">
        <f t="shared" si="0"/>
        <v/>
      </c>
      <c r="G9" s="19">
        <f t="shared" si="1"/>
        <v>1</v>
      </c>
      <c r="H9" s="19" t="str">
        <f t="shared" si="2"/>
        <v/>
      </c>
      <c r="I9" s="19" t="str">
        <f t="shared" si="3"/>
        <v/>
      </c>
      <c r="J9" s="189">
        <f t="shared" si="4"/>
        <v>1</v>
      </c>
      <c r="K9" s="147" t="str">
        <f t="shared" si="5"/>
        <v>Gi/o</v>
      </c>
      <c r="L9" s="20">
        <f t="shared" si="6"/>
        <v>0</v>
      </c>
      <c r="M9" s="19">
        <f t="shared" si="7"/>
        <v>1</v>
      </c>
      <c r="N9" s="19">
        <f t="shared" si="8"/>
        <v>0</v>
      </c>
      <c r="O9" s="19">
        <f t="shared" si="9"/>
        <v>0</v>
      </c>
      <c r="P9" s="20">
        <f t="shared" si="10"/>
        <v>0</v>
      </c>
      <c r="Q9" s="19">
        <f t="shared" si="11"/>
        <v>100</v>
      </c>
      <c r="R9" s="19">
        <f t="shared" si="12"/>
        <v>0</v>
      </c>
      <c r="S9" s="19">
        <f t="shared" si="13"/>
        <v>0</v>
      </c>
      <c r="T9" s="315">
        <f t="shared" si="14"/>
        <v>0</v>
      </c>
      <c r="U9" s="316">
        <f t="shared" si="15"/>
        <v>5.2499999999999991E-2</v>
      </c>
      <c r="V9" s="316">
        <f t="shared" si="16"/>
        <v>0</v>
      </c>
      <c r="W9" s="316">
        <f t="shared" si="17"/>
        <v>0</v>
      </c>
      <c r="X9" s="147" t="str">
        <f t="shared" si="18"/>
        <v>Gi1</v>
      </c>
      <c r="Y9" s="32">
        <f t="shared" si="19"/>
        <v>0</v>
      </c>
      <c r="Z9" s="31">
        <f t="shared" si="20"/>
        <v>100</v>
      </c>
      <c r="AA9" s="31">
        <f t="shared" si="21"/>
        <v>0</v>
      </c>
      <c r="AB9" s="31"/>
      <c r="AC9" s="31">
        <f t="shared" si="22"/>
        <v>0</v>
      </c>
      <c r="AD9" s="31"/>
      <c r="AE9" s="308">
        <f t="shared" si="23"/>
        <v>0</v>
      </c>
      <c r="AF9" s="309">
        <f t="shared" si="24"/>
        <v>5.2499999999999991E-2</v>
      </c>
      <c r="AG9" s="309">
        <f t="shared" si="25"/>
        <v>0</v>
      </c>
      <c r="AH9" s="309"/>
      <c r="AI9" s="309">
        <f t="shared" si="26"/>
        <v>0</v>
      </c>
      <c r="AJ9" s="309"/>
      <c r="AK9" s="95"/>
      <c r="AL9" s="295">
        <v>-4.0000000000000036E-3</v>
      </c>
      <c r="AM9" s="295">
        <v>5.2499999999999991E-2</v>
      </c>
      <c r="AN9" s="295">
        <v>2.5000000000000022E-3</v>
      </c>
      <c r="AO9" s="295"/>
      <c r="AP9" s="295">
        <v>-2.5000000000000022E-3</v>
      </c>
      <c r="AQ9" s="295"/>
      <c r="AR9" s="295"/>
      <c r="AS9" s="208" t="s">
        <v>4900</v>
      </c>
      <c r="AT9" s="220" t="s">
        <v>793</v>
      </c>
      <c r="AU9" s="23"/>
    </row>
    <row r="10" spans="1:47" s="28" customFormat="1">
      <c r="A10" s="51" t="s">
        <v>58</v>
      </c>
      <c r="B10" s="206" t="s">
        <v>5532</v>
      </c>
      <c r="C10" t="s">
        <v>583</v>
      </c>
      <c r="D10" s="31">
        <v>730</v>
      </c>
      <c r="E10" s="205" t="s">
        <v>5576</v>
      </c>
      <c r="F10" s="20">
        <f t="shared" si="0"/>
        <v>1</v>
      </c>
      <c r="G10" s="19">
        <f t="shared" si="1"/>
        <v>1</v>
      </c>
      <c r="H10" s="19">
        <f t="shared" si="2"/>
        <v>1</v>
      </c>
      <c r="I10" s="19">
        <f t="shared" si="3"/>
        <v>1</v>
      </c>
      <c r="J10" s="189">
        <f t="shared" si="4"/>
        <v>4</v>
      </c>
      <c r="K10" s="147" t="str">
        <f t="shared" si="5"/>
        <v>Gi/o</v>
      </c>
      <c r="L10" s="20">
        <f t="shared" si="6"/>
        <v>3</v>
      </c>
      <c r="M10" s="19">
        <f t="shared" si="7"/>
        <v>1</v>
      </c>
      <c r="N10" s="19">
        <f t="shared" si="8"/>
        <v>4</v>
      </c>
      <c r="O10" s="19">
        <f t="shared" si="9"/>
        <v>2</v>
      </c>
      <c r="P10" s="20">
        <f t="shared" si="10"/>
        <v>36.500754147812941</v>
      </c>
      <c r="Q10" s="19">
        <f t="shared" si="11"/>
        <v>100</v>
      </c>
      <c r="R10" s="19">
        <f t="shared" si="12"/>
        <v>17.797888386123631</v>
      </c>
      <c r="S10" s="19">
        <f t="shared" si="13"/>
        <v>42.533936651583652</v>
      </c>
      <c r="T10" s="315">
        <f t="shared" si="14"/>
        <v>2.0166666666666649E-2</v>
      </c>
      <c r="U10" s="316">
        <f t="shared" si="15"/>
        <v>5.5249999999999994E-2</v>
      </c>
      <c r="V10" s="316">
        <f t="shared" si="16"/>
        <v>9.8333333333333051E-3</v>
      </c>
      <c r="W10" s="316">
        <f t="shared" si="17"/>
        <v>2.3499999999999965E-2</v>
      </c>
      <c r="X10" s="147" t="str">
        <f t="shared" si="18"/>
        <v>Gi1</v>
      </c>
      <c r="Y10" s="32">
        <f t="shared" si="19"/>
        <v>36.500754147812941</v>
      </c>
      <c r="Z10" s="31">
        <f t="shared" si="20"/>
        <v>100</v>
      </c>
      <c r="AA10" s="31">
        <f t="shared" si="21"/>
        <v>17.797888386123631</v>
      </c>
      <c r="AB10" s="31"/>
      <c r="AC10" s="31">
        <f t="shared" si="22"/>
        <v>42.533936651583652</v>
      </c>
      <c r="AD10" s="31"/>
      <c r="AE10" s="308">
        <f t="shared" si="23"/>
        <v>2.0166666666666649E-2</v>
      </c>
      <c r="AF10" s="309">
        <f t="shared" si="24"/>
        <v>5.5249999999999994E-2</v>
      </c>
      <c r="AG10" s="309">
        <f t="shared" si="25"/>
        <v>9.8333333333333051E-3</v>
      </c>
      <c r="AH10" s="309"/>
      <c r="AI10" s="309">
        <f t="shared" si="26"/>
        <v>2.3499999999999965E-2</v>
      </c>
      <c r="AJ10" s="309"/>
      <c r="AK10" s="95"/>
      <c r="AL10" s="295">
        <v>2.0166666666666649E-2</v>
      </c>
      <c r="AM10" s="295">
        <v>5.5249999999999994E-2</v>
      </c>
      <c r="AN10" s="295">
        <v>9.8333333333333051E-3</v>
      </c>
      <c r="AO10" s="295"/>
      <c r="AP10" s="295">
        <v>2.3499999999999965E-2</v>
      </c>
      <c r="AQ10" s="295"/>
      <c r="AR10" s="295"/>
      <c r="AS10" s="208" t="s">
        <v>5068</v>
      </c>
      <c r="AT10" s="219" t="s">
        <v>5469</v>
      </c>
    </row>
    <row r="11" spans="1:47" s="28" customFormat="1">
      <c r="A11" s="51" t="s">
        <v>106</v>
      </c>
      <c r="B11" s="206" t="s">
        <v>5531</v>
      </c>
      <c r="C11" t="s">
        <v>583</v>
      </c>
      <c r="D11" s="31">
        <v>940</v>
      </c>
      <c r="E11" s="205" t="s">
        <v>5575</v>
      </c>
      <c r="F11" s="20">
        <f t="shared" si="0"/>
        <v>1</v>
      </c>
      <c r="G11" s="19">
        <f t="shared" si="1"/>
        <v>1</v>
      </c>
      <c r="H11" s="19" t="str">
        <f t="shared" si="2"/>
        <v/>
      </c>
      <c r="I11" s="19" t="str">
        <f t="shared" si="3"/>
        <v/>
      </c>
      <c r="J11" s="189">
        <f t="shared" si="4"/>
        <v>2</v>
      </c>
      <c r="K11" s="147" t="str">
        <f t="shared" si="5"/>
        <v>Gs</v>
      </c>
      <c r="L11" s="20">
        <f t="shared" si="6"/>
        <v>1</v>
      </c>
      <c r="M11" s="19">
        <f t="shared" si="7"/>
        <v>2</v>
      </c>
      <c r="N11" s="19">
        <f t="shared" si="8"/>
        <v>0</v>
      </c>
      <c r="O11" s="19">
        <f t="shared" si="9"/>
        <v>0</v>
      </c>
      <c r="P11" s="20">
        <f t="shared" si="10"/>
        <v>100</v>
      </c>
      <c r="Q11" s="19">
        <f t="shared" si="11"/>
        <v>71.347402597402649</v>
      </c>
      <c r="R11" s="19">
        <f t="shared" si="12"/>
        <v>0</v>
      </c>
      <c r="S11" s="19">
        <f t="shared" si="13"/>
        <v>0</v>
      </c>
      <c r="T11" s="315">
        <f t="shared" si="14"/>
        <v>5.1333333333333335E-2</v>
      </c>
      <c r="U11" s="316">
        <f t="shared" si="15"/>
        <v>3.6625000000000033E-2</v>
      </c>
      <c r="V11" s="316">
        <f t="shared" si="16"/>
        <v>0</v>
      </c>
      <c r="W11" s="316">
        <f t="shared" si="17"/>
        <v>0</v>
      </c>
      <c r="X11" s="147" t="str">
        <f t="shared" si="18"/>
        <v>GsL</v>
      </c>
      <c r="Y11" s="32">
        <f t="shared" si="19"/>
        <v>100</v>
      </c>
      <c r="Z11" s="31">
        <f t="shared" si="20"/>
        <v>71.347402597402649</v>
      </c>
      <c r="AA11" s="31">
        <f t="shared" si="21"/>
        <v>0</v>
      </c>
      <c r="AB11" s="31"/>
      <c r="AC11" s="31">
        <f t="shared" si="22"/>
        <v>0</v>
      </c>
      <c r="AD11" s="31"/>
      <c r="AE11" s="308">
        <f t="shared" si="23"/>
        <v>5.1333333333333335E-2</v>
      </c>
      <c r="AF11" s="309">
        <f t="shared" si="24"/>
        <v>3.6625000000000033E-2</v>
      </c>
      <c r="AG11" s="309">
        <f t="shared" si="25"/>
        <v>0</v>
      </c>
      <c r="AH11" s="309"/>
      <c r="AI11" s="309">
        <f t="shared" si="26"/>
        <v>0</v>
      </c>
      <c r="AJ11" s="309"/>
      <c r="AK11" s="95"/>
      <c r="AL11" s="295">
        <v>5.1333333333333335E-2</v>
      </c>
      <c r="AM11" s="295">
        <v>3.6625000000000033E-2</v>
      </c>
      <c r="AN11" s="295">
        <v>6.87500000000002E-3</v>
      </c>
      <c r="AO11" s="295"/>
      <c r="AP11" s="295">
        <v>2.6250000000000023E-3</v>
      </c>
      <c r="AQ11" s="295"/>
      <c r="AR11" s="295"/>
      <c r="AS11" s="208" t="s">
        <v>5061</v>
      </c>
      <c r="AT11" s="219" t="s">
        <v>1035</v>
      </c>
    </row>
    <row r="12" spans="1:47" s="28" customFormat="1">
      <c r="A12" s="51" t="s">
        <v>108</v>
      </c>
      <c r="B12" s="206" t="s">
        <v>5531</v>
      </c>
      <c r="C12" t="s">
        <v>583</v>
      </c>
      <c r="D12" s="31">
        <v>940</v>
      </c>
      <c r="E12" s="205" t="s">
        <v>5575</v>
      </c>
      <c r="F12" s="20">
        <f t="shared" si="0"/>
        <v>1</v>
      </c>
      <c r="G12" s="19">
        <f t="shared" si="1"/>
        <v>1</v>
      </c>
      <c r="H12" s="19">
        <f t="shared" si="2"/>
        <v>1</v>
      </c>
      <c r="I12" s="19" t="str">
        <f t="shared" si="3"/>
        <v/>
      </c>
      <c r="J12" s="189">
        <f t="shared" si="4"/>
        <v>3</v>
      </c>
      <c r="K12" s="147" t="str">
        <f t="shared" si="5"/>
        <v>Gi/o</v>
      </c>
      <c r="L12" s="20">
        <f t="shared" si="6"/>
        <v>3</v>
      </c>
      <c r="M12" s="19">
        <f t="shared" si="7"/>
        <v>1</v>
      </c>
      <c r="N12" s="19">
        <f t="shared" si="8"/>
        <v>2</v>
      </c>
      <c r="O12" s="19">
        <f t="shared" si="9"/>
        <v>0</v>
      </c>
      <c r="P12" s="20">
        <f t="shared" si="10"/>
        <v>6.6880841121495394</v>
      </c>
      <c r="Q12" s="19">
        <f t="shared" si="11"/>
        <v>100</v>
      </c>
      <c r="R12" s="19">
        <f t="shared" si="12"/>
        <v>8.0899532710280546</v>
      </c>
      <c r="S12" s="19">
        <f t="shared" si="13"/>
        <v>0</v>
      </c>
      <c r="T12" s="315">
        <f t="shared" si="14"/>
        <v>9.5416666666666757E-3</v>
      </c>
      <c r="U12" s="316">
        <f t="shared" si="15"/>
        <v>0.14266666666666666</v>
      </c>
      <c r="V12" s="316">
        <f t="shared" si="16"/>
        <v>1.1541666666666691E-2</v>
      </c>
      <c r="W12" s="316">
        <f t="shared" si="17"/>
        <v>0</v>
      </c>
      <c r="X12" s="147" t="str">
        <f t="shared" si="18"/>
        <v>Gi1</v>
      </c>
      <c r="Y12" s="32">
        <f t="shared" si="19"/>
        <v>6.6880841121495394</v>
      </c>
      <c r="Z12" s="31">
        <f t="shared" si="20"/>
        <v>100</v>
      </c>
      <c r="AA12" s="31">
        <f t="shared" si="21"/>
        <v>8.0899532710280546</v>
      </c>
      <c r="AB12" s="31"/>
      <c r="AC12" s="31">
        <f t="shared" si="22"/>
        <v>0</v>
      </c>
      <c r="AD12" s="31"/>
      <c r="AE12" s="308">
        <f t="shared" si="23"/>
        <v>9.5416666666666757E-3</v>
      </c>
      <c r="AF12" s="309">
        <f t="shared" si="24"/>
        <v>0.14266666666666666</v>
      </c>
      <c r="AG12" s="309">
        <f t="shared" si="25"/>
        <v>1.1541666666666691E-2</v>
      </c>
      <c r="AH12" s="309"/>
      <c r="AI12" s="309">
        <f t="shared" si="26"/>
        <v>0</v>
      </c>
      <c r="AJ12" s="309"/>
      <c r="AK12" s="95"/>
      <c r="AL12" s="295">
        <v>9.5416666666666757E-3</v>
      </c>
      <c r="AM12" s="295">
        <v>0.14266666666666666</v>
      </c>
      <c r="AN12" s="295">
        <v>1.1541666666666691E-2</v>
      </c>
      <c r="AO12" s="295"/>
      <c r="AP12" s="295">
        <v>6.166666666666658E-3</v>
      </c>
      <c r="AQ12" s="295"/>
      <c r="AR12" s="295"/>
      <c r="AS12" s="208" t="s">
        <v>5058</v>
      </c>
      <c r="AT12" s="219" t="s">
        <v>1035</v>
      </c>
    </row>
    <row r="13" spans="1:47" s="28" customFormat="1">
      <c r="A13" s="51" t="s">
        <v>111</v>
      </c>
      <c r="B13" s="206" t="s">
        <v>5532</v>
      </c>
      <c r="C13" t="s">
        <v>583</v>
      </c>
      <c r="D13" s="31">
        <v>940</v>
      </c>
      <c r="E13" s="205" t="s">
        <v>5575</v>
      </c>
      <c r="F13" s="20">
        <f t="shared" si="0"/>
        <v>1</v>
      </c>
      <c r="G13" s="19">
        <f t="shared" si="1"/>
        <v>1</v>
      </c>
      <c r="H13" s="19" t="str">
        <f t="shared" si="2"/>
        <v/>
      </c>
      <c r="I13" s="19" t="str">
        <f t="shared" si="3"/>
        <v/>
      </c>
      <c r="J13" s="189">
        <f t="shared" si="4"/>
        <v>2</v>
      </c>
      <c r="K13" s="147" t="str">
        <f t="shared" si="5"/>
        <v>Gs</v>
      </c>
      <c r="L13" s="20">
        <f t="shared" si="6"/>
        <v>1</v>
      </c>
      <c r="M13" s="19">
        <f t="shared" si="7"/>
        <v>2</v>
      </c>
      <c r="N13" s="19">
        <f t="shared" si="8"/>
        <v>0</v>
      </c>
      <c r="O13" s="19">
        <f t="shared" si="9"/>
        <v>0</v>
      </c>
      <c r="P13" s="20">
        <f t="shared" si="10"/>
        <v>100</v>
      </c>
      <c r="Q13" s="19">
        <f t="shared" si="11"/>
        <v>65.100671140939511</v>
      </c>
      <c r="R13" s="19">
        <f t="shared" si="12"/>
        <v>0</v>
      </c>
      <c r="S13" s="19">
        <f t="shared" si="13"/>
        <v>0</v>
      </c>
      <c r="T13" s="315">
        <f t="shared" si="14"/>
        <v>2.4833333333333357E-2</v>
      </c>
      <c r="U13" s="316">
        <f t="shared" si="15"/>
        <v>1.6166666666666663E-2</v>
      </c>
      <c r="V13" s="316">
        <f t="shared" si="16"/>
        <v>0</v>
      </c>
      <c r="W13" s="316">
        <f t="shared" si="17"/>
        <v>0</v>
      </c>
      <c r="X13" s="147" t="str">
        <f t="shared" si="18"/>
        <v>GsL</v>
      </c>
      <c r="Y13" s="32">
        <f t="shared" si="19"/>
        <v>100</v>
      </c>
      <c r="Z13" s="31">
        <f t="shared" si="20"/>
        <v>65.100671140939511</v>
      </c>
      <c r="AA13" s="31">
        <f t="shared" si="21"/>
        <v>0</v>
      </c>
      <c r="AB13" s="31"/>
      <c r="AC13" s="31">
        <f t="shared" si="22"/>
        <v>0</v>
      </c>
      <c r="AD13" s="31"/>
      <c r="AE13" s="308">
        <f t="shared" si="23"/>
        <v>2.4833333333333357E-2</v>
      </c>
      <c r="AF13" s="309">
        <f t="shared" si="24"/>
        <v>1.6166666666666663E-2</v>
      </c>
      <c r="AG13" s="309">
        <f t="shared" si="25"/>
        <v>0</v>
      </c>
      <c r="AH13" s="309"/>
      <c r="AI13" s="309">
        <f t="shared" si="26"/>
        <v>0</v>
      </c>
      <c r="AJ13" s="309"/>
      <c r="AK13" s="95"/>
      <c r="AL13" s="295">
        <v>2.4833333333333357E-2</v>
      </c>
      <c r="AM13" s="295">
        <v>1.6166666666666663E-2</v>
      </c>
      <c r="AN13" s="295">
        <v>4.6666666666666705E-3</v>
      </c>
      <c r="AO13" s="295"/>
      <c r="AP13" s="295">
        <v>-8.3333333333333415E-4</v>
      </c>
      <c r="AQ13" s="295"/>
      <c r="AR13" s="295"/>
      <c r="AS13" s="208" t="s">
        <v>5055</v>
      </c>
      <c r="AT13" s="219" t="s">
        <v>1035</v>
      </c>
    </row>
    <row r="14" spans="1:47" s="28" customFormat="1">
      <c r="A14" s="51" t="s">
        <v>112</v>
      </c>
      <c r="B14" s="206" t="s">
        <v>5531</v>
      </c>
      <c r="C14" t="s">
        <v>583</v>
      </c>
      <c r="D14" s="31">
        <v>989</v>
      </c>
      <c r="E14" s="205" t="s">
        <v>5575</v>
      </c>
      <c r="F14" s="20" t="str">
        <f t="shared" si="0"/>
        <v/>
      </c>
      <c r="G14" s="19">
        <f t="shared" si="1"/>
        <v>1</v>
      </c>
      <c r="H14" s="19">
        <f t="shared" si="2"/>
        <v>1</v>
      </c>
      <c r="I14" s="19">
        <f t="shared" si="3"/>
        <v>1</v>
      </c>
      <c r="J14" s="189">
        <f t="shared" si="4"/>
        <v>3</v>
      </c>
      <c r="K14" s="147" t="str">
        <f t="shared" si="5"/>
        <v>Gi/o</v>
      </c>
      <c r="L14" s="20">
        <f t="shared" si="6"/>
        <v>0</v>
      </c>
      <c r="M14" s="19">
        <f t="shared" si="7"/>
        <v>1</v>
      </c>
      <c r="N14" s="19">
        <f t="shared" si="8"/>
        <v>2</v>
      </c>
      <c r="O14" s="19">
        <f t="shared" si="9"/>
        <v>3</v>
      </c>
      <c r="P14" s="20">
        <f t="shared" si="10"/>
        <v>0</v>
      </c>
      <c r="Q14" s="19">
        <f t="shared" si="11"/>
        <v>100</v>
      </c>
      <c r="R14" s="19">
        <f t="shared" si="12"/>
        <v>93.72734875940894</v>
      </c>
      <c r="S14" s="19">
        <f t="shared" si="13"/>
        <v>35.963200446055197</v>
      </c>
      <c r="T14" s="315">
        <f t="shared" si="14"/>
        <v>0</v>
      </c>
      <c r="U14" s="316">
        <f t="shared" si="15"/>
        <v>5.9783333333333362E-2</v>
      </c>
      <c r="V14" s="316">
        <f t="shared" si="16"/>
        <v>5.6033333333333345E-2</v>
      </c>
      <c r="W14" s="316">
        <f t="shared" si="17"/>
        <v>2.1500000000000005E-2</v>
      </c>
      <c r="X14" s="147" t="str">
        <f t="shared" si="18"/>
        <v>Gi1</v>
      </c>
      <c r="Y14" s="32">
        <f t="shared" si="19"/>
        <v>0</v>
      </c>
      <c r="Z14" s="31">
        <f t="shared" si="20"/>
        <v>100</v>
      </c>
      <c r="AA14" s="31">
        <f t="shared" si="21"/>
        <v>93.72734875940894</v>
      </c>
      <c r="AB14" s="31"/>
      <c r="AC14" s="31">
        <f t="shared" si="22"/>
        <v>35.963200446055197</v>
      </c>
      <c r="AD14" s="31"/>
      <c r="AE14" s="308">
        <f t="shared" si="23"/>
        <v>0</v>
      </c>
      <c r="AF14" s="309">
        <f t="shared" si="24"/>
        <v>5.9783333333333362E-2</v>
      </c>
      <c r="AG14" s="309">
        <f t="shared" si="25"/>
        <v>5.6033333333333345E-2</v>
      </c>
      <c r="AH14" s="309"/>
      <c r="AI14" s="309">
        <f t="shared" si="26"/>
        <v>2.1500000000000005E-2</v>
      </c>
      <c r="AJ14" s="309"/>
      <c r="AK14" s="95"/>
      <c r="AL14" s="295">
        <v>-3.3000000000000026E-3</v>
      </c>
      <c r="AM14" s="295">
        <v>5.9783333333333362E-2</v>
      </c>
      <c r="AN14" s="295">
        <v>5.6033333333333345E-2</v>
      </c>
      <c r="AO14" s="295"/>
      <c r="AP14" s="295">
        <v>2.1500000000000005E-2</v>
      </c>
      <c r="AQ14" s="295"/>
      <c r="AR14" s="295"/>
      <c r="AS14" s="208" t="s">
        <v>5569</v>
      </c>
      <c r="AT14" s="219" t="s">
        <v>1047</v>
      </c>
    </row>
    <row r="15" spans="1:47" s="28" customFormat="1">
      <c r="A15" s="51" t="s">
        <v>113</v>
      </c>
      <c r="B15" s="206" t="s">
        <v>5531</v>
      </c>
      <c r="C15" t="s">
        <v>583</v>
      </c>
      <c r="D15" s="31">
        <v>989</v>
      </c>
      <c r="E15" s="205" t="s">
        <v>5575</v>
      </c>
      <c r="F15" s="20" t="str">
        <f t="shared" si="0"/>
        <v/>
      </c>
      <c r="G15" s="19">
        <f t="shared" si="1"/>
        <v>1</v>
      </c>
      <c r="H15" s="19">
        <f t="shared" si="2"/>
        <v>1</v>
      </c>
      <c r="I15" s="19">
        <f t="shared" si="3"/>
        <v>1</v>
      </c>
      <c r="J15" s="189">
        <f t="shared" si="4"/>
        <v>3</v>
      </c>
      <c r="K15" s="147" t="str">
        <f t="shared" si="5"/>
        <v>Gi/o</v>
      </c>
      <c r="L15" s="20">
        <f t="shared" si="6"/>
        <v>0</v>
      </c>
      <c r="M15" s="19">
        <f t="shared" si="7"/>
        <v>1</v>
      </c>
      <c r="N15" s="19">
        <f t="shared" si="8"/>
        <v>2</v>
      </c>
      <c r="O15" s="19">
        <f t="shared" si="9"/>
        <v>3</v>
      </c>
      <c r="P15" s="20">
        <f t="shared" si="10"/>
        <v>0</v>
      </c>
      <c r="Q15" s="19">
        <f t="shared" si="11"/>
        <v>100</v>
      </c>
      <c r="R15" s="19">
        <f t="shared" si="12"/>
        <v>54.304635761589402</v>
      </c>
      <c r="S15" s="19">
        <f t="shared" si="13"/>
        <v>12.298959318826851</v>
      </c>
      <c r="T15" s="315">
        <f t="shared" si="14"/>
        <v>0</v>
      </c>
      <c r="U15" s="316">
        <f t="shared" si="15"/>
        <v>8.8083333333333347E-2</v>
      </c>
      <c r="V15" s="316">
        <f t="shared" si="16"/>
        <v>4.7833333333333339E-2</v>
      </c>
      <c r="W15" s="316">
        <f t="shared" si="17"/>
        <v>1.083333333333332E-2</v>
      </c>
      <c r="X15" s="147" t="str">
        <f t="shared" si="18"/>
        <v>Gi1</v>
      </c>
      <c r="Y15" s="32">
        <f t="shared" si="19"/>
        <v>0</v>
      </c>
      <c r="Z15" s="31">
        <f t="shared" si="20"/>
        <v>100</v>
      </c>
      <c r="AA15" s="31">
        <f t="shared" si="21"/>
        <v>54.304635761589402</v>
      </c>
      <c r="AB15" s="31"/>
      <c r="AC15" s="31">
        <f t="shared" si="22"/>
        <v>12.298959318826851</v>
      </c>
      <c r="AD15" s="31"/>
      <c r="AE15" s="308">
        <f t="shared" si="23"/>
        <v>0</v>
      </c>
      <c r="AF15" s="309">
        <f t="shared" si="24"/>
        <v>8.8083333333333347E-2</v>
      </c>
      <c r="AG15" s="309">
        <f t="shared" si="25"/>
        <v>4.7833333333333339E-2</v>
      </c>
      <c r="AH15" s="309"/>
      <c r="AI15" s="309">
        <f t="shared" si="26"/>
        <v>1.083333333333332E-2</v>
      </c>
      <c r="AJ15" s="309"/>
      <c r="AK15" s="95"/>
      <c r="AL15" s="295">
        <v>7.3333333333333722E-3</v>
      </c>
      <c r="AM15" s="295">
        <v>8.8083333333333347E-2</v>
      </c>
      <c r="AN15" s="295">
        <v>4.7833333333333339E-2</v>
      </c>
      <c r="AO15" s="295"/>
      <c r="AP15" s="295">
        <v>1.083333333333332E-2</v>
      </c>
      <c r="AQ15" s="295"/>
      <c r="AR15" s="295"/>
      <c r="AS15" s="208" t="s">
        <v>5570</v>
      </c>
      <c r="AT15" s="219" t="s">
        <v>1047</v>
      </c>
    </row>
    <row r="16" spans="1:47" s="28" customFormat="1">
      <c r="A16" s="51" t="s">
        <v>114</v>
      </c>
      <c r="B16" s="206" t="s">
        <v>5533</v>
      </c>
      <c r="C16" t="s">
        <v>583</v>
      </c>
      <c r="D16" s="31">
        <v>1048</v>
      </c>
      <c r="E16" s="205" t="s">
        <v>5576</v>
      </c>
      <c r="F16" s="20" t="str">
        <f t="shared" si="0"/>
        <v/>
      </c>
      <c r="G16" s="19">
        <f t="shared" si="1"/>
        <v>1</v>
      </c>
      <c r="H16" s="19" t="str">
        <f t="shared" si="2"/>
        <v/>
      </c>
      <c r="I16" s="19" t="str">
        <f t="shared" si="3"/>
        <v/>
      </c>
      <c r="J16" s="189">
        <f t="shared" si="4"/>
        <v>1</v>
      </c>
      <c r="K16" s="147" t="str">
        <f t="shared" si="5"/>
        <v>Gi/o</v>
      </c>
      <c r="L16" s="20">
        <f t="shared" si="6"/>
        <v>0</v>
      </c>
      <c r="M16" s="19">
        <f t="shared" si="7"/>
        <v>1</v>
      </c>
      <c r="N16" s="19">
        <f t="shared" si="8"/>
        <v>0</v>
      </c>
      <c r="O16" s="19">
        <f t="shared" si="9"/>
        <v>0</v>
      </c>
      <c r="P16" s="20">
        <f t="shared" si="10"/>
        <v>0</v>
      </c>
      <c r="Q16" s="19">
        <f t="shared" si="11"/>
        <v>100</v>
      </c>
      <c r="R16" s="19">
        <f t="shared" si="12"/>
        <v>0</v>
      </c>
      <c r="S16" s="19">
        <f t="shared" si="13"/>
        <v>0</v>
      </c>
      <c r="T16" s="315">
        <f t="shared" si="14"/>
        <v>0</v>
      </c>
      <c r="U16" s="316">
        <f t="shared" si="15"/>
        <v>0.12450000000000007</v>
      </c>
      <c r="V16" s="316">
        <f t="shared" si="16"/>
        <v>0</v>
      </c>
      <c r="W16" s="316">
        <f t="shared" si="17"/>
        <v>0</v>
      </c>
      <c r="X16" s="147" t="str">
        <f t="shared" si="18"/>
        <v>Gi1</v>
      </c>
      <c r="Y16" s="32">
        <f t="shared" si="19"/>
        <v>0</v>
      </c>
      <c r="Z16" s="31">
        <f t="shared" si="20"/>
        <v>100</v>
      </c>
      <c r="AA16" s="31">
        <f t="shared" si="21"/>
        <v>0</v>
      </c>
      <c r="AB16" s="31"/>
      <c r="AC16" s="31">
        <f t="shared" si="22"/>
        <v>0</v>
      </c>
      <c r="AD16" s="31"/>
      <c r="AE16" s="308">
        <f t="shared" si="23"/>
        <v>0</v>
      </c>
      <c r="AF16" s="309">
        <f t="shared" si="24"/>
        <v>0.12450000000000007</v>
      </c>
      <c r="AG16" s="309">
        <f t="shared" si="25"/>
        <v>0</v>
      </c>
      <c r="AH16" s="309"/>
      <c r="AI16" s="309">
        <f t="shared" si="26"/>
        <v>0</v>
      </c>
      <c r="AJ16" s="309"/>
      <c r="AK16" s="95"/>
      <c r="AL16" s="295">
        <v>-2.3333333333333357E-3</v>
      </c>
      <c r="AM16" s="295">
        <v>0.12450000000000007</v>
      </c>
      <c r="AN16" s="295">
        <v>6.666666666666674E-4</v>
      </c>
      <c r="AO16" s="295"/>
      <c r="AP16" s="295">
        <v>-2.6666666666666692E-3</v>
      </c>
      <c r="AQ16" s="295"/>
      <c r="AR16" s="295"/>
      <c r="AS16" s="208" t="s">
        <v>114</v>
      </c>
      <c r="AT16" s="219" t="s">
        <v>5450</v>
      </c>
    </row>
    <row r="17" spans="1:47" s="28" customFormat="1">
      <c r="A17" s="51" t="s">
        <v>115</v>
      </c>
      <c r="B17" s="206" t="s">
        <v>5533</v>
      </c>
      <c r="C17" t="s">
        <v>583</v>
      </c>
      <c r="D17" s="31">
        <v>1048</v>
      </c>
      <c r="E17" s="205" t="s">
        <v>5576</v>
      </c>
      <c r="F17" s="20" t="str">
        <f t="shared" si="0"/>
        <v/>
      </c>
      <c r="G17" s="19">
        <f t="shared" si="1"/>
        <v>1</v>
      </c>
      <c r="H17" s="19" t="str">
        <f t="shared" si="2"/>
        <v/>
      </c>
      <c r="I17" s="19" t="str">
        <f t="shared" si="3"/>
        <v/>
      </c>
      <c r="J17" s="189">
        <f t="shared" si="4"/>
        <v>1</v>
      </c>
      <c r="K17" s="147" t="str">
        <f t="shared" si="5"/>
        <v>Gi/o</v>
      </c>
      <c r="L17" s="20">
        <f t="shared" si="6"/>
        <v>0</v>
      </c>
      <c r="M17" s="19">
        <f t="shared" si="7"/>
        <v>1</v>
      </c>
      <c r="N17" s="19">
        <f t="shared" si="8"/>
        <v>0</v>
      </c>
      <c r="O17" s="19">
        <f t="shared" si="9"/>
        <v>0</v>
      </c>
      <c r="P17" s="20">
        <f t="shared" si="10"/>
        <v>0</v>
      </c>
      <c r="Q17" s="19">
        <f t="shared" si="11"/>
        <v>100</v>
      </c>
      <c r="R17" s="19">
        <f t="shared" si="12"/>
        <v>0</v>
      </c>
      <c r="S17" s="19">
        <f t="shared" si="13"/>
        <v>0</v>
      </c>
      <c r="T17" s="315">
        <f t="shared" si="14"/>
        <v>0</v>
      </c>
      <c r="U17" s="316">
        <f t="shared" si="15"/>
        <v>8.7999999999999981E-2</v>
      </c>
      <c r="V17" s="316">
        <f t="shared" si="16"/>
        <v>0</v>
      </c>
      <c r="W17" s="316">
        <f t="shared" si="17"/>
        <v>0</v>
      </c>
      <c r="X17" s="147" t="str">
        <f t="shared" si="18"/>
        <v>Gi1</v>
      </c>
      <c r="Y17" s="32">
        <f t="shared" si="19"/>
        <v>0</v>
      </c>
      <c r="Z17" s="31">
        <f t="shared" si="20"/>
        <v>100</v>
      </c>
      <c r="AA17" s="31">
        <f t="shared" si="21"/>
        <v>0</v>
      </c>
      <c r="AB17" s="31"/>
      <c r="AC17" s="31">
        <f t="shared" si="22"/>
        <v>0</v>
      </c>
      <c r="AD17" s="31"/>
      <c r="AE17" s="308">
        <f t="shared" si="23"/>
        <v>0</v>
      </c>
      <c r="AF17" s="309">
        <f t="shared" si="24"/>
        <v>8.7999999999999981E-2</v>
      </c>
      <c r="AG17" s="309">
        <f t="shared" si="25"/>
        <v>0</v>
      </c>
      <c r="AH17" s="309"/>
      <c r="AI17" s="309">
        <f t="shared" si="26"/>
        <v>0</v>
      </c>
      <c r="AJ17" s="309"/>
      <c r="AK17" s="95"/>
      <c r="AL17" s="295">
        <v>-7.8333333333333397E-3</v>
      </c>
      <c r="AM17" s="295">
        <v>8.7999999999999981E-2</v>
      </c>
      <c r="AN17" s="295">
        <v>-5.6666666666666714E-3</v>
      </c>
      <c r="AO17" s="295"/>
      <c r="AP17" s="295">
        <v>-9.333333333333341E-3</v>
      </c>
      <c r="AQ17" s="295"/>
      <c r="AR17" s="295"/>
      <c r="AS17" s="208" t="s">
        <v>115</v>
      </c>
      <c r="AT17" s="219" t="s">
        <v>5450</v>
      </c>
    </row>
    <row r="18" spans="1:47" s="28" customFormat="1">
      <c r="A18" s="51" t="s">
        <v>90</v>
      </c>
      <c r="B18" s="206" t="s">
        <v>5531</v>
      </c>
      <c r="C18" t="s">
        <v>583</v>
      </c>
      <c r="D18" s="31">
        <v>2919</v>
      </c>
      <c r="E18" s="205" t="s">
        <v>5576</v>
      </c>
      <c r="F18" s="20" t="str">
        <f t="shared" si="0"/>
        <v/>
      </c>
      <c r="G18" s="19" t="str">
        <f t="shared" si="1"/>
        <v/>
      </c>
      <c r="H18" s="19" t="str">
        <f t="shared" si="2"/>
        <v/>
      </c>
      <c r="I18" s="19">
        <f t="shared" si="3"/>
        <v>1</v>
      </c>
      <c r="J18" s="189">
        <f t="shared" si="4"/>
        <v>1</v>
      </c>
      <c r="K18" s="147" t="str">
        <f t="shared" si="5"/>
        <v>G12/13</v>
      </c>
      <c r="L18" s="20">
        <f t="shared" si="6"/>
        <v>0</v>
      </c>
      <c r="M18" s="19">
        <f t="shared" si="7"/>
        <v>0</v>
      </c>
      <c r="N18" s="19">
        <f t="shared" si="8"/>
        <v>0</v>
      </c>
      <c r="O18" s="19">
        <f t="shared" si="9"/>
        <v>1</v>
      </c>
      <c r="P18" s="20">
        <f t="shared" si="10"/>
        <v>0</v>
      </c>
      <c r="Q18" s="19">
        <f t="shared" si="11"/>
        <v>0</v>
      </c>
      <c r="R18" s="19">
        <f t="shared" si="12"/>
        <v>0</v>
      </c>
      <c r="S18" s="19">
        <f t="shared" si="13"/>
        <v>100</v>
      </c>
      <c r="T18" s="315">
        <f t="shared" si="14"/>
        <v>0</v>
      </c>
      <c r="U18" s="316">
        <f t="shared" si="15"/>
        <v>0</v>
      </c>
      <c r="V18" s="316">
        <f t="shared" si="16"/>
        <v>0</v>
      </c>
      <c r="W18" s="316">
        <f t="shared" si="17"/>
        <v>1.7200000000000024E-2</v>
      </c>
      <c r="X18" s="147" t="str">
        <f t="shared" si="18"/>
        <v>G12</v>
      </c>
      <c r="Y18" s="32">
        <f t="shared" si="19"/>
        <v>0</v>
      </c>
      <c r="Z18" s="31">
        <f t="shared" si="20"/>
        <v>0</v>
      </c>
      <c r="AA18" s="31">
        <f t="shared" si="21"/>
        <v>0</v>
      </c>
      <c r="AB18" s="31"/>
      <c r="AC18" s="31">
        <f t="shared" si="22"/>
        <v>100</v>
      </c>
      <c r="AD18" s="31"/>
      <c r="AE18" s="308">
        <f t="shared" si="23"/>
        <v>0</v>
      </c>
      <c r="AF18" s="309">
        <f t="shared" si="24"/>
        <v>0</v>
      </c>
      <c r="AG18" s="309">
        <f t="shared" si="25"/>
        <v>0</v>
      </c>
      <c r="AH18" s="309"/>
      <c r="AI18" s="309">
        <f t="shared" si="26"/>
        <v>1.7200000000000024E-2</v>
      </c>
      <c r="AJ18" s="309"/>
      <c r="AK18" s="95"/>
      <c r="AL18" s="295">
        <v>-6.000000000000006E-4</v>
      </c>
      <c r="AM18" s="295">
        <v>3.2000000000000145E-3</v>
      </c>
      <c r="AN18" s="295">
        <v>-1.3999999999999902E-3</v>
      </c>
      <c r="AO18" s="295"/>
      <c r="AP18" s="295">
        <v>1.7200000000000024E-2</v>
      </c>
      <c r="AQ18" s="295"/>
      <c r="AR18" s="295"/>
      <c r="AS18" s="208" t="s">
        <v>90</v>
      </c>
      <c r="AT18" s="219" t="s">
        <v>5538</v>
      </c>
    </row>
    <row r="19" spans="1:47" s="28" customFormat="1">
      <c r="A19" s="51" t="s">
        <v>3522</v>
      </c>
      <c r="B19" s="206" t="s">
        <v>5532</v>
      </c>
      <c r="C19" t="s">
        <v>583</v>
      </c>
      <c r="D19" s="25">
        <v>2932</v>
      </c>
      <c r="E19" s="205" t="s">
        <v>5575</v>
      </c>
      <c r="F19" s="20" t="str">
        <f t="shared" si="0"/>
        <v/>
      </c>
      <c r="G19" s="19">
        <f t="shared" si="1"/>
        <v>1</v>
      </c>
      <c r="H19" s="19" t="str">
        <f t="shared" si="2"/>
        <v/>
      </c>
      <c r="I19" s="19" t="str">
        <f t="shared" si="3"/>
        <v/>
      </c>
      <c r="J19" s="189">
        <f t="shared" si="4"/>
        <v>1</v>
      </c>
      <c r="K19" s="147" t="str">
        <f t="shared" si="5"/>
        <v>Gi/o</v>
      </c>
      <c r="L19" s="20">
        <f t="shared" si="6"/>
        <v>0</v>
      </c>
      <c r="M19" s="19">
        <f t="shared" si="7"/>
        <v>1</v>
      </c>
      <c r="N19" s="19">
        <f t="shared" si="8"/>
        <v>0</v>
      </c>
      <c r="O19" s="19">
        <f t="shared" si="9"/>
        <v>0</v>
      </c>
      <c r="P19" s="20">
        <f t="shared" si="10"/>
        <v>0</v>
      </c>
      <c r="Q19" s="19">
        <f t="shared" si="11"/>
        <v>100</v>
      </c>
      <c r="R19" s="19">
        <f t="shared" si="12"/>
        <v>0</v>
      </c>
      <c r="S19" s="19">
        <f t="shared" si="13"/>
        <v>0</v>
      </c>
      <c r="T19" s="315">
        <f t="shared" si="14"/>
        <v>0</v>
      </c>
      <c r="U19" s="316">
        <f t="shared" si="15"/>
        <v>4.675E-2</v>
      </c>
      <c r="V19" s="316">
        <f t="shared" si="16"/>
        <v>0</v>
      </c>
      <c r="W19" s="316">
        <f t="shared" si="17"/>
        <v>0</v>
      </c>
      <c r="X19" s="147" t="str">
        <f t="shared" si="18"/>
        <v>Gi1</v>
      </c>
      <c r="Y19" s="32">
        <f t="shared" si="19"/>
        <v>0</v>
      </c>
      <c r="Z19" s="31">
        <f t="shared" si="20"/>
        <v>100</v>
      </c>
      <c r="AA19" s="31">
        <f t="shared" si="21"/>
        <v>0</v>
      </c>
      <c r="AB19" s="31"/>
      <c r="AC19" s="31">
        <f t="shared" si="22"/>
        <v>0</v>
      </c>
      <c r="AD19" s="31"/>
      <c r="AE19" s="308">
        <f t="shared" si="23"/>
        <v>0</v>
      </c>
      <c r="AF19" s="309">
        <f t="shared" si="24"/>
        <v>4.675E-2</v>
      </c>
      <c r="AG19" s="309">
        <f t="shared" si="25"/>
        <v>0</v>
      </c>
      <c r="AH19" s="309"/>
      <c r="AI19" s="309">
        <f t="shared" si="26"/>
        <v>0</v>
      </c>
      <c r="AJ19" s="309"/>
      <c r="AK19" s="95"/>
      <c r="AL19" s="295">
        <v>-3.7499999999999751E-4</v>
      </c>
      <c r="AM19" s="295">
        <v>4.675E-2</v>
      </c>
      <c r="AN19" s="295">
        <v>-3.7499999999999751E-4</v>
      </c>
      <c r="AO19" s="295"/>
      <c r="AP19" s="295">
        <v>-2.2499999999999994E-3</v>
      </c>
      <c r="AQ19" s="295"/>
      <c r="AR19" s="295"/>
      <c r="AS19" s="208" t="s">
        <v>5572</v>
      </c>
      <c r="AT19" s="220" t="s">
        <v>1581</v>
      </c>
      <c r="AU19" s="23"/>
    </row>
    <row r="20" spans="1:47" s="28" customFormat="1">
      <c r="A20" s="51" t="s">
        <v>140</v>
      </c>
      <c r="B20" s="206" t="s">
        <v>5532</v>
      </c>
      <c r="C20" t="s">
        <v>583</v>
      </c>
      <c r="D20" s="25">
        <v>1593</v>
      </c>
      <c r="E20" s="205" t="s">
        <v>5575</v>
      </c>
      <c r="F20" s="20" t="str">
        <f t="shared" si="0"/>
        <v/>
      </c>
      <c r="G20" s="19">
        <f t="shared" si="1"/>
        <v>1</v>
      </c>
      <c r="H20" s="19" t="str">
        <f t="shared" si="2"/>
        <v/>
      </c>
      <c r="I20" s="19" t="str">
        <f t="shared" si="3"/>
        <v/>
      </c>
      <c r="J20" s="189">
        <f t="shared" si="4"/>
        <v>1</v>
      </c>
      <c r="K20" s="147" t="str">
        <f t="shared" si="5"/>
        <v>Gi/o</v>
      </c>
      <c r="L20" s="20">
        <f t="shared" si="6"/>
        <v>0</v>
      </c>
      <c r="M20" s="19">
        <f t="shared" si="7"/>
        <v>1</v>
      </c>
      <c r="N20" s="19">
        <f t="shared" si="8"/>
        <v>0</v>
      </c>
      <c r="O20" s="19">
        <f t="shared" si="9"/>
        <v>0</v>
      </c>
      <c r="P20" s="20">
        <f t="shared" si="10"/>
        <v>0</v>
      </c>
      <c r="Q20" s="19">
        <f t="shared" si="11"/>
        <v>100</v>
      </c>
      <c r="R20" s="19">
        <f t="shared" si="12"/>
        <v>0</v>
      </c>
      <c r="S20" s="19">
        <f t="shared" si="13"/>
        <v>0</v>
      </c>
      <c r="T20" s="315">
        <f t="shared" si="14"/>
        <v>0</v>
      </c>
      <c r="U20" s="316">
        <f t="shared" si="15"/>
        <v>5.4249999999999993E-2</v>
      </c>
      <c r="V20" s="316">
        <f t="shared" si="16"/>
        <v>0</v>
      </c>
      <c r="W20" s="316">
        <f t="shared" si="17"/>
        <v>0</v>
      </c>
      <c r="X20" s="147" t="str">
        <f t="shared" si="18"/>
        <v>Gi1</v>
      </c>
      <c r="Y20" s="32">
        <f t="shared" si="19"/>
        <v>0</v>
      </c>
      <c r="Z20" s="31">
        <f t="shared" si="20"/>
        <v>100</v>
      </c>
      <c r="AA20" s="31">
        <f t="shared" si="21"/>
        <v>0</v>
      </c>
      <c r="AB20" s="31"/>
      <c r="AC20" s="31">
        <f t="shared" si="22"/>
        <v>0</v>
      </c>
      <c r="AD20" s="31"/>
      <c r="AE20" s="308">
        <f t="shared" si="23"/>
        <v>0</v>
      </c>
      <c r="AF20" s="309">
        <f t="shared" si="24"/>
        <v>5.4249999999999993E-2</v>
      </c>
      <c r="AG20" s="309">
        <f t="shared" si="25"/>
        <v>0</v>
      </c>
      <c r="AH20" s="309"/>
      <c r="AI20" s="309">
        <f t="shared" si="26"/>
        <v>0</v>
      </c>
      <c r="AJ20" s="309"/>
      <c r="AK20" s="95"/>
      <c r="AL20" s="295">
        <v>-7.4999999999999893E-4</v>
      </c>
      <c r="AM20" s="295">
        <v>5.4249999999999993E-2</v>
      </c>
      <c r="AN20" s="295">
        <v>3.7500000000000207E-4</v>
      </c>
      <c r="AO20" s="295"/>
      <c r="AP20" s="295">
        <v>-1.1250000000000027E-3</v>
      </c>
      <c r="AQ20" s="295"/>
      <c r="AR20" s="295"/>
      <c r="AS20" s="208" t="s">
        <v>5573</v>
      </c>
      <c r="AT20" s="220" t="s">
        <v>5540</v>
      </c>
      <c r="AU20" s="23"/>
    </row>
    <row r="21" spans="1:47" s="28" customFormat="1">
      <c r="A21" s="51" t="s">
        <v>141</v>
      </c>
      <c r="B21" s="206" t="s">
        <v>5532</v>
      </c>
      <c r="C21" t="s">
        <v>583</v>
      </c>
      <c r="D21" s="25">
        <v>1588</v>
      </c>
      <c r="E21" s="205" t="s">
        <v>5575</v>
      </c>
      <c r="F21" s="20" t="str">
        <f t="shared" si="0"/>
        <v/>
      </c>
      <c r="G21" s="19">
        <f t="shared" si="1"/>
        <v>1</v>
      </c>
      <c r="H21" s="19" t="str">
        <f t="shared" si="2"/>
        <v/>
      </c>
      <c r="I21" s="19" t="str">
        <f t="shared" si="3"/>
        <v/>
      </c>
      <c r="J21" s="189">
        <f t="shared" si="4"/>
        <v>1</v>
      </c>
      <c r="K21" s="147" t="str">
        <f t="shared" si="5"/>
        <v>Gi/o</v>
      </c>
      <c r="L21" s="20">
        <f t="shared" si="6"/>
        <v>0</v>
      </c>
      <c r="M21" s="19">
        <f t="shared" si="7"/>
        <v>1</v>
      </c>
      <c r="N21" s="19">
        <f t="shared" si="8"/>
        <v>0</v>
      </c>
      <c r="O21" s="19">
        <f t="shared" si="9"/>
        <v>0</v>
      </c>
      <c r="P21" s="20">
        <f t="shared" si="10"/>
        <v>0</v>
      </c>
      <c r="Q21" s="19">
        <f t="shared" si="11"/>
        <v>100</v>
      </c>
      <c r="R21" s="19">
        <f t="shared" si="12"/>
        <v>0</v>
      </c>
      <c r="S21" s="19">
        <f t="shared" si="13"/>
        <v>0</v>
      </c>
      <c r="T21" s="315">
        <f t="shared" si="14"/>
        <v>0</v>
      </c>
      <c r="U21" s="316">
        <f t="shared" si="15"/>
        <v>6.0000000000000012E-2</v>
      </c>
      <c r="V21" s="316">
        <f t="shared" si="16"/>
        <v>0</v>
      </c>
      <c r="W21" s="316">
        <f t="shared" si="17"/>
        <v>0</v>
      </c>
      <c r="X21" s="147" t="str">
        <f t="shared" si="18"/>
        <v>Gi1</v>
      </c>
      <c r="Y21" s="32">
        <f t="shared" si="19"/>
        <v>0</v>
      </c>
      <c r="Z21" s="31">
        <f t="shared" si="20"/>
        <v>100</v>
      </c>
      <c r="AA21" s="31">
        <f t="shared" si="21"/>
        <v>0</v>
      </c>
      <c r="AB21" s="31"/>
      <c r="AC21" s="31">
        <f t="shared" si="22"/>
        <v>0</v>
      </c>
      <c r="AD21" s="31"/>
      <c r="AE21" s="308">
        <f t="shared" si="23"/>
        <v>0</v>
      </c>
      <c r="AF21" s="309">
        <f t="shared" si="24"/>
        <v>6.0000000000000012E-2</v>
      </c>
      <c r="AG21" s="309">
        <f t="shared" si="25"/>
        <v>0</v>
      </c>
      <c r="AH21" s="309"/>
      <c r="AI21" s="309">
        <f t="shared" si="26"/>
        <v>0</v>
      </c>
      <c r="AJ21" s="309"/>
      <c r="AK21" s="95"/>
      <c r="AL21" s="295">
        <v>1.5000000000000022E-3</v>
      </c>
      <c r="AM21" s="295">
        <v>6.0000000000000012E-2</v>
      </c>
      <c r="AN21" s="295">
        <v>1.8750000000000025E-3</v>
      </c>
      <c r="AO21" s="295"/>
      <c r="AP21" s="295">
        <v>1.6250000000000023E-3</v>
      </c>
      <c r="AQ21" s="295"/>
      <c r="AR21" s="295"/>
      <c r="AS21" s="208" t="s">
        <v>5574</v>
      </c>
      <c r="AT21" s="220" t="s">
        <v>5541</v>
      </c>
      <c r="AU21" s="23"/>
    </row>
    <row r="22" spans="1:47" s="28" customFormat="1">
      <c r="A22" s="51" t="s">
        <v>135</v>
      </c>
      <c r="B22" s="206" t="s">
        <v>5531</v>
      </c>
      <c r="C22" t="s">
        <v>583</v>
      </c>
      <c r="D22" s="31">
        <v>1204</v>
      </c>
      <c r="E22" s="205" t="s">
        <v>5575</v>
      </c>
      <c r="F22" s="20">
        <f t="shared" si="0"/>
        <v>1</v>
      </c>
      <c r="G22" s="19">
        <f t="shared" si="1"/>
        <v>1</v>
      </c>
      <c r="H22" s="19">
        <f t="shared" si="2"/>
        <v>1</v>
      </c>
      <c r="I22" s="19" t="str">
        <f t="shared" si="3"/>
        <v/>
      </c>
      <c r="J22" s="189">
        <f t="shared" si="4"/>
        <v>3</v>
      </c>
      <c r="K22" s="147" t="str">
        <f t="shared" si="5"/>
        <v>Gq/11</v>
      </c>
      <c r="L22" s="20">
        <f t="shared" si="6"/>
        <v>3</v>
      </c>
      <c r="M22" s="19">
        <f t="shared" si="7"/>
        <v>2</v>
      </c>
      <c r="N22" s="19">
        <f t="shared" si="8"/>
        <v>1</v>
      </c>
      <c r="O22" s="19">
        <f t="shared" si="9"/>
        <v>0</v>
      </c>
      <c r="P22" s="20">
        <f t="shared" si="10"/>
        <v>28.482871125611766</v>
      </c>
      <c r="Q22" s="19">
        <f t="shared" si="11"/>
        <v>96.084828711256023</v>
      </c>
      <c r="R22" s="19">
        <f t="shared" si="12"/>
        <v>100</v>
      </c>
      <c r="S22" s="19">
        <f t="shared" si="13"/>
        <v>0</v>
      </c>
      <c r="T22" s="315">
        <f t="shared" si="14"/>
        <v>2.1825000000000018E-2</v>
      </c>
      <c r="U22" s="316">
        <f t="shared" si="15"/>
        <v>7.362499999999994E-2</v>
      </c>
      <c r="V22" s="316">
        <f t="shared" si="16"/>
        <v>7.6625000000000013E-2</v>
      </c>
      <c r="W22" s="316">
        <f t="shared" si="17"/>
        <v>0</v>
      </c>
      <c r="X22" s="147" t="str">
        <f t="shared" si="18"/>
        <v>Gq</v>
      </c>
      <c r="Y22" s="32">
        <f t="shared" si="19"/>
        <v>28.482871125611766</v>
      </c>
      <c r="Z22" s="31">
        <f t="shared" si="20"/>
        <v>96.084828711256023</v>
      </c>
      <c r="AA22" s="31">
        <f t="shared" si="21"/>
        <v>100</v>
      </c>
      <c r="AB22" s="31"/>
      <c r="AC22" s="31">
        <f t="shared" si="22"/>
        <v>0</v>
      </c>
      <c r="AD22" s="31"/>
      <c r="AE22" s="308">
        <f t="shared" si="23"/>
        <v>2.1825000000000018E-2</v>
      </c>
      <c r="AF22" s="309">
        <f t="shared" si="24"/>
        <v>7.362499999999994E-2</v>
      </c>
      <c r="AG22" s="309">
        <f t="shared" si="25"/>
        <v>7.6625000000000013E-2</v>
      </c>
      <c r="AH22" s="309"/>
      <c r="AI22" s="309">
        <f t="shared" si="26"/>
        <v>0</v>
      </c>
      <c r="AJ22" s="309"/>
      <c r="AK22" s="95"/>
      <c r="AL22" s="295">
        <v>2.1825000000000018E-2</v>
      </c>
      <c r="AM22" s="295">
        <v>7.362499999999994E-2</v>
      </c>
      <c r="AN22" s="295">
        <v>7.6625000000000013E-2</v>
      </c>
      <c r="AO22" s="295"/>
      <c r="AP22" s="295">
        <v>4.2499999999999899E-3</v>
      </c>
      <c r="AQ22" s="295"/>
      <c r="AR22" s="295"/>
      <c r="AS22" s="208" t="s">
        <v>135</v>
      </c>
      <c r="AT22" s="219" t="s">
        <v>1599</v>
      </c>
    </row>
    <row r="23" spans="1:47" s="28" customFormat="1">
      <c r="A23" s="51" t="s">
        <v>137</v>
      </c>
      <c r="B23" s="206" t="s">
        <v>5531</v>
      </c>
      <c r="C23" t="s">
        <v>583</v>
      </c>
      <c r="D23" s="31">
        <v>4025</v>
      </c>
      <c r="E23" s="205" t="s">
        <v>5576</v>
      </c>
      <c r="F23" s="20">
        <f t="shared" si="0"/>
        <v>1</v>
      </c>
      <c r="G23" s="19">
        <f t="shared" si="1"/>
        <v>1</v>
      </c>
      <c r="H23" s="19">
        <f t="shared" si="2"/>
        <v>1</v>
      </c>
      <c r="I23" s="19" t="str">
        <f t="shared" si="3"/>
        <v/>
      </c>
      <c r="J23" s="189">
        <f t="shared" si="4"/>
        <v>3</v>
      </c>
      <c r="K23" s="147" t="str">
        <f t="shared" si="5"/>
        <v>Gs</v>
      </c>
      <c r="L23" s="20">
        <f t="shared" si="6"/>
        <v>1</v>
      </c>
      <c r="M23" s="19">
        <f t="shared" si="7"/>
        <v>2</v>
      </c>
      <c r="N23" s="19">
        <f t="shared" si="8"/>
        <v>3</v>
      </c>
      <c r="O23" s="19">
        <f t="shared" si="9"/>
        <v>0</v>
      </c>
      <c r="P23" s="20">
        <f t="shared" si="10"/>
        <v>100</v>
      </c>
      <c r="Q23" s="19">
        <f t="shared" si="11"/>
        <v>24.329792615073323</v>
      </c>
      <c r="R23" s="19">
        <f t="shared" si="12"/>
        <v>19.878603945371808</v>
      </c>
      <c r="S23" s="19">
        <f t="shared" si="13"/>
        <v>0</v>
      </c>
      <c r="T23" s="315">
        <f t="shared" si="14"/>
        <v>8.2374999999999962E-2</v>
      </c>
      <c r="U23" s="316">
        <f t="shared" si="15"/>
        <v>2.0041666666666642E-2</v>
      </c>
      <c r="V23" s="316">
        <f t="shared" si="16"/>
        <v>1.6375000000000018E-2</v>
      </c>
      <c r="W23" s="316">
        <f t="shared" si="17"/>
        <v>0</v>
      </c>
      <c r="X23" s="147" t="str">
        <f t="shared" si="18"/>
        <v>GsL</v>
      </c>
      <c r="Y23" s="32">
        <f t="shared" si="19"/>
        <v>100</v>
      </c>
      <c r="Z23" s="31">
        <f t="shared" si="20"/>
        <v>24.329792615073323</v>
      </c>
      <c r="AA23" s="31">
        <f t="shared" si="21"/>
        <v>19.878603945371808</v>
      </c>
      <c r="AB23" s="31"/>
      <c r="AC23" s="31">
        <f t="shared" si="22"/>
        <v>0</v>
      </c>
      <c r="AD23" s="31"/>
      <c r="AE23" s="308">
        <f t="shared" si="23"/>
        <v>8.2374999999999962E-2</v>
      </c>
      <c r="AF23" s="309">
        <f t="shared" si="24"/>
        <v>2.0041666666666642E-2</v>
      </c>
      <c r="AG23" s="309">
        <f t="shared" si="25"/>
        <v>1.6375000000000018E-2</v>
      </c>
      <c r="AH23" s="309"/>
      <c r="AI23" s="309">
        <f t="shared" si="26"/>
        <v>0</v>
      </c>
      <c r="AJ23" s="309"/>
      <c r="AK23" s="95"/>
      <c r="AL23" s="295">
        <v>8.2374999999999962E-2</v>
      </c>
      <c r="AM23" s="295">
        <v>2.0041666666666642E-2</v>
      </c>
      <c r="AN23" s="295">
        <v>1.6375000000000018E-2</v>
      </c>
      <c r="AO23" s="295"/>
      <c r="AP23" s="295">
        <v>4.0000000000000036E-3</v>
      </c>
      <c r="AQ23" s="295"/>
      <c r="AR23" s="295"/>
      <c r="AS23" s="208" t="s">
        <v>137</v>
      </c>
      <c r="AT23" s="219" t="s">
        <v>5535</v>
      </c>
    </row>
    <row r="24" spans="1:47">
      <c r="A24" s="51" t="s">
        <v>183</v>
      </c>
      <c r="B24" s="206" t="s">
        <v>5531</v>
      </c>
      <c r="C24" t="s">
        <v>583</v>
      </c>
      <c r="D24" s="31">
        <v>1647</v>
      </c>
      <c r="E24" s="205" t="s">
        <v>5576</v>
      </c>
      <c r="F24" s="20" t="str">
        <f t="shared" si="0"/>
        <v/>
      </c>
      <c r="G24" s="19">
        <f t="shared" si="1"/>
        <v>1</v>
      </c>
      <c r="H24" s="19" t="str">
        <f t="shared" si="2"/>
        <v/>
      </c>
      <c r="I24" s="19" t="str">
        <f t="shared" si="3"/>
        <v/>
      </c>
      <c r="J24" s="189">
        <f t="shared" si="4"/>
        <v>1</v>
      </c>
      <c r="K24" s="147" t="str">
        <f t="shared" si="5"/>
        <v>Gi/o</v>
      </c>
      <c r="L24" s="20">
        <f t="shared" si="6"/>
        <v>0</v>
      </c>
      <c r="M24" s="19">
        <f t="shared" si="7"/>
        <v>1</v>
      </c>
      <c r="N24" s="19">
        <f t="shared" si="8"/>
        <v>0</v>
      </c>
      <c r="O24" s="19">
        <f t="shared" si="9"/>
        <v>0</v>
      </c>
      <c r="P24" s="20">
        <f t="shared" si="10"/>
        <v>0</v>
      </c>
      <c r="Q24" s="19">
        <f t="shared" si="11"/>
        <v>100</v>
      </c>
      <c r="R24" s="19">
        <f t="shared" si="12"/>
        <v>0</v>
      </c>
      <c r="S24" s="19">
        <f t="shared" si="13"/>
        <v>0</v>
      </c>
      <c r="T24" s="315">
        <f t="shared" si="14"/>
        <v>0</v>
      </c>
      <c r="U24" s="316">
        <f t="shared" si="15"/>
        <v>5.2674999999999979E-2</v>
      </c>
      <c r="V24" s="316">
        <f t="shared" si="16"/>
        <v>0</v>
      </c>
      <c r="W24" s="316">
        <f t="shared" si="17"/>
        <v>0</v>
      </c>
      <c r="X24" s="147" t="str">
        <f t="shared" si="18"/>
        <v>Gi1</v>
      </c>
      <c r="Y24" s="32">
        <f t="shared" si="19"/>
        <v>0</v>
      </c>
      <c r="Z24" s="31">
        <f t="shared" si="20"/>
        <v>100</v>
      </c>
      <c r="AA24" s="31">
        <f t="shared" si="21"/>
        <v>0</v>
      </c>
      <c r="AB24" s="31"/>
      <c r="AC24" s="31">
        <f t="shared" si="22"/>
        <v>0</v>
      </c>
      <c r="AD24" s="31"/>
      <c r="AE24" s="308">
        <f t="shared" si="23"/>
        <v>0</v>
      </c>
      <c r="AF24" s="309">
        <f t="shared" si="24"/>
        <v>5.2674999999999979E-2</v>
      </c>
      <c r="AG24" s="309">
        <f t="shared" si="25"/>
        <v>0</v>
      </c>
      <c r="AI24" s="309">
        <f t="shared" si="26"/>
        <v>0</v>
      </c>
      <c r="AL24" s="295">
        <v>1.3750000000000012E-3</v>
      </c>
      <c r="AM24" s="295">
        <v>5.2674999999999979E-2</v>
      </c>
      <c r="AN24" s="295">
        <v>1.7499999999999877E-3</v>
      </c>
      <c r="AO24" s="295"/>
      <c r="AP24" s="295">
        <v>1.3750000000000151E-3</v>
      </c>
      <c r="AQ24" s="295"/>
      <c r="AR24" s="295"/>
      <c r="AS24" s="208" t="s">
        <v>3126</v>
      </c>
      <c r="AT24" s="219" t="s">
        <v>2714</v>
      </c>
      <c r="AU24" s="28"/>
    </row>
    <row r="25" spans="1:47">
      <c r="A25" s="51" t="s">
        <v>227</v>
      </c>
      <c r="B25" s="206" t="s">
        <v>5532</v>
      </c>
      <c r="C25" t="s">
        <v>583</v>
      </c>
      <c r="D25" s="25">
        <v>2174</v>
      </c>
      <c r="E25" s="205" t="s">
        <v>5575</v>
      </c>
      <c r="F25" s="20" t="str">
        <f t="shared" si="0"/>
        <v/>
      </c>
      <c r="G25" s="19">
        <f t="shared" si="1"/>
        <v>1</v>
      </c>
      <c r="H25" s="19">
        <f t="shared" si="2"/>
        <v>1</v>
      </c>
      <c r="I25" s="19" t="str">
        <f t="shared" si="3"/>
        <v/>
      </c>
      <c r="J25" s="189">
        <f t="shared" si="4"/>
        <v>2</v>
      </c>
      <c r="K25" s="147" t="str">
        <f t="shared" si="5"/>
        <v>Gq/11</v>
      </c>
      <c r="L25" s="20">
        <f t="shared" si="6"/>
        <v>0</v>
      </c>
      <c r="M25" s="19">
        <f t="shared" si="7"/>
        <v>2</v>
      </c>
      <c r="N25" s="19">
        <f t="shared" si="8"/>
        <v>1</v>
      </c>
      <c r="O25" s="19">
        <f t="shared" si="9"/>
        <v>0</v>
      </c>
      <c r="P25" s="20">
        <f t="shared" si="10"/>
        <v>0</v>
      </c>
      <c r="Q25" s="19">
        <f t="shared" si="11"/>
        <v>68.927304964539005</v>
      </c>
      <c r="R25" s="19">
        <f t="shared" si="12"/>
        <v>100</v>
      </c>
      <c r="S25" s="19">
        <f t="shared" si="13"/>
        <v>0</v>
      </c>
      <c r="T25" s="315">
        <f t="shared" si="14"/>
        <v>0</v>
      </c>
      <c r="U25" s="316">
        <f t="shared" si="15"/>
        <v>2.5916666666666671E-2</v>
      </c>
      <c r="V25" s="316">
        <f t="shared" si="16"/>
        <v>3.7600000000000008E-2</v>
      </c>
      <c r="W25" s="316">
        <f t="shared" si="17"/>
        <v>0</v>
      </c>
      <c r="X25" s="147" t="str">
        <f t="shared" si="18"/>
        <v>Gq</v>
      </c>
      <c r="Y25" s="32">
        <f t="shared" si="19"/>
        <v>0</v>
      </c>
      <c r="Z25" s="31">
        <f t="shared" si="20"/>
        <v>68.927304964539005</v>
      </c>
      <c r="AA25" s="31">
        <f t="shared" si="21"/>
        <v>100</v>
      </c>
      <c r="AB25" s="31"/>
      <c r="AC25" s="31">
        <f t="shared" si="22"/>
        <v>0</v>
      </c>
      <c r="AD25" s="31"/>
      <c r="AE25" s="308">
        <f t="shared" si="23"/>
        <v>0</v>
      </c>
      <c r="AF25" s="309">
        <f t="shared" si="24"/>
        <v>2.5916666666666671E-2</v>
      </c>
      <c r="AG25" s="309">
        <f t="shared" si="25"/>
        <v>3.7600000000000008E-2</v>
      </c>
      <c r="AI25" s="309">
        <f t="shared" si="26"/>
        <v>0</v>
      </c>
      <c r="AL25" s="295">
        <v>2.2500000000000016E-3</v>
      </c>
      <c r="AM25" s="295">
        <v>2.5916666666666671E-2</v>
      </c>
      <c r="AN25" s="295">
        <v>3.7600000000000008E-2</v>
      </c>
      <c r="AO25" s="295"/>
      <c r="AP25" s="295">
        <v>3.333333333333334E-3</v>
      </c>
      <c r="AQ25" s="295"/>
      <c r="AR25" s="295"/>
      <c r="AS25" s="208" t="s">
        <v>2548</v>
      </c>
      <c r="AT25" s="220" t="s">
        <v>1979</v>
      </c>
    </row>
    <row r="26" spans="1:47">
      <c r="A26" s="51" t="s">
        <v>100</v>
      </c>
      <c r="B26" s="206" t="s">
        <v>5531</v>
      </c>
      <c r="C26" t="s">
        <v>4</v>
      </c>
      <c r="D26" s="31">
        <v>139034458</v>
      </c>
      <c r="E26" s="205" t="s">
        <v>5575</v>
      </c>
      <c r="F26" s="20" t="str">
        <f t="shared" si="0"/>
        <v/>
      </c>
      <c r="G26" s="19">
        <f t="shared" si="1"/>
        <v>1</v>
      </c>
      <c r="H26" s="19" t="str">
        <f t="shared" si="2"/>
        <v/>
      </c>
      <c r="I26" s="19">
        <f t="shared" si="3"/>
        <v>1</v>
      </c>
      <c r="J26" s="189">
        <f t="shared" si="4"/>
        <v>2</v>
      </c>
      <c r="K26" s="147" t="str">
        <f t="shared" si="5"/>
        <v>G12/13</v>
      </c>
      <c r="L26" s="20">
        <f t="shared" si="6"/>
        <v>0</v>
      </c>
      <c r="M26" s="19">
        <f t="shared" si="7"/>
        <v>2</v>
      </c>
      <c r="N26" s="19">
        <f t="shared" si="8"/>
        <v>0</v>
      </c>
      <c r="O26" s="19">
        <f t="shared" si="9"/>
        <v>1</v>
      </c>
      <c r="P26" s="20">
        <f t="shared" si="10"/>
        <v>0</v>
      </c>
      <c r="Q26" s="19">
        <f t="shared" si="11"/>
        <v>98.198198198198298</v>
      </c>
      <c r="R26" s="19">
        <f t="shared" si="12"/>
        <v>0</v>
      </c>
      <c r="S26" s="19">
        <f t="shared" si="13"/>
        <v>100</v>
      </c>
      <c r="T26" s="315">
        <f t="shared" si="14"/>
        <v>0</v>
      </c>
      <c r="U26" s="316">
        <f t="shared" si="15"/>
        <v>2.7249999999999983E-2</v>
      </c>
      <c r="V26" s="316">
        <f t="shared" si="16"/>
        <v>0</v>
      </c>
      <c r="W26" s="316">
        <f t="shared" si="17"/>
        <v>2.7749999999999955E-2</v>
      </c>
      <c r="X26" s="147" t="str">
        <f t="shared" si="18"/>
        <v>G12</v>
      </c>
      <c r="Y26" s="32">
        <f t="shared" si="19"/>
        <v>0</v>
      </c>
      <c r="Z26" s="31">
        <f t="shared" si="20"/>
        <v>98.198198198198298</v>
      </c>
      <c r="AA26" s="31">
        <f t="shared" si="21"/>
        <v>0</v>
      </c>
      <c r="AB26" s="31"/>
      <c r="AC26" s="31">
        <f t="shared" si="22"/>
        <v>100</v>
      </c>
      <c r="AD26" s="31"/>
      <c r="AE26" s="308">
        <f t="shared" si="23"/>
        <v>0</v>
      </c>
      <c r="AF26" s="309">
        <f t="shared" si="24"/>
        <v>2.7249999999999983E-2</v>
      </c>
      <c r="AG26" s="309">
        <f t="shared" si="25"/>
        <v>0</v>
      </c>
      <c r="AI26" s="309">
        <f t="shared" si="26"/>
        <v>2.7749999999999955E-2</v>
      </c>
      <c r="AL26" s="295">
        <v>-2.6250000000000162E-3</v>
      </c>
      <c r="AM26" s="295">
        <v>2.7249999999999983E-2</v>
      </c>
      <c r="AN26" s="295">
        <v>1.2499999999998623E-4</v>
      </c>
      <c r="AO26" s="295"/>
      <c r="AP26" s="295">
        <v>2.7749999999999955E-2</v>
      </c>
      <c r="AQ26" s="295"/>
      <c r="AR26" s="295"/>
      <c r="AS26" s="208" t="s">
        <v>4231</v>
      </c>
      <c r="AT26" s="219" t="s">
        <v>5537</v>
      </c>
      <c r="AU26" s="28"/>
    </row>
    <row r="27" spans="1:47">
      <c r="A27" s="51" t="s">
        <v>209</v>
      </c>
      <c r="B27" s="206" t="s">
        <v>5533</v>
      </c>
      <c r="C27" t="s">
        <v>583</v>
      </c>
      <c r="D27" s="31">
        <v>1888</v>
      </c>
      <c r="E27" s="205" t="s">
        <v>5576</v>
      </c>
      <c r="F27" s="20" t="str">
        <f t="shared" si="0"/>
        <v/>
      </c>
      <c r="G27" s="19" t="str">
        <f t="shared" si="1"/>
        <v/>
      </c>
      <c r="H27" s="19">
        <f t="shared" si="2"/>
        <v>1</v>
      </c>
      <c r="I27" s="19">
        <f t="shared" si="3"/>
        <v>1</v>
      </c>
      <c r="J27" s="189">
        <f t="shared" si="4"/>
        <v>2</v>
      </c>
      <c r="K27" s="147" t="str">
        <f t="shared" si="5"/>
        <v>Gq/11</v>
      </c>
      <c r="L27" s="20">
        <f t="shared" si="6"/>
        <v>0</v>
      </c>
      <c r="M27" s="19">
        <f t="shared" si="7"/>
        <v>0</v>
      </c>
      <c r="N27" s="19">
        <f t="shared" si="8"/>
        <v>1</v>
      </c>
      <c r="O27" s="19">
        <f t="shared" si="9"/>
        <v>2</v>
      </c>
      <c r="P27" s="20">
        <f t="shared" si="10"/>
        <v>0</v>
      </c>
      <c r="Q27" s="19">
        <f t="shared" si="11"/>
        <v>0</v>
      </c>
      <c r="R27" s="19">
        <f t="shared" si="12"/>
        <v>100</v>
      </c>
      <c r="S27" s="19">
        <f t="shared" si="13"/>
        <v>42.957746478873133</v>
      </c>
      <c r="T27" s="315">
        <f t="shared" si="14"/>
        <v>0</v>
      </c>
      <c r="U27" s="316">
        <f t="shared" si="15"/>
        <v>0</v>
      </c>
      <c r="V27" s="316">
        <f t="shared" si="16"/>
        <v>2.3666666666666659E-2</v>
      </c>
      <c r="W27" s="316">
        <f t="shared" si="17"/>
        <v>1.0166666666666638E-2</v>
      </c>
      <c r="X27" s="147" t="str">
        <f t="shared" si="18"/>
        <v>Gq</v>
      </c>
      <c r="Y27" s="32">
        <f t="shared" si="19"/>
        <v>0</v>
      </c>
      <c r="Z27" s="31">
        <f t="shared" si="20"/>
        <v>0</v>
      </c>
      <c r="AA27" s="31">
        <f t="shared" si="21"/>
        <v>100</v>
      </c>
      <c r="AB27" s="31"/>
      <c r="AC27" s="31">
        <f t="shared" si="22"/>
        <v>42.957746478873133</v>
      </c>
      <c r="AD27" s="31"/>
      <c r="AE27" s="308">
        <f t="shared" si="23"/>
        <v>0</v>
      </c>
      <c r="AF27" s="309">
        <f t="shared" si="24"/>
        <v>0</v>
      </c>
      <c r="AG27" s="309">
        <f t="shared" si="25"/>
        <v>2.3666666666666659E-2</v>
      </c>
      <c r="AI27" s="309">
        <f t="shared" si="26"/>
        <v>1.0166666666666638E-2</v>
      </c>
      <c r="AL27" s="295">
        <v>1.0000000000000009E-3</v>
      </c>
      <c r="AM27" s="295">
        <v>7.5000000000000067E-4</v>
      </c>
      <c r="AN27" s="295">
        <v>2.3666666666666659E-2</v>
      </c>
      <c r="AO27" s="295"/>
      <c r="AP27" s="295">
        <v>1.0166666666666638E-2</v>
      </c>
      <c r="AQ27" s="295"/>
      <c r="AR27" s="295"/>
      <c r="AS27" s="208" t="s">
        <v>5571</v>
      </c>
      <c r="AT27" s="219" t="s">
        <v>567</v>
      </c>
      <c r="AU27" s="28"/>
    </row>
    <row r="28" spans="1:47">
      <c r="A28" s="51" t="s">
        <v>230</v>
      </c>
      <c r="B28" s="206" t="s">
        <v>5531</v>
      </c>
      <c r="C28" t="s">
        <v>583</v>
      </c>
      <c r="D28" s="31">
        <v>2168</v>
      </c>
      <c r="E28" s="205" t="s">
        <v>5575</v>
      </c>
      <c r="F28" s="20">
        <f t="shared" si="0"/>
        <v>1</v>
      </c>
      <c r="G28" s="19">
        <f t="shared" si="1"/>
        <v>1</v>
      </c>
      <c r="H28" s="19">
        <f t="shared" si="2"/>
        <v>1</v>
      </c>
      <c r="I28" s="19" t="str">
        <f t="shared" si="3"/>
        <v/>
      </c>
      <c r="J28" s="189">
        <f t="shared" si="4"/>
        <v>3</v>
      </c>
      <c r="K28" s="147" t="str">
        <f t="shared" si="5"/>
        <v>Gs</v>
      </c>
      <c r="L28" s="20">
        <f t="shared" si="6"/>
        <v>1</v>
      </c>
      <c r="M28" s="19">
        <f t="shared" si="7"/>
        <v>2</v>
      </c>
      <c r="N28" s="19">
        <f t="shared" si="8"/>
        <v>3</v>
      </c>
      <c r="O28" s="19">
        <f t="shared" si="9"/>
        <v>0</v>
      </c>
      <c r="P28" s="20">
        <f t="shared" si="10"/>
        <v>100</v>
      </c>
      <c r="Q28" s="19">
        <f t="shared" si="11"/>
        <v>42.002063983488128</v>
      </c>
      <c r="R28" s="19">
        <f t="shared" si="12"/>
        <v>32.972136222910187</v>
      </c>
      <c r="S28" s="19">
        <f t="shared" si="13"/>
        <v>0</v>
      </c>
      <c r="T28" s="315">
        <f t="shared" si="14"/>
        <v>6.4600000000000005E-2</v>
      </c>
      <c r="U28" s="316">
        <f t="shared" si="15"/>
        <v>2.7133333333333332E-2</v>
      </c>
      <c r="V28" s="316">
        <f t="shared" si="16"/>
        <v>2.1299999999999982E-2</v>
      </c>
      <c r="W28" s="316">
        <f t="shared" si="17"/>
        <v>0</v>
      </c>
      <c r="X28" s="147" t="str">
        <f t="shared" si="18"/>
        <v>GsL</v>
      </c>
      <c r="Y28" s="32">
        <f t="shared" si="19"/>
        <v>100</v>
      </c>
      <c r="Z28" s="31">
        <f t="shared" si="20"/>
        <v>42.002063983488128</v>
      </c>
      <c r="AA28" s="31">
        <f t="shared" si="21"/>
        <v>32.972136222910187</v>
      </c>
      <c r="AB28" s="31"/>
      <c r="AC28" s="31">
        <f t="shared" si="22"/>
        <v>0</v>
      </c>
      <c r="AD28" s="31"/>
      <c r="AE28" s="308">
        <f t="shared" si="23"/>
        <v>6.4600000000000005E-2</v>
      </c>
      <c r="AF28" s="309">
        <f t="shared" si="24"/>
        <v>2.7133333333333332E-2</v>
      </c>
      <c r="AG28" s="309">
        <f t="shared" si="25"/>
        <v>2.1299999999999982E-2</v>
      </c>
      <c r="AI28" s="309">
        <f t="shared" si="26"/>
        <v>0</v>
      </c>
      <c r="AL28" s="295">
        <v>6.4600000000000005E-2</v>
      </c>
      <c r="AM28" s="295">
        <v>2.7133333333333332E-2</v>
      </c>
      <c r="AN28" s="295">
        <v>2.1299999999999982E-2</v>
      </c>
      <c r="AO28" s="295"/>
      <c r="AP28" s="295">
        <v>-1.6166666666666773E-3</v>
      </c>
      <c r="AQ28" s="295"/>
      <c r="AR28" s="295"/>
      <c r="AS28" s="208" t="s">
        <v>230</v>
      </c>
      <c r="AT28" s="220" t="s">
        <v>5536</v>
      </c>
      <c r="AU28" s="28"/>
    </row>
    <row r="29" spans="1:47">
      <c r="A29" s="262" t="s">
        <v>3379</v>
      </c>
      <c r="B29" s="259" t="s">
        <v>5532</v>
      </c>
      <c r="C29" s="262" t="s">
        <v>8</v>
      </c>
      <c r="D29" s="262" t="s">
        <v>5656</v>
      </c>
      <c r="E29" s="205" t="s">
        <v>5576</v>
      </c>
      <c r="F29" s="20" t="str">
        <f t="shared" ref="F29:F42" si="27">IF(T29&gt;0,1,"")</f>
        <v/>
      </c>
      <c r="G29" s="19" t="str">
        <f t="shared" ref="G29:G42" si="28">IF(U29&gt;0,1,"")</f>
        <v/>
      </c>
      <c r="H29" s="19" t="str">
        <f t="shared" ref="H29:H42" si="29">IF(V29&gt;0,1,"")</f>
        <v/>
      </c>
      <c r="I29" s="19">
        <f t="shared" ref="I29:I42" si="30">IF(W29&gt;0,1,"")</f>
        <v>1</v>
      </c>
      <c r="J29" s="189">
        <f t="shared" ref="J29:J42" si="31">COUNTIF(L29:O29,"&gt;0")</f>
        <v>1</v>
      </c>
      <c r="K29" s="147" t="str">
        <f t="shared" ref="K29:K42" si="32">IF(SUM(T29:W29)=0,"-",SUBSTITUTE(INDEX(T$1:W$1,1,MATCH(MAX(T29:W29),T29:W29,0)),"-fam",""))</f>
        <v>G12/13</v>
      </c>
      <c r="L29" s="20">
        <f t="shared" ref="L29:L42" si="33">IF(T29=0,0,_xlfn.RANK.EQ(T29,$T29:$W29,0))</f>
        <v>0</v>
      </c>
      <c r="M29" s="19">
        <f t="shared" ref="M29:M42" si="34">IF(U29=0,0,_xlfn.RANK.EQ(U29,$T29:$W29,0))</f>
        <v>0</v>
      </c>
      <c r="N29" s="19">
        <f t="shared" ref="N29:N42" si="35">IF(V29=0,0,_xlfn.RANK.EQ(V29,$T29:$W29,0))</f>
        <v>0</v>
      </c>
      <c r="O29" s="19">
        <f t="shared" ref="O29:O42" si="36">IF(W29=0,0,_xlfn.RANK.EQ(W29,$T29:$W29,0))</f>
        <v>1</v>
      </c>
      <c r="P29" s="20">
        <f t="shared" ref="P29:P42" si="37">IF(T29=0,0,T29/MAX($T29:$W29)*100)</f>
        <v>0</v>
      </c>
      <c r="Q29" s="19">
        <f t="shared" ref="Q29:Q42" si="38">IF(U29=0,0,U29/MAX($T29:$W29)*100)</f>
        <v>0</v>
      </c>
      <c r="R29" s="19">
        <f t="shared" ref="R29:R42" si="39">IF(V29=0,0,V29/MAX($T29:$W29)*100)</f>
        <v>0</v>
      </c>
      <c r="S29" s="19">
        <f t="shared" ref="S29:S42" si="40">IF(W29=0,0,W29/MAX($T29:$W29)*100)</f>
        <v>100</v>
      </c>
      <c r="T29" s="315">
        <f t="shared" ref="T29:T42" si="41">AE29</f>
        <v>0</v>
      </c>
      <c r="U29" s="316">
        <f t="shared" ref="U29:U42" si="42">AF29</f>
        <v>0</v>
      </c>
      <c r="V29" s="316">
        <f t="shared" ref="V29:V42" si="43">MAX(AG29:AH29)</f>
        <v>0</v>
      </c>
      <c r="W29" s="316">
        <f t="shared" ref="W29:W42" si="44">MAX(AI29:AJ29)</f>
        <v>1.3249999999999984E-2</v>
      </c>
      <c r="X29" s="147" t="str">
        <f t="shared" ref="X29:X42" si="45">IF(SUM(AE29:AJ29)=0,"-",INDEX(AE$1:AJ$1,1,MATCH(MAX(AE29:AJ29),AE29:AJ29,0)))</f>
        <v>G12</v>
      </c>
      <c r="Y29" s="32">
        <f t="shared" ref="Y29:Y42" si="46">IF(AE29=0,0,AE29/MAX($AE29:$AJ29)*100)</f>
        <v>0</v>
      </c>
      <c r="Z29" s="31">
        <f t="shared" ref="Z29:Z42" si="47">IF(AF29=0,0,AF29/MAX($AE29:$AJ29)*100)</f>
        <v>0</v>
      </c>
      <c r="AA29" s="31">
        <f t="shared" ref="AA29:AA42" si="48">IF(AG29=0,0,AG29/MAX($AE29:$AJ29)*100)</f>
        <v>0</v>
      </c>
      <c r="AB29" s="31">
        <f t="shared" ref="AB29:AB42" si="49">IF(AH29=0,0,AH29/MAX($AE29:$AJ29)*100)</f>
        <v>0</v>
      </c>
      <c r="AC29" s="31">
        <f t="shared" ref="AC29:AC42" si="50">IF(AI29=0,0,AI29/MAX($AE29:$AJ29)*100)</f>
        <v>100</v>
      </c>
      <c r="AD29" s="31">
        <f t="shared" ref="AD29:AD42" si="51">IF(AJ29=0,0,AJ29/MAX($AE29:$AJ29)*100)</f>
        <v>0</v>
      </c>
      <c r="AE29" s="308">
        <f t="shared" ref="AE29:AE42" si="52">IF(AL29&lt;0.009,0,AL29)</f>
        <v>0</v>
      </c>
      <c r="AF29" s="309">
        <f t="shared" ref="AF29:AF42" si="53">IF(AM29&lt;0.009,0,AM29)</f>
        <v>0</v>
      </c>
      <c r="AG29" s="309">
        <f t="shared" ref="AG29:AG42" si="54">IF(AN29&lt;0.009,0,AN29)</f>
        <v>0</v>
      </c>
      <c r="AH29" s="309">
        <f t="shared" ref="AH29:AH42" si="55">IF(AO29&lt;0.009,0,AO29)</f>
        <v>0</v>
      </c>
      <c r="AI29" s="309">
        <f t="shared" ref="AI29:AI42" si="56">IF(AP29&lt;0.009,0,AP29)</f>
        <v>1.3249999999999984E-2</v>
      </c>
      <c r="AJ29" s="309">
        <f t="shared" ref="AJ29:AJ42" si="57">IF(AQ29&lt;0.009,0,AQ29)</f>
        <v>0</v>
      </c>
      <c r="AK29" s="278"/>
      <c r="AL29" s="296">
        <v>-5.0000000000000044E-4</v>
      </c>
      <c r="AM29" s="296">
        <v>4.500000000000004E-3</v>
      </c>
      <c r="AN29" s="296">
        <v>2.5000000000000022E-4</v>
      </c>
      <c r="AO29" s="296">
        <v>2.5000000000000022E-4</v>
      </c>
      <c r="AP29" s="296">
        <v>1.3249999999999984E-2</v>
      </c>
      <c r="AQ29" s="296">
        <v>5.0000000000000044E-4</v>
      </c>
      <c r="AR29" s="296"/>
      <c r="AS29" s="290" t="s">
        <v>5631</v>
      </c>
    </row>
    <row r="30" spans="1:47">
      <c r="A30" s="262" t="s">
        <v>3373</v>
      </c>
      <c r="B30" s="259" t="s">
        <v>5532</v>
      </c>
      <c r="C30" s="262" t="s">
        <v>8</v>
      </c>
      <c r="D30" s="262" t="s">
        <v>5657</v>
      </c>
      <c r="E30" s="205" t="s">
        <v>5576</v>
      </c>
      <c r="F30" s="20" t="str">
        <f t="shared" si="27"/>
        <v/>
      </c>
      <c r="G30" s="19" t="str">
        <f t="shared" si="28"/>
        <v/>
      </c>
      <c r="H30" s="19" t="str">
        <f t="shared" si="29"/>
        <v/>
      </c>
      <c r="I30" s="19" t="str">
        <f t="shared" si="30"/>
        <v/>
      </c>
      <c r="J30" s="189">
        <f t="shared" si="31"/>
        <v>0</v>
      </c>
      <c r="K30" s="147" t="str">
        <f t="shared" si="32"/>
        <v>-</v>
      </c>
      <c r="L30" s="20">
        <f t="shared" si="33"/>
        <v>0</v>
      </c>
      <c r="M30" s="19">
        <f t="shared" si="34"/>
        <v>0</v>
      </c>
      <c r="N30" s="19">
        <f t="shared" si="35"/>
        <v>0</v>
      </c>
      <c r="O30" s="19">
        <f t="shared" si="36"/>
        <v>0</v>
      </c>
      <c r="P30" s="20">
        <f t="shared" si="37"/>
        <v>0</v>
      </c>
      <c r="Q30" s="19">
        <f t="shared" si="38"/>
        <v>0</v>
      </c>
      <c r="R30" s="19">
        <f t="shared" si="39"/>
        <v>0</v>
      </c>
      <c r="S30" s="19">
        <f t="shared" si="40"/>
        <v>0</v>
      </c>
      <c r="T30" s="315">
        <f t="shared" si="41"/>
        <v>0</v>
      </c>
      <c r="U30" s="316">
        <f t="shared" si="42"/>
        <v>0</v>
      </c>
      <c r="V30" s="316">
        <f t="shared" si="43"/>
        <v>0</v>
      </c>
      <c r="W30" s="316">
        <f t="shared" si="44"/>
        <v>0</v>
      </c>
      <c r="X30" s="147" t="str">
        <f t="shared" si="45"/>
        <v>-</v>
      </c>
      <c r="Y30" s="32">
        <f t="shared" si="46"/>
        <v>0</v>
      </c>
      <c r="Z30" s="31">
        <f t="shared" si="47"/>
        <v>0</v>
      </c>
      <c r="AA30" s="31">
        <f t="shared" si="48"/>
        <v>0</v>
      </c>
      <c r="AB30" s="31">
        <f t="shared" si="49"/>
        <v>0</v>
      </c>
      <c r="AC30" s="31">
        <f t="shared" si="50"/>
        <v>0</v>
      </c>
      <c r="AD30" s="31">
        <f t="shared" si="51"/>
        <v>0</v>
      </c>
      <c r="AE30" s="308">
        <f t="shared" si="52"/>
        <v>0</v>
      </c>
      <c r="AF30" s="309">
        <f t="shared" si="53"/>
        <v>0</v>
      </c>
      <c r="AG30" s="309">
        <f t="shared" si="54"/>
        <v>0</v>
      </c>
      <c r="AH30" s="309">
        <f t="shared" si="55"/>
        <v>0</v>
      </c>
      <c r="AI30" s="309">
        <f t="shared" si="56"/>
        <v>0</v>
      </c>
      <c r="AJ30" s="309">
        <f t="shared" si="57"/>
        <v>0</v>
      </c>
      <c r="AK30" s="278"/>
      <c r="AL30" s="296">
        <v>2.250000000000002E-3</v>
      </c>
      <c r="AM30" s="296">
        <v>1.7500000000000016E-3</v>
      </c>
      <c r="AN30" s="296">
        <v>1.0000000000000009E-3</v>
      </c>
      <c r="AO30" s="296">
        <v>1.7500000000000016E-3</v>
      </c>
      <c r="AP30" s="296">
        <v>1.5000000000000013E-3</v>
      </c>
      <c r="AQ30" s="296">
        <v>3.2500000000000029E-3</v>
      </c>
      <c r="AR30" s="296"/>
      <c r="AS30" s="290" t="s">
        <v>5632</v>
      </c>
    </row>
    <row r="31" spans="1:47">
      <c r="A31" s="262" t="s">
        <v>3368</v>
      </c>
      <c r="B31" s="259" t="s">
        <v>5532</v>
      </c>
      <c r="C31" s="262" t="s">
        <v>8</v>
      </c>
      <c r="D31" s="262" t="s">
        <v>5658</v>
      </c>
      <c r="E31" s="205" t="s">
        <v>5576</v>
      </c>
      <c r="F31" s="20" t="str">
        <f t="shared" si="27"/>
        <v/>
      </c>
      <c r="G31" s="19" t="str">
        <f t="shared" si="28"/>
        <v/>
      </c>
      <c r="H31" s="19" t="str">
        <f t="shared" si="29"/>
        <v/>
      </c>
      <c r="I31" s="19">
        <f t="shared" si="30"/>
        <v>1</v>
      </c>
      <c r="J31" s="189">
        <f t="shared" si="31"/>
        <v>1</v>
      </c>
      <c r="K31" s="147" t="str">
        <f t="shared" si="32"/>
        <v>G12/13</v>
      </c>
      <c r="L31" s="20">
        <f t="shared" si="33"/>
        <v>0</v>
      </c>
      <c r="M31" s="19">
        <f t="shared" si="34"/>
        <v>0</v>
      </c>
      <c r="N31" s="19">
        <f t="shared" si="35"/>
        <v>0</v>
      </c>
      <c r="O31" s="19">
        <f t="shared" si="36"/>
        <v>1</v>
      </c>
      <c r="P31" s="20">
        <f t="shared" si="37"/>
        <v>0</v>
      </c>
      <c r="Q31" s="19">
        <f t="shared" si="38"/>
        <v>0</v>
      </c>
      <c r="R31" s="19">
        <f t="shared" si="39"/>
        <v>0</v>
      </c>
      <c r="S31" s="19">
        <f t="shared" si="40"/>
        <v>100</v>
      </c>
      <c r="T31" s="315">
        <f t="shared" si="41"/>
        <v>0</v>
      </c>
      <c r="U31" s="316">
        <f t="shared" si="42"/>
        <v>0</v>
      </c>
      <c r="V31" s="316">
        <f t="shared" si="43"/>
        <v>0</v>
      </c>
      <c r="W31" s="316">
        <f t="shared" si="44"/>
        <v>2.7750000000000025E-2</v>
      </c>
      <c r="X31" s="147" t="str">
        <f t="shared" si="45"/>
        <v>G13</v>
      </c>
      <c r="Y31" s="32">
        <f t="shared" si="46"/>
        <v>0</v>
      </c>
      <c r="Z31" s="31">
        <f t="shared" si="47"/>
        <v>0</v>
      </c>
      <c r="AA31" s="31">
        <f t="shared" si="48"/>
        <v>0</v>
      </c>
      <c r="AB31" s="31">
        <f t="shared" si="49"/>
        <v>0</v>
      </c>
      <c r="AC31" s="31">
        <f t="shared" si="50"/>
        <v>52.252252252252248</v>
      </c>
      <c r="AD31" s="31">
        <f t="shared" si="51"/>
        <v>100</v>
      </c>
      <c r="AE31" s="308">
        <f t="shared" si="52"/>
        <v>0</v>
      </c>
      <c r="AF31" s="309">
        <f t="shared" si="53"/>
        <v>0</v>
      </c>
      <c r="AG31" s="309">
        <f t="shared" si="54"/>
        <v>0</v>
      </c>
      <c r="AH31" s="309">
        <f t="shared" si="55"/>
        <v>0</v>
      </c>
      <c r="AI31" s="309">
        <f t="shared" si="56"/>
        <v>1.4500000000000013E-2</v>
      </c>
      <c r="AJ31" s="309">
        <f t="shared" si="57"/>
        <v>2.7750000000000025E-2</v>
      </c>
      <c r="AK31" s="278"/>
      <c r="AL31" s="296">
        <v>7.0000000000000062E-3</v>
      </c>
      <c r="AM31" s="296">
        <v>3.5000000000000031E-3</v>
      </c>
      <c r="AN31" s="296">
        <v>1.7500000000000016E-3</v>
      </c>
      <c r="AO31" s="296">
        <v>5.5000000000000049E-3</v>
      </c>
      <c r="AP31" s="296">
        <v>1.4500000000000013E-2</v>
      </c>
      <c r="AQ31" s="296">
        <v>2.7750000000000025E-2</v>
      </c>
      <c r="AR31" s="296"/>
      <c r="AS31" s="290" t="s">
        <v>5633</v>
      </c>
    </row>
    <row r="32" spans="1:47">
      <c r="A32" s="262" t="s">
        <v>4158</v>
      </c>
      <c r="B32" s="259" t="s">
        <v>5532</v>
      </c>
      <c r="C32" s="262" t="s">
        <v>8</v>
      </c>
      <c r="D32" s="262" t="s">
        <v>5659</v>
      </c>
      <c r="E32" s="205" t="s">
        <v>5576</v>
      </c>
      <c r="F32" s="20" t="str">
        <f t="shared" si="27"/>
        <v/>
      </c>
      <c r="G32" s="19">
        <f t="shared" si="28"/>
        <v>1</v>
      </c>
      <c r="H32" s="19" t="str">
        <f t="shared" si="29"/>
        <v/>
      </c>
      <c r="I32" s="19" t="str">
        <f t="shared" si="30"/>
        <v/>
      </c>
      <c r="J32" s="189">
        <f t="shared" si="31"/>
        <v>1</v>
      </c>
      <c r="K32" s="147" t="str">
        <f t="shared" si="32"/>
        <v>Gi/o</v>
      </c>
      <c r="L32" s="20">
        <f t="shared" si="33"/>
        <v>0</v>
      </c>
      <c r="M32" s="19">
        <f t="shared" si="34"/>
        <v>1</v>
      </c>
      <c r="N32" s="19">
        <f t="shared" si="35"/>
        <v>0</v>
      </c>
      <c r="O32" s="19">
        <f t="shared" si="36"/>
        <v>0</v>
      </c>
      <c r="P32" s="20">
        <f t="shared" si="37"/>
        <v>0</v>
      </c>
      <c r="Q32" s="19">
        <f t="shared" si="38"/>
        <v>100</v>
      </c>
      <c r="R32" s="19">
        <f t="shared" si="39"/>
        <v>0</v>
      </c>
      <c r="S32" s="19">
        <f t="shared" si="40"/>
        <v>0</v>
      </c>
      <c r="T32" s="315">
        <f t="shared" si="41"/>
        <v>0</v>
      </c>
      <c r="U32" s="316">
        <f t="shared" si="42"/>
        <v>1.100000000000001E-2</v>
      </c>
      <c r="V32" s="316">
        <f t="shared" si="43"/>
        <v>0</v>
      </c>
      <c r="W32" s="316">
        <f t="shared" si="44"/>
        <v>0</v>
      </c>
      <c r="X32" s="147" t="str">
        <f t="shared" si="45"/>
        <v>Gi1</v>
      </c>
      <c r="Y32" s="32">
        <f t="shared" si="46"/>
        <v>0</v>
      </c>
      <c r="Z32" s="31">
        <f t="shared" si="47"/>
        <v>100</v>
      </c>
      <c r="AA32" s="31">
        <f t="shared" si="48"/>
        <v>0</v>
      </c>
      <c r="AB32" s="31">
        <f t="shared" si="49"/>
        <v>0</v>
      </c>
      <c r="AC32" s="31">
        <f t="shared" si="50"/>
        <v>0</v>
      </c>
      <c r="AD32" s="31">
        <f t="shared" si="51"/>
        <v>0</v>
      </c>
      <c r="AE32" s="308">
        <f t="shared" si="52"/>
        <v>0</v>
      </c>
      <c r="AF32" s="309">
        <f t="shared" si="53"/>
        <v>1.100000000000001E-2</v>
      </c>
      <c r="AG32" s="309">
        <f t="shared" si="54"/>
        <v>0</v>
      </c>
      <c r="AH32" s="309">
        <f t="shared" si="55"/>
        <v>0</v>
      </c>
      <c r="AI32" s="309">
        <f t="shared" si="56"/>
        <v>0</v>
      </c>
      <c r="AJ32" s="309">
        <f t="shared" si="57"/>
        <v>0</v>
      </c>
      <c r="AK32" s="278"/>
      <c r="AL32" s="296">
        <v>3.7500000000000033E-3</v>
      </c>
      <c r="AM32" s="296">
        <v>1.100000000000001E-2</v>
      </c>
      <c r="AN32" s="296">
        <v>6.2500000000000056E-3</v>
      </c>
      <c r="AO32" s="296">
        <v>7.0000000000000062E-3</v>
      </c>
      <c r="AP32" s="296">
        <v>6.750000000000006E-3</v>
      </c>
      <c r="AQ32" s="296">
        <v>6.2500000000000056E-3</v>
      </c>
      <c r="AR32" s="296"/>
      <c r="AS32" s="290" t="s">
        <v>5634</v>
      </c>
    </row>
    <row r="33" spans="1:45">
      <c r="A33" s="262" t="s">
        <v>4154</v>
      </c>
      <c r="B33" s="259" t="s">
        <v>5532</v>
      </c>
      <c r="C33" s="262" t="s">
        <v>8</v>
      </c>
      <c r="D33" s="262" t="s">
        <v>5659</v>
      </c>
      <c r="E33" s="205" t="s">
        <v>5576</v>
      </c>
      <c r="F33" s="20" t="str">
        <f t="shared" si="27"/>
        <v/>
      </c>
      <c r="G33" s="19">
        <f t="shared" si="28"/>
        <v>1</v>
      </c>
      <c r="H33" s="19">
        <f t="shared" si="29"/>
        <v>1</v>
      </c>
      <c r="I33" s="19">
        <f t="shared" si="30"/>
        <v>1</v>
      </c>
      <c r="J33" s="189">
        <f t="shared" si="31"/>
        <v>3</v>
      </c>
      <c r="K33" s="147" t="str">
        <f t="shared" si="32"/>
        <v>Gi/o</v>
      </c>
      <c r="L33" s="20">
        <f t="shared" si="33"/>
        <v>0</v>
      </c>
      <c r="M33" s="19">
        <f t="shared" si="34"/>
        <v>1</v>
      </c>
      <c r="N33" s="19">
        <f t="shared" si="35"/>
        <v>2</v>
      </c>
      <c r="O33" s="19">
        <f t="shared" si="36"/>
        <v>3</v>
      </c>
      <c r="P33" s="20">
        <f t="shared" si="37"/>
        <v>0</v>
      </c>
      <c r="Q33" s="19">
        <f t="shared" si="38"/>
        <v>100</v>
      </c>
      <c r="R33" s="19">
        <f t="shared" si="39"/>
        <v>94.77124183006535</v>
      </c>
      <c r="S33" s="19">
        <f t="shared" si="40"/>
        <v>64.052287581699346</v>
      </c>
      <c r="T33" s="315">
        <f t="shared" si="41"/>
        <v>0</v>
      </c>
      <c r="U33" s="316">
        <f t="shared" si="42"/>
        <v>3.8250000000000034E-2</v>
      </c>
      <c r="V33" s="316">
        <f t="shared" si="43"/>
        <v>3.6250000000000032E-2</v>
      </c>
      <c r="W33" s="316">
        <f t="shared" si="44"/>
        <v>2.4500000000000022E-2</v>
      </c>
      <c r="X33" s="147" t="str">
        <f t="shared" si="45"/>
        <v>Gi1</v>
      </c>
      <c r="Y33" s="32">
        <f t="shared" si="46"/>
        <v>0</v>
      </c>
      <c r="Z33" s="31">
        <f t="shared" si="47"/>
        <v>100</v>
      </c>
      <c r="AA33" s="31">
        <f t="shared" si="48"/>
        <v>91.503267973856211</v>
      </c>
      <c r="AB33" s="31">
        <f t="shared" si="49"/>
        <v>94.77124183006535</v>
      </c>
      <c r="AC33" s="31">
        <f t="shared" si="50"/>
        <v>48.366013071895424</v>
      </c>
      <c r="AD33" s="31">
        <f t="shared" si="51"/>
        <v>64.052287581699346</v>
      </c>
      <c r="AE33" s="308">
        <f t="shared" si="52"/>
        <v>0</v>
      </c>
      <c r="AF33" s="309">
        <f t="shared" si="53"/>
        <v>3.8250000000000034E-2</v>
      </c>
      <c r="AG33" s="309">
        <f t="shared" si="54"/>
        <v>3.5000000000000031E-2</v>
      </c>
      <c r="AH33" s="309">
        <f t="shared" si="55"/>
        <v>3.6250000000000032E-2</v>
      </c>
      <c r="AI33" s="309">
        <f t="shared" si="56"/>
        <v>1.8500000000000016E-2</v>
      </c>
      <c r="AJ33" s="309">
        <f t="shared" si="57"/>
        <v>2.4500000000000022E-2</v>
      </c>
      <c r="AK33" s="278"/>
      <c r="AL33" s="296">
        <v>-1.5000000000000013E-3</v>
      </c>
      <c r="AM33" s="296">
        <v>3.8250000000000034E-2</v>
      </c>
      <c r="AN33" s="296">
        <v>3.5000000000000031E-2</v>
      </c>
      <c r="AO33" s="296">
        <v>3.6250000000000032E-2</v>
      </c>
      <c r="AP33" s="296">
        <v>1.8500000000000016E-2</v>
      </c>
      <c r="AQ33" s="296">
        <v>2.4500000000000022E-2</v>
      </c>
      <c r="AR33" s="296"/>
      <c r="AS33" s="290" t="s">
        <v>5635</v>
      </c>
    </row>
    <row r="34" spans="1:45">
      <c r="A34" s="262" t="s">
        <v>4150</v>
      </c>
      <c r="B34" s="259" t="s">
        <v>5532</v>
      </c>
      <c r="C34" s="262" t="s">
        <v>8</v>
      </c>
      <c r="D34" s="262" t="s">
        <v>5660</v>
      </c>
      <c r="E34" s="205" t="s">
        <v>5576</v>
      </c>
      <c r="F34" s="20" t="str">
        <f t="shared" si="27"/>
        <v/>
      </c>
      <c r="G34" s="19" t="str">
        <f t="shared" si="28"/>
        <v/>
      </c>
      <c r="H34" s="19" t="str">
        <f t="shared" si="29"/>
        <v/>
      </c>
      <c r="I34" s="19" t="str">
        <f t="shared" si="30"/>
        <v/>
      </c>
      <c r="J34" s="189">
        <f t="shared" si="31"/>
        <v>0</v>
      </c>
      <c r="K34" s="147" t="str">
        <f t="shared" si="32"/>
        <v>-</v>
      </c>
      <c r="L34" s="20">
        <f t="shared" si="33"/>
        <v>0</v>
      </c>
      <c r="M34" s="19">
        <f t="shared" si="34"/>
        <v>0</v>
      </c>
      <c r="N34" s="19">
        <f t="shared" si="35"/>
        <v>0</v>
      </c>
      <c r="O34" s="19">
        <f t="shared" si="36"/>
        <v>0</v>
      </c>
      <c r="P34" s="20">
        <f t="shared" si="37"/>
        <v>0</v>
      </c>
      <c r="Q34" s="19">
        <f t="shared" si="38"/>
        <v>0</v>
      </c>
      <c r="R34" s="19">
        <f t="shared" si="39"/>
        <v>0</v>
      </c>
      <c r="S34" s="19">
        <f t="shared" si="40"/>
        <v>0</v>
      </c>
      <c r="T34" s="315">
        <f t="shared" si="41"/>
        <v>0</v>
      </c>
      <c r="U34" s="316">
        <f t="shared" si="42"/>
        <v>0</v>
      </c>
      <c r="V34" s="316">
        <f t="shared" si="43"/>
        <v>0</v>
      </c>
      <c r="W34" s="316">
        <f t="shared" si="44"/>
        <v>0</v>
      </c>
      <c r="X34" s="147" t="str">
        <f t="shared" si="45"/>
        <v>-</v>
      </c>
      <c r="Y34" s="32">
        <f t="shared" si="46"/>
        <v>0</v>
      </c>
      <c r="Z34" s="31">
        <f t="shared" si="47"/>
        <v>0</v>
      </c>
      <c r="AA34" s="31">
        <f t="shared" si="48"/>
        <v>0</v>
      </c>
      <c r="AB34" s="31">
        <f t="shared" si="49"/>
        <v>0</v>
      </c>
      <c r="AC34" s="31">
        <f t="shared" si="50"/>
        <v>0</v>
      </c>
      <c r="AD34" s="31">
        <f t="shared" si="51"/>
        <v>0</v>
      </c>
      <c r="AE34" s="308">
        <f t="shared" si="52"/>
        <v>0</v>
      </c>
      <c r="AF34" s="309">
        <f t="shared" si="53"/>
        <v>0</v>
      </c>
      <c r="AG34" s="309">
        <f t="shared" si="54"/>
        <v>0</v>
      </c>
      <c r="AH34" s="309">
        <f t="shared" si="55"/>
        <v>0</v>
      </c>
      <c r="AI34" s="309">
        <f t="shared" si="56"/>
        <v>0</v>
      </c>
      <c r="AJ34" s="309">
        <f t="shared" si="57"/>
        <v>0</v>
      </c>
      <c r="AK34" s="278"/>
      <c r="AL34" s="296">
        <v>5.0000000000000044E-4</v>
      </c>
      <c r="AM34" s="296">
        <v>7.5000000000000067E-4</v>
      </c>
      <c r="AN34" s="296">
        <v>5.2500000000000047E-3</v>
      </c>
      <c r="AO34" s="296">
        <v>2.250000000000002E-3</v>
      </c>
      <c r="AP34" s="296">
        <v>2.0000000000000018E-3</v>
      </c>
      <c r="AQ34" s="296">
        <v>1.5000000000000013E-3</v>
      </c>
      <c r="AR34" s="296"/>
      <c r="AS34" s="290" t="s">
        <v>5636</v>
      </c>
    </row>
    <row r="35" spans="1:45">
      <c r="A35" s="262" t="s">
        <v>4122</v>
      </c>
      <c r="B35" s="259" t="s">
        <v>5532</v>
      </c>
      <c r="C35" s="262" t="s">
        <v>8</v>
      </c>
      <c r="D35" s="262" t="s">
        <v>5656</v>
      </c>
      <c r="E35" s="205" t="s">
        <v>5576</v>
      </c>
      <c r="F35" s="20" t="str">
        <f t="shared" si="27"/>
        <v/>
      </c>
      <c r="G35" s="19" t="str">
        <f t="shared" si="28"/>
        <v/>
      </c>
      <c r="H35" s="19" t="str">
        <f t="shared" si="29"/>
        <v/>
      </c>
      <c r="I35" s="19" t="str">
        <f t="shared" si="30"/>
        <v/>
      </c>
      <c r="J35" s="189">
        <f t="shared" si="31"/>
        <v>0</v>
      </c>
      <c r="K35" s="147" t="str">
        <f t="shared" si="32"/>
        <v>-</v>
      </c>
      <c r="L35" s="20">
        <f t="shared" si="33"/>
        <v>0</v>
      </c>
      <c r="M35" s="19">
        <f t="shared" si="34"/>
        <v>0</v>
      </c>
      <c r="N35" s="19">
        <f t="shared" si="35"/>
        <v>0</v>
      </c>
      <c r="O35" s="19">
        <f t="shared" si="36"/>
        <v>0</v>
      </c>
      <c r="P35" s="20">
        <f t="shared" si="37"/>
        <v>0</v>
      </c>
      <c r="Q35" s="19">
        <f t="shared" si="38"/>
        <v>0</v>
      </c>
      <c r="R35" s="19">
        <f t="shared" si="39"/>
        <v>0</v>
      </c>
      <c r="S35" s="19">
        <f t="shared" si="40"/>
        <v>0</v>
      </c>
      <c r="T35" s="315">
        <f t="shared" si="41"/>
        <v>0</v>
      </c>
      <c r="U35" s="316">
        <f t="shared" si="42"/>
        <v>0</v>
      </c>
      <c r="V35" s="316">
        <f t="shared" si="43"/>
        <v>0</v>
      </c>
      <c r="W35" s="316">
        <f t="shared" si="44"/>
        <v>0</v>
      </c>
      <c r="X35" s="147" t="str">
        <f t="shared" si="45"/>
        <v>-</v>
      </c>
      <c r="Y35" s="32">
        <f t="shared" si="46"/>
        <v>0</v>
      </c>
      <c r="Z35" s="31">
        <f t="shared" si="47"/>
        <v>0</v>
      </c>
      <c r="AA35" s="31">
        <f t="shared" si="48"/>
        <v>0</v>
      </c>
      <c r="AB35" s="31">
        <f t="shared" si="49"/>
        <v>0</v>
      </c>
      <c r="AC35" s="31">
        <f t="shared" si="50"/>
        <v>0</v>
      </c>
      <c r="AD35" s="31">
        <f t="shared" si="51"/>
        <v>0</v>
      </c>
      <c r="AE35" s="308">
        <f t="shared" si="52"/>
        <v>0</v>
      </c>
      <c r="AF35" s="309">
        <f t="shared" si="53"/>
        <v>0</v>
      </c>
      <c r="AG35" s="309">
        <f t="shared" si="54"/>
        <v>0</v>
      </c>
      <c r="AH35" s="309">
        <f t="shared" si="55"/>
        <v>0</v>
      </c>
      <c r="AI35" s="309">
        <f t="shared" si="56"/>
        <v>0</v>
      </c>
      <c r="AJ35" s="309">
        <f t="shared" si="57"/>
        <v>0</v>
      </c>
      <c r="AK35" s="278"/>
      <c r="AL35" s="296">
        <v>3.7500000000000033E-3</v>
      </c>
      <c r="AM35" s="296">
        <v>7.5000000000000067E-4</v>
      </c>
      <c r="AN35" s="296">
        <v>-2.5000000000000022E-4</v>
      </c>
      <c r="AO35" s="296">
        <v>2.5000000000000022E-4</v>
      </c>
      <c r="AP35" s="296">
        <v>7.5000000000000067E-4</v>
      </c>
      <c r="AQ35" s="296">
        <v>1.0000000000000009E-3</v>
      </c>
      <c r="AR35" s="296"/>
      <c r="AS35" s="290" t="s">
        <v>5637</v>
      </c>
    </row>
    <row r="36" spans="1:45">
      <c r="A36" s="262" t="s">
        <v>4146</v>
      </c>
      <c r="B36" s="259" t="s">
        <v>5532</v>
      </c>
      <c r="C36" s="262" t="s">
        <v>8</v>
      </c>
      <c r="D36" s="262" t="s">
        <v>5661</v>
      </c>
      <c r="E36" s="205" t="s">
        <v>5576</v>
      </c>
      <c r="F36" s="20" t="str">
        <f t="shared" si="27"/>
        <v/>
      </c>
      <c r="G36" s="19" t="str">
        <f t="shared" si="28"/>
        <v/>
      </c>
      <c r="H36" s="19" t="str">
        <f t="shared" si="29"/>
        <v/>
      </c>
      <c r="I36" s="19" t="str">
        <f t="shared" si="30"/>
        <v/>
      </c>
      <c r="J36" s="189">
        <f t="shared" si="31"/>
        <v>0</v>
      </c>
      <c r="K36" s="147" t="str">
        <f t="shared" si="32"/>
        <v>-</v>
      </c>
      <c r="L36" s="20">
        <f t="shared" si="33"/>
        <v>0</v>
      </c>
      <c r="M36" s="19">
        <f t="shared" si="34"/>
        <v>0</v>
      </c>
      <c r="N36" s="19">
        <f t="shared" si="35"/>
        <v>0</v>
      </c>
      <c r="O36" s="19">
        <f t="shared" si="36"/>
        <v>0</v>
      </c>
      <c r="P36" s="20">
        <f t="shared" si="37"/>
        <v>0</v>
      </c>
      <c r="Q36" s="19">
        <f t="shared" si="38"/>
        <v>0</v>
      </c>
      <c r="R36" s="19">
        <f t="shared" si="39"/>
        <v>0</v>
      </c>
      <c r="S36" s="19">
        <f t="shared" si="40"/>
        <v>0</v>
      </c>
      <c r="T36" s="315">
        <f t="shared" si="41"/>
        <v>0</v>
      </c>
      <c r="U36" s="316">
        <f t="shared" si="42"/>
        <v>0</v>
      </c>
      <c r="V36" s="316">
        <f t="shared" si="43"/>
        <v>0</v>
      </c>
      <c r="W36" s="316">
        <f t="shared" si="44"/>
        <v>0</v>
      </c>
      <c r="X36" s="147" t="str">
        <f t="shared" si="45"/>
        <v>-</v>
      </c>
      <c r="Y36" s="32">
        <f t="shared" si="46"/>
        <v>0</v>
      </c>
      <c r="Z36" s="31">
        <f t="shared" si="47"/>
        <v>0</v>
      </c>
      <c r="AA36" s="31">
        <f t="shared" si="48"/>
        <v>0</v>
      </c>
      <c r="AB36" s="31">
        <f t="shared" si="49"/>
        <v>0</v>
      </c>
      <c r="AC36" s="31">
        <f t="shared" si="50"/>
        <v>0</v>
      </c>
      <c r="AD36" s="31">
        <f t="shared" si="51"/>
        <v>0</v>
      </c>
      <c r="AE36" s="308">
        <f t="shared" si="52"/>
        <v>0</v>
      </c>
      <c r="AF36" s="309">
        <f t="shared" si="53"/>
        <v>0</v>
      </c>
      <c r="AG36" s="309">
        <f t="shared" si="54"/>
        <v>0</v>
      </c>
      <c r="AH36" s="309">
        <f t="shared" si="55"/>
        <v>0</v>
      </c>
      <c r="AI36" s="309">
        <f t="shared" si="56"/>
        <v>0</v>
      </c>
      <c r="AJ36" s="309">
        <f t="shared" si="57"/>
        <v>0</v>
      </c>
      <c r="AK36" s="278"/>
      <c r="AL36" s="296">
        <v>7.5000000000000067E-4</v>
      </c>
      <c r="AM36" s="296">
        <v>5.5000000000000049E-3</v>
      </c>
      <c r="AN36" s="296">
        <v>5.0000000000000044E-4</v>
      </c>
      <c r="AO36" s="296">
        <v>4.500000000000004E-3</v>
      </c>
      <c r="AP36" s="296">
        <v>5.0000000000000044E-4</v>
      </c>
      <c r="AQ36" s="296">
        <v>2.250000000000002E-3</v>
      </c>
      <c r="AR36" s="296"/>
      <c r="AS36" s="290" t="s">
        <v>5638</v>
      </c>
    </row>
    <row r="37" spans="1:45">
      <c r="A37" s="262" t="s">
        <v>4142</v>
      </c>
      <c r="B37" s="259" t="s">
        <v>5532</v>
      </c>
      <c r="C37" s="262" t="s">
        <v>8</v>
      </c>
      <c r="D37" s="262" t="s">
        <v>5659</v>
      </c>
      <c r="E37" s="205" t="s">
        <v>5576</v>
      </c>
      <c r="F37" s="20" t="str">
        <f t="shared" si="27"/>
        <v/>
      </c>
      <c r="G37" s="19" t="str">
        <f t="shared" si="28"/>
        <v/>
      </c>
      <c r="H37" s="19" t="str">
        <f t="shared" si="29"/>
        <v/>
      </c>
      <c r="I37" s="19" t="str">
        <f t="shared" si="30"/>
        <v/>
      </c>
      <c r="J37" s="189">
        <f t="shared" si="31"/>
        <v>0</v>
      </c>
      <c r="K37" s="147" t="str">
        <f t="shared" si="32"/>
        <v>-</v>
      </c>
      <c r="L37" s="20">
        <f t="shared" si="33"/>
        <v>0</v>
      </c>
      <c r="M37" s="19">
        <f t="shared" si="34"/>
        <v>0</v>
      </c>
      <c r="N37" s="19">
        <f t="shared" si="35"/>
        <v>0</v>
      </c>
      <c r="O37" s="19">
        <f t="shared" si="36"/>
        <v>0</v>
      </c>
      <c r="P37" s="20">
        <f t="shared" si="37"/>
        <v>0</v>
      </c>
      <c r="Q37" s="19">
        <f t="shared" si="38"/>
        <v>0</v>
      </c>
      <c r="R37" s="19">
        <f t="shared" si="39"/>
        <v>0</v>
      </c>
      <c r="S37" s="19">
        <f t="shared" si="40"/>
        <v>0</v>
      </c>
      <c r="T37" s="315">
        <f t="shared" si="41"/>
        <v>0</v>
      </c>
      <c r="U37" s="316">
        <f t="shared" si="42"/>
        <v>0</v>
      </c>
      <c r="V37" s="316">
        <f t="shared" si="43"/>
        <v>0</v>
      </c>
      <c r="W37" s="316">
        <f t="shared" si="44"/>
        <v>0</v>
      </c>
      <c r="X37" s="147" t="str">
        <f t="shared" si="45"/>
        <v>-</v>
      </c>
      <c r="Y37" s="32">
        <f t="shared" si="46"/>
        <v>0</v>
      </c>
      <c r="Z37" s="31">
        <f t="shared" si="47"/>
        <v>0</v>
      </c>
      <c r="AA37" s="31">
        <f t="shared" si="48"/>
        <v>0</v>
      </c>
      <c r="AB37" s="31">
        <f t="shared" si="49"/>
        <v>0</v>
      </c>
      <c r="AC37" s="31">
        <f t="shared" si="50"/>
        <v>0</v>
      </c>
      <c r="AD37" s="31">
        <f t="shared" si="51"/>
        <v>0</v>
      </c>
      <c r="AE37" s="308">
        <f t="shared" si="52"/>
        <v>0</v>
      </c>
      <c r="AF37" s="309">
        <f t="shared" si="53"/>
        <v>0</v>
      </c>
      <c r="AG37" s="309">
        <f t="shared" si="54"/>
        <v>0</v>
      </c>
      <c r="AH37" s="309">
        <f t="shared" si="55"/>
        <v>0</v>
      </c>
      <c r="AI37" s="309">
        <f t="shared" si="56"/>
        <v>0</v>
      </c>
      <c r="AJ37" s="309">
        <f t="shared" si="57"/>
        <v>0</v>
      </c>
      <c r="AK37" s="278"/>
      <c r="AL37" s="296">
        <v>-1.0000000000000009E-3</v>
      </c>
      <c r="AM37" s="296">
        <v>2.250000000000002E-3</v>
      </c>
      <c r="AN37" s="296">
        <v>7.0000000000000062E-3</v>
      </c>
      <c r="AO37" s="296">
        <v>2.5000000000000022E-3</v>
      </c>
      <c r="AP37" s="296">
        <v>5.5000000000000049E-3</v>
      </c>
      <c r="AQ37" s="296">
        <v>1.5000000000000013E-3</v>
      </c>
      <c r="AR37" s="296"/>
      <c r="AS37" s="290" t="s">
        <v>5639</v>
      </c>
    </row>
    <row r="38" spans="1:45">
      <c r="A38" s="262" t="s">
        <v>4184</v>
      </c>
      <c r="B38" s="259" t="s">
        <v>5532</v>
      </c>
      <c r="C38" s="262" t="s">
        <v>8</v>
      </c>
      <c r="D38" s="262" t="s">
        <v>5662</v>
      </c>
      <c r="E38" s="205" t="s">
        <v>5576</v>
      </c>
      <c r="F38" s="20" t="str">
        <f t="shared" si="27"/>
        <v/>
      </c>
      <c r="G38" s="19" t="str">
        <f t="shared" si="28"/>
        <v/>
      </c>
      <c r="H38" s="19" t="str">
        <f t="shared" si="29"/>
        <v/>
      </c>
      <c r="I38" s="19" t="str">
        <f t="shared" si="30"/>
        <v/>
      </c>
      <c r="J38" s="189">
        <f t="shared" si="31"/>
        <v>0</v>
      </c>
      <c r="K38" s="147" t="str">
        <f t="shared" si="32"/>
        <v>-</v>
      </c>
      <c r="L38" s="20">
        <f t="shared" si="33"/>
        <v>0</v>
      </c>
      <c r="M38" s="19">
        <f t="shared" si="34"/>
        <v>0</v>
      </c>
      <c r="N38" s="19">
        <f t="shared" si="35"/>
        <v>0</v>
      </c>
      <c r="O38" s="19">
        <f t="shared" si="36"/>
        <v>0</v>
      </c>
      <c r="P38" s="20">
        <f t="shared" si="37"/>
        <v>0</v>
      </c>
      <c r="Q38" s="19">
        <f t="shared" si="38"/>
        <v>0</v>
      </c>
      <c r="R38" s="19">
        <f t="shared" si="39"/>
        <v>0</v>
      </c>
      <c r="S38" s="19">
        <f t="shared" si="40"/>
        <v>0</v>
      </c>
      <c r="T38" s="315">
        <f t="shared" si="41"/>
        <v>0</v>
      </c>
      <c r="U38" s="316">
        <f t="shared" si="42"/>
        <v>0</v>
      </c>
      <c r="V38" s="316">
        <f t="shared" si="43"/>
        <v>0</v>
      </c>
      <c r="W38" s="316">
        <f t="shared" si="44"/>
        <v>0</v>
      </c>
      <c r="X38" s="147" t="str">
        <f t="shared" si="45"/>
        <v>-</v>
      </c>
      <c r="Y38" s="32">
        <f t="shared" si="46"/>
        <v>0</v>
      </c>
      <c r="Z38" s="31">
        <f t="shared" si="47"/>
        <v>0</v>
      </c>
      <c r="AA38" s="31">
        <f t="shared" si="48"/>
        <v>0</v>
      </c>
      <c r="AB38" s="31">
        <f t="shared" si="49"/>
        <v>0</v>
      </c>
      <c r="AC38" s="31">
        <f t="shared" si="50"/>
        <v>0</v>
      </c>
      <c r="AD38" s="31">
        <f t="shared" si="51"/>
        <v>0</v>
      </c>
      <c r="AE38" s="308">
        <f t="shared" si="52"/>
        <v>0</v>
      </c>
      <c r="AF38" s="309">
        <f t="shared" si="53"/>
        <v>0</v>
      </c>
      <c r="AG38" s="309">
        <f t="shared" si="54"/>
        <v>0</v>
      </c>
      <c r="AH38" s="309">
        <f t="shared" si="55"/>
        <v>0</v>
      </c>
      <c r="AI38" s="309">
        <f t="shared" si="56"/>
        <v>0</v>
      </c>
      <c r="AJ38" s="309">
        <f t="shared" si="57"/>
        <v>0</v>
      </c>
      <c r="AK38" s="278"/>
      <c r="AL38" s="296">
        <v>-5.0000000000000044E-4</v>
      </c>
      <c r="AM38" s="296">
        <v>5.0000000000000044E-4</v>
      </c>
      <c r="AN38" s="296">
        <v>1.5000000000000013E-3</v>
      </c>
      <c r="AO38" s="296">
        <v>7.5000000000000067E-4</v>
      </c>
      <c r="AP38" s="296">
        <v>1.0000000000000009E-3</v>
      </c>
      <c r="AQ38" s="296">
        <v>-1.0000000000000009E-3</v>
      </c>
      <c r="AR38" s="296"/>
      <c r="AS38" s="290" t="s">
        <v>5640</v>
      </c>
    </row>
    <row r="39" spans="1:45">
      <c r="A39" s="262" t="s">
        <v>4180</v>
      </c>
      <c r="B39" s="259" t="s">
        <v>5532</v>
      </c>
      <c r="C39" s="262" t="s">
        <v>8</v>
      </c>
      <c r="D39" s="262" t="s">
        <v>5663</v>
      </c>
      <c r="E39" s="205" t="s">
        <v>5576</v>
      </c>
      <c r="F39" s="20" t="str">
        <f t="shared" si="27"/>
        <v/>
      </c>
      <c r="G39" s="19" t="str">
        <f t="shared" si="28"/>
        <v/>
      </c>
      <c r="H39" s="19" t="str">
        <f t="shared" si="29"/>
        <v/>
      </c>
      <c r="I39" s="19" t="str">
        <f t="shared" si="30"/>
        <v/>
      </c>
      <c r="J39" s="189">
        <f t="shared" si="31"/>
        <v>0</v>
      </c>
      <c r="K39" s="147" t="str">
        <f t="shared" si="32"/>
        <v>-</v>
      </c>
      <c r="L39" s="20">
        <f t="shared" si="33"/>
        <v>0</v>
      </c>
      <c r="M39" s="19">
        <f t="shared" si="34"/>
        <v>0</v>
      </c>
      <c r="N39" s="19">
        <f t="shared" si="35"/>
        <v>0</v>
      </c>
      <c r="O39" s="19">
        <f t="shared" si="36"/>
        <v>0</v>
      </c>
      <c r="P39" s="20">
        <f t="shared" si="37"/>
        <v>0</v>
      </c>
      <c r="Q39" s="19">
        <f t="shared" si="38"/>
        <v>0</v>
      </c>
      <c r="R39" s="19">
        <f t="shared" si="39"/>
        <v>0</v>
      </c>
      <c r="S39" s="19">
        <f t="shared" si="40"/>
        <v>0</v>
      </c>
      <c r="T39" s="315">
        <f t="shared" si="41"/>
        <v>0</v>
      </c>
      <c r="U39" s="316">
        <f t="shared" si="42"/>
        <v>0</v>
      </c>
      <c r="V39" s="316">
        <f t="shared" si="43"/>
        <v>0</v>
      </c>
      <c r="W39" s="316">
        <f t="shared" si="44"/>
        <v>0</v>
      </c>
      <c r="X39" s="147" t="str">
        <f t="shared" si="45"/>
        <v>-</v>
      </c>
      <c r="Y39" s="32">
        <f t="shared" si="46"/>
        <v>0</v>
      </c>
      <c r="Z39" s="31">
        <f t="shared" si="47"/>
        <v>0</v>
      </c>
      <c r="AA39" s="31">
        <f t="shared" si="48"/>
        <v>0</v>
      </c>
      <c r="AB39" s="31">
        <f t="shared" si="49"/>
        <v>0</v>
      </c>
      <c r="AC39" s="31">
        <f t="shared" si="50"/>
        <v>0</v>
      </c>
      <c r="AD39" s="31">
        <f t="shared" si="51"/>
        <v>0</v>
      </c>
      <c r="AE39" s="308">
        <f t="shared" si="52"/>
        <v>0</v>
      </c>
      <c r="AF39" s="309">
        <f t="shared" si="53"/>
        <v>0</v>
      </c>
      <c r="AG39" s="309">
        <f t="shared" si="54"/>
        <v>0</v>
      </c>
      <c r="AH39" s="309">
        <f t="shared" si="55"/>
        <v>0</v>
      </c>
      <c r="AI39" s="309">
        <f t="shared" si="56"/>
        <v>0</v>
      </c>
      <c r="AJ39" s="309">
        <f t="shared" si="57"/>
        <v>0</v>
      </c>
      <c r="AK39" s="278"/>
      <c r="AL39" s="296">
        <v>-1.0000000000000009E-3</v>
      </c>
      <c r="AM39" s="296">
        <v>-1.2500000000000011E-3</v>
      </c>
      <c r="AN39" s="296">
        <v>-1.5000000000000013E-3</v>
      </c>
      <c r="AO39" s="296">
        <v>-2.250000000000002E-3</v>
      </c>
      <c r="AP39" s="296">
        <v>0</v>
      </c>
      <c r="AQ39" s="296">
        <v>-2.5000000000000022E-3</v>
      </c>
      <c r="AR39" s="296"/>
      <c r="AS39" s="290" t="s">
        <v>5641</v>
      </c>
    </row>
    <row r="40" spans="1:45">
      <c r="A40" s="262" t="s">
        <v>4118</v>
      </c>
      <c r="B40" s="259" t="s">
        <v>5532</v>
      </c>
      <c r="C40" s="262" t="s">
        <v>8</v>
      </c>
      <c r="D40" s="262" t="s">
        <v>5664</v>
      </c>
      <c r="E40" s="205" t="s">
        <v>5576</v>
      </c>
      <c r="F40" s="20">
        <f t="shared" si="27"/>
        <v>1</v>
      </c>
      <c r="G40" s="19" t="str">
        <f t="shared" si="28"/>
        <v/>
      </c>
      <c r="H40" s="19" t="str">
        <f t="shared" si="29"/>
        <v/>
      </c>
      <c r="I40" s="19" t="str">
        <f t="shared" si="30"/>
        <v/>
      </c>
      <c r="J40" s="189">
        <f t="shared" si="31"/>
        <v>1</v>
      </c>
      <c r="K40" s="147" t="str">
        <f t="shared" si="32"/>
        <v>Gs</v>
      </c>
      <c r="L40" s="20">
        <f t="shared" si="33"/>
        <v>1</v>
      </c>
      <c r="M40" s="19">
        <f t="shared" si="34"/>
        <v>0</v>
      </c>
      <c r="N40" s="19">
        <f t="shared" si="35"/>
        <v>0</v>
      </c>
      <c r="O40" s="19">
        <f t="shared" si="36"/>
        <v>0</v>
      </c>
      <c r="P40" s="20">
        <f t="shared" si="37"/>
        <v>100</v>
      </c>
      <c r="Q40" s="19">
        <f t="shared" si="38"/>
        <v>0</v>
      </c>
      <c r="R40" s="19">
        <f t="shared" si="39"/>
        <v>0</v>
      </c>
      <c r="S40" s="19">
        <f t="shared" si="40"/>
        <v>0</v>
      </c>
      <c r="T40" s="315">
        <f t="shared" si="41"/>
        <v>1.0000000000000009E-2</v>
      </c>
      <c r="U40" s="316">
        <f t="shared" si="42"/>
        <v>0</v>
      </c>
      <c r="V40" s="316">
        <f t="shared" si="43"/>
        <v>0</v>
      </c>
      <c r="W40" s="316">
        <f t="shared" si="44"/>
        <v>0</v>
      </c>
      <c r="X40" s="147" t="str">
        <f t="shared" si="45"/>
        <v>GsL</v>
      </c>
      <c r="Y40" s="32">
        <f t="shared" si="46"/>
        <v>100</v>
      </c>
      <c r="Z40" s="31">
        <f t="shared" si="47"/>
        <v>0</v>
      </c>
      <c r="AA40" s="31">
        <f t="shared" si="48"/>
        <v>0</v>
      </c>
      <c r="AB40" s="31">
        <f t="shared" si="49"/>
        <v>0</v>
      </c>
      <c r="AC40" s="31">
        <f t="shared" si="50"/>
        <v>0</v>
      </c>
      <c r="AD40" s="31">
        <f t="shared" si="51"/>
        <v>0</v>
      </c>
      <c r="AE40" s="308">
        <f t="shared" si="52"/>
        <v>1.0000000000000009E-2</v>
      </c>
      <c r="AF40" s="309">
        <f t="shared" si="53"/>
        <v>0</v>
      </c>
      <c r="AG40" s="309">
        <f t="shared" si="54"/>
        <v>0</v>
      </c>
      <c r="AH40" s="309">
        <f t="shared" si="55"/>
        <v>0</v>
      </c>
      <c r="AI40" s="309">
        <f t="shared" si="56"/>
        <v>0</v>
      </c>
      <c r="AJ40" s="309">
        <f t="shared" si="57"/>
        <v>0</v>
      </c>
      <c r="AK40" s="278"/>
      <c r="AL40" s="296">
        <v>1.0000000000000009E-2</v>
      </c>
      <c r="AM40" s="296">
        <v>8.2500000000000073E-3</v>
      </c>
      <c r="AN40" s="296">
        <v>5.2500000000000047E-3</v>
      </c>
      <c r="AO40" s="296">
        <v>6.5000000000000058E-3</v>
      </c>
      <c r="AP40" s="296">
        <v>2.7500000000000024E-3</v>
      </c>
      <c r="AQ40" s="296">
        <v>5.5000000000000049E-3</v>
      </c>
      <c r="AR40" s="296"/>
      <c r="AS40" s="290" t="s">
        <v>5642</v>
      </c>
    </row>
    <row r="41" spans="1:45">
      <c r="A41" s="262" t="s">
        <v>3384</v>
      </c>
      <c r="B41" s="259" t="s">
        <v>5532</v>
      </c>
      <c r="C41" s="262" t="s">
        <v>8</v>
      </c>
      <c r="D41" s="262" t="s">
        <v>5665</v>
      </c>
      <c r="E41" s="205" t="s">
        <v>5576</v>
      </c>
      <c r="F41" s="20" t="str">
        <f t="shared" si="27"/>
        <v/>
      </c>
      <c r="G41" s="19" t="str">
        <f t="shared" si="28"/>
        <v/>
      </c>
      <c r="H41" s="19" t="str">
        <f t="shared" si="29"/>
        <v/>
      </c>
      <c r="I41" s="19" t="str">
        <f t="shared" si="30"/>
        <v/>
      </c>
      <c r="J41" s="189">
        <f t="shared" si="31"/>
        <v>0</v>
      </c>
      <c r="K41" s="147" t="str">
        <f t="shared" si="32"/>
        <v>-</v>
      </c>
      <c r="L41" s="20">
        <f t="shared" si="33"/>
        <v>0</v>
      </c>
      <c r="M41" s="19">
        <f t="shared" si="34"/>
        <v>0</v>
      </c>
      <c r="N41" s="19">
        <f t="shared" si="35"/>
        <v>0</v>
      </c>
      <c r="O41" s="19">
        <f t="shared" si="36"/>
        <v>0</v>
      </c>
      <c r="P41" s="20">
        <f t="shared" si="37"/>
        <v>0</v>
      </c>
      <c r="Q41" s="19">
        <f t="shared" si="38"/>
        <v>0</v>
      </c>
      <c r="R41" s="19">
        <f t="shared" si="39"/>
        <v>0</v>
      </c>
      <c r="S41" s="19">
        <f t="shared" si="40"/>
        <v>0</v>
      </c>
      <c r="T41" s="315">
        <f t="shared" si="41"/>
        <v>0</v>
      </c>
      <c r="U41" s="316">
        <f t="shared" si="42"/>
        <v>0</v>
      </c>
      <c r="V41" s="316">
        <f t="shared" si="43"/>
        <v>0</v>
      </c>
      <c r="W41" s="316">
        <f t="shared" si="44"/>
        <v>0</v>
      </c>
      <c r="X41" s="147" t="str">
        <f t="shared" si="45"/>
        <v>-</v>
      </c>
      <c r="Y41" s="32">
        <f t="shared" si="46"/>
        <v>0</v>
      </c>
      <c r="Z41" s="31">
        <f t="shared" si="47"/>
        <v>0</v>
      </c>
      <c r="AA41" s="31">
        <f t="shared" si="48"/>
        <v>0</v>
      </c>
      <c r="AB41" s="31">
        <f t="shared" si="49"/>
        <v>0</v>
      </c>
      <c r="AC41" s="31">
        <f t="shared" si="50"/>
        <v>0</v>
      </c>
      <c r="AD41" s="31">
        <f t="shared" si="51"/>
        <v>0</v>
      </c>
      <c r="AE41" s="308">
        <f t="shared" si="52"/>
        <v>0</v>
      </c>
      <c r="AF41" s="309">
        <f t="shared" si="53"/>
        <v>0</v>
      </c>
      <c r="AG41" s="309">
        <f t="shared" si="54"/>
        <v>0</v>
      </c>
      <c r="AH41" s="309">
        <f t="shared" si="55"/>
        <v>0</v>
      </c>
      <c r="AI41" s="309">
        <f t="shared" si="56"/>
        <v>0</v>
      </c>
      <c r="AJ41" s="309">
        <f t="shared" si="57"/>
        <v>0</v>
      </c>
      <c r="AK41" s="278"/>
      <c r="AL41" s="296">
        <v>1.7500000000000016E-3</v>
      </c>
      <c r="AM41" s="296">
        <v>4.9999999999997269E-4</v>
      </c>
      <c r="AN41" s="296">
        <v>-1.0000000000000009E-3</v>
      </c>
      <c r="AO41" s="296">
        <v>0</v>
      </c>
      <c r="AP41" s="296">
        <v>2.5000000000000022E-4</v>
      </c>
      <c r="AQ41" s="296">
        <v>2.5000000000000022E-4</v>
      </c>
      <c r="AR41" s="296"/>
      <c r="AS41" s="290" t="s">
        <v>5643</v>
      </c>
    </row>
    <row r="42" spans="1:45">
      <c r="A42" s="10" t="s">
        <v>4162</v>
      </c>
      <c r="B42" s="259" t="s">
        <v>5532</v>
      </c>
      <c r="C42" s="262" t="s">
        <v>8</v>
      </c>
      <c r="D42" s="262" t="s">
        <v>5666</v>
      </c>
      <c r="E42" s="205" t="s">
        <v>5576</v>
      </c>
      <c r="F42" s="20" t="str">
        <f t="shared" si="27"/>
        <v/>
      </c>
      <c r="G42" s="19" t="str">
        <f t="shared" si="28"/>
        <v/>
      </c>
      <c r="H42" s="19" t="str">
        <f t="shared" si="29"/>
        <v/>
      </c>
      <c r="I42" s="19" t="str">
        <f t="shared" si="30"/>
        <v/>
      </c>
      <c r="J42" s="189">
        <f t="shared" si="31"/>
        <v>0</v>
      </c>
      <c r="K42" s="147" t="str">
        <f t="shared" si="32"/>
        <v>-</v>
      </c>
      <c r="L42" s="20">
        <f t="shared" si="33"/>
        <v>0</v>
      </c>
      <c r="M42" s="19">
        <f t="shared" si="34"/>
        <v>0</v>
      </c>
      <c r="N42" s="19">
        <f t="shared" si="35"/>
        <v>0</v>
      </c>
      <c r="O42" s="19">
        <f t="shared" si="36"/>
        <v>0</v>
      </c>
      <c r="P42" s="20">
        <f t="shared" si="37"/>
        <v>0</v>
      </c>
      <c r="Q42" s="19">
        <f t="shared" si="38"/>
        <v>0</v>
      </c>
      <c r="R42" s="19">
        <f t="shared" si="39"/>
        <v>0</v>
      </c>
      <c r="S42" s="19">
        <f t="shared" si="40"/>
        <v>0</v>
      </c>
      <c r="T42" s="315">
        <f t="shared" si="41"/>
        <v>0</v>
      </c>
      <c r="U42" s="316">
        <f t="shared" si="42"/>
        <v>0</v>
      </c>
      <c r="V42" s="316">
        <f t="shared" si="43"/>
        <v>0</v>
      </c>
      <c r="W42" s="316">
        <f t="shared" si="44"/>
        <v>0</v>
      </c>
      <c r="X42" s="147" t="str">
        <f t="shared" si="45"/>
        <v>-</v>
      </c>
      <c r="Y42" s="32">
        <f t="shared" si="46"/>
        <v>0</v>
      </c>
      <c r="Z42" s="31">
        <f t="shared" si="47"/>
        <v>0</v>
      </c>
      <c r="AA42" s="31">
        <f t="shared" si="48"/>
        <v>0</v>
      </c>
      <c r="AB42" s="31">
        <f t="shared" si="49"/>
        <v>0</v>
      </c>
      <c r="AC42" s="31">
        <f t="shared" si="50"/>
        <v>0</v>
      </c>
      <c r="AD42" s="31">
        <f t="shared" si="51"/>
        <v>0</v>
      </c>
      <c r="AE42" s="308">
        <f t="shared" si="52"/>
        <v>0</v>
      </c>
      <c r="AF42" s="309">
        <f t="shared" si="53"/>
        <v>0</v>
      </c>
      <c r="AG42" s="309">
        <f t="shared" si="54"/>
        <v>0</v>
      </c>
      <c r="AH42" s="309">
        <f t="shared" si="55"/>
        <v>0</v>
      </c>
      <c r="AI42" s="309">
        <f t="shared" si="56"/>
        <v>0</v>
      </c>
      <c r="AJ42" s="309">
        <f t="shared" si="57"/>
        <v>0</v>
      </c>
      <c r="AK42" s="278"/>
      <c r="AL42" s="296">
        <v>1.5000000000000013E-3</v>
      </c>
      <c r="AM42" s="296">
        <v>-5.0000000000000044E-4</v>
      </c>
      <c r="AN42" s="296">
        <v>0</v>
      </c>
      <c r="AO42" s="296">
        <v>5.0000000000000044E-4</v>
      </c>
      <c r="AP42" s="296">
        <v>4.0000000000000036E-3</v>
      </c>
      <c r="AQ42" s="296">
        <v>-1.5000000000000013E-3</v>
      </c>
      <c r="AR42" s="296"/>
      <c r="AS42" s="290" t="s">
        <v>5644</v>
      </c>
    </row>
    <row r="43" spans="1:45">
      <c r="A43" s="56"/>
      <c r="B43" s="260"/>
      <c r="C43" s="262"/>
      <c r="D43" s="262"/>
      <c r="E43" s="262"/>
      <c r="F43" s="261"/>
      <c r="G43" s="262"/>
      <c r="H43" s="262"/>
      <c r="I43" s="262"/>
      <c r="J43" s="261"/>
      <c r="K43" s="261"/>
      <c r="L43" s="261"/>
      <c r="M43" s="256"/>
      <c r="N43" s="256"/>
      <c r="O43" s="256"/>
      <c r="P43" s="255"/>
      <c r="Q43" s="262"/>
      <c r="R43" s="262"/>
      <c r="S43" s="262"/>
      <c r="T43" s="304"/>
      <c r="U43" s="317"/>
      <c r="V43" s="318"/>
      <c r="W43" s="318"/>
      <c r="X43" s="284"/>
      <c r="Y43" s="284"/>
      <c r="Z43" s="285"/>
      <c r="AA43" s="285"/>
      <c r="AB43" s="285"/>
      <c r="AC43" s="285"/>
      <c r="AD43" s="289"/>
      <c r="AE43" s="310"/>
      <c r="AF43" s="311"/>
      <c r="AG43" s="311"/>
      <c r="AH43" s="311"/>
      <c r="AI43" s="311"/>
      <c r="AJ43" s="311"/>
      <c r="AK43" s="278"/>
      <c r="AL43" s="291"/>
      <c r="AM43" s="291"/>
      <c r="AN43" s="291"/>
      <c r="AO43" s="291"/>
      <c r="AP43" s="291"/>
      <c r="AQ43" s="291"/>
      <c r="AR43" s="291"/>
    </row>
  </sheetData>
  <sortState xmlns:xlrd2="http://schemas.microsoft.com/office/spreadsheetml/2017/richdata2" ref="A2:AU28">
    <sortCondition ref="A2:A28"/>
  </sortState>
  <phoneticPr fontId="50" type="noConversion"/>
  <conditionalFormatting sqref="I43:L43 L44:O1048576">
    <cfRule type="cellIs" dxfId="9" priority="13" operator="equal">
      <formula>1</formula>
    </cfRule>
  </conditionalFormatting>
  <conditionalFormatting sqref="L1:O42">
    <cfRule type="cellIs" dxfId="8" priority="87" operator="equal">
      <formula>1</formula>
    </cfRule>
  </conditionalFormatting>
  <conditionalFormatting sqref="AL1:AR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12F9-AF1A-774B-A98A-27D7489E6741}">
  <sheetPr>
    <tabColor rgb="FF0070C0"/>
  </sheetPr>
  <dimension ref="A1:AQ78"/>
  <sheetViews>
    <sheetView zoomScale="150" zoomScaleNormal="120" workbookViewId="0">
      <pane xSplit="1" ySplit="1" topLeftCell="B8" activePane="bottomRight" state="frozen"/>
      <selection activeCell="B4" sqref="B4"/>
      <selection pane="topRight" activeCell="B4" sqref="B4"/>
      <selection pane="bottomLeft" activeCell="B4" sqref="B4"/>
      <selection pane="bottomRight" sqref="A1:A1048576"/>
    </sheetView>
  </sheetViews>
  <sheetFormatPr baseColWidth="10" defaultRowHeight="15"/>
  <cols>
    <col min="1" max="1" width="8.6640625" style="56" bestFit="1" customWidth="1"/>
    <col min="2" max="2" width="15.1640625" style="260" customWidth="1"/>
    <col min="3" max="3" width="5.5" style="261" bestFit="1" customWidth="1"/>
    <col min="4" max="4" width="5.5" style="262" bestFit="1" customWidth="1"/>
    <col min="5" max="5" width="6.5" style="262" bestFit="1" customWidth="1"/>
    <col min="6" max="6" width="7.5" style="262" bestFit="1" customWidth="1"/>
    <col min="7" max="7" width="6" style="263" bestFit="1" customWidth="1"/>
    <col min="8" max="8" width="7.6640625" style="263" bestFit="1" customWidth="1"/>
    <col min="9" max="9" width="5.5" style="261" bestFit="1" customWidth="1"/>
    <col min="10" max="10" width="5.5" style="262" bestFit="1" customWidth="1"/>
    <col min="11" max="11" width="6.5" style="262" bestFit="1" customWidth="1"/>
    <col min="12" max="12" width="7.5" style="262" bestFit="1" customWidth="1"/>
    <col min="13" max="13" width="10.1640625" style="255" bestFit="1" customWidth="1"/>
    <col min="14" max="15" width="10.1640625" style="256" bestFit="1" customWidth="1"/>
    <col min="16" max="16" width="11.1640625" style="256" bestFit="1" customWidth="1"/>
    <col min="17" max="17" width="4.6640625" style="304" bestFit="1" customWidth="1"/>
    <col min="18" max="18" width="6" style="305" bestFit="1" customWidth="1"/>
    <col min="19" max="19" width="6.6640625" style="305" customWidth="1"/>
    <col min="20" max="20" width="6" style="305" bestFit="1" customWidth="1"/>
    <col min="21" max="21" width="7.6640625" style="264" bestFit="1" customWidth="1"/>
    <col min="22" max="22" width="8" style="284" bestFit="1" customWidth="1"/>
    <col min="23" max="27" width="8" style="285" bestFit="1" customWidth="1"/>
    <col min="28" max="28" width="6.5" style="299" bestFit="1" customWidth="1"/>
    <col min="29" max="30" width="6.5" style="286" bestFit="1" customWidth="1"/>
    <col min="31" max="31" width="5.83203125" style="286" customWidth="1"/>
    <col min="32" max="32" width="6.33203125" style="286" customWidth="1"/>
    <col min="33" max="33" width="6.5" style="286" bestFit="1" customWidth="1"/>
    <col min="34" max="34" width="6.5" style="299" bestFit="1" customWidth="1"/>
    <col min="35" max="36" width="6.5" style="286" bestFit="1" customWidth="1"/>
    <col min="37" max="37" width="5.83203125" style="286" customWidth="1"/>
    <col min="38" max="38" width="6.33203125" style="286" customWidth="1"/>
    <col min="39" max="39" width="6.5" style="286" bestFit="1" customWidth="1"/>
    <col min="40" max="40" width="10.83203125" style="286"/>
    <col min="41" max="41" width="11.83203125" style="287" bestFit="1" customWidth="1"/>
    <col min="42" max="16384" width="10.83203125" style="260"/>
  </cols>
  <sheetData>
    <row r="1" spans="1:43" s="274" customFormat="1" ht="66" customHeight="1">
      <c r="A1" s="244" t="s">
        <v>5645</v>
      </c>
      <c r="B1" s="265" t="s">
        <v>5530</v>
      </c>
      <c r="C1" s="245" t="s">
        <v>5407</v>
      </c>
      <c r="D1" s="246" t="s">
        <v>5408</v>
      </c>
      <c r="E1" s="246" t="s">
        <v>5409</v>
      </c>
      <c r="F1" s="247" t="s">
        <v>5410</v>
      </c>
      <c r="G1" s="248" t="s">
        <v>5411</v>
      </c>
      <c r="H1" s="248" t="s">
        <v>5412</v>
      </c>
      <c r="I1" s="245" t="s">
        <v>5194</v>
      </c>
      <c r="J1" s="246" t="s">
        <v>5195</v>
      </c>
      <c r="K1" s="247" t="s">
        <v>5196</v>
      </c>
      <c r="L1" s="247" t="s">
        <v>5197</v>
      </c>
      <c r="M1" s="249" t="s">
        <v>5185</v>
      </c>
      <c r="N1" s="250" t="s">
        <v>5186</v>
      </c>
      <c r="O1" s="251" t="s">
        <v>5187</v>
      </c>
      <c r="P1" s="251" t="s">
        <v>5188</v>
      </c>
      <c r="Q1" s="301" t="s">
        <v>5560</v>
      </c>
      <c r="R1" s="302" t="s">
        <v>5561</v>
      </c>
      <c r="S1" s="302" t="s">
        <v>5562</v>
      </c>
      <c r="T1" s="303" t="s">
        <v>5563</v>
      </c>
      <c r="U1" s="252" t="s">
        <v>5193</v>
      </c>
      <c r="V1" s="253" t="s">
        <v>5173</v>
      </c>
      <c r="W1" s="292" t="s">
        <v>5174</v>
      </c>
      <c r="X1" s="292" t="s">
        <v>5179</v>
      </c>
      <c r="Y1" s="292" t="s">
        <v>5182</v>
      </c>
      <c r="Z1" s="254" t="s">
        <v>5183</v>
      </c>
      <c r="AA1" s="254" t="s">
        <v>5184</v>
      </c>
      <c r="AB1" s="266" t="s">
        <v>3264</v>
      </c>
      <c r="AC1" s="267" t="s">
        <v>5528</v>
      </c>
      <c r="AD1" s="267" t="s">
        <v>2853</v>
      </c>
      <c r="AE1" s="268" t="s">
        <v>2852</v>
      </c>
      <c r="AF1" s="267" t="s">
        <v>5529</v>
      </c>
      <c r="AG1" s="268" t="s">
        <v>3265</v>
      </c>
      <c r="AH1" s="297" t="s">
        <v>5646</v>
      </c>
      <c r="AI1" s="269" t="s">
        <v>5647</v>
      </c>
      <c r="AJ1" s="269" t="s">
        <v>5648</v>
      </c>
      <c r="AK1" s="270" t="s">
        <v>5649</v>
      </c>
      <c r="AL1" s="269" t="s">
        <v>5650</v>
      </c>
      <c r="AM1" s="271" t="s">
        <v>5651</v>
      </c>
      <c r="AN1" s="272"/>
      <c r="AO1" s="273" t="s">
        <v>5542</v>
      </c>
      <c r="AQ1" s="62" t="s">
        <v>5901</v>
      </c>
    </row>
    <row r="2" spans="1:43" s="281" customFormat="1">
      <c r="A2" s="275" t="s">
        <v>92</v>
      </c>
      <c r="B2" s="259" t="s">
        <v>5555</v>
      </c>
      <c r="C2" s="255">
        <f>IF(Q2&gt;0,1,"")</f>
        <v>1</v>
      </c>
      <c r="D2" s="256">
        <f t="shared" ref="D2:F17" si="0">IF(R2&gt;0,1,"")</f>
        <v>1</v>
      </c>
      <c r="E2" s="256">
        <f t="shared" si="0"/>
        <v>1</v>
      </c>
      <c r="F2" s="256">
        <f t="shared" si="0"/>
        <v>1</v>
      </c>
      <c r="G2" s="257">
        <f>COUNTIF(I2:L2,"&gt;0")</f>
        <v>4</v>
      </c>
      <c r="H2" s="258" t="str">
        <f>IF(SUM(Q2:T2)=0,"-",SUBSTITUTE(INDEX(Q$1:T$1,1,MATCH(MAX(Q2:T2),Q2:T2,0)),"-fam",""))</f>
        <v>Gs</v>
      </c>
      <c r="I2" s="255">
        <f>IF(Q2=0,0,_xlfn.RANK.EQ(Q2,$Q2:$T2,0))</f>
        <v>1</v>
      </c>
      <c r="J2" s="256">
        <f t="shared" ref="J2:L17" si="1">IF(R2=0,0,_xlfn.RANK.EQ(R2,$Q2:$T2,0))</f>
        <v>3</v>
      </c>
      <c r="K2" s="256">
        <f t="shared" si="1"/>
        <v>4</v>
      </c>
      <c r="L2" s="256">
        <f t="shared" si="1"/>
        <v>2</v>
      </c>
      <c r="M2" s="255">
        <f>IF(Q2=0,0,Q2/MAX($Q2:$T2)*100)</f>
        <v>100</v>
      </c>
      <c r="N2" s="256">
        <f t="shared" ref="N2:P2" si="2">IF(R2=0,0,R2/MAX($Q2:$T2)*100)</f>
        <v>58.793969849246231</v>
      </c>
      <c r="O2" s="256">
        <f t="shared" si="2"/>
        <v>46.231155778894468</v>
      </c>
      <c r="P2" s="256">
        <f t="shared" si="2"/>
        <v>99.497487437185924</v>
      </c>
      <c r="Q2" s="304">
        <f>AB2</f>
        <v>3.3166666666666698E-2</v>
      </c>
      <c r="R2" s="305">
        <f>AC2</f>
        <v>1.9500000000000017E-2</v>
      </c>
      <c r="S2" s="305">
        <f>MAX(AD2:AE2)</f>
        <v>1.5333333333333346E-2</v>
      </c>
      <c r="T2" s="305">
        <f>MAX(AF2:AG2)</f>
        <v>3.3000000000000029E-2</v>
      </c>
      <c r="U2" s="258" t="str">
        <f>IF(SUM(AB2:AG2)=0,"-",INDEX(AB$1:AG$1,1,MATCH(MAX(AB2:AG2),AB2:AG2,0)))</f>
        <v>GsL</v>
      </c>
      <c r="V2" s="276">
        <f>IF(AB2=0,0,AB2/MAX($AB2:$AG2)*100)</f>
        <v>100</v>
      </c>
      <c r="W2" s="277">
        <f>IF(AC2=0,0,AC2/MAX($AB2:$AG2)*100)</f>
        <v>58.793969849246231</v>
      </c>
      <c r="X2" s="277">
        <f>IF(AD2=0,0,AD2/MAX($AB2:$AG2)*100)</f>
        <v>46.231155778894468</v>
      </c>
      <c r="Y2" s="277">
        <f>IF(AE2=0,0,AE2/MAX($AB2:$AG2)*100)</f>
        <v>37.688442211055275</v>
      </c>
      <c r="Z2" s="277"/>
      <c r="AA2" s="277">
        <f t="shared" ref="AA2:AA49" si="3">IF(AG2=0,0,AG2/MAX($AB2:$AG2)*100)</f>
        <v>99.497487437185924</v>
      </c>
      <c r="AB2" s="298">
        <f>IF(AH2&lt;0.009,0,AH2)</f>
        <v>3.3166666666666698E-2</v>
      </c>
      <c r="AC2" s="279">
        <f t="shared" ref="AC2:AG2" si="4">IF(AI2&lt;0.009,0,AI2)</f>
        <v>1.9500000000000017E-2</v>
      </c>
      <c r="AD2" s="279">
        <f t="shared" si="4"/>
        <v>1.5333333333333346E-2</v>
      </c>
      <c r="AE2" s="279">
        <f t="shared" si="4"/>
        <v>1.2500000000000011E-2</v>
      </c>
      <c r="AF2" s="279"/>
      <c r="AG2" s="279">
        <f t="shared" si="4"/>
        <v>3.3000000000000029E-2</v>
      </c>
      <c r="AH2" s="298">
        <v>3.3166666666666698E-2</v>
      </c>
      <c r="AI2" s="279">
        <v>1.9500000000000017E-2</v>
      </c>
      <c r="AJ2" s="279">
        <v>1.5333333333333346E-2</v>
      </c>
      <c r="AK2" s="279">
        <v>1.2500000000000011E-2</v>
      </c>
      <c r="AL2" s="279"/>
      <c r="AM2" s="279">
        <v>3.3000000000000029E-2</v>
      </c>
      <c r="AN2" s="279"/>
      <c r="AO2" s="280" t="s">
        <v>92</v>
      </c>
      <c r="AQ2" s="281" t="e">
        <f>VLOOKUP(A2,'Lambert-RGB-GDP_Efficacy'!A:A,1,FALSE)</f>
        <v>#N/A</v>
      </c>
    </row>
    <row r="3" spans="1:43" s="281" customFormat="1">
      <c r="A3" s="275" t="s">
        <v>3582</v>
      </c>
      <c r="B3" s="259" t="s">
        <v>5555</v>
      </c>
      <c r="C3" s="255" t="str">
        <f t="shared" ref="C3:F18" si="5">IF(Q3&gt;0,1,"")</f>
        <v/>
      </c>
      <c r="D3" s="256" t="str">
        <f t="shared" si="0"/>
        <v/>
      </c>
      <c r="E3" s="256" t="str">
        <f t="shared" si="0"/>
        <v/>
      </c>
      <c r="F3" s="256" t="str">
        <f t="shared" si="0"/>
        <v/>
      </c>
      <c r="G3" s="257">
        <f t="shared" ref="G3:G66" si="6">COUNTIF(I3:L3,"&gt;0")</f>
        <v>0</v>
      </c>
      <c r="H3" s="258" t="str">
        <f t="shared" ref="H3:H66" si="7">IF(SUM(Q3:T3)=0,"-",SUBSTITUTE(INDEX(Q$1:T$1,1,MATCH(MAX(Q3:T3),Q3:T3,0)),"-fam",""))</f>
        <v>-</v>
      </c>
      <c r="I3" s="255">
        <f t="shared" ref="I3:L64" si="8">IF(Q3=0,0,_xlfn.RANK.EQ(Q3,$Q3:$T3,0))</f>
        <v>0</v>
      </c>
      <c r="J3" s="256">
        <f t="shared" si="1"/>
        <v>0</v>
      </c>
      <c r="K3" s="256">
        <f t="shared" si="1"/>
        <v>0</v>
      </c>
      <c r="L3" s="256">
        <f t="shared" si="1"/>
        <v>0</v>
      </c>
      <c r="M3" s="255">
        <f t="shared" ref="M3:M66" si="9">IF(Q3=0,0,Q3/MAX($Q3:$T3)*100)</f>
        <v>0</v>
      </c>
      <c r="N3" s="256">
        <f t="shared" ref="N3:N66" si="10">IF(R3=0,0,R3/MAX($Q3:$T3)*100)</f>
        <v>0</v>
      </c>
      <c r="O3" s="256">
        <f t="shared" ref="O3:O66" si="11">IF(S3=0,0,S3/MAX($Q3:$T3)*100)</f>
        <v>0</v>
      </c>
      <c r="P3" s="256">
        <f t="shared" ref="P3:P66" si="12">IF(T3=0,0,T3/MAX($Q3:$T3)*100)</f>
        <v>0</v>
      </c>
      <c r="Q3" s="304">
        <f t="shared" ref="Q3:Q66" si="13">AB3</f>
        <v>0</v>
      </c>
      <c r="R3" s="305">
        <f t="shared" ref="R3:R66" si="14">AC3</f>
        <v>0</v>
      </c>
      <c r="S3" s="305">
        <f t="shared" ref="S3:S66" si="15">MAX(AD3:AE3)</f>
        <v>0</v>
      </c>
      <c r="T3" s="305">
        <f t="shared" ref="T3:T66" si="16">MAX(AF3:AG3)</f>
        <v>0</v>
      </c>
      <c r="U3" s="258" t="str">
        <f t="shared" ref="U3:U66" si="17">IF(SUM(AB3:AG3)=0,"-",INDEX(AB$1:AG$1,1,MATCH(MAX(AB3:AG3),AB3:AG3,0)))</f>
        <v>-</v>
      </c>
      <c r="V3" s="276">
        <f t="shared" ref="V3:V66" si="18">IF(AB3=0,0,AB3/MAX($AB3:$AG3)*100)</f>
        <v>0</v>
      </c>
      <c r="W3" s="277">
        <f t="shared" ref="W3:W66" si="19">IF(AC3=0,0,AC3/MAX($AB3:$AG3)*100)</f>
        <v>0</v>
      </c>
      <c r="X3" s="277">
        <f t="shared" ref="X3:X66" si="20">IF(AD3=0,0,AD3/MAX($AB3:$AG3)*100)</f>
        <v>0</v>
      </c>
      <c r="Y3" s="277">
        <f t="shared" ref="Y3:Y49" si="21">IF(AE3=0,0,AE3/MAX($AB3:$AG3)*100)</f>
        <v>0</v>
      </c>
      <c r="Z3" s="277"/>
      <c r="AA3" s="277">
        <f t="shared" si="3"/>
        <v>0</v>
      </c>
      <c r="AB3" s="298">
        <f t="shared" ref="AB3:AB51" si="22">IF(AH3&lt;0.009,0,AH3)</f>
        <v>0</v>
      </c>
      <c r="AC3" s="279">
        <f t="shared" ref="AC3:AC52" si="23">IF(AI3&lt;0.009,0,AI3)</f>
        <v>0</v>
      </c>
      <c r="AD3" s="279">
        <f t="shared" ref="AD3:AD52" si="24">IF(AJ3&lt;0.009,0,AJ3)</f>
        <v>0</v>
      </c>
      <c r="AE3" s="279">
        <f t="shared" ref="AE3:AE49" si="25">IF(AK3&lt;0.009,0,AK3)</f>
        <v>0</v>
      </c>
      <c r="AF3" s="279"/>
      <c r="AG3" s="279">
        <f t="shared" ref="AG3:AG49" si="26">IF(AM3&lt;0.009,0,AM3)</f>
        <v>0</v>
      </c>
      <c r="AH3" s="298">
        <v>8.3333333333333404E-4</v>
      </c>
      <c r="AI3" s="279">
        <v>5.3333333333333401E-3</v>
      </c>
      <c r="AJ3" s="279">
        <v>-1.6666666666666681E-3</v>
      </c>
      <c r="AK3" s="279">
        <v>-3.3333333333333365E-4</v>
      </c>
      <c r="AL3" s="279"/>
      <c r="AM3" s="279">
        <v>1.0000000000000009E-3</v>
      </c>
      <c r="AN3" s="279"/>
      <c r="AO3" s="280" t="s">
        <v>3582</v>
      </c>
      <c r="AQ3" s="281" t="e">
        <f>VLOOKUP(A3,'Lambert-RGB-GDP_Efficacy'!A:A,1,FALSE)</f>
        <v>#N/A</v>
      </c>
    </row>
    <row r="4" spans="1:43" s="281" customFormat="1">
      <c r="A4" s="275" t="s">
        <v>3494</v>
      </c>
      <c r="B4" s="259" t="s">
        <v>5555</v>
      </c>
      <c r="C4" s="255" t="str">
        <f t="shared" si="5"/>
        <v/>
      </c>
      <c r="D4" s="256" t="str">
        <f t="shared" si="0"/>
        <v/>
      </c>
      <c r="E4" s="256" t="str">
        <f t="shared" si="0"/>
        <v/>
      </c>
      <c r="F4" s="256" t="str">
        <f t="shared" si="0"/>
        <v/>
      </c>
      <c r="G4" s="257">
        <f t="shared" si="6"/>
        <v>0</v>
      </c>
      <c r="H4" s="258" t="str">
        <f t="shared" si="7"/>
        <v>-</v>
      </c>
      <c r="I4" s="255">
        <f t="shared" si="8"/>
        <v>0</v>
      </c>
      <c r="J4" s="256">
        <f t="shared" si="1"/>
        <v>0</v>
      </c>
      <c r="K4" s="256">
        <f t="shared" si="1"/>
        <v>0</v>
      </c>
      <c r="L4" s="256">
        <f t="shared" si="1"/>
        <v>0</v>
      </c>
      <c r="M4" s="255">
        <f t="shared" si="9"/>
        <v>0</v>
      </c>
      <c r="N4" s="256">
        <f t="shared" si="10"/>
        <v>0</v>
      </c>
      <c r="O4" s="256">
        <f t="shared" si="11"/>
        <v>0</v>
      </c>
      <c r="P4" s="256">
        <f t="shared" si="12"/>
        <v>0</v>
      </c>
      <c r="Q4" s="304">
        <f t="shared" si="13"/>
        <v>0</v>
      </c>
      <c r="R4" s="305">
        <f t="shared" si="14"/>
        <v>0</v>
      </c>
      <c r="S4" s="305">
        <f t="shared" si="15"/>
        <v>0</v>
      </c>
      <c r="T4" s="305">
        <f t="shared" si="16"/>
        <v>0</v>
      </c>
      <c r="U4" s="258" t="str">
        <f t="shared" si="17"/>
        <v>-</v>
      </c>
      <c r="V4" s="276">
        <f t="shared" si="18"/>
        <v>0</v>
      </c>
      <c r="W4" s="277">
        <f t="shared" si="19"/>
        <v>0</v>
      </c>
      <c r="X4" s="277">
        <f t="shared" si="20"/>
        <v>0</v>
      </c>
      <c r="Y4" s="277">
        <f t="shared" si="21"/>
        <v>0</v>
      </c>
      <c r="Z4" s="277"/>
      <c r="AA4" s="277">
        <f t="shared" si="3"/>
        <v>0</v>
      </c>
      <c r="AB4" s="298">
        <f t="shared" si="22"/>
        <v>0</v>
      </c>
      <c r="AC4" s="279">
        <f t="shared" si="23"/>
        <v>0</v>
      </c>
      <c r="AD4" s="279">
        <f t="shared" si="24"/>
        <v>0</v>
      </c>
      <c r="AE4" s="279">
        <f t="shared" si="25"/>
        <v>0</v>
      </c>
      <c r="AF4" s="279"/>
      <c r="AG4" s="279">
        <f t="shared" si="26"/>
        <v>0</v>
      </c>
      <c r="AH4" s="298">
        <v>0</v>
      </c>
      <c r="AI4" s="279">
        <v>-4.999999999999819E-4</v>
      </c>
      <c r="AJ4" s="279">
        <v>1.6666666666666682E-4</v>
      </c>
      <c r="AK4" s="279">
        <v>-1.0000000000000009E-3</v>
      </c>
      <c r="AL4" s="279"/>
      <c r="AM4" s="279">
        <v>5.0000000000001898E-4</v>
      </c>
      <c r="AN4" s="279"/>
      <c r="AO4" s="280" t="s">
        <v>3494</v>
      </c>
      <c r="AQ4" s="281" t="e">
        <f>VLOOKUP(A4,'Lambert-RGB-GDP_Efficacy'!A:A,1,FALSE)</f>
        <v>#N/A</v>
      </c>
    </row>
    <row r="5" spans="1:43" s="281" customFormat="1">
      <c r="A5" s="275" t="s">
        <v>3483</v>
      </c>
      <c r="B5" s="259" t="s">
        <v>5555</v>
      </c>
      <c r="C5" s="255" t="str">
        <f t="shared" si="5"/>
        <v/>
      </c>
      <c r="D5" s="256">
        <f t="shared" si="0"/>
        <v>1</v>
      </c>
      <c r="E5" s="256" t="str">
        <f t="shared" si="0"/>
        <v/>
      </c>
      <c r="F5" s="256" t="str">
        <f t="shared" si="0"/>
        <v/>
      </c>
      <c r="G5" s="257">
        <f t="shared" si="6"/>
        <v>1</v>
      </c>
      <c r="H5" s="258" t="str">
        <f t="shared" si="7"/>
        <v>Gi/o</v>
      </c>
      <c r="I5" s="255">
        <f t="shared" si="8"/>
        <v>0</v>
      </c>
      <c r="J5" s="256">
        <f t="shared" si="1"/>
        <v>1</v>
      </c>
      <c r="K5" s="256">
        <f t="shared" si="1"/>
        <v>0</v>
      </c>
      <c r="L5" s="256">
        <f t="shared" si="1"/>
        <v>0</v>
      </c>
      <c r="M5" s="255">
        <f t="shared" si="9"/>
        <v>0</v>
      </c>
      <c r="N5" s="256">
        <f t="shared" si="10"/>
        <v>100</v>
      </c>
      <c r="O5" s="256">
        <f t="shared" si="11"/>
        <v>0</v>
      </c>
      <c r="P5" s="256">
        <f t="shared" si="12"/>
        <v>0</v>
      </c>
      <c r="Q5" s="304">
        <f t="shared" si="13"/>
        <v>0</v>
      </c>
      <c r="R5" s="305">
        <f t="shared" si="14"/>
        <v>7.1833333333333346E-2</v>
      </c>
      <c r="S5" s="305">
        <f t="shared" si="15"/>
        <v>0</v>
      </c>
      <c r="T5" s="305">
        <f t="shared" si="16"/>
        <v>0</v>
      </c>
      <c r="U5" s="258" t="str">
        <f t="shared" si="17"/>
        <v>Gi1</v>
      </c>
      <c r="V5" s="276">
        <f t="shared" si="18"/>
        <v>0</v>
      </c>
      <c r="W5" s="277">
        <f t="shared" si="19"/>
        <v>100</v>
      </c>
      <c r="X5" s="277">
        <f t="shared" si="20"/>
        <v>0</v>
      </c>
      <c r="Y5" s="277">
        <f t="shared" si="21"/>
        <v>0</v>
      </c>
      <c r="Z5" s="277"/>
      <c r="AA5" s="277">
        <f t="shared" si="3"/>
        <v>0</v>
      </c>
      <c r="AB5" s="298">
        <f t="shared" si="22"/>
        <v>0</v>
      </c>
      <c r="AC5" s="279">
        <f t="shared" si="23"/>
        <v>7.1833333333333346E-2</v>
      </c>
      <c r="AD5" s="279">
        <f t="shared" si="24"/>
        <v>0</v>
      </c>
      <c r="AE5" s="279">
        <f t="shared" si="25"/>
        <v>0</v>
      </c>
      <c r="AF5" s="279"/>
      <c r="AG5" s="279">
        <f t="shared" si="26"/>
        <v>0</v>
      </c>
      <c r="AH5" s="298">
        <v>3.3333333333333365E-4</v>
      </c>
      <c r="AI5" s="279">
        <v>7.1833333333333346E-2</v>
      </c>
      <c r="AJ5" s="279">
        <v>5.0000000000000044E-4</v>
      </c>
      <c r="AK5" s="279">
        <v>1.1666666666666676E-3</v>
      </c>
      <c r="AL5" s="279"/>
      <c r="AM5" s="279">
        <v>1.1666666666666676E-3</v>
      </c>
      <c r="AN5" s="279"/>
      <c r="AO5" s="280" t="s">
        <v>3483</v>
      </c>
      <c r="AQ5" s="281" t="e">
        <f>VLOOKUP(A5,'Lambert-RGB-GDP_Efficacy'!A:A,1,FALSE)</f>
        <v>#N/A</v>
      </c>
    </row>
    <row r="6" spans="1:43" s="281" customFormat="1">
      <c r="A6" s="275" t="s">
        <v>4355</v>
      </c>
      <c r="B6" s="259" t="s">
        <v>5555</v>
      </c>
      <c r="C6" s="255">
        <f t="shared" si="5"/>
        <v>1</v>
      </c>
      <c r="D6" s="256" t="str">
        <f t="shared" si="0"/>
        <v/>
      </c>
      <c r="E6" s="256">
        <f t="shared" si="0"/>
        <v>1</v>
      </c>
      <c r="F6" s="256" t="str">
        <f t="shared" si="0"/>
        <v/>
      </c>
      <c r="G6" s="257">
        <f t="shared" si="6"/>
        <v>2</v>
      </c>
      <c r="H6" s="258" t="str">
        <f t="shared" si="7"/>
        <v>Gs</v>
      </c>
      <c r="I6" s="255">
        <f t="shared" si="8"/>
        <v>1</v>
      </c>
      <c r="J6" s="256">
        <f t="shared" si="1"/>
        <v>0</v>
      </c>
      <c r="K6" s="256">
        <f t="shared" si="1"/>
        <v>2</v>
      </c>
      <c r="L6" s="256">
        <f t="shared" si="1"/>
        <v>0</v>
      </c>
      <c r="M6" s="255">
        <f t="shared" si="9"/>
        <v>100</v>
      </c>
      <c r="N6" s="256">
        <f t="shared" si="10"/>
        <v>0</v>
      </c>
      <c r="O6" s="256">
        <f t="shared" si="11"/>
        <v>42.675159235668794</v>
      </c>
      <c r="P6" s="256">
        <f t="shared" si="12"/>
        <v>0</v>
      </c>
      <c r="Q6" s="304">
        <f t="shared" si="13"/>
        <v>2.6166666666666689E-2</v>
      </c>
      <c r="R6" s="305">
        <f t="shared" si="14"/>
        <v>0</v>
      </c>
      <c r="S6" s="305">
        <f t="shared" si="15"/>
        <v>1.1166666666666677E-2</v>
      </c>
      <c r="T6" s="305">
        <f t="shared" si="16"/>
        <v>0</v>
      </c>
      <c r="U6" s="258" t="str">
        <f t="shared" si="17"/>
        <v>GsL</v>
      </c>
      <c r="V6" s="276">
        <f t="shared" si="18"/>
        <v>100</v>
      </c>
      <c r="W6" s="277">
        <f t="shared" si="19"/>
        <v>0</v>
      </c>
      <c r="X6" s="277">
        <f t="shared" si="20"/>
        <v>0</v>
      </c>
      <c r="Y6" s="277">
        <f t="shared" si="21"/>
        <v>42.675159235668794</v>
      </c>
      <c r="Z6" s="277"/>
      <c r="AA6" s="277">
        <f t="shared" si="3"/>
        <v>0</v>
      </c>
      <c r="AB6" s="298">
        <f t="shared" si="22"/>
        <v>2.6166666666666689E-2</v>
      </c>
      <c r="AC6" s="279">
        <f t="shared" si="23"/>
        <v>0</v>
      </c>
      <c r="AD6" s="279">
        <f t="shared" si="24"/>
        <v>0</v>
      </c>
      <c r="AE6" s="279">
        <f t="shared" si="25"/>
        <v>1.1166666666666677E-2</v>
      </c>
      <c r="AF6" s="279"/>
      <c r="AG6" s="279">
        <f t="shared" si="26"/>
        <v>0</v>
      </c>
      <c r="AH6" s="298">
        <v>2.6166666666666689E-2</v>
      </c>
      <c r="AI6" s="279">
        <v>1.0000000000000009E-3</v>
      </c>
      <c r="AJ6" s="279">
        <v>5.0000000000000044E-4</v>
      </c>
      <c r="AK6" s="279">
        <v>1.1166666666666677E-2</v>
      </c>
      <c r="AL6" s="279"/>
      <c r="AM6" s="279">
        <v>2.6666666666666692E-3</v>
      </c>
      <c r="AN6" s="279"/>
      <c r="AO6" s="280" t="s">
        <v>4355</v>
      </c>
      <c r="AQ6" s="281" t="e">
        <f>VLOOKUP(A6,'Lambert-RGB-GDP_Efficacy'!A:A,1,FALSE)</f>
        <v>#N/A</v>
      </c>
    </row>
    <row r="7" spans="1:43" s="281" customFormat="1">
      <c r="A7" s="275" t="s">
        <v>3481</v>
      </c>
      <c r="B7" s="259" t="s">
        <v>5555</v>
      </c>
      <c r="C7" s="255" t="str">
        <f t="shared" si="5"/>
        <v/>
      </c>
      <c r="D7" s="256">
        <f t="shared" si="0"/>
        <v>1</v>
      </c>
      <c r="E7" s="256" t="str">
        <f t="shared" si="0"/>
        <v/>
      </c>
      <c r="F7" s="256" t="str">
        <f t="shared" si="0"/>
        <v/>
      </c>
      <c r="G7" s="257">
        <f t="shared" si="6"/>
        <v>1</v>
      </c>
      <c r="H7" s="258" t="str">
        <f t="shared" si="7"/>
        <v>Gi/o</v>
      </c>
      <c r="I7" s="255">
        <f t="shared" si="8"/>
        <v>0</v>
      </c>
      <c r="J7" s="256">
        <f t="shared" si="1"/>
        <v>1</v>
      </c>
      <c r="K7" s="256">
        <f t="shared" si="1"/>
        <v>0</v>
      </c>
      <c r="L7" s="256">
        <f t="shared" si="1"/>
        <v>0</v>
      </c>
      <c r="M7" s="255">
        <f t="shared" si="9"/>
        <v>0</v>
      </c>
      <c r="N7" s="256">
        <f t="shared" si="10"/>
        <v>100</v>
      </c>
      <c r="O7" s="256">
        <f t="shared" si="11"/>
        <v>0</v>
      </c>
      <c r="P7" s="256">
        <f t="shared" si="12"/>
        <v>0</v>
      </c>
      <c r="Q7" s="304">
        <f t="shared" si="13"/>
        <v>0</v>
      </c>
      <c r="R7" s="305">
        <f t="shared" si="14"/>
        <v>4.8666666666666657E-2</v>
      </c>
      <c r="S7" s="305">
        <f t="shared" si="15"/>
        <v>0</v>
      </c>
      <c r="T7" s="305">
        <f t="shared" si="16"/>
        <v>0</v>
      </c>
      <c r="U7" s="258" t="str">
        <f t="shared" si="17"/>
        <v>Gi1</v>
      </c>
      <c r="V7" s="276">
        <f t="shared" si="18"/>
        <v>0</v>
      </c>
      <c r="W7" s="277">
        <f t="shared" si="19"/>
        <v>100</v>
      </c>
      <c r="X7" s="277">
        <f t="shared" si="20"/>
        <v>0</v>
      </c>
      <c r="Y7" s="277">
        <f t="shared" si="21"/>
        <v>0</v>
      </c>
      <c r="Z7" s="277"/>
      <c r="AA7" s="277">
        <f t="shared" si="3"/>
        <v>0</v>
      </c>
      <c r="AB7" s="298">
        <f t="shared" si="22"/>
        <v>0</v>
      </c>
      <c r="AC7" s="279">
        <f t="shared" si="23"/>
        <v>4.8666666666666657E-2</v>
      </c>
      <c r="AD7" s="279">
        <f t="shared" si="24"/>
        <v>0</v>
      </c>
      <c r="AE7" s="279">
        <f t="shared" si="25"/>
        <v>0</v>
      </c>
      <c r="AF7" s="279"/>
      <c r="AG7" s="279">
        <f t="shared" si="26"/>
        <v>0</v>
      </c>
      <c r="AH7" s="298">
        <v>1.3333333333333346E-3</v>
      </c>
      <c r="AI7" s="279">
        <v>4.8666666666666657E-2</v>
      </c>
      <c r="AJ7" s="279">
        <v>2.5000000000000022E-3</v>
      </c>
      <c r="AK7" s="279">
        <v>8.3333333333333404E-4</v>
      </c>
      <c r="AL7" s="279"/>
      <c r="AM7" s="279">
        <v>6.6666666666666729E-4</v>
      </c>
      <c r="AN7" s="279"/>
      <c r="AO7" s="280" t="s">
        <v>3481</v>
      </c>
      <c r="AQ7" s="281" t="e">
        <f>VLOOKUP(A7,'Lambert-RGB-GDP_Efficacy'!A:A,1,FALSE)</f>
        <v>#N/A</v>
      </c>
    </row>
    <row r="8" spans="1:43" s="281" customFormat="1">
      <c r="A8" s="275" t="s">
        <v>4353</v>
      </c>
      <c r="B8" s="259" t="s">
        <v>5555</v>
      </c>
      <c r="C8" s="255" t="str">
        <f t="shared" si="5"/>
        <v/>
      </c>
      <c r="D8" s="256">
        <f t="shared" si="0"/>
        <v>1</v>
      </c>
      <c r="E8" s="256" t="str">
        <f t="shared" si="0"/>
        <v/>
      </c>
      <c r="F8" s="256" t="str">
        <f t="shared" si="0"/>
        <v/>
      </c>
      <c r="G8" s="257">
        <f t="shared" si="6"/>
        <v>1</v>
      </c>
      <c r="H8" s="258" t="str">
        <f t="shared" si="7"/>
        <v>Gi/o</v>
      </c>
      <c r="I8" s="255">
        <f t="shared" si="8"/>
        <v>0</v>
      </c>
      <c r="J8" s="256">
        <f t="shared" si="1"/>
        <v>1</v>
      </c>
      <c r="K8" s="256">
        <f t="shared" si="1"/>
        <v>0</v>
      </c>
      <c r="L8" s="256">
        <f t="shared" si="1"/>
        <v>0</v>
      </c>
      <c r="M8" s="255">
        <f t="shared" si="9"/>
        <v>0</v>
      </c>
      <c r="N8" s="256">
        <f t="shared" si="10"/>
        <v>100</v>
      </c>
      <c r="O8" s="256">
        <f t="shared" si="11"/>
        <v>0</v>
      </c>
      <c r="P8" s="256">
        <f t="shared" si="12"/>
        <v>0</v>
      </c>
      <c r="Q8" s="304">
        <f t="shared" si="13"/>
        <v>0</v>
      </c>
      <c r="R8" s="305">
        <f t="shared" si="14"/>
        <v>1.0333333333333325E-2</v>
      </c>
      <c r="S8" s="305">
        <f t="shared" si="15"/>
        <v>0</v>
      </c>
      <c r="T8" s="305">
        <f t="shared" si="16"/>
        <v>0</v>
      </c>
      <c r="U8" s="258" t="str">
        <f t="shared" si="17"/>
        <v>Gi1</v>
      </c>
      <c r="V8" s="276">
        <f t="shared" si="18"/>
        <v>0</v>
      </c>
      <c r="W8" s="277">
        <f t="shared" si="19"/>
        <v>100</v>
      </c>
      <c r="X8" s="277">
        <f t="shared" si="20"/>
        <v>0</v>
      </c>
      <c r="Y8" s="277">
        <f t="shared" si="21"/>
        <v>0</v>
      </c>
      <c r="Z8" s="277"/>
      <c r="AA8" s="277">
        <f t="shared" si="3"/>
        <v>0</v>
      </c>
      <c r="AB8" s="298">
        <f t="shared" si="22"/>
        <v>0</v>
      </c>
      <c r="AC8" s="279">
        <f t="shared" si="23"/>
        <v>1.0333333333333325E-2</v>
      </c>
      <c r="AD8" s="279">
        <f t="shared" si="24"/>
        <v>0</v>
      </c>
      <c r="AE8" s="279">
        <f t="shared" si="25"/>
        <v>0</v>
      </c>
      <c r="AF8" s="279"/>
      <c r="AG8" s="279">
        <f t="shared" si="26"/>
        <v>0</v>
      </c>
      <c r="AH8" s="298">
        <v>6.6666666666666729E-4</v>
      </c>
      <c r="AI8" s="279">
        <v>1.0333333333333325E-2</v>
      </c>
      <c r="AJ8" s="279">
        <v>1.6666666666666681E-3</v>
      </c>
      <c r="AK8" s="279">
        <v>3.3333333333333365E-4</v>
      </c>
      <c r="AL8" s="279"/>
      <c r="AM8" s="279">
        <v>-5.0000000000000044E-4</v>
      </c>
      <c r="AN8" s="279"/>
      <c r="AO8" s="280" t="s">
        <v>4353</v>
      </c>
      <c r="AQ8" s="281" t="e">
        <f>VLOOKUP(A8,'Lambert-RGB-GDP_Efficacy'!A:A,1,FALSE)</f>
        <v>#N/A</v>
      </c>
    </row>
    <row r="9" spans="1:43" s="281" customFormat="1">
      <c r="A9" s="275" t="s">
        <v>3479</v>
      </c>
      <c r="B9" s="259" t="s">
        <v>5555</v>
      </c>
      <c r="C9" s="255">
        <f t="shared" si="5"/>
        <v>1</v>
      </c>
      <c r="D9" s="256">
        <f t="shared" si="0"/>
        <v>1</v>
      </c>
      <c r="E9" s="256">
        <f t="shared" si="0"/>
        <v>1</v>
      </c>
      <c r="F9" s="256" t="str">
        <f t="shared" si="0"/>
        <v/>
      </c>
      <c r="G9" s="257">
        <f t="shared" si="6"/>
        <v>3</v>
      </c>
      <c r="H9" s="258" t="str">
        <f t="shared" si="7"/>
        <v>Gs</v>
      </c>
      <c r="I9" s="255">
        <f t="shared" si="8"/>
        <v>1</v>
      </c>
      <c r="J9" s="256">
        <f t="shared" si="1"/>
        <v>2</v>
      </c>
      <c r="K9" s="256">
        <f t="shared" si="1"/>
        <v>3</v>
      </c>
      <c r="L9" s="256">
        <f t="shared" si="1"/>
        <v>0</v>
      </c>
      <c r="M9" s="255">
        <f t="shared" si="9"/>
        <v>100</v>
      </c>
      <c r="N9" s="256">
        <f t="shared" si="10"/>
        <v>62.939297124600657</v>
      </c>
      <c r="O9" s="256">
        <f t="shared" si="11"/>
        <v>46.964856230031984</v>
      </c>
      <c r="P9" s="256">
        <f t="shared" si="12"/>
        <v>0</v>
      </c>
      <c r="Q9" s="304">
        <f t="shared" si="13"/>
        <v>5.2166666666666674E-2</v>
      </c>
      <c r="R9" s="305">
        <f t="shared" si="14"/>
        <v>3.2833333333333346E-2</v>
      </c>
      <c r="S9" s="305">
        <f t="shared" si="15"/>
        <v>2.4500000000000022E-2</v>
      </c>
      <c r="T9" s="305">
        <f t="shared" si="16"/>
        <v>0</v>
      </c>
      <c r="U9" s="258" t="str">
        <f t="shared" si="17"/>
        <v>GsL</v>
      </c>
      <c r="V9" s="276">
        <f t="shared" si="18"/>
        <v>100</v>
      </c>
      <c r="W9" s="277">
        <f t="shared" si="19"/>
        <v>62.939297124600657</v>
      </c>
      <c r="X9" s="277">
        <f t="shared" si="20"/>
        <v>17.252396166134197</v>
      </c>
      <c r="Y9" s="277">
        <f t="shared" si="21"/>
        <v>46.964856230031984</v>
      </c>
      <c r="Z9" s="277"/>
      <c r="AA9" s="277">
        <f t="shared" si="3"/>
        <v>0</v>
      </c>
      <c r="AB9" s="298">
        <f t="shared" si="22"/>
        <v>5.2166666666666674E-2</v>
      </c>
      <c r="AC9" s="279">
        <f t="shared" si="23"/>
        <v>3.2833333333333346E-2</v>
      </c>
      <c r="AD9" s="279">
        <f t="shared" si="24"/>
        <v>9.000000000000008E-3</v>
      </c>
      <c r="AE9" s="279">
        <f t="shared" si="25"/>
        <v>2.4500000000000022E-2</v>
      </c>
      <c r="AF9" s="279"/>
      <c r="AG9" s="279">
        <f t="shared" si="26"/>
        <v>0</v>
      </c>
      <c r="AH9" s="298">
        <v>5.2166666666666674E-2</v>
      </c>
      <c r="AI9" s="279">
        <v>3.2833333333333346E-2</v>
      </c>
      <c r="AJ9" s="279">
        <v>9.000000000000008E-3</v>
      </c>
      <c r="AK9" s="279">
        <v>2.4500000000000022E-2</v>
      </c>
      <c r="AL9" s="279"/>
      <c r="AM9" s="279">
        <v>1.3333333333333346E-3</v>
      </c>
      <c r="AN9" s="279"/>
      <c r="AO9" s="280" t="s">
        <v>3479</v>
      </c>
      <c r="AQ9" s="281" t="e">
        <f>VLOOKUP(A9,'Lambert-RGB-GDP_Efficacy'!A:A,1,FALSE)</f>
        <v>#N/A</v>
      </c>
    </row>
    <row r="10" spans="1:43" s="281" customFormat="1">
      <c r="A10" s="275" t="s">
        <v>3477</v>
      </c>
      <c r="B10" s="259" t="s">
        <v>5555</v>
      </c>
      <c r="C10" s="255" t="str">
        <f t="shared" si="5"/>
        <v/>
      </c>
      <c r="D10" s="256" t="str">
        <f t="shared" si="0"/>
        <v/>
      </c>
      <c r="E10" s="256" t="str">
        <f t="shared" si="0"/>
        <v/>
      </c>
      <c r="F10" s="256" t="str">
        <f t="shared" si="0"/>
        <v/>
      </c>
      <c r="G10" s="257">
        <f t="shared" si="6"/>
        <v>0</v>
      </c>
      <c r="H10" s="258" t="str">
        <f t="shared" si="7"/>
        <v>-</v>
      </c>
      <c r="I10" s="255">
        <f t="shared" si="8"/>
        <v>0</v>
      </c>
      <c r="J10" s="256">
        <f t="shared" si="1"/>
        <v>0</v>
      </c>
      <c r="K10" s="256">
        <f t="shared" si="1"/>
        <v>0</v>
      </c>
      <c r="L10" s="256">
        <f t="shared" si="1"/>
        <v>0</v>
      </c>
      <c r="M10" s="255">
        <f t="shared" si="9"/>
        <v>0</v>
      </c>
      <c r="N10" s="256">
        <f t="shared" si="10"/>
        <v>0</v>
      </c>
      <c r="O10" s="256">
        <f t="shared" si="11"/>
        <v>0</v>
      </c>
      <c r="P10" s="256">
        <f t="shared" si="12"/>
        <v>0</v>
      </c>
      <c r="Q10" s="304">
        <f t="shared" si="13"/>
        <v>0</v>
      </c>
      <c r="R10" s="305">
        <f t="shared" si="14"/>
        <v>0</v>
      </c>
      <c r="S10" s="305">
        <f t="shared" si="15"/>
        <v>0</v>
      </c>
      <c r="T10" s="305">
        <f t="shared" si="16"/>
        <v>0</v>
      </c>
      <c r="U10" s="258" t="str">
        <f t="shared" si="17"/>
        <v>-</v>
      </c>
      <c r="V10" s="276">
        <f t="shared" si="18"/>
        <v>0</v>
      </c>
      <c r="W10" s="277">
        <f t="shared" si="19"/>
        <v>0</v>
      </c>
      <c r="X10" s="277">
        <f t="shared" si="20"/>
        <v>0</v>
      </c>
      <c r="Y10" s="277">
        <f t="shared" si="21"/>
        <v>0</v>
      </c>
      <c r="Z10" s="277"/>
      <c r="AA10" s="277">
        <f t="shared" si="3"/>
        <v>0</v>
      </c>
      <c r="AB10" s="298">
        <f t="shared" si="22"/>
        <v>0</v>
      </c>
      <c r="AC10" s="279">
        <f t="shared" si="23"/>
        <v>0</v>
      </c>
      <c r="AD10" s="279">
        <f t="shared" si="24"/>
        <v>0</v>
      </c>
      <c r="AE10" s="279">
        <f t="shared" si="25"/>
        <v>0</v>
      </c>
      <c r="AF10" s="279"/>
      <c r="AG10" s="279">
        <f t="shared" si="26"/>
        <v>0</v>
      </c>
      <c r="AH10" s="298">
        <v>-5.0000000000000044E-4</v>
      </c>
      <c r="AI10" s="279">
        <v>2.0000000000000018E-3</v>
      </c>
      <c r="AJ10" s="279">
        <v>-1.6666666666666682E-4</v>
      </c>
      <c r="AK10" s="279">
        <v>1.6666666666666682E-4</v>
      </c>
      <c r="AL10" s="279"/>
      <c r="AM10" s="279">
        <v>1.6666666666666682E-4</v>
      </c>
      <c r="AN10" s="279"/>
      <c r="AO10" s="280" t="s">
        <v>3477</v>
      </c>
      <c r="AQ10" s="281" t="e">
        <f>VLOOKUP(A10,'Lambert-RGB-GDP_Efficacy'!A:A,1,FALSE)</f>
        <v>#N/A</v>
      </c>
    </row>
    <row r="11" spans="1:43" s="281" customFormat="1">
      <c r="A11" s="275" t="s">
        <v>3475</v>
      </c>
      <c r="B11" s="259" t="s">
        <v>5555</v>
      </c>
      <c r="C11" s="255" t="str">
        <f t="shared" si="5"/>
        <v/>
      </c>
      <c r="D11" s="256" t="str">
        <f t="shared" si="0"/>
        <v/>
      </c>
      <c r="E11" s="256" t="str">
        <f t="shared" si="0"/>
        <v/>
      </c>
      <c r="F11" s="256" t="str">
        <f t="shared" si="0"/>
        <v/>
      </c>
      <c r="G11" s="257">
        <f t="shared" si="6"/>
        <v>0</v>
      </c>
      <c r="H11" s="258" t="str">
        <f t="shared" si="7"/>
        <v>-</v>
      </c>
      <c r="I11" s="255">
        <f t="shared" si="8"/>
        <v>0</v>
      </c>
      <c r="J11" s="256">
        <f t="shared" si="1"/>
        <v>0</v>
      </c>
      <c r="K11" s="256">
        <f t="shared" si="1"/>
        <v>0</v>
      </c>
      <c r="L11" s="256">
        <f t="shared" si="1"/>
        <v>0</v>
      </c>
      <c r="M11" s="255">
        <f t="shared" si="9"/>
        <v>0</v>
      </c>
      <c r="N11" s="256">
        <f t="shared" si="10"/>
        <v>0</v>
      </c>
      <c r="O11" s="256">
        <f t="shared" si="11"/>
        <v>0</v>
      </c>
      <c r="P11" s="256">
        <f t="shared" si="12"/>
        <v>0</v>
      </c>
      <c r="Q11" s="304">
        <f t="shared" si="13"/>
        <v>0</v>
      </c>
      <c r="R11" s="305">
        <f t="shared" si="14"/>
        <v>0</v>
      </c>
      <c r="S11" s="305">
        <f t="shared" si="15"/>
        <v>0</v>
      </c>
      <c r="T11" s="305">
        <f t="shared" si="16"/>
        <v>0</v>
      </c>
      <c r="U11" s="258" t="str">
        <f t="shared" si="17"/>
        <v>-</v>
      </c>
      <c r="V11" s="276">
        <f t="shared" si="18"/>
        <v>0</v>
      </c>
      <c r="W11" s="277">
        <f t="shared" si="19"/>
        <v>0</v>
      </c>
      <c r="X11" s="277">
        <f t="shared" si="20"/>
        <v>0</v>
      </c>
      <c r="Y11" s="277">
        <f t="shared" si="21"/>
        <v>0</v>
      </c>
      <c r="Z11" s="277"/>
      <c r="AA11" s="277">
        <f t="shared" si="3"/>
        <v>0</v>
      </c>
      <c r="AB11" s="298">
        <f t="shared" si="22"/>
        <v>0</v>
      </c>
      <c r="AC11" s="279">
        <f t="shared" si="23"/>
        <v>0</v>
      </c>
      <c r="AD11" s="279">
        <f t="shared" si="24"/>
        <v>0</v>
      </c>
      <c r="AE11" s="279">
        <f t="shared" si="25"/>
        <v>0</v>
      </c>
      <c r="AF11" s="279"/>
      <c r="AG11" s="279">
        <f t="shared" si="26"/>
        <v>0</v>
      </c>
      <c r="AH11" s="298">
        <v>5.0000000000000044E-4</v>
      </c>
      <c r="AI11" s="279">
        <v>1.6666666666666496E-3</v>
      </c>
      <c r="AJ11" s="279">
        <v>-1.6666666666666682E-4</v>
      </c>
      <c r="AK11" s="279">
        <v>6.6666666666664876E-4</v>
      </c>
      <c r="AL11" s="279"/>
      <c r="AM11" s="279">
        <v>-1.5000000000000013E-3</v>
      </c>
      <c r="AN11" s="279"/>
      <c r="AO11" s="280" t="s">
        <v>3475</v>
      </c>
      <c r="AQ11" s="281" t="e">
        <f>VLOOKUP(A11,'Lambert-RGB-GDP_Efficacy'!A:A,1,FALSE)</f>
        <v>#N/A</v>
      </c>
    </row>
    <row r="12" spans="1:43" s="281" customFormat="1">
      <c r="A12" s="275" t="s">
        <v>4352</v>
      </c>
      <c r="B12" s="259" t="s">
        <v>5555</v>
      </c>
      <c r="C12" s="255" t="str">
        <f t="shared" si="5"/>
        <v/>
      </c>
      <c r="D12" s="256">
        <f t="shared" si="0"/>
        <v>1</v>
      </c>
      <c r="E12" s="256">
        <f t="shared" si="0"/>
        <v>1</v>
      </c>
      <c r="F12" s="256" t="str">
        <f t="shared" si="0"/>
        <v/>
      </c>
      <c r="G12" s="257">
        <f t="shared" si="6"/>
        <v>2</v>
      </c>
      <c r="H12" s="258" t="str">
        <f t="shared" si="7"/>
        <v>Gi/o</v>
      </c>
      <c r="I12" s="255">
        <f t="shared" si="8"/>
        <v>0</v>
      </c>
      <c r="J12" s="256">
        <f t="shared" si="1"/>
        <v>1</v>
      </c>
      <c r="K12" s="256">
        <f t="shared" si="1"/>
        <v>2</v>
      </c>
      <c r="L12" s="256">
        <f t="shared" si="1"/>
        <v>0</v>
      </c>
      <c r="M12" s="255">
        <f t="shared" si="9"/>
        <v>0</v>
      </c>
      <c r="N12" s="256">
        <f t="shared" si="10"/>
        <v>100</v>
      </c>
      <c r="O12" s="256">
        <f t="shared" si="11"/>
        <v>69.08517350157733</v>
      </c>
      <c r="P12" s="256">
        <f t="shared" si="12"/>
        <v>0</v>
      </c>
      <c r="Q12" s="304">
        <f t="shared" si="13"/>
        <v>0</v>
      </c>
      <c r="R12" s="305">
        <f t="shared" si="14"/>
        <v>5.2833333333333322E-2</v>
      </c>
      <c r="S12" s="305">
        <f t="shared" si="15"/>
        <v>3.6500000000000012E-2</v>
      </c>
      <c r="T12" s="305">
        <f t="shared" si="16"/>
        <v>0</v>
      </c>
      <c r="U12" s="258" t="str">
        <f t="shared" si="17"/>
        <v>Gi1</v>
      </c>
      <c r="V12" s="276">
        <f t="shared" si="18"/>
        <v>0</v>
      </c>
      <c r="W12" s="277">
        <f t="shared" si="19"/>
        <v>100</v>
      </c>
      <c r="X12" s="277">
        <f t="shared" si="20"/>
        <v>0</v>
      </c>
      <c r="Y12" s="277">
        <f t="shared" si="21"/>
        <v>69.08517350157733</v>
      </c>
      <c r="Z12" s="277"/>
      <c r="AA12" s="277">
        <f t="shared" si="3"/>
        <v>0</v>
      </c>
      <c r="AB12" s="298">
        <f t="shared" si="22"/>
        <v>0</v>
      </c>
      <c r="AC12" s="279">
        <f t="shared" si="23"/>
        <v>5.2833333333333322E-2</v>
      </c>
      <c r="AD12" s="279">
        <f t="shared" si="24"/>
        <v>0</v>
      </c>
      <c r="AE12" s="279">
        <f t="shared" si="25"/>
        <v>3.6500000000000012E-2</v>
      </c>
      <c r="AF12" s="279"/>
      <c r="AG12" s="279">
        <f t="shared" si="26"/>
        <v>0</v>
      </c>
      <c r="AH12" s="298">
        <v>2.1666666666666687E-3</v>
      </c>
      <c r="AI12" s="279">
        <v>5.2833333333333322E-2</v>
      </c>
      <c r="AJ12" s="279">
        <v>5.3333333333333384E-3</v>
      </c>
      <c r="AK12" s="279">
        <v>3.6500000000000012E-2</v>
      </c>
      <c r="AL12" s="279"/>
      <c r="AM12" s="279">
        <v>2.5000000000000022E-3</v>
      </c>
      <c r="AN12" s="279"/>
      <c r="AO12" s="280" t="s">
        <v>4352</v>
      </c>
      <c r="AQ12" s="281" t="e">
        <f>VLOOKUP(A12,'Lambert-RGB-GDP_Efficacy'!A:A,1,FALSE)</f>
        <v>#N/A</v>
      </c>
    </row>
    <row r="13" spans="1:43" s="281" customFormat="1">
      <c r="A13" s="275" t="s">
        <v>89</v>
      </c>
      <c r="B13" s="259" t="s">
        <v>5555</v>
      </c>
      <c r="C13" s="255" t="str">
        <f t="shared" si="5"/>
        <v/>
      </c>
      <c r="D13" s="256">
        <f t="shared" si="0"/>
        <v>1</v>
      </c>
      <c r="E13" s="256" t="str">
        <f t="shared" si="0"/>
        <v/>
      </c>
      <c r="F13" s="256" t="str">
        <f t="shared" si="0"/>
        <v/>
      </c>
      <c r="G13" s="257">
        <f t="shared" si="6"/>
        <v>1</v>
      </c>
      <c r="H13" s="258" t="str">
        <f t="shared" si="7"/>
        <v>Gi/o</v>
      </c>
      <c r="I13" s="255">
        <f t="shared" si="8"/>
        <v>0</v>
      </c>
      <c r="J13" s="256">
        <f t="shared" si="1"/>
        <v>1</v>
      </c>
      <c r="K13" s="256">
        <f t="shared" si="1"/>
        <v>0</v>
      </c>
      <c r="L13" s="256">
        <f t="shared" si="1"/>
        <v>0</v>
      </c>
      <c r="M13" s="255">
        <f t="shared" si="9"/>
        <v>0</v>
      </c>
      <c r="N13" s="256">
        <f t="shared" si="10"/>
        <v>100</v>
      </c>
      <c r="O13" s="256">
        <f t="shared" si="11"/>
        <v>0</v>
      </c>
      <c r="P13" s="256">
        <f t="shared" si="12"/>
        <v>0</v>
      </c>
      <c r="Q13" s="304">
        <f t="shared" si="13"/>
        <v>0</v>
      </c>
      <c r="R13" s="305">
        <f t="shared" si="14"/>
        <v>0.11916666666666668</v>
      </c>
      <c r="S13" s="305">
        <f t="shared" si="15"/>
        <v>0</v>
      </c>
      <c r="T13" s="305">
        <f t="shared" si="16"/>
        <v>0</v>
      </c>
      <c r="U13" s="258" t="str">
        <f t="shared" si="17"/>
        <v>Gi1</v>
      </c>
      <c r="V13" s="276">
        <f t="shared" si="18"/>
        <v>0</v>
      </c>
      <c r="W13" s="277">
        <f t="shared" si="19"/>
        <v>100</v>
      </c>
      <c r="X13" s="277">
        <f t="shared" si="20"/>
        <v>0</v>
      </c>
      <c r="Y13" s="277">
        <f t="shared" si="21"/>
        <v>0</v>
      </c>
      <c r="Z13" s="277"/>
      <c r="AA13" s="277">
        <f t="shared" si="3"/>
        <v>0</v>
      </c>
      <c r="AB13" s="298">
        <f t="shared" si="22"/>
        <v>0</v>
      </c>
      <c r="AC13" s="279">
        <f t="shared" si="23"/>
        <v>0.11916666666666668</v>
      </c>
      <c r="AD13" s="279">
        <f t="shared" si="24"/>
        <v>0</v>
      </c>
      <c r="AE13" s="279">
        <f t="shared" si="25"/>
        <v>0</v>
      </c>
      <c r="AF13" s="279"/>
      <c r="AG13" s="279">
        <f t="shared" si="26"/>
        <v>0</v>
      </c>
      <c r="AH13" s="298">
        <v>5.3333333333333384E-3</v>
      </c>
      <c r="AI13" s="279">
        <v>0.11916666666666668</v>
      </c>
      <c r="AJ13" s="279">
        <v>6.6666666666666729E-4</v>
      </c>
      <c r="AK13" s="279">
        <v>1.0000000000000009E-3</v>
      </c>
      <c r="AL13" s="279"/>
      <c r="AM13" s="279">
        <v>2.3333333333333353E-3</v>
      </c>
      <c r="AN13" s="279"/>
      <c r="AO13" s="280" t="s">
        <v>89</v>
      </c>
      <c r="AQ13" s="281" t="e">
        <f>VLOOKUP(A13,'Lambert-RGB-GDP_Efficacy'!A:A,1,FALSE)</f>
        <v>#N/A</v>
      </c>
    </row>
    <row r="14" spans="1:43" s="281" customFormat="1">
      <c r="A14" s="275" t="s">
        <v>3469</v>
      </c>
      <c r="B14" s="259" t="s">
        <v>5555</v>
      </c>
      <c r="C14" s="255" t="str">
        <f t="shared" si="5"/>
        <v/>
      </c>
      <c r="D14" s="256" t="str">
        <f t="shared" si="0"/>
        <v/>
      </c>
      <c r="E14" s="256" t="str">
        <f t="shared" si="0"/>
        <v/>
      </c>
      <c r="F14" s="256" t="str">
        <f t="shared" si="0"/>
        <v/>
      </c>
      <c r="G14" s="257">
        <f t="shared" si="6"/>
        <v>0</v>
      </c>
      <c r="H14" s="258" t="str">
        <f t="shared" si="7"/>
        <v>-</v>
      </c>
      <c r="I14" s="255">
        <f t="shared" si="8"/>
        <v>0</v>
      </c>
      <c r="J14" s="256">
        <f t="shared" si="1"/>
        <v>0</v>
      </c>
      <c r="K14" s="256">
        <f t="shared" si="1"/>
        <v>0</v>
      </c>
      <c r="L14" s="256">
        <f t="shared" si="1"/>
        <v>0</v>
      </c>
      <c r="M14" s="255">
        <f t="shared" si="9"/>
        <v>0</v>
      </c>
      <c r="N14" s="256">
        <f t="shared" si="10"/>
        <v>0</v>
      </c>
      <c r="O14" s="256">
        <f t="shared" si="11"/>
        <v>0</v>
      </c>
      <c r="P14" s="256">
        <f t="shared" si="12"/>
        <v>0</v>
      </c>
      <c r="Q14" s="304">
        <f t="shared" si="13"/>
        <v>0</v>
      </c>
      <c r="R14" s="305">
        <f t="shared" si="14"/>
        <v>0</v>
      </c>
      <c r="S14" s="305">
        <f t="shared" si="15"/>
        <v>0</v>
      </c>
      <c r="T14" s="305">
        <f t="shared" si="16"/>
        <v>0</v>
      </c>
      <c r="U14" s="258" t="str">
        <f t="shared" si="17"/>
        <v>-</v>
      </c>
      <c r="V14" s="276">
        <f t="shared" si="18"/>
        <v>0</v>
      </c>
      <c r="W14" s="277">
        <f t="shared" si="19"/>
        <v>0</v>
      </c>
      <c r="X14" s="277">
        <f t="shared" si="20"/>
        <v>0</v>
      </c>
      <c r="Y14" s="277">
        <f t="shared" si="21"/>
        <v>0</v>
      </c>
      <c r="Z14" s="277"/>
      <c r="AA14" s="277">
        <f t="shared" si="3"/>
        <v>0</v>
      </c>
      <c r="AB14" s="298">
        <f t="shared" si="22"/>
        <v>0</v>
      </c>
      <c r="AC14" s="279">
        <f t="shared" si="23"/>
        <v>0</v>
      </c>
      <c r="AD14" s="279">
        <f t="shared" si="24"/>
        <v>0</v>
      </c>
      <c r="AE14" s="279">
        <f t="shared" si="25"/>
        <v>0</v>
      </c>
      <c r="AF14" s="279"/>
      <c r="AG14" s="279">
        <f t="shared" si="26"/>
        <v>0</v>
      </c>
      <c r="AH14" s="298">
        <v>-5.0000000000000044E-4</v>
      </c>
      <c r="AI14" s="279">
        <v>-1.0000000000000009E-3</v>
      </c>
      <c r="AJ14" s="279">
        <v>-2.1666666666666501E-3</v>
      </c>
      <c r="AK14" s="279">
        <v>1.1666666666666676E-3</v>
      </c>
      <c r="AL14" s="279"/>
      <c r="AM14" s="279">
        <v>2.0000000000000018E-3</v>
      </c>
      <c r="AN14" s="279"/>
      <c r="AO14" s="280" t="s">
        <v>3468</v>
      </c>
      <c r="AQ14" s="281" t="e">
        <f>VLOOKUP(A14,'Lambert-RGB-GDP_Efficacy'!A:A,1,FALSE)</f>
        <v>#N/A</v>
      </c>
    </row>
    <row r="15" spans="1:43" s="281" customFormat="1">
      <c r="A15" s="275" t="s">
        <v>4350</v>
      </c>
      <c r="B15" s="259" t="s">
        <v>5555</v>
      </c>
      <c r="C15" s="255" t="str">
        <f t="shared" si="5"/>
        <v/>
      </c>
      <c r="D15" s="256" t="str">
        <f t="shared" si="0"/>
        <v/>
      </c>
      <c r="E15" s="256" t="str">
        <f t="shared" si="0"/>
        <v/>
      </c>
      <c r="F15" s="256" t="str">
        <f t="shared" si="0"/>
        <v/>
      </c>
      <c r="G15" s="257">
        <f t="shared" si="6"/>
        <v>0</v>
      </c>
      <c r="H15" s="258" t="str">
        <f t="shared" si="7"/>
        <v>-</v>
      </c>
      <c r="I15" s="255">
        <f t="shared" si="8"/>
        <v>0</v>
      </c>
      <c r="J15" s="256">
        <f t="shared" si="1"/>
        <v>0</v>
      </c>
      <c r="K15" s="256">
        <f t="shared" si="1"/>
        <v>0</v>
      </c>
      <c r="L15" s="256">
        <f t="shared" si="1"/>
        <v>0</v>
      </c>
      <c r="M15" s="255">
        <f t="shared" si="9"/>
        <v>0</v>
      </c>
      <c r="N15" s="256">
        <f t="shared" si="10"/>
        <v>0</v>
      </c>
      <c r="O15" s="256">
        <f t="shared" si="11"/>
        <v>0</v>
      </c>
      <c r="P15" s="256">
        <f t="shared" si="12"/>
        <v>0</v>
      </c>
      <c r="Q15" s="304">
        <f t="shared" si="13"/>
        <v>0</v>
      </c>
      <c r="R15" s="305">
        <f t="shared" si="14"/>
        <v>0</v>
      </c>
      <c r="S15" s="305">
        <f t="shared" si="15"/>
        <v>0</v>
      </c>
      <c r="T15" s="305">
        <f t="shared" si="16"/>
        <v>0</v>
      </c>
      <c r="U15" s="258" t="str">
        <f t="shared" si="17"/>
        <v>-</v>
      </c>
      <c r="V15" s="276">
        <f t="shared" si="18"/>
        <v>0</v>
      </c>
      <c r="W15" s="277">
        <f t="shared" si="19"/>
        <v>0</v>
      </c>
      <c r="X15" s="277">
        <f t="shared" si="20"/>
        <v>0</v>
      </c>
      <c r="Y15" s="277">
        <f t="shared" si="21"/>
        <v>0</v>
      </c>
      <c r="Z15" s="277"/>
      <c r="AA15" s="277">
        <f t="shared" si="3"/>
        <v>0</v>
      </c>
      <c r="AB15" s="298">
        <f t="shared" si="22"/>
        <v>0</v>
      </c>
      <c r="AC15" s="279">
        <f t="shared" si="23"/>
        <v>0</v>
      </c>
      <c r="AD15" s="279">
        <f t="shared" si="24"/>
        <v>0</v>
      </c>
      <c r="AE15" s="279">
        <f t="shared" si="25"/>
        <v>0</v>
      </c>
      <c r="AF15" s="279"/>
      <c r="AG15" s="279">
        <f t="shared" si="26"/>
        <v>0</v>
      </c>
      <c r="AH15" s="298">
        <v>-1.6666666666666682E-4</v>
      </c>
      <c r="AI15" s="279">
        <v>3.3333333333333365E-4</v>
      </c>
      <c r="AJ15" s="279">
        <v>3.3333333333329662E-4</v>
      </c>
      <c r="AK15" s="279">
        <v>0</v>
      </c>
      <c r="AL15" s="279"/>
      <c r="AM15" s="279">
        <v>0</v>
      </c>
      <c r="AN15" s="279"/>
      <c r="AO15" s="280" t="s">
        <v>4350</v>
      </c>
      <c r="AQ15" s="281" t="e">
        <f>VLOOKUP(A15,'Lambert-RGB-GDP_Efficacy'!A:A,1,FALSE)</f>
        <v>#N/A</v>
      </c>
    </row>
    <row r="16" spans="1:43" s="281" customFormat="1">
      <c r="A16" s="275" t="s">
        <v>3254</v>
      </c>
      <c r="B16" s="259" t="s">
        <v>5555</v>
      </c>
      <c r="C16" s="255">
        <f t="shared" si="5"/>
        <v>1</v>
      </c>
      <c r="D16" s="256" t="str">
        <f t="shared" si="0"/>
        <v/>
      </c>
      <c r="E16" s="256">
        <f t="shared" si="0"/>
        <v>1</v>
      </c>
      <c r="F16" s="256" t="str">
        <f t="shared" si="0"/>
        <v/>
      </c>
      <c r="G16" s="257">
        <f t="shared" si="6"/>
        <v>2</v>
      </c>
      <c r="H16" s="258" t="str">
        <f t="shared" si="7"/>
        <v>Gq/11</v>
      </c>
      <c r="I16" s="255">
        <f t="shared" si="8"/>
        <v>2</v>
      </c>
      <c r="J16" s="256">
        <f t="shared" si="1"/>
        <v>0</v>
      </c>
      <c r="K16" s="256">
        <f t="shared" si="1"/>
        <v>1</v>
      </c>
      <c r="L16" s="256">
        <f t="shared" si="1"/>
        <v>0</v>
      </c>
      <c r="M16" s="255">
        <f t="shared" si="9"/>
        <v>82.35294117647058</v>
      </c>
      <c r="N16" s="256">
        <f t="shared" si="10"/>
        <v>0</v>
      </c>
      <c r="O16" s="256">
        <f t="shared" si="11"/>
        <v>100</v>
      </c>
      <c r="P16" s="256">
        <f t="shared" si="12"/>
        <v>0</v>
      </c>
      <c r="Q16" s="304">
        <f t="shared" si="13"/>
        <v>2.8000000000000008E-2</v>
      </c>
      <c r="R16" s="305">
        <f t="shared" si="14"/>
        <v>0</v>
      </c>
      <c r="S16" s="305">
        <f t="shared" si="15"/>
        <v>3.4000000000000009E-2</v>
      </c>
      <c r="T16" s="305">
        <f t="shared" si="16"/>
        <v>0</v>
      </c>
      <c r="U16" s="258" t="str">
        <f t="shared" si="17"/>
        <v>G15</v>
      </c>
      <c r="V16" s="276">
        <f t="shared" si="18"/>
        <v>82.35294117647058</v>
      </c>
      <c r="W16" s="277">
        <f t="shared" si="19"/>
        <v>0</v>
      </c>
      <c r="X16" s="277">
        <f t="shared" si="20"/>
        <v>0</v>
      </c>
      <c r="Y16" s="277">
        <f t="shared" si="21"/>
        <v>100</v>
      </c>
      <c r="Z16" s="277"/>
      <c r="AA16" s="277">
        <f t="shared" si="3"/>
        <v>0</v>
      </c>
      <c r="AB16" s="298">
        <f t="shared" si="22"/>
        <v>2.8000000000000008E-2</v>
      </c>
      <c r="AC16" s="279">
        <f t="shared" si="23"/>
        <v>0</v>
      </c>
      <c r="AD16" s="279">
        <f t="shared" si="24"/>
        <v>0</v>
      </c>
      <c r="AE16" s="279">
        <f t="shared" si="25"/>
        <v>3.4000000000000009E-2</v>
      </c>
      <c r="AF16" s="279"/>
      <c r="AG16" s="279">
        <f t="shared" si="26"/>
        <v>0</v>
      </c>
      <c r="AH16" s="298">
        <v>2.8000000000000008E-2</v>
      </c>
      <c r="AI16" s="279">
        <v>2.1666666666666687E-3</v>
      </c>
      <c r="AJ16" s="279">
        <v>5.0000000000000044E-4</v>
      </c>
      <c r="AK16" s="279">
        <v>3.4000000000000009E-2</v>
      </c>
      <c r="AL16" s="279"/>
      <c r="AM16" s="279">
        <v>2.0000000000000018E-3</v>
      </c>
      <c r="AN16" s="279"/>
      <c r="AO16" s="280" t="s">
        <v>3254</v>
      </c>
      <c r="AQ16" s="281" t="e">
        <f>VLOOKUP(A16,'Lambert-RGB-GDP_Efficacy'!A:A,1,FALSE)</f>
        <v>#N/A</v>
      </c>
    </row>
    <row r="17" spans="1:43" s="281" customFormat="1">
      <c r="A17" s="275" t="s">
        <v>4344</v>
      </c>
      <c r="B17" s="259" t="s">
        <v>5555</v>
      </c>
      <c r="C17" s="255" t="str">
        <f t="shared" si="5"/>
        <v/>
      </c>
      <c r="D17" s="256" t="str">
        <f t="shared" si="0"/>
        <v/>
      </c>
      <c r="E17" s="256">
        <f t="shared" si="0"/>
        <v>1</v>
      </c>
      <c r="F17" s="256" t="str">
        <f t="shared" si="0"/>
        <v/>
      </c>
      <c r="G17" s="257">
        <f t="shared" si="6"/>
        <v>1</v>
      </c>
      <c r="H17" s="258" t="str">
        <f t="shared" si="7"/>
        <v>Gq/11</v>
      </c>
      <c r="I17" s="255">
        <f t="shared" si="8"/>
        <v>0</v>
      </c>
      <c r="J17" s="256">
        <f t="shared" si="1"/>
        <v>0</v>
      </c>
      <c r="K17" s="256">
        <f t="shared" si="1"/>
        <v>1</v>
      </c>
      <c r="L17" s="256">
        <f t="shared" si="1"/>
        <v>0</v>
      </c>
      <c r="M17" s="255">
        <f t="shared" si="9"/>
        <v>0</v>
      </c>
      <c r="N17" s="256">
        <f t="shared" si="10"/>
        <v>0</v>
      </c>
      <c r="O17" s="256">
        <f t="shared" si="11"/>
        <v>100</v>
      </c>
      <c r="P17" s="256">
        <f t="shared" si="12"/>
        <v>0</v>
      </c>
      <c r="Q17" s="304">
        <f t="shared" si="13"/>
        <v>0</v>
      </c>
      <c r="R17" s="305">
        <f t="shared" si="14"/>
        <v>0</v>
      </c>
      <c r="S17" s="305">
        <f t="shared" si="15"/>
        <v>9.000000000000008E-3</v>
      </c>
      <c r="T17" s="305">
        <f t="shared" si="16"/>
        <v>0</v>
      </c>
      <c r="U17" s="258" t="str">
        <f t="shared" si="17"/>
        <v>G15</v>
      </c>
      <c r="V17" s="276">
        <f t="shared" si="18"/>
        <v>0</v>
      </c>
      <c r="W17" s="277">
        <f t="shared" si="19"/>
        <v>0</v>
      </c>
      <c r="X17" s="277">
        <f t="shared" si="20"/>
        <v>0</v>
      </c>
      <c r="Y17" s="277">
        <f t="shared" si="21"/>
        <v>100</v>
      </c>
      <c r="Z17" s="277"/>
      <c r="AA17" s="277">
        <f t="shared" si="3"/>
        <v>0</v>
      </c>
      <c r="AB17" s="298">
        <f t="shared" si="22"/>
        <v>0</v>
      </c>
      <c r="AC17" s="279">
        <f t="shared" si="23"/>
        <v>0</v>
      </c>
      <c r="AD17" s="279">
        <f t="shared" si="24"/>
        <v>0</v>
      </c>
      <c r="AE17" s="279">
        <f t="shared" si="25"/>
        <v>9.000000000000008E-3</v>
      </c>
      <c r="AF17" s="279"/>
      <c r="AG17" s="279">
        <f t="shared" si="26"/>
        <v>0</v>
      </c>
      <c r="AH17" s="298">
        <v>5.0000000000000044E-4</v>
      </c>
      <c r="AI17" s="279">
        <v>-5.0000000000000044E-4</v>
      </c>
      <c r="AJ17" s="279">
        <v>-5.0000000000000044E-4</v>
      </c>
      <c r="AK17" s="279">
        <v>9.000000000000008E-3</v>
      </c>
      <c r="AL17" s="279"/>
      <c r="AM17" s="279">
        <v>5.0000000000000044E-4</v>
      </c>
      <c r="AN17" s="279"/>
      <c r="AO17" s="280" t="s">
        <v>4344</v>
      </c>
      <c r="AQ17" s="281" t="e">
        <f>VLOOKUP(A17,'Lambert-RGB-GDP_Efficacy'!A:A,1,FALSE)</f>
        <v>#N/A</v>
      </c>
    </row>
    <row r="18" spans="1:43" s="281" customFormat="1">
      <c r="A18" s="275" t="s">
        <v>4341</v>
      </c>
      <c r="B18" s="259" t="s">
        <v>5555</v>
      </c>
      <c r="C18" s="255">
        <f t="shared" si="5"/>
        <v>1</v>
      </c>
      <c r="D18" s="256">
        <f t="shared" si="5"/>
        <v>1</v>
      </c>
      <c r="E18" s="256">
        <f t="shared" si="5"/>
        <v>1</v>
      </c>
      <c r="F18" s="256" t="str">
        <f t="shared" si="5"/>
        <v/>
      </c>
      <c r="G18" s="257">
        <f t="shared" si="6"/>
        <v>3</v>
      </c>
      <c r="H18" s="258" t="str">
        <f t="shared" si="7"/>
        <v>Gs</v>
      </c>
      <c r="I18" s="255">
        <f t="shared" si="8"/>
        <v>1</v>
      </c>
      <c r="J18" s="256">
        <f t="shared" si="8"/>
        <v>2</v>
      </c>
      <c r="K18" s="256">
        <f t="shared" si="8"/>
        <v>3</v>
      </c>
      <c r="L18" s="256">
        <f t="shared" si="8"/>
        <v>0</v>
      </c>
      <c r="M18" s="255">
        <f t="shared" si="9"/>
        <v>100</v>
      </c>
      <c r="N18" s="256">
        <f t="shared" si="10"/>
        <v>92.372881355932208</v>
      </c>
      <c r="O18" s="256">
        <f t="shared" si="11"/>
        <v>71.186440677966104</v>
      </c>
      <c r="P18" s="256">
        <f t="shared" si="12"/>
        <v>0</v>
      </c>
      <c r="Q18" s="304">
        <f t="shared" si="13"/>
        <v>1.9666666666666683E-2</v>
      </c>
      <c r="R18" s="305">
        <f t="shared" si="14"/>
        <v>1.8166666666666682E-2</v>
      </c>
      <c r="S18" s="305">
        <f t="shared" si="15"/>
        <v>1.4000000000000012E-2</v>
      </c>
      <c r="T18" s="305">
        <f t="shared" si="16"/>
        <v>0</v>
      </c>
      <c r="U18" s="258" t="str">
        <f t="shared" si="17"/>
        <v>GsL</v>
      </c>
      <c r="V18" s="276">
        <f t="shared" si="18"/>
        <v>100</v>
      </c>
      <c r="W18" s="277">
        <f t="shared" si="19"/>
        <v>92.372881355932208</v>
      </c>
      <c r="X18" s="277">
        <f t="shared" si="20"/>
        <v>0</v>
      </c>
      <c r="Y18" s="277">
        <f t="shared" si="21"/>
        <v>71.186440677966104</v>
      </c>
      <c r="Z18" s="277"/>
      <c r="AA18" s="277">
        <f t="shared" si="3"/>
        <v>0</v>
      </c>
      <c r="AB18" s="298">
        <f t="shared" si="22"/>
        <v>1.9666666666666683E-2</v>
      </c>
      <c r="AC18" s="279">
        <f t="shared" si="23"/>
        <v>1.8166666666666682E-2</v>
      </c>
      <c r="AD18" s="279">
        <f t="shared" si="24"/>
        <v>0</v>
      </c>
      <c r="AE18" s="279">
        <f t="shared" si="25"/>
        <v>1.4000000000000012E-2</v>
      </c>
      <c r="AF18" s="279"/>
      <c r="AG18" s="279">
        <f t="shared" si="26"/>
        <v>0</v>
      </c>
      <c r="AH18" s="298">
        <v>1.9666666666666683E-2</v>
      </c>
      <c r="AI18" s="279">
        <v>1.8166666666666682E-2</v>
      </c>
      <c r="AJ18" s="279">
        <v>4.0000000000000036E-3</v>
      </c>
      <c r="AK18" s="279">
        <v>1.4000000000000012E-2</v>
      </c>
      <c r="AL18" s="279"/>
      <c r="AM18" s="279">
        <v>1.0000000000000009E-3</v>
      </c>
      <c r="AN18" s="279"/>
      <c r="AO18" s="280" t="s">
        <v>4341</v>
      </c>
      <c r="AQ18" s="281" t="e">
        <f>VLOOKUP(A18,'Lambert-RGB-GDP_Efficacy'!A:A,1,FALSE)</f>
        <v>#N/A</v>
      </c>
    </row>
    <row r="19" spans="1:43" s="281" customFormat="1">
      <c r="A19" s="275" t="s">
        <v>4340</v>
      </c>
      <c r="B19" s="259" t="s">
        <v>5555</v>
      </c>
      <c r="C19" s="255" t="str">
        <f t="shared" ref="C19:F76" si="27">IF(Q19&gt;0,1,"")</f>
        <v/>
      </c>
      <c r="D19" s="256" t="str">
        <f t="shared" si="27"/>
        <v/>
      </c>
      <c r="E19" s="256" t="str">
        <f t="shared" si="27"/>
        <v/>
      </c>
      <c r="F19" s="256" t="str">
        <f t="shared" si="27"/>
        <v/>
      </c>
      <c r="G19" s="257">
        <f t="shared" si="6"/>
        <v>0</v>
      </c>
      <c r="H19" s="258" t="str">
        <f t="shared" si="7"/>
        <v>-</v>
      </c>
      <c r="I19" s="255">
        <f t="shared" si="8"/>
        <v>0</v>
      </c>
      <c r="J19" s="256">
        <f t="shared" si="8"/>
        <v>0</v>
      </c>
      <c r="K19" s="256">
        <f t="shared" si="8"/>
        <v>0</v>
      </c>
      <c r="L19" s="256">
        <f t="shared" si="8"/>
        <v>0</v>
      </c>
      <c r="M19" s="255">
        <f t="shared" si="9"/>
        <v>0</v>
      </c>
      <c r="N19" s="256">
        <f t="shared" si="10"/>
        <v>0</v>
      </c>
      <c r="O19" s="256">
        <f t="shared" si="11"/>
        <v>0</v>
      </c>
      <c r="P19" s="256">
        <f t="shared" si="12"/>
        <v>0</v>
      </c>
      <c r="Q19" s="304">
        <f t="shared" si="13"/>
        <v>0</v>
      </c>
      <c r="R19" s="305">
        <f t="shared" si="14"/>
        <v>0</v>
      </c>
      <c r="S19" s="305">
        <f t="shared" si="15"/>
        <v>0</v>
      </c>
      <c r="T19" s="305">
        <f t="shared" si="16"/>
        <v>0</v>
      </c>
      <c r="U19" s="258" t="str">
        <f t="shared" si="17"/>
        <v>-</v>
      </c>
      <c r="V19" s="276">
        <f t="shared" si="18"/>
        <v>0</v>
      </c>
      <c r="W19" s="277">
        <f t="shared" si="19"/>
        <v>0</v>
      </c>
      <c r="X19" s="277">
        <f t="shared" si="20"/>
        <v>0</v>
      </c>
      <c r="Y19" s="277">
        <f t="shared" si="21"/>
        <v>0</v>
      </c>
      <c r="Z19" s="277"/>
      <c r="AA19" s="277">
        <f t="shared" si="3"/>
        <v>0</v>
      </c>
      <c r="AB19" s="298">
        <f t="shared" si="22"/>
        <v>0</v>
      </c>
      <c r="AC19" s="279">
        <f t="shared" si="23"/>
        <v>0</v>
      </c>
      <c r="AD19" s="279">
        <f t="shared" si="24"/>
        <v>0</v>
      </c>
      <c r="AE19" s="279">
        <f t="shared" si="25"/>
        <v>0</v>
      </c>
      <c r="AF19" s="279"/>
      <c r="AG19" s="279">
        <f t="shared" si="26"/>
        <v>0</v>
      </c>
      <c r="AH19" s="298">
        <v>-2.1666666666666687E-3</v>
      </c>
      <c r="AI19" s="279">
        <v>3.3333333333333361E-3</v>
      </c>
      <c r="AJ19" s="279">
        <v>-4.1666666666666519E-3</v>
      </c>
      <c r="AK19" s="279">
        <v>-3.1666666666666696E-3</v>
      </c>
      <c r="AL19" s="279"/>
      <c r="AM19" s="279">
        <v>6.3333333333333392E-3</v>
      </c>
      <c r="AN19" s="279"/>
      <c r="AO19" s="280" t="s">
        <v>4340</v>
      </c>
      <c r="AQ19" s="281" t="e">
        <f>VLOOKUP(A19,'Lambert-RGB-GDP_Efficacy'!A:A,1,FALSE)</f>
        <v>#N/A</v>
      </c>
    </row>
    <row r="20" spans="1:43" s="281" customFormat="1">
      <c r="A20" s="275" t="s">
        <v>102</v>
      </c>
      <c r="B20" s="259" t="s">
        <v>5555</v>
      </c>
      <c r="C20" s="255">
        <f t="shared" si="27"/>
        <v>1</v>
      </c>
      <c r="D20" s="256">
        <f t="shared" si="27"/>
        <v>1</v>
      </c>
      <c r="E20" s="256" t="str">
        <f t="shared" si="27"/>
        <v/>
      </c>
      <c r="F20" s="256">
        <f t="shared" si="27"/>
        <v>1</v>
      </c>
      <c r="G20" s="257">
        <f t="shared" si="6"/>
        <v>3</v>
      </c>
      <c r="H20" s="258" t="str">
        <f t="shared" si="7"/>
        <v>G12/13</v>
      </c>
      <c r="I20" s="255">
        <f t="shared" si="8"/>
        <v>2</v>
      </c>
      <c r="J20" s="256">
        <f t="shared" si="8"/>
        <v>3</v>
      </c>
      <c r="K20" s="256">
        <f t="shared" si="8"/>
        <v>0</v>
      </c>
      <c r="L20" s="256">
        <f t="shared" si="8"/>
        <v>1</v>
      </c>
      <c r="M20" s="255">
        <f t="shared" si="9"/>
        <v>52.363636363636431</v>
      </c>
      <c r="N20" s="256">
        <f t="shared" si="10"/>
        <v>27.272727272727309</v>
      </c>
      <c r="O20" s="256">
        <f t="shared" si="11"/>
        <v>0</v>
      </c>
      <c r="P20" s="256">
        <f t="shared" si="12"/>
        <v>100</v>
      </c>
      <c r="Q20" s="304">
        <f t="shared" si="13"/>
        <v>2.4000000000000021E-2</v>
      </c>
      <c r="R20" s="305">
        <f t="shared" si="14"/>
        <v>1.2500000000000011E-2</v>
      </c>
      <c r="S20" s="305">
        <f t="shared" si="15"/>
        <v>0</v>
      </c>
      <c r="T20" s="305">
        <f t="shared" si="16"/>
        <v>4.5833333333333316E-2</v>
      </c>
      <c r="U20" s="258" t="str">
        <f t="shared" si="17"/>
        <v>G13</v>
      </c>
      <c r="V20" s="276">
        <f t="shared" si="18"/>
        <v>52.363636363636431</v>
      </c>
      <c r="W20" s="277">
        <f t="shared" si="19"/>
        <v>27.272727272727309</v>
      </c>
      <c r="X20" s="277">
        <f t="shared" si="20"/>
        <v>0</v>
      </c>
      <c r="Y20" s="277">
        <f t="shared" si="21"/>
        <v>0</v>
      </c>
      <c r="Z20" s="277"/>
      <c r="AA20" s="277">
        <f t="shared" si="3"/>
        <v>100</v>
      </c>
      <c r="AB20" s="298">
        <f t="shared" si="22"/>
        <v>2.4000000000000021E-2</v>
      </c>
      <c r="AC20" s="279">
        <f t="shared" si="23"/>
        <v>1.2500000000000011E-2</v>
      </c>
      <c r="AD20" s="279">
        <f t="shared" si="24"/>
        <v>0</v>
      </c>
      <c r="AE20" s="279">
        <f t="shared" si="25"/>
        <v>0</v>
      </c>
      <c r="AF20" s="279"/>
      <c r="AG20" s="279">
        <f t="shared" si="26"/>
        <v>4.5833333333333316E-2</v>
      </c>
      <c r="AH20" s="298">
        <v>2.4000000000000021E-2</v>
      </c>
      <c r="AI20" s="279">
        <v>1.2500000000000011E-2</v>
      </c>
      <c r="AJ20" s="279">
        <v>1.5000000000000013E-3</v>
      </c>
      <c r="AK20" s="279">
        <v>4.3333333333333375E-3</v>
      </c>
      <c r="AL20" s="279"/>
      <c r="AM20" s="279">
        <v>4.5833333333333316E-2</v>
      </c>
      <c r="AN20" s="279"/>
      <c r="AO20" s="280" t="s">
        <v>102</v>
      </c>
      <c r="AQ20" s="281" t="e">
        <f>VLOOKUP(A20,'Lambert-RGB-GDP_Efficacy'!A:A,1,FALSE)</f>
        <v>#N/A</v>
      </c>
    </row>
    <row r="21" spans="1:43" s="281" customFormat="1">
      <c r="A21" s="275" t="s">
        <v>99</v>
      </c>
      <c r="B21" s="259" t="s">
        <v>5555</v>
      </c>
      <c r="C21" s="255" t="str">
        <f t="shared" si="27"/>
        <v/>
      </c>
      <c r="D21" s="256">
        <f t="shared" si="27"/>
        <v>1</v>
      </c>
      <c r="E21" s="256">
        <f t="shared" si="27"/>
        <v>1</v>
      </c>
      <c r="F21" s="256">
        <f t="shared" si="27"/>
        <v>1</v>
      </c>
      <c r="G21" s="257">
        <f t="shared" si="6"/>
        <v>3</v>
      </c>
      <c r="H21" s="258" t="str">
        <f t="shared" si="7"/>
        <v>G12/13</v>
      </c>
      <c r="I21" s="255">
        <f t="shared" si="8"/>
        <v>0</v>
      </c>
      <c r="J21" s="256">
        <f t="shared" si="8"/>
        <v>3</v>
      </c>
      <c r="K21" s="256">
        <f t="shared" si="8"/>
        <v>2</v>
      </c>
      <c r="L21" s="256">
        <f t="shared" si="8"/>
        <v>1</v>
      </c>
      <c r="M21" s="255">
        <f t="shared" si="9"/>
        <v>0</v>
      </c>
      <c r="N21" s="256">
        <f t="shared" si="10"/>
        <v>41.379310344827623</v>
      </c>
      <c r="O21" s="256">
        <f t="shared" si="11"/>
        <v>65.229885057471222</v>
      </c>
      <c r="P21" s="256">
        <f t="shared" si="12"/>
        <v>100</v>
      </c>
      <c r="Q21" s="304">
        <f t="shared" si="13"/>
        <v>0</v>
      </c>
      <c r="R21" s="305">
        <f t="shared" si="14"/>
        <v>2.4000000000000021E-2</v>
      </c>
      <c r="S21" s="305">
        <f t="shared" si="15"/>
        <v>3.7833333333333309E-2</v>
      </c>
      <c r="T21" s="305">
        <f t="shared" si="16"/>
        <v>5.7999999999999996E-2</v>
      </c>
      <c r="U21" s="258" t="str">
        <f t="shared" si="17"/>
        <v>G13</v>
      </c>
      <c r="V21" s="276">
        <f t="shared" si="18"/>
        <v>0</v>
      </c>
      <c r="W21" s="277">
        <f t="shared" si="19"/>
        <v>41.379310344827623</v>
      </c>
      <c r="X21" s="277">
        <f t="shared" si="20"/>
        <v>65.229885057471222</v>
      </c>
      <c r="Y21" s="277">
        <f t="shared" si="21"/>
        <v>0</v>
      </c>
      <c r="Z21" s="277"/>
      <c r="AA21" s="277">
        <f t="shared" si="3"/>
        <v>100</v>
      </c>
      <c r="AB21" s="298">
        <f t="shared" si="22"/>
        <v>0</v>
      </c>
      <c r="AC21" s="279">
        <f t="shared" si="23"/>
        <v>2.4000000000000021E-2</v>
      </c>
      <c r="AD21" s="279">
        <f t="shared" si="24"/>
        <v>3.7833333333333309E-2</v>
      </c>
      <c r="AE21" s="279">
        <f t="shared" si="25"/>
        <v>0</v>
      </c>
      <c r="AF21" s="279"/>
      <c r="AG21" s="279">
        <f t="shared" si="26"/>
        <v>5.7999999999999996E-2</v>
      </c>
      <c r="AH21" s="298">
        <v>6.5000000000000058E-3</v>
      </c>
      <c r="AI21" s="279">
        <v>2.4000000000000021E-2</v>
      </c>
      <c r="AJ21" s="279">
        <v>3.7833333333333309E-2</v>
      </c>
      <c r="AK21" s="279">
        <v>3.5000000000000031E-3</v>
      </c>
      <c r="AL21" s="279"/>
      <c r="AM21" s="279">
        <v>5.7999999999999996E-2</v>
      </c>
      <c r="AN21" s="279"/>
      <c r="AO21" s="280" t="s">
        <v>99</v>
      </c>
      <c r="AQ21" s="281" t="e">
        <f>VLOOKUP(A21,'Lambert-RGB-GDP_Efficacy'!A:A,1,FALSE)</f>
        <v>#N/A</v>
      </c>
    </row>
    <row r="22" spans="1:43" s="281" customFormat="1">
      <c r="A22" s="275" t="s">
        <v>3460</v>
      </c>
      <c r="B22" s="259" t="s">
        <v>5555</v>
      </c>
      <c r="C22" s="255" t="str">
        <f t="shared" si="27"/>
        <v/>
      </c>
      <c r="D22" s="256">
        <f t="shared" si="27"/>
        <v>1</v>
      </c>
      <c r="E22" s="256" t="str">
        <f t="shared" si="27"/>
        <v/>
      </c>
      <c r="F22" s="256" t="str">
        <f t="shared" si="27"/>
        <v/>
      </c>
      <c r="G22" s="257">
        <f t="shared" si="6"/>
        <v>1</v>
      </c>
      <c r="H22" s="258" t="str">
        <f t="shared" si="7"/>
        <v>Gi/o</v>
      </c>
      <c r="I22" s="255">
        <f t="shared" si="8"/>
        <v>0</v>
      </c>
      <c r="J22" s="256">
        <f t="shared" si="8"/>
        <v>1</v>
      </c>
      <c r="K22" s="256">
        <f t="shared" si="8"/>
        <v>0</v>
      </c>
      <c r="L22" s="256">
        <f t="shared" si="8"/>
        <v>0</v>
      </c>
      <c r="M22" s="255">
        <f t="shared" si="9"/>
        <v>0</v>
      </c>
      <c r="N22" s="256">
        <f t="shared" si="10"/>
        <v>100</v>
      </c>
      <c r="O22" s="256">
        <f t="shared" si="11"/>
        <v>0</v>
      </c>
      <c r="P22" s="256">
        <f t="shared" si="12"/>
        <v>0</v>
      </c>
      <c r="Q22" s="304">
        <f t="shared" si="13"/>
        <v>0</v>
      </c>
      <c r="R22" s="305">
        <f t="shared" si="14"/>
        <v>1.4333333333333309E-2</v>
      </c>
      <c r="S22" s="305">
        <f t="shared" si="15"/>
        <v>0</v>
      </c>
      <c r="T22" s="305">
        <f t="shared" si="16"/>
        <v>0</v>
      </c>
      <c r="U22" s="258" t="str">
        <f t="shared" si="17"/>
        <v>Gi1</v>
      </c>
      <c r="V22" s="276">
        <f t="shared" si="18"/>
        <v>0</v>
      </c>
      <c r="W22" s="277">
        <f t="shared" si="19"/>
        <v>100</v>
      </c>
      <c r="X22" s="277">
        <f t="shared" si="20"/>
        <v>0</v>
      </c>
      <c r="Y22" s="277">
        <f t="shared" si="21"/>
        <v>0</v>
      </c>
      <c r="Z22" s="277"/>
      <c r="AA22" s="277">
        <f t="shared" si="3"/>
        <v>0</v>
      </c>
      <c r="AB22" s="298">
        <f t="shared" si="22"/>
        <v>0</v>
      </c>
      <c r="AC22" s="279">
        <f t="shared" si="23"/>
        <v>1.4333333333333309E-2</v>
      </c>
      <c r="AD22" s="279">
        <f t="shared" si="24"/>
        <v>0</v>
      </c>
      <c r="AE22" s="279">
        <f t="shared" si="25"/>
        <v>0</v>
      </c>
      <c r="AF22" s="279"/>
      <c r="AG22" s="279">
        <f t="shared" si="26"/>
        <v>0</v>
      </c>
      <c r="AH22" s="298">
        <v>8.3333333333333404E-4</v>
      </c>
      <c r="AI22" s="279">
        <v>1.4333333333333309E-2</v>
      </c>
      <c r="AJ22" s="279">
        <v>6.6666666666666729E-4</v>
      </c>
      <c r="AK22" s="279">
        <v>6.6666666666666723E-3</v>
      </c>
      <c r="AL22" s="279"/>
      <c r="AM22" s="279">
        <v>-1.0000000000000009E-3</v>
      </c>
      <c r="AN22" s="279"/>
      <c r="AO22" s="280" t="s">
        <v>3460</v>
      </c>
      <c r="AQ22" s="281" t="e">
        <f>VLOOKUP(A22,'Lambert-RGB-GDP_Efficacy'!A:A,1,FALSE)</f>
        <v>#N/A</v>
      </c>
    </row>
    <row r="23" spans="1:43" s="281" customFormat="1">
      <c r="A23" s="275" t="s">
        <v>3458</v>
      </c>
      <c r="B23" s="259" t="s">
        <v>5555</v>
      </c>
      <c r="C23" s="255">
        <f t="shared" si="27"/>
        <v>1</v>
      </c>
      <c r="D23" s="256" t="str">
        <f t="shared" si="27"/>
        <v/>
      </c>
      <c r="E23" s="256" t="str">
        <f t="shared" si="27"/>
        <v/>
      </c>
      <c r="F23" s="256" t="str">
        <f t="shared" si="27"/>
        <v/>
      </c>
      <c r="G23" s="257">
        <f t="shared" si="6"/>
        <v>1</v>
      </c>
      <c r="H23" s="258" t="str">
        <f t="shared" si="7"/>
        <v>Gs</v>
      </c>
      <c r="I23" s="255">
        <f t="shared" si="8"/>
        <v>1</v>
      </c>
      <c r="J23" s="256">
        <f t="shared" si="8"/>
        <v>0</v>
      </c>
      <c r="K23" s="256">
        <f t="shared" si="8"/>
        <v>0</v>
      </c>
      <c r="L23" s="256">
        <f t="shared" si="8"/>
        <v>0</v>
      </c>
      <c r="M23" s="255">
        <f t="shared" si="9"/>
        <v>100</v>
      </c>
      <c r="N23" s="256">
        <f t="shared" si="10"/>
        <v>0</v>
      </c>
      <c r="O23" s="256">
        <f t="shared" si="11"/>
        <v>0</v>
      </c>
      <c r="P23" s="256">
        <f t="shared" si="12"/>
        <v>0</v>
      </c>
      <c r="Q23" s="304">
        <f t="shared" si="13"/>
        <v>2.1666666666666685E-2</v>
      </c>
      <c r="R23" s="305">
        <f t="shared" si="14"/>
        <v>0</v>
      </c>
      <c r="S23" s="305">
        <f t="shared" si="15"/>
        <v>0</v>
      </c>
      <c r="T23" s="305">
        <f t="shared" si="16"/>
        <v>0</v>
      </c>
      <c r="U23" s="258" t="str">
        <f t="shared" si="17"/>
        <v>GsL</v>
      </c>
      <c r="V23" s="276">
        <f t="shared" si="18"/>
        <v>100</v>
      </c>
      <c r="W23" s="277">
        <f t="shared" si="19"/>
        <v>0</v>
      </c>
      <c r="X23" s="277">
        <f t="shared" si="20"/>
        <v>0</v>
      </c>
      <c r="Y23" s="277">
        <f t="shared" si="21"/>
        <v>0</v>
      </c>
      <c r="Z23" s="277"/>
      <c r="AA23" s="277">
        <f t="shared" si="3"/>
        <v>0</v>
      </c>
      <c r="AB23" s="298">
        <f t="shared" si="22"/>
        <v>2.1666666666666685E-2</v>
      </c>
      <c r="AC23" s="279">
        <f t="shared" si="23"/>
        <v>0</v>
      </c>
      <c r="AD23" s="279">
        <f t="shared" si="24"/>
        <v>0</v>
      </c>
      <c r="AE23" s="279">
        <f t="shared" si="25"/>
        <v>0</v>
      </c>
      <c r="AF23" s="279"/>
      <c r="AG23" s="279">
        <f t="shared" si="26"/>
        <v>0</v>
      </c>
      <c r="AH23" s="298">
        <v>2.1666666666666685E-2</v>
      </c>
      <c r="AI23" s="279">
        <v>4.500000000000004E-3</v>
      </c>
      <c r="AJ23" s="279">
        <v>2.1666666666666687E-3</v>
      </c>
      <c r="AK23" s="279">
        <v>8.1666666666666745E-3</v>
      </c>
      <c r="AL23" s="279"/>
      <c r="AM23" s="279">
        <v>-1.6666666666666681E-3</v>
      </c>
      <c r="AN23" s="279"/>
      <c r="AO23" s="280" t="s">
        <v>3458</v>
      </c>
      <c r="AQ23" s="281" t="e">
        <f>VLOOKUP(A23,'Lambert-RGB-GDP_Efficacy'!A:A,1,FALSE)</f>
        <v>#N/A</v>
      </c>
    </row>
    <row r="24" spans="1:43" s="281" customFormat="1">
      <c r="A24" s="275" t="s">
        <v>4337</v>
      </c>
      <c r="B24" s="259" t="s">
        <v>5555</v>
      </c>
      <c r="C24" s="255" t="str">
        <f t="shared" si="27"/>
        <v/>
      </c>
      <c r="D24" s="256">
        <f t="shared" si="27"/>
        <v>1</v>
      </c>
      <c r="E24" s="256" t="str">
        <f t="shared" si="27"/>
        <v/>
      </c>
      <c r="F24" s="256" t="str">
        <f t="shared" si="27"/>
        <v/>
      </c>
      <c r="G24" s="257">
        <f t="shared" si="6"/>
        <v>1</v>
      </c>
      <c r="H24" s="258" t="str">
        <f t="shared" si="7"/>
        <v>Gi/o</v>
      </c>
      <c r="I24" s="255">
        <f t="shared" si="8"/>
        <v>0</v>
      </c>
      <c r="J24" s="256">
        <f t="shared" si="8"/>
        <v>1</v>
      </c>
      <c r="K24" s="256">
        <f t="shared" si="8"/>
        <v>0</v>
      </c>
      <c r="L24" s="256">
        <f t="shared" si="8"/>
        <v>0</v>
      </c>
      <c r="M24" s="255">
        <f t="shared" si="9"/>
        <v>0</v>
      </c>
      <c r="N24" s="256">
        <f t="shared" si="10"/>
        <v>100</v>
      </c>
      <c r="O24" s="256">
        <f t="shared" si="11"/>
        <v>0</v>
      </c>
      <c r="P24" s="256">
        <f t="shared" si="12"/>
        <v>0</v>
      </c>
      <c r="Q24" s="304">
        <f t="shared" si="13"/>
        <v>0</v>
      </c>
      <c r="R24" s="305">
        <f t="shared" si="14"/>
        <v>9.2333333333333323E-2</v>
      </c>
      <c r="S24" s="305">
        <f t="shared" si="15"/>
        <v>0</v>
      </c>
      <c r="T24" s="305">
        <f t="shared" si="16"/>
        <v>0</v>
      </c>
      <c r="U24" s="258" t="str">
        <f t="shared" si="17"/>
        <v>Gi1</v>
      </c>
      <c r="V24" s="276">
        <f t="shared" si="18"/>
        <v>0</v>
      </c>
      <c r="W24" s="277">
        <f t="shared" si="19"/>
        <v>100</v>
      </c>
      <c r="X24" s="277">
        <f t="shared" si="20"/>
        <v>0</v>
      </c>
      <c r="Y24" s="277">
        <f t="shared" si="21"/>
        <v>0</v>
      </c>
      <c r="Z24" s="277"/>
      <c r="AA24" s="277">
        <f t="shared" si="3"/>
        <v>0</v>
      </c>
      <c r="AB24" s="298">
        <f t="shared" si="22"/>
        <v>0</v>
      </c>
      <c r="AC24" s="279">
        <f t="shared" si="23"/>
        <v>9.2333333333333323E-2</v>
      </c>
      <c r="AD24" s="279">
        <f t="shared" si="24"/>
        <v>0</v>
      </c>
      <c r="AE24" s="279">
        <f t="shared" si="25"/>
        <v>0</v>
      </c>
      <c r="AF24" s="279"/>
      <c r="AG24" s="279">
        <f t="shared" si="26"/>
        <v>0</v>
      </c>
      <c r="AH24" s="298">
        <v>2.6666666666666692E-3</v>
      </c>
      <c r="AI24" s="279">
        <v>9.2333333333333323E-2</v>
      </c>
      <c r="AJ24" s="279">
        <v>8.3333333333333404E-4</v>
      </c>
      <c r="AK24" s="279">
        <v>1.833333333333335E-3</v>
      </c>
      <c r="AL24" s="279"/>
      <c r="AM24" s="279">
        <v>2.8333333333333357E-3</v>
      </c>
      <c r="AN24" s="279"/>
      <c r="AO24" s="280" t="s">
        <v>4337</v>
      </c>
      <c r="AQ24" s="281" t="e">
        <f>VLOOKUP(A24,'Lambert-RGB-GDP_Efficacy'!A:A,1,FALSE)</f>
        <v>#N/A</v>
      </c>
    </row>
    <row r="25" spans="1:43" s="281" customFormat="1">
      <c r="A25" s="275" t="s">
        <v>4332</v>
      </c>
      <c r="B25" s="259" t="s">
        <v>5555</v>
      </c>
      <c r="C25" s="255" t="str">
        <f t="shared" si="27"/>
        <v/>
      </c>
      <c r="D25" s="256" t="str">
        <f t="shared" si="27"/>
        <v/>
      </c>
      <c r="E25" s="256" t="str">
        <f t="shared" si="27"/>
        <v/>
      </c>
      <c r="F25" s="256" t="str">
        <f t="shared" si="27"/>
        <v/>
      </c>
      <c r="G25" s="257">
        <f t="shared" si="6"/>
        <v>0</v>
      </c>
      <c r="H25" s="258" t="str">
        <f t="shared" si="7"/>
        <v>-</v>
      </c>
      <c r="I25" s="255">
        <f t="shared" si="8"/>
        <v>0</v>
      </c>
      <c r="J25" s="256">
        <f t="shared" si="8"/>
        <v>0</v>
      </c>
      <c r="K25" s="256">
        <f t="shared" si="8"/>
        <v>0</v>
      </c>
      <c r="L25" s="256">
        <f t="shared" si="8"/>
        <v>0</v>
      </c>
      <c r="M25" s="255">
        <f t="shared" si="9"/>
        <v>0</v>
      </c>
      <c r="N25" s="256">
        <f t="shared" si="10"/>
        <v>0</v>
      </c>
      <c r="O25" s="256">
        <f t="shared" si="11"/>
        <v>0</v>
      </c>
      <c r="P25" s="256">
        <f t="shared" si="12"/>
        <v>0</v>
      </c>
      <c r="Q25" s="304">
        <f t="shared" si="13"/>
        <v>0</v>
      </c>
      <c r="R25" s="305">
        <f t="shared" si="14"/>
        <v>0</v>
      </c>
      <c r="S25" s="305">
        <f t="shared" si="15"/>
        <v>0</v>
      </c>
      <c r="T25" s="305">
        <f t="shared" si="16"/>
        <v>0</v>
      </c>
      <c r="U25" s="258" t="str">
        <f t="shared" si="17"/>
        <v>-</v>
      </c>
      <c r="V25" s="276">
        <f t="shared" si="18"/>
        <v>0</v>
      </c>
      <c r="W25" s="277">
        <f t="shared" si="19"/>
        <v>0</v>
      </c>
      <c r="X25" s="277">
        <f t="shared" si="20"/>
        <v>0</v>
      </c>
      <c r="Y25" s="277">
        <f t="shared" si="21"/>
        <v>0</v>
      </c>
      <c r="Z25" s="277"/>
      <c r="AA25" s="277">
        <f t="shared" si="3"/>
        <v>0</v>
      </c>
      <c r="AB25" s="298">
        <f t="shared" si="22"/>
        <v>0</v>
      </c>
      <c r="AC25" s="279">
        <f t="shared" si="23"/>
        <v>0</v>
      </c>
      <c r="AD25" s="279">
        <f t="shared" si="24"/>
        <v>0</v>
      </c>
      <c r="AE25" s="279">
        <f t="shared" si="25"/>
        <v>0</v>
      </c>
      <c r="AF25" s="279"/>
      <c r="AG25" s="279">
        <f t="shared" si="26"/>
        <v>0</v>
      </c>
      <c r="AH25" s="298">
        <v>-1.6666666666666682E-4</v>
      </c>
      <c r="AI25" s="279">
        <v>1.6666666666666682E-4</v>
      </c>
      <c r="AJ25" s="279">
        <v>-1.0000000000000009E-3</v>
      </c>
      <c r="AK25" s="279">
        <v>1.6666666666666682E-4</v>
      </c>
      <c r="AL25" s="279"/>
      <c r="AM25" s="279">
        <v>1.0000000000000009E-3</v>
      </c>
      <c r="AN25" s="279"/>
      <c r="AO25" s="280" t="s">
        <v>4332</v>
      </c>
      <c r="AQ25" s="281" t="e">
        <f>VLOOKUP(A25,'Lambert-RGB-GDP_Efficacy'!A:A,1,FALSE)</f>
        <v>#N/A</v>
      </c>
    </row>
    <row r="26" spans="1:43" s="281" customFormat="1">
      <c r="A26" s="275" t="s">
        <v>4330</v>
      </c>
      <c r="B26" s="259" t="s">
        <v>5555</v>
      </c>
      <c r="C26" s="255" t="str">
        <f t="shared" si="27"/>
        <v/>
      </c>
      <c r="D26" s="256">
        <f t="shared" si="27"/>
        <v>1</v>
      </c>
      <c r="E26" s="256">
        <f t="shared" si="27"/>
        <v>1</v>
      </c>
      <c r="F26" s="256" t="str">
        <f t="shared" si="27"/>
        <v/>
      </c>
      <c r="G26" s="257">
        <f t="shared" si="6"/>
        <v>2</v>
      </c>
      <c r="H26" s="258" t="str">
        <f t="shared" si="7"/>
        <v>Gi/o</v>
      </c>
      <c r="I26" s="255">
        <f t="shared" si="8"/>
        <v>0</v>
      </c>
      <c r="J26" s="256">
        <f t="shared" si="8"/>
        <v>1</v>
      </c>
      <c r="K26" s="256">
        <f t="shared" si="8"/>
        <v>2</v>
      </c>
      <c r="L26" s="256">
        <f t="shared" si="8"/>
        <v>0</v>
      </c>
      <c r="M26" s="255">
        <f t="shared" si="9"/>
        <v>0</v>
      </c>
      <c r="N26" s="256">
        <f t="shared" si="10"/>
        <v>100</v>
      </c>
      <c r="O26" s="256">
        <f t="shared" si="11"/>
        <v>22.123893805309727</v>
      </c>
      <c r="P26" s="256">
        <f t="shared" si="12"/>
        <v>0</v>
      </c>
      <c r="Q26" s="304">
        <f t="shared" si="13"/>
        <v>0</v>
      </c>
      <c r="R26" s="305">
        <f t="shared" si="14"/>
        <v>0.13183333333333333</v>
      </c>
      <c r="S26" s="305">
        <f t="shared" si="15"/>
        <v>2.9166666666666657E-2</v>
      </c>
      <c r="T26" s="305">
        <f t="shared" si="16"/>
        <v>0</v>
      </c>
      <c r="U26" s="258" t="str">
        <f t="shared" si="17"/>
        <v>Gi1</v>
      </c>
      <c r="V26" s="276">
        <f t="shared" si="18"/>
        <v>0</v>
      </c>
      <c r="W26" s="277">
        <f t="shared" si="19"/>
        <v>100</v>
      </c>
      <c r="X26" s="277">
        <f t="shared" si="20"/>
        <v>22.123893805309727</v>
      </c>
      <c r="Y26" s="277">
        <f t="shared" si="21"/>
        <v>0</v>
      </c>
      <c r="Z26" s="277"/>
      <c r="AA26" s="277">
        <f t="shared" si="3"/>
        <v>0</v>
      </c>
      <c r="AB26" s="298">
        <f t="shared" si="22"/>
        <v>0</v>
      </c>
      <c r="AC26" s="279">
        <f t="shared" si="23"/>
        <v>0.13183333333333333</v>
      </c>
      <c r="AD26" s="279">
        <f t="shared" si="24"/>
        <v>2.9166666666666657E-2</v>
      </c>
      <c r="AE26" s="279">
        <f t="shared" si="25"/>
        <v>0</v>
      </c>
      <c r="AF26" s="279"/>
      <c r="AG26" s="279">
        <f t="shared" si="26"/>
        <v>0</v>
      </c>
      <c r="AH26" s="298">
        <v>5.3333333333333011E-3</v>
      </c>
      <c r="AI26" s="279">
        <v>0.13183333333333333</v>
      </c>
      <c r="AJ26" s="279">
        <v>2.9166666666666657E-2</v>
      </c>
      <c r="AK26" s="279">
        <v>3.8333333333333184E-3</v>
      </c>
      <c r="AL26" s="279"/>
      <c r="AM26" s="279">
        <v>5.4999999999999867E-3</v>
      </c>
      <c r="AN26" s="279"/>
      <c r="AO26" s="280" t="s">
        <v>4330</v>
      </c>
      <c r="AQ26" s="281" t="e">
        <f>VLOOKUP(A26,'Lambert-RGB-GDP_Efficacy'!A:A,1,FALSE)</f>
        <v>#N/A</v>
      </c>
    </row>
    <row r="27" spans="1:43" s="281" customFormat="1">
      <c r="A27" s="275" t="s">
        <v>4327</v>
      </c>
      <c r="B27" s="259" t="s">
        <v>5555</v>
      </c>
      <c r="C27" s="255" t="str">
        <f t="shared" si="27"/>
        <v/>
      </c>
      <c r="D27" s="256">
        <f t="shared" si="27"/>
        <v>1</v>
      </c>
      <c r="E27" s="256" t="str">
        <f t="shared" si="27"/>
        <v/>
      </c>
      <c r="F27" s="256" t="str">
        <f t="shared" si="27"/>
        <v/>
      </c>
      <c r="G27" s="257">
        <f t="shared" si="6"/>
        <v>1</v>
      </c>
      <c r="H27" s="258" t="str">
        <f t="shared" si="7"/>
        <v>Gi/o</v>
      </c>
      <c r="I27" s="255">
        <f t="shared" si="8"/>
        <v>0</v>
      </c>
      <c r="J27" s="256">
        <f t="shared" si="8"/>
        <v>1</v>
      </c>
      <c r="K27" s="256">
        <f t="shared" si="8"/>
        <v>0</v>
      </c>
      <c r="L27" s="256">
        <f t="shared" si="8"/>
        <v>0</v>
      </c>
      <c r="M27" s="255">
        <f t="shared" si="9"/>
        <v>0</v>
      </c>
      <c r="N27" s="256">
        <f t="shared" si="10"/>
        <v>100</v>
      </c>
      <c r="O27" s="256">
        <f t="shared" si="11"/>
        <v>0</v>
      </c>
      <c r="P27" s="256">
        <f t="shared" si="12"/>
        <v>0</v>
      </c>
      <c r="Q27" s="304">
        <f t="shared" si="13"/>
        <v>0</v>
      </c>
      <c r="R27" s="305">
        <f t="shared" si="14"/>
        <v>7.3166666666666699E-2</v>
      </c>
      <c r="S27" s="305">
        <f t="shared" si="15"/>
        <v>0</v>
      </c>
      <c r="T27" s="305">
        <f t="shared" si="16"/>
        <v>0</v>
      </c>
      <c r="U27" s="258" t="str">
        <f t="shared" si="17"/>
        <v>Gi1</v>
      </c>
      <c r="V27" s="276">
        <f t="shared" si="18"/>
        <v>0</v>
      </c>
      <c r="W27" s="277">
        <f t="shared" si="19"/>
        <v>100</v>
      </c>
      <c r="X27" s="277">
        <f t="shared" si="20"/>
        <v>0</v>
      </c>
      <c r="Y27" s="277">
        <f t="shared" si="21"/>
        <v>0</v>
      </c>
      <c r="Z27" s="277"/>
      <c r="AA27" s="277">
        <f t="shared" si="3"/>
        <v>0</v>
      </c>
      <c r="AB27" s="298">
        <f t="shared" si="22"/>
        <v>0</v>
      </c>
      <c r="AC27" s="279">
        <f t="shared" si="23"/>
        <v>7.3166666666666699E-2</v>
      </c>
      <c r="AD27" s="279">
        <f t="shared" si="24"/>
        <v>0</v>
      </c>
      <c r="AE27" s="279">
        <f t="shared" si="25"/>
        <v>0</v>
      </c>
      <c r="AF27" s="279"/>
      <c r="AG27" s="279">
        <f t="shared" si="26"/>
        <v>0</v>
      </c>
      <c r="AH27" s="298">
        <v>1.833333333333335E-3</v>
      </c>
      <c r="AI27" s="279">
        <v>7.3166666666666699E-2</v>
      </c>
      <c r="AJ27" s="279">
        <v>1.6666666666666681E-3</v>
      </c>
      <c r="AK27" s="279">
        <v>8.3333333333333404E-4</v>
      </c>
      <c r="AL27" s="279"/>
      <c r="AM27" s="279">
        <v>1.6666666666666681E-3</v>
      </c>
      <c r="AN27" s="279"/>
      <c r="AO27" s="280" t="s">
        <v>4327</v>
      </c>
      <c r="AQ27" s="281" t="e">
        <f>VLOOKUP(A27,'Lambert-RGB-GDP_Efficacy'!A:A,1,FALSE)</f>
        <v>#N/A</v>
      </c>
    </row>
    <row r="28" spans="1:43" s="281" customFormat="1">
      <c r="A28" s="275" t="s">
        <v>82</v>
      </c>
      <c r="B28" s="259" t="s">
        <v>5555</v>
      </c>
      <c r="C28" s="255" t="str">
        <f t="shared" si="27"/>
        <v/>
      </c>
      <c r="D28" s="256">
        <f t="shared" si="27"/>
        <v>1</v>
      </c>
      <c r="E28" s="256" t="str">
        <f t="shared" si="27"/>
        <v/>
      </c>
      <c r="F28" s="256">
        <f t="shared" si="27"/>
        <v>1</v>
      </c>
      <c r="G28" s="257">
        <f t="shared" si="6"/>
        <v>2</v>
      </c>
      <c r="H28" s="258" t="str">
        <f t="shared" si="7"/>
        <v>Gi/o</v>
      </c>
      <c r="I28" s="255">
        <f t="shared" si="8"/>
        <v>0</v>
      </c>
      <c r="J28" s="256">
        <f t="shared" si="8"/>
        <v>1</v>
      </c>
      <c r="K28" s="256">
        <f t="shared" si="8"/>
        <v>0</v>
      </c>
      <c r="L28" s="256">
        <f t="shared" si="8"/>
        <v>2</v>
      </c>
      <c r="M28" s="255">
        <f t="shared" si="9"/>
        <v>0</v>
      </c>
      <c r="N28" s="256">
        <f t="shared" si="10"/>
        <v>100</v>
      </c>
      <c r="O28" s="256">
        <f t="shared" si="11"/>
        <v>0</v>
      </c>
      <c r="P28" s="256">
        <f t="shared" si="12"/>
        <v>96.551724137931032</v>
      </c>
      <c r="Q28" s="304">
        <f t="shared" si="13"/>
        <v>0</v>
      </c>
      <c r="R28" s="305">
        <f t="shared" si="14"/>
        <v>1.4500000000000013E-2</v>
      </c>
      <c r="S28" s="305">
        <f t="shared" si="15"/>
        <v>0</v>
      </c>
      <c r="T28" s="305">
        <f t="shared" si="16"/>
        <v>1.4000000000000012E-2</v>
      </c>
      <c r="U28" s="258" t="str">
        <f t="shared" si="17"/>
        <v>Gi1</v>
      </c>
      <c r="V28" s="276">
        <f t="shared" si="18"/>
        <v>0</v>
      </c>
      <c r="W28" s="277">
        <f t="shared" si="19"/>
        <v>100</v>
      </c>
      <c r="X28" s="277">
        <f t="shared" si="20"/>
        <v>0</v>
      </c>
      <c r="Y28" s="277">
        <f t="shared" si="21"/>
        <v>0</v>
      </c>
      <c r="Z28" s="277"/>
      <c r="AA28" s="277">
        <f t="shared" si="3"/>
        <v>96.551724137931032</v>
      </c>
      <c r="AB28" s="298">
        <f t="shared" si="22"/>
        <v>0</v>
      </c>
      <c r="AC28" s="279">
        <f t="shared" si="23"/>
        <v>1.4500000000000013E-2</v>
      </c>
      <c r="AD28" s="279">
        <f t="shared" si="24"/>
        <v>0</v>
      </c>
      <c r="AE28" s="279">
        <f t="shared" si="25"/>
        <v>0</v>
      </c>
      <c r="AF28" s="279"/>
      <c r="AG28" s="279">
        <f t="shared" si="26"/>
        <v>1.4000000000000012E-2</v>
      </c>
      <c r="AH28" s="298">
        <v>6.6666666666666729E-4</v>
      </c>
      <c r="AI28" s="279">
        <v>1.4500000000000013E-2</v>
      </c>
      <c r="AJ28" s="279">
        <v>2.6666666666666692E-3</v>
      </c>
      <c r="AK28" s="279">
        <v>6.5000000000000058E-3</v>
      </c>
      <c r="AL28" s="279"/>
      <c r="AM28" s="279">
        <v>1.4000000000000012E-2</v>
      </c>
      <c r="AN28" s="279"/>
      <c r="AO28" s="280" t="s">
        <v>83</v>
      </c>
      <c r="AQ28" s="281" t="e">
        <f>VLOOKUP(A28,'Lambert-RGB-GDP_Efficacy'!A:A,1,FALSE)</f>
        <v>#N/A</v>
      </c>
    </row>
    <row r="29" spans="1:43" s="281" customFormat="1">
      <c r="A29" s="275" t="s">
        <v>4323</v>
      </c>
      <c r="B29" s="259" t="s">
        <v>5555</v>
      </c>
      <c r="C29" s="255" t="str">
        <f t="shared" si="27"/>
        <v/>
      </c>
      <c r="D29" s="256" t="str">
        <f t="shared" si="27"/>
        <v/>
      </c>
      <c r="E29" s="256" t="str">
        <f t="shared" si="27"/>
        <v/>
      </c>
      <c r="F29" s="256" t="str">
        <f t="shared" si="27"/>
        <v/>
      </c>
      <c r="G29" s="257">
        <f t="shared" si="6"/>
        <v>0</v>
      </c>
      <c r="H29" s="258" t="str">
        <f t="shared" si="7"/>
        <v>-</v>
      </c>
      <c r="I29" s="255">
        <f t="shared" si="8"/>
        <v>0</v>
      </c>
      <c r="J29" s="256">
        <f t="shared" si="8"/>
        <v>0</v>
      </c>
      <c r="K29" s="256">
        <f t="shared" si="8"/>
        <v>0</v>
      </c>
      <c r="L29" s="256">
        <f t="shared" si="8"/>
        <v>0</v>
      </c>
      <c r="M29" s="255">
        <f t="shared" si="9"/>
        <v>0</v>
      </c>
      <c r="N29" s="256">
        <f t="shared" si="10"/>
        <v>0</v>
      </c>
      <c r="O29" s="256">
        <f t="shared" si="11"/>
        <v>0</v>
      </c>
      <c r="P29" s="256">
        <f t="shared" si="12"/>
        <v>0</v>
      </c>
      <c r="Q29" s="304">
        <f t="shared" si="13"/>
        <v>0</v>
      </c>
      <c r="R29" s="305">
        <f t="shared" si="14"/>
        <v>0</v>
      </c>
      <c r="S29" s="305">
        <f t="shared" si="15"/>
        <v>0</v>
      </c>
      <c r="T29" s="305">
        <f t="shared" si="16"/>
        <v>0</v>
      </c>
      <c r="U29" s="258" t="str">
        <f t="shared" si="17"/>
        <v>-</v>
      </c>
      <c r="V29" s="276">
        <f t="shared" si="18"/>
        <v>0</v>
      </c>
      <c r="W29" s="277">
        <f t="shared" si="19"/>
        <v>0</v>
      </c>
      <c r="X29" s="277">
        <f t="shared" si="20"/>
        <v>0</v>
      </c>
      <c r="Y29" s="277">
        <f t="shared" si="21"/>
        <v>0</v>
      </c>
      <c r="Z29" s="277"/>
      <c r="AA29" s="277">
        <f t="shared" si="3"/>
        <v>0</v>
      </c>
      <c r="AB29" s="298">
        <f t="shared" si="22"/>
        <v>0</v>
      </c>
      <c r="AC29" s="279">
        <f t="shared" si="23"/>
        <v>0</v>
      </c>
      <c r="AD29" s="279">
        <f t="shared" si="24"/>
        <v>0</v>
      </c>
      <c r="AE29" s="279">
        <f t="shared" si="25"/>
        <v>0</v>
      </c>
      <c r="AF29" s="279"/>
      <c r="AG29" s="279">
        <f t="shared" si="26"/>
        <v>0</v>
      </c>
      <c r="AH29" s="298">
        <v>1.6666666666666682E-4</v>
      </c>
      <c r="AI29" s="279">
        <v>6.6666666666666729E-4</v>
      </c>
      <c r="AJ29" s="279">
        <v>-8.3333333333335258E-4</v>
      </c>
      <c r="AK29" s="279">
        <v>-6.6666666666664876E-4</v>
      </c>
      <c r="AL29" s="279"/>
      <c r="AM29" s="279">
        <v>-1.1666666666666676E-3</v>
      </c>
      <c r="AN29" s="279"/>
      <c r="AO29" s="280" t="s">
        <v>4321</v>
      </c>
      <c r="AQ29" s="281" t="e">
        <f>VLOOKUP(A29,'Lambert-RGB-GDP_Efficacy'!A:A,1,FALSE)</f>
        <v>#N/A</v>
      </c>
    </row>
    <row r="30" spans="1:43" s="281" customFormat="1">
      <c r="A30" s="275" t="s">
        <v>3451</v>
      </c>
      <c r="B30" s="259" t="s">
        <v>5555</v>
      </c>
      <c r="C30" s="255" t="str">
        <f t="shared" si="27"/>
        <v/>
      </c>
      <c r="D30" s="256">
        <f t="shared" si="27"/>
        <v>1</v>
      </c>
      <c r="E30" s="256">
        <f t="shared" si="27"/>
        <v>1</v>
      </c>
      <c r="F30" s="256">
        <f t="shared" si="27"/>
        <v>1</v>
      </c>
      <c r="G30" s="257">
        <f t="shared" si="6"/>
        <v>3</v>
      </c>
      <c r="H30" s="258" t="str">
        <f t="shared" si="7"/>
        <v>Gi/o</v>
      </c>
      <c r="I30" s="255">
        <f t="shared" si="8"/>
        <v>0</v>
      </c>
      <c r="J30" s="256">
        <f t="shared" si="8"/>
        <v>1</v>
      </c>
      <c r="K30" s="256">
        <f t="shared" si="8"/>
        <v>2</v>
      </c>
      <c r="L30" s="256">
        <f t="shared" si="8"/>
        <v>3</v>
      </c>
      <c r="M30" s="255">
        <f t="shared" si="9"/>
        <v>0</v>
      </c>
      <c r="N30" s="256">
        <f t="shared" si="10"/>
        <v>100</v>
      </c>
      <c r="O30" s="256">
        <f t="shared" si="11"/>
        <v>39.705882352941146</v>
      </c>
      <c r="P30" s="256">
        <f t="shared" si="12"/>
        <v>23.529411764705905</v>
      </c>
      <c r="Q30" s="304">
        <f t="shared" si="13"/>
        <v>0</v>
      </c>
      <c r="R30" s="305">
        <f t="shared" si="14"/>
        <v>5.6666666666666664E-2</v>
      </c>
      <c r="S30" s="305">
        <f t="shared" si="15"/>
        <v>2.2499999999999982E-2</v>
      </c>
      <c r="T30" s="305">
        <f t="shared" si="16"/>
        <v>1.3333333333333345E-2</v>
      </c>
      <c r="U30" s="258" t="str">
        <f t="shared" si="17"/>
        <v>Gi1</v>
      </c>
      <c r="V30" s="276">
        <f t="shared" si="18"/>
        <v>0</v>
      </c>
      <c r="W30" s="277">
        <f t="shared" si="19"/>
        <v>100</v>
      </c>
      <c r="X30" s="277">
        <f t="shared" si="20"/>
        <v>35.588235294117617</v>
      </c>
      <c r="Y30" s="277">
        <f t="shared" si="21"/>
        <v>39.705882352941146</v>
      </c>
      <c r="Z30" s="277"/>
      <c r="AA30" s="277">
        <f t="shared" si="3"/>
        <v>23.529411764705905</v>
      </c>
      <c r="AB30" s="298">
        <f t="shared" si="22"/>
        <v>0</v>
      </c>
      <c r="AC30" s="279">
        <f t="shared" si="23"/>
        <v>5.6666666666666664E-2</v>
      </c>
      <c r="AD30" s="279">
        <f t="shared" si="24"/>
        <v>2.0166666666666649E-2</v>
      </c>
      <c r="AE30" s="279">
        <f t="shared" si="25"/>
        <v>2.2499999999999982E-2</v>
      </c>
      <c r="AF30" s="279"/>
      <c r="AG30" s="279">
        <f t="shared" si="26"/>
        <v>1.3333333333333345E-2</v>
      </c>
      <c r="AH30" s="298">
        <v>2.0000000000000018E-3</v>
      </c>
      <c r="AI30" s="279">
        <v>5.6666666666666664E-2</v>
      </c>
      <c r="AJ30" s="279">
        <v>2.0166666666666649E-2</v>
      </c>
      <c r="AK30" s="279">
        <v>2.2499999999999982E-2</v>
      </c>
      <c r="AL30" s="279"/>
      <c r="AM30" s="279">
        <v>1.3333333333333345E-2</v>
      </c>
      <c r="AN30" s="279"/>
      <c r="AO30" s="280" t="s">
        <v>3450</v>
      </c>
      <c r="AQ30" s="281" t="e">
        <f>VLOOKUP(A30,'Lambert-RGB-GDP_Efficacy'!A:A,1,FALSE)</f>
        <v>#N/A</v>
      </c>
    </row>
    <row r="31" spans="1:43" s="281" customFormat="1">
      <c r="A31" s="275" t="s">
        <v>4316</v>
      </c>
      <c r="B31" s="259" t="s">
        <v>5555</v>
      </c>
      <c r="C31" s="255" t="str">
        <f t="shared" si="27"/>
        <v/>
      </c>
      <c r="D31" s="256" t="str">
        <f t="shared" si="27"/>
        <v/>
      </c>
      <c r="E31" s="256" t="str">
        <f t="shared" si="27"/>
        <v/>
      </c>
      <c r="F31" s="256" t="str">
        <f t="shared" si="27"/>
        <v/>
      </c>
      <c r="G31" s="257">
        <f t="shared" si="6"/>
        <v>0</v>
      </c>
      <c r="H31" s="258" t="str">
        <f t="shared" si="7"/>
        <v>-</v>
      </c>
      <c r="I31" s="255">
        <f t="shared" si="8"/>
        <v>0</v>
      </c>
      <c r="J31" s="256">
        <f t="shared" si="8"/>
        <v>0</v>
      </c>
      <c r="K31" s="256">
        <f t="shared" si="8"/>
        <v>0</v>
      </c>
      <c r="L31" s="256">
        <f t="shared" si="8"/>
        <v>0</v>
      </c>
      <c r="M31" s="255">
        <f t="shared" si="9"/>
        <v>0</v>
      </c>
      <c r="N31" s="256">
        <f t="shared" si="10"/>
        <v>0</v>
      </c>
      <c r="O31" s="256">
        <f t="shared" si="11"/>
        <v>0</v>
      </c>
      <c r="P31" s="256">
        <f t="shared" si="12"/>
        <v>0</v>
      </c>
      <c r="Q31" s="304">
        <f t="shared" si="13"/>
        <v>0</v>
      </c>
      <c r="R31" s="305">
        <f t="shared" si="14"/>
        <v>0</v>
      </c>
      <c r="S31" s="305">
        <f t="shared" si="15"/>
        <v>0</v>
      </c>
      <c r="T31" s="305">
        <f t="shared" si="16"/>
        <v>0</v>
      </c>
      <c r="U31" s="258" t="str">
        <f t="shared" si="17"/>
        <v>-</v>
      </c>
      <c r="V31" s="276">
        <f t="shared" si="18"/>
        <v>0</v>
      </c>
      <c r="W31" s="277">
        <f t="shared" si="19"/>
        <v>0</v>
      </c>
      <c r="X31" s="277">
        <f t="shared" si="20"/>
        <v>0</v>
      </c>
      <c r="Y31" s="277">
        <f t="shared" si="21"/>
        <v>0</v>
      </c>
      <c r="Z31" s="277"/>
      <c r="AA31" s="277">
        <f t="shared" si="3"/>
        <v>0</v>
      </c>
      <c r="AB31" s="298">
        <f t="shared" si="22"/>
        <v>0</v>
      </c>
      <c r="AC31" s="279">
        <f t="shared" si="23"/>
        <v>0</v>
      </c>
      <c r="AD31" s="279">
        <f t="shared" si="24"/>
        <v>0</v>
      </c>
      <c r="AE31" s="279">
        <f t="shared" si="25"/>
        <v>0</v>
      </c>
      <c r="AF31" s="279"/>
      <c r="AG31" s="279">
        <f t="shared" si="26"/>
        <v>0</v>
      </c>
      <c r="AH31" s="298">
        <v>1.6666666666664831E-4</v>
      </c>
      <c r="AI31" s="279">
        <v>8.3333333333333404E-4</v>
      </c>
      <c r="AJ31" s="279">
        <v>5.0000000000000044E-4</v>
      </c>
      <c r="AK31" s="279">
        <v>-5.0000000000001898E-4</v>
      </c>
      <c r="AL31" s="279"/>
      <c r="AM31" s="279">
        <v>-8.3333333333333404E-4</v>
      </c>
      <c r="AN31" s="279"/>
      <c r="AO31" s="280" t="s">
        <v>4314</v>
      </c>
      <c r="AQ31" s="281" t="e">
        <f>VLOOKUP(A31,'Lambert-RGB-GDP_Efficacy'!A:A,1,FALSE)</f>
        <v>#N/A</v>
      </c>
    </row>
    <row r="32" spans="1:43" s="281" customFormat="1">
      <c r="A32" s="275" t="s">
        <v>4312</v>
      </c>
      <c r="B32" s="259" t="s">
        <v>5555</v>
      </c>
      <c r="C32" s="255" t="str">
        <f t="shared" si="27"/>
        <v/>
      </c>
      <c r="D32" s="256" t="str">
        <f t="shared" si="27"/>
        <v/>
      </c>
      <c r="E32" s="256" t="str">
        <f t="shared" si="27"/>
        <v/>
      </c>
      <c r="F32" s="256" t="str">
        <f t="shared" si="27"/>
        <v/>
      </c>
      <c r="G32" s="257">
        <f t="shared" si="6"/>
        <v>0</v>
      </c>
      <c r="H32" s="258" t="str">
        <f t="shared" si="7"/>
        <v>-</v>
      </c>
      <c r="I32" s="255">
        <f t="shared" si="8"/>
        <v>0</v>
      </c>
      <c r="J32" s="256">
        <f t="shared" si="8"/>
        <v>0</v>
      </c>
      <c r="K32" s="256">
        <f t="shared" si="8"/>
        <v>0</v>
      </c>
      <c r="L32" s="256">
        <f t="shared" si="8"/>
        <v>0</v>
      </c>
      <c r="M32" s="255">
        <f t="shared" si="9"/>
        <v>0</v>
      </c>
      <c r="N32" s="256">
        <f t="shared" si="10"/>
        <v>0</v>
      </c>
      <c r="O32" s="256">
        <f t="shared" si="11"/>
        <v>0</v>
      </c>
      <c r="P32" s="256">
        <f t="shared" si="12"/>
        <v>0</v>
      </c>
      <c r="Q32" s="304">
        <f t="shared" si="13"/>
        <v>0</v>
      </c>
      <c r="R32" s="305">
        <f t="shared" si="14"/>
        <v>0</v>
      </c>
      <c r="S32" s="305">
        <f t="shared" si="15"/>
        <v>0</v>
      </c>
      <c r="T32" s="305">
        <f t="shared" si="16"/>
        <v>0</v>
      </c>
      <c r="U32" s="258" t="str">
        <f t="shared" si="17"/>
        <v>-</v>
      </c>
      <c r="V32" s="276">
        <f t="shared" si="18"/>
        <v>0</v>
      </c>
      <c r="W32" s="277">
        <f t="shared" si="19"/>
        <v>0</v>
      </c>
      <c r="X32" s="277">
        <f t="shared" si="20"/>
        <v>0</v>
      </c>
      <c r="Y32" s="277">
        <f t="shared" si="21"/>
        <v>0</v>
      </c>
      <c r="Z32" s="277"/>
      <c r="AA32" s="277">
        <f t="shared" si="3"/>
        <v>0</v>
      </c>
      <c r="AB32" s="298">
        <f t="shared" si="22"/>
        <v>0</v>
      </c>
      <c r="AC32" s="279">
        <f t="shared" si="23"/>
        <v>0</v>
      </c>
      <c r="AD32" s="279">
        <f t="shared" si="24"/>
        <v>0</v>
      </c>
      <c r="AE32" s="279">
        <f t="shared" si="25"/>
        <v>0</v>
      </c>
      <c r="AF32" s="279"/>
      <c r="AG32" s="279">
        <f t="shared" si="26"/>
        <v>0</v>
      </c>
      <c r="AH32" s="298">
        <v>-8.3333333333333404E-4</v>
      </c>
      <c r="AI32" s="279">
        <v>8.3333333333333404E-4</v>
      </c>
      <c r="AJ32" s="279">
        <v>8.3333333333333404E-4</v>
      </c>
      <c r="AK32" s="279">
        <v>5.0000000000000044E-4</v>
      </c>
      <c r="AL32" s="279"/>
      <c r="AM32" s="279">
        <v>-1.1666666666666676E-3</v>
      </c>
      <c r="AN32" s="279"/>
      <c r="AO32" s="280" t="s">
        <v>4310</v>
      </c>
      <c r="AQ32" s="281" t="e">
        <f>VLOOKUP(A32,'Lambert-RGB-GDP_Efficacy'!A:A,1,FALSE)</f>
        <v>#N/A</v>
      </c>
    </row>
    <row r="33" spans="1:43" s="281" customFormat="1">
      <c r="A33" s="275" t="s">
        <v>4308</v>
      </c>
      <c r="B33" s="259" t="s">
        <v>5555</v>
      </c>
      <c r="C33" s="255" t="str">
        <f t="shared" si="27"/>
        <v/>
      </c>
      <c r="D33" s="256" t="str">
        <f t="shared" si="27"/>
        <v/>
      </c>
      <c r="E33" s="256" t="str">
        <f t="shared" si="27"/>
        <v/>
      </c>
      <c r="F33" s="256" t="str">
        <f t="shared" si="27"/>
        <v/>
      </c>
      <c r="G33" s="257">
        <f t="shared" si="6"/>
        <v>0</v>
      </c>
      <c r="H33" s="258" t="str">
        <f t="shared" si="7"/>
        <v>-</v>
      </c>
      <c r="I33" s="255">
        <f t="shared" si="8"/>
        <v>0</v>
      </c>
      <c r="J33" s="256">
        <f t="shared" si="8"/>
        <v>0</v>
      </c>
      <c r="K33" s="256">
        <f t="shared" si="8"/>
        <v>0</v>
      </c>
      <c r="L33" s="256">
        <f t="shared" si="8"/>
        <v>0</v>
      </c>
      <c r="M33" s="255">
        <f t="shared" si="9"/>
        <v>0</v>
      </c>
      <c r="N33" s="256">
        <f t="shared" si="10"/>
        <v>0</v>
      </c>
      <c r="O33" s="256">
        <f t="shared" si="11"/>
        <v>0</v>
      </c>
      <c r="P33" s="256">
        <f t="shared" si="12"/>
        <v>0</v>
      </c>
      <c r="Q33" s="304">
        <f t="shared" si="13"/>
        <v>0</v>
      </c>
      <c r="R33" s="305">
        <f t="shared" si="14"/>
        <v>0</v>
      </c>
      <c r="S33" s="305">
        <f t="shared" si="15"/>
        <v>0</v>
      </c>
      <c r="T33" s="305">
        <f t="shared" si="16"/>
        <v>0</v>
      </c>
      <c r="U33" s="258" t="str">
        <f t="shared" si="17"/>
        <v>-</v>
      </c>
      <c r="V33" s="276">
        <f t="shared" si="18"/>
        <v>0</v>
      </c>
      <c r="W33" s="277">
        <f t="shared" si="19"/>
        <v>0</v>
      </c>
      <c r="X33" s="277">
        <f t="shared" si="20"/>
        <v>0</v>
      </c>
      <c r="Y33" s="277">
        <f t="shared" si="21"/>
        <v>0</v>
      </c>
      <c r="Z33" s="277"/>
      <c r="AA33" s="277">
        <f t="shared" si="3"/>
        <v>0</v>
      </c>
      <c r="AB33" s="298">
        <f t="shared" si="22"/>
        <v>0</v>
      </c>
      <c r="AC33" s="279">
        <f t="shared" si="23"/>
        <v>0</v>
      </c>
      <c r="AD33" s="279">
        <f t="shared" si="24"/>
        <v>0</v>
      </c>
      <c r="AE33" s="279">
        <f t="shared" si="25"/>
        <v>0</v>
      </c>
      <c r="AF33" s="279"/>
      <c r="AG33" s="279">
        <f t="shared" si="26"/>
        <v>0</v>
      </c>
      <c r="AH33" s="298">
        <v>-8.3333333333333404E-4</v>
      </c>
      <c r="AI33" s="279">
        <v>-5.0000000000000044E-4</v>
      </c>
      <c r="AJ33" s="279">
        <v>-3.3333333333333365E-4</v>
      </c>
      <c r="AK33" s="279">
        <v>-3.3333333333333365E-4</v>
      </c>
      <c r="AL33" s="279"/>
      <c r="AM33" s="279">
        <v>-2.8333333333333357E-3</v>
      </c>
      <c r="AN33" s="279"/>
      <c r="AO33" s="280" t="s">
        <v>4306</v>
      </c>
      <c r="AQ33" s="281" t="e">
        <f>VLOOKUP(A33,'Lambert-RGB-GDP_Efficacy'!A:A,1,FALSE)</f>
        <v>#N/A</v>
      </c>
    </row>
    <row r="34" spans="1:43" s="281" customFormat="1">
      <c r="A34" s="275" t="s">
        <v>4304</v>
      </c>
      <c r="B34" s="259" t="s">
        <v>5555</v>
      </c>
      <c r="C34" s="255" t="str">
        <f t="shared" si="27"/>
        <v/>
      </c>
      <c r="D34" s="256" t="str">
        <f t="shared" si="27"/>
        <v/>
      </c>
      <c r="E34" s="256" t="str">
        <f t="shared" si="27"/>
        <v/>
      </c>
      <c r="F34" s="256" t="str">
        <f t="shared" si="27"/>
        <v/>
      </c>
      <c r="G34" s="257">
        <f t="shared" si="6"/>
        <v>0</v>
      </c>
      <c r="H34" s="258" t="str">
        <f t="shared" si="7"/>
        <v>-</v>
      </c>
      <c r="I34" s="255">
        <f t="shared" si="8"/>
        <v>0</v>
      </c>
      <c r="J34" s="256">
        <f t="shared" si="8"/>
        <v>0</v>
      </c>
      <c r="K34" s="256">
        <f t="shared" si="8"/>
        <v>0</v>
      </c>
      <c r="L34" s="256">
        <f t="shared" si="8"/>
        <v>0</v>
      </c>
      <c r="M34" s="255">
        <f t="shared" si="9"/>
        <v>0</v>
      </c>
      <c r="N34" s="256">
        <f t="shared" si="10"/>
        <v>0</v>
      </c>
      <c r="O34" s="256">
        <f t="shared" si="11"/>
        <v>0</v>
      </c>
      <c r="P34" s="256">
        <f t="shared" si="12"/>
        <v>0</v>
      </c>
      <c r="Q34" s="304">
        <f t="shared" si="13"/>
        <v>0</v>
      </c>
      <c r="R34" s="305">
        <f t="shared" si="14"/>
        <v>0</v>
      </c>
      <c r="S34" s="305">
        <f t="shared" si="15"/>
        <v>0</v>
      </c>
      <c r="T34" s="305">
        <f t="shared" si="16"/>
        <v>0</v>
      </c>
      <c r="U34" s="258" t="str">
        <f t="shared" si="17"/>
        <v>-</v>
      </c>
      <c r="V34" s="276">
        <f t="shared" si="18"/>
        <v>0</v>
      </c>
      <c r="W34" s="277">
        <f t="shared" si="19"/>
        <v>0</v>
      </c>
      <c r="X34" s="277">
        <f t="shared" si="20"/>
        <v>0</v>
      </c>
      <c r="Y34" s="277">
        <f t="shared" si="21"/>
        <v>0</v>
      </c>
      <c r="Z34" s="277"/>
      <c r="AA34" s="277">
        <f t="shared" si="3"/>
        <v>0</v>
      </c>
      <c r="AB34" s="298">
        <f t="shared" si="22"/>
        <v>0</v>
      </c>
      <c r="AC34" s="279">
        <f t="shared" si="23"/>
        <v>0</v>
      </c>
      <c r="AD34" s="279">
        <f t="shared" si="24"/>
        <v>0</v>
      </c>
      <c r="AE34" s="279">
        <f t="shared" si="25"/>
        <v>0</v>
      </c>
      <c r="AF34" s="279"/>
      <c r="AG34" s="279">
        <f t="shared" si="26"/>
        <v>0</v>
      </c>
      <c r="AH34" s="298">
        <v>1.6666666666666682E-4</v>
      </c>
      <c r="AI34" s="279">
        <v>-1.6666666666666701E-4</v>
      </c>
      <c r="AJ34" s="279">
        <v>8.3333333333333404E-4</v>
      </c>
      <c r="AK34" s="279">
        <v>-2.8333333333333357E-3</v>
      </c>
      <c r="AL34" s="279"/>
      <c r="AM34" s="279">
        <v>0</v>
      </c>
      <c r="AN34" s="279"/>
      <c r="AO34" s="280" t="s">
        <v>4302</v>
      </c>
      <c r="AQ34" s="281" t="e">
        <f>VLOOKUP(A34,'Lambert-RGB-GDP_Efficacy'!A:A,1,FALSE)</f>
        <v>#N/A</v>
      </c>
    </row>
    <row r="35" spans="1:43" s="281" customFormat="1">
      <c r="A35" s="275" t="s">
        <v>4300</v>
      </c>
      <c r="B35" s="259" t="s">
        <v>5555</v>
      </c>
      <c r="C35" s="255" t="str">
        <f t="shared" si="27"/>
        <v/>
      </c>
      <c r="D35" s="256" t="str">
        <f t="shared" si="27"/>
        <v/>
      </c>
      <c r="E35" s="256" t="str">
        <f t="shared" si="27"/>
        <v/>
      </c>
      <c r="F35" s="256" t="str">
        <f t="shared" si="27"/>
        <v/>
      </c>
      <c r="G35" s="257">
        <f t="shared" si="6"/>
        <v>0</v>
      </c>
      <c r="H35" s="258" t="str">
        <f t="shared" si="7"/>
        <v>-</v>
      </c>
      <c r="I35" s="255">
        <f t="shared" si="8"/>
        <v>0</v>
      </c>
      <c r="J35" s="256">
        <f t="shared" si="8"/>
        <v>0</v>
      </c>
      <c r="K35" s="256">
        <f t="shared" si="8"/>
        <v>0</v>
      </c>
      <c r="L35" s="256">
        <f t="shared" si="8"/>
        <v>0</v>
      </c>
      <c r="M35" s="255">
        <f t="shared" si="9"/>
        <v>0</v>
      </c>
      <c r="N35" s="256">
        <f t="shared" si="10"/>
        <v>0</v>
      </c>
      <c r="O35" s="256">
        <f t="shared" si="11"/>
        <v>0</v>
      </c>
      <c r="P35" s="256">
        <f t="shared" si="12"/>
        <v>0</v>
      </c>
      <c r="Q35" s="304">
        <f t="shared" si="13"/>
        <v>0</v>
      </c>
      <c r="R35" s="305">
        <f t="shared" si="14"/>
        <v>0</v>
      </c>
      <c r="S35" s="305">
        <f t="shared" si="15"/>
        <v>0</v>
      </c>
      <c r="T35" s="305">
        <f t="shared" si="16"/>
        <v>0</v>
      </c>
      <c r="U35" s="258" t="str">
        <f t="shared" si="17"/>
        <v>-</v>
      </c>
      <c r="V35" s="276">
        <f t="shared" si="18"/>
        <v>0</v>
      </c>
      <c r="W35" s="277">
        <f t="shared" si="19"/>
        <v>0</v>
      </c>
      <c r="X35" s="277">
        <f t="shared" si="20"/>
        <v>0</v>
      </c>
      <c r="Y35" s="277">
        <f t="shared" si="21"/>
        <v>0</v>
      </c>
      <c r="Z35" s="277"/>
      <c r="AA35" s="277">
        <f t="shared" si="3"/>
        <v>0</v>
      </c>
      <c r="AB35" s="298">
        <f t="shared" si="22"/>
        <v>0</v>
      </c>
      <c r="AC35" s="279">
        <f t="shared" si="23"/>
        <v>0</v>
      </c>
      <c r="AD35" s="279">
        <f t="shared" si="24"/>
        <v>0</v>
      </c>
      <c r="AE35" s="279">
        <f t="shared" si="25"/>
        <v>0</v>
      </c>
      <c r="AF35" s="279"/>
      <c r="AG35" s="279">
        <f t="shared" si="26"/>
        <v>0</v>
      </c>
      <c r="AH35" s="298">
        <v>-8.3333333333333404E-4</v>
      </c>
      <c r="AI35" s="279">
        <v>-1.5000000000000013E-3</v>
      </c>
      <c r="AJ35" s="279">
        <v>1.6666666666666681E-3</v>
      </c>
      <c r="AK35" s="279">
        <v>-8.3333333333331561E-4</v>
      </c>
      <c r="AL35" s="279"/>
      <c r="AM35" s="279">
        <v>-1.6666666666666682E-4</v>
      </c>
      <c r="AN35" s="279"/>
      <c r="AO35" s="280" t="s">
        <v>4298</v>
      </c>
      <c r="AQ35" s="281" t="e">
        <f>VLOOKUP(A35,'Lambert-RGB-GDP_Efficacy'!A:A,1,FALSE)</f>
        <v>#N/A</v>
      </c>
    </row>
    <row r="36" spans="1:43" s="281" customFormat="1">
      <c r="A36" s="275" t="s">
        <v>4297</v>
      </c>
      <c r="B36" s="259" t="s">
        <v>5555</v>
      </c>
      <c r="C36" s="255" t="str">
        <f t="shared" si="27"/>
        <v/>
      </c>
      <c r="D36" s="256" t="str">
        <f t="shared" si="27"/>
        <v/>
      </c>
      <c r="E36" s="256" t="str">
        <f t="shared" si="27"/>
        <v/>
      </c>
      <c r="F36" s="256" t="str">
        <f t="shared" si="27"/>
        <v/>
      </c>
      <c r="G36" s="257">
        <f t="shared" si="6"/>
        <v>0</v>
      </c>
      <c r="H36" s="258" t="str">
        <f t="shared" si="7"/>
        <v>-</v>
      </c>
      <c r="I36" s="255">
        <f t="shared" si="8"/>
        <v>0</v>
      </c>
      <c r="J36" s="256">
        <f t="shared" si="8"/>
        <v>0</v>
      </c>
      <c r="K36" s="256">
        <f t="shared" si="8"/>
        <v>0</v>
      </c>
      <c r="L36" s="256">
        <f t="shared" si="8"/>
        <v>0</v>
      </c>
      <c r="M36" s="255">
        <f t="shared" si="9"/>
        <v>0</v>
      </c>
      <c r="N36" s="256">
        <f t="shared" si="10"/>
        <v>0</v>
      </c>
      <c r="O36" s="256">
        <f t="shared" si="11"/>
        <v>0</v>
      </c>
      <c r="P36" s="256">
        <f t="shared" si="12"/>
        <v>0</v>
      </c>
      <c r="Q36" s="304">
        <f t="shared" si="13"/>
        <v>0</v>
      </c>
      <c r="R36" s="305">
        <f t="shared" si="14"/>
        <v>0</v>
      </c>
      <c r="S36" s="305">
        <f t="shared" si="15"/>
        <v>0</v>
      </c>
      <c r="T36" s="305">
        <f t="shared" si="16"/>
        <v>0</v>
      </c>
      <c r="U36" s="258" t="str">
        <f t="shared" si="17"/>
        <v>-</v>
      </c>
      <c r="V36" s="276">
        <f t="shared" si="18"/>
        <v>0</v>
      </c>
      <c r="W36" s="277">
        <f t="shared" si="19"/>
        <v>0</v>
      </c>
      <c r="X36" s="277">
        <f t="shared" si="20"/>
        <v>0</v>
      </c>
      <c r="Y36" s="277">
        <f t="shared" si="21"/>
        <v>0</v>
      </c>
      <c r="Z36" s="277"/>
      <c r="AA36" s="277">
        <f t="shared" si="3"/>
        <v>0</v>
      </c>
      <c r="AB36" s="298">
        <f t="shared" si="22"/>
        <v>0</v>
      </c>
      <c r="AC36" s="279">
        <f t="shared" si="23"/>
        <v>0</v>
      </c>
      <c r="AD36" s="279">
        <f t="shared" si="24"/>
        <v>0</v>
      </c>
      <c r="AE36" s="279">
        <f t="shared" si="25"/>
        <v>0</v>
      </c>
      <c r="AF36" s="279"/>
      <c r="AG36" s="279">
        <f t="shared" si="26"/>
        <v>0</v>
      </c>
      <c r="AH36" s="298">
        <v>1.833333333333335E-3</v>
      </c>
      <c r="AI36" s="279">
        <v>-1.6666666666666682E-4</v>
      </c>
      <c r="AJ36" s="279">
        <v>1.833333333333335E-3</v>
      </c>
      <c r="AK36" s="279">
        <v>5.0000000000000044E-4</v>
      </c>
      <c r="AL36" s="279"/>
      <c r="AM36" s="279">
        <v>-1.3333333333333346E-3</v>
      </c>
      <c r="AN36" s="279"/>
      <c r="AO36" s="280" t="s">
        <v>4295</v>
      </c>
      <c r="AQ36" s="281" t="e">
        <f>VLOOKUP(A36,'Lambert-RGB-GDP_Efficacy'!A:A,1,FALSE)</f>
        <v>#N/A</v>
      </c>
    </row>
    <row r="37" spans="1:43" s="281" customFormat="1">
      <c r="A37" s="275" t="s">
        <v>4293</v>
      </c>
      <c r="B37" s="259" t="s">
        <v>5555</v>
      </c>
      <c r="C37" s="255" t="str">
        <f t="shared" si="27"/>
        <v/>
      </c>
      <c r="D37" s="256" t="str">
        <f t="shared" si="27"/>
        <v/>
      </c>
      <c r="E37" s="256" t="str">
        <f t="shared" si="27"/>
        <v/>
      </c>
      <c r="F37" s="256" t="str">
        <f t="shared" si="27"/>
        <v/>
      </c>
      <c r="G37" s="257">
        <f t="shared" si="6"/>
        <v>0</v>
      </c>
      <c r="H37" s="258" t="str">
        <f t="shared" si="7"/>
        <v>-</v>
      </c>
      <c r="I37" s="255">
        <f t="shared" si="8"/>
        <v>0</v>
      </c>
      <c r="J37" s="256">
        <f t="shared" si="8"/>
        <v>0</v>
      </c>
      <c r="K37" s="256">
        <f t="shared" si="8"/>
        <v>0</v>
      </c>
      <c r="L37" s="256">
        <f t="shared" si="8"/>
        <v>0</v>
      </c>
      <c r="M37" s="255">
        <f t="shared" si="9"/>
        <v>0</v>
      </c>
      <c r="N37" s="256">
        <f t="shared" si="10"/>
        <v>0</v>
      </c>
      <c r="O37" s="256">
        <f t="shared" si="11"/>
        <v>0</v>
      </c>
      <c r="P37" s="256">
        <f t="shared" si="12"/>
        <v>0</v>
      </c>
      <c r="Q37" s="304">
        <f t="shared" si="13"/>
        <v>0</v>
      </c>
      <c r="R37" s="305">
        <f t="shared" si="14"/>
        <v>0</v>
      </c>
      <c r="S37" s="305">
        <f t="shared" si="15"/>
        <v>0</v>
      </c>
      <c r="T37" s="305">
        <f t="shared" si="16"/>
        <v>0</v>
      </c>
      <c r="U37" s="258" t="str">
        <f t="shared" si="17"/>
        <v>-</v>
      </c>
      <c r="V37" s="276">
        <f t="shared" si="18"/>
        <v>0</v>
      </c>
      <c r="W37" s="277">
        <f t="shared" si="19"/>
        <v>0</v>
      </c>
      <c r="X37" s="277">
        <f t="shared" si="20"/>
        <v>0</v>
      </c>
      <c r="Y37" s="277">
        <f t="shared" si="21"/>
        <v>0</v>
      </c>
      <c r="Z37" s="277"/>
      <c r="AA37" s="277">
        <f t="shared" si="3"/>
        <v>0</v>
      </c>
      <c r="AB37" s="298">
        <f t="shared" si="22"/>
        <v>0</v>
      </c>
      <c r="AC37" s="279">
        <f t="shared" si="23"/>
        <v>0</v>
      </c>
      <c r="AD37" s="279">
        <f t="shared" si="24"/>
        <v>0</v>
      </c>
      <c r="AE37" s="279">
        <f t="shared" si="25"/>
        <v>0</v>
      </c>
      <c r="AF37" s="279"/>
      <c r="AG37" s="279">
        <f t="shared" si="26"/>
        <v>0</v>
      </c>
      <c r="AH37" s="298">
        <v>0</v>
      </c>
      <c r="AI37" s="279">
        <v>-5.0000000000000044E-4</v>
      </c>
      <c r="AJ37" s="279">
        <v>5.0000000000000044E-4</v>
      </c>
      <c r="AK37" s="279">
        <v>-1.6666666666666682E-4</v>
      </c>
      <c r="AL37" s="279"/>
      <c r="AM37" s="279">
        <v>-1.6666666666666682E-4</v>
      </c>
      <c r="AN37" s="279"/>
      <c r="AO37" s="280" t="s">
        <v>4291</v>
      </c>
      <c r="AQ37" s="281" t="e">
        <f>VLOOKUP(A37,'Lambert-RGB-GDP_Efficacy'!A:A,1,FALSE)</f>
        <v>#N/A</v>
      </c>
    </row>
    <row r="38" spans="1:43" s="281" customFormat="1">
      <c r="A38" s="275" t="s">
        <v>4289</v>
      </c>
      <c r="B38" s="259" t="s">
        <v>5555</v>
      </c>
      <c r="C38" s="255" t="str">
        <f t="shared" si="27"/>
        <v/>
      </c>
      <c r="D38" s="256" t="str">
        <f t="shared" si="27"/>
        <v/>
      </c>
      <c r="E38" s="256" t="str">
        <f t="shared" si="27"/>
        <v/>
      </c>
      <c r="F38" s="256" t="str">
        <f t="shared" si="27"/>
        <v/>
      </c>
      <c r="G38" s="257">
        <f t="shared" si="6"/>
        <v>0</v>
      </c>
      <c r="H38" s="258" t="str">
        <f t="shared" si="7"/>
        <v>-</v>
      </c>
      <c r="I38" s="255">
        <f t="shared" si="8"/>
        <v>0</v>
      </c>
      <c r="J38" s="256">
        <f t="shared" si="8"/>
        <v>0</v>
      </c>
      <c r="K38" s="256">
        <f t="shared" si="8"/>
        <v>0</v>
      </c>
      <c r="L38" s="256">
        <f t="shared" si="8"/>
        <v>0</v>
      </c>
      <c r="M38" s="255">
        <f t="shared" si="9"/>
        <v>0</v>
      </c>
      <c r="N38" s="256">
        <f t="shared" si="10"/>
        <v>0</v>
      </c>
      <c r="O38" s="256">
        <f t="shared" si="11"/>
        <v>0</v>
      </c>
      <c r="P38" s="256">
        <f t="shared" si="12"/>
        <v>0</v>
      </c>
      <c r="Q38" s="304">
        <f t="shared" si="13"/>
        <v>0</v>
      </c>
      <c r="R38" s="305">
        <f t="shared" si="14"/>
        <v>0</v>
      </c>
      <c r="S38" s="305">
        <f t="shared" si="15"/>
        <v>0</v>
      </c>
      <c r="T38" s="305">
        <f t="shared" si="16"/>
        <v>0</v>
      </c>
      <c r="U38" s="258" t="str">
        <f t="shared" si="17"/>
        <v>-</v>
      </c>
      <c r="V38" s="276">
        <f t="shared" si="18"/>
        <v>0</v>
      </c>
      <c r="W38" s="277">
        <f t="shared" si="19"/>
        <v>0</v>
      </c>
      <c r="X38" s="277">
        <f t="shared" si="20"/>
        <v>0</v>
      </c>
      <c r="Y38" s="277">
        <f t="shared" si="21"/>
        <v>0</v>
      </c>
      <c r="Z38" s="277"/>
      <c r="AA38" s="277">
        <f t="shared" si="3"/>
        <v>0</v>
      </c>
      <c r="AB38" s="298">
        <f t="shared" si="22"/>
        <v>0</v>
      </c>
      <c r="AC38" s="279">
        <f t="shared" si="23"/>
        <v>0</v>
      </c>
      <c r="AD38" s="279">
        <f t="shared" si="24"/>
        <v>0</v>
      </c>
      <c r="AE38" s="279">
        <f t="shared" si="25"/>
        <v>0</v>
      </c>
      <c r="AF38" s="279"/>
      <c r="AG38" s="279">
        <f t="shared" si="26"/>
        <v>0</v>
      </c>
      <c r="AH38" s="298">
        <v>-1.3333333333333346E-3</v>
      </c>
      <c r="AI38" s="279">
        <v>-1.6666666666666682E-4</v>
      </c>
      <c r="AJ38" s="279">
        <v>-1.6666666666666682E-4</v>
      </c>
      <c r="AK38" s="279">
        <v>-3.0000000000000027E-3</v>
      </c>
      <c r="AL38" s="279"/>
      <c r="AM38" s="279">
        <v>1.6666666666666682E-4</v>
      </c>
      <c r="AN38" s="279"/>
      <c r="AO38" s="280" t="s">
        <v>4287</v>
      </c>
      <c r="AQ38" s="281" t="e">
        <f>VLOOKUP(A38,'Lambert-RGB-GDP_Efficacy'!A:A,1,FALSE)</f>
        <v>#N/A</v>
      </c>
    </row>
    <row r="39" spans="1:43" s="281" customFormat="1">
      <c r="A39" s="275" t="s">
        <v>3949</v>
      </c>
      <c r="B39" s="259" t="s">
        <v>5555</v>
      </c>
      <c r="C39" s="255" t="str">
        <f t="shared" si="27"/>
        <v/>
      </c>
      <c r="D39" s="256" t="str">
        <f t="shared" si="27"/>
        <v/>
      </c>
      <c r="E39" s="256" t="str">
        <f t="shared" si="27"/>
        <v/>
      </c>
      <c r="F39" s="256" t="str">
        <f t="shared" si="27"/>
        <v/>
      </c>
      <c r="G39" s="257">
        <f t="shared" si="6"/>
        <v>0</v>
      </c>
      <c r="H39" s="258" t="str">
        <f t="shared" si="7"/>
        <v>-</v>
      </c>
      <c r="I39" s="255">
        <f t="shared" si="8"/>
        <v>0</v>
      </c>
      <c r="J39" s="256">
        <f t="shared" si="8"/>
        <v>0</v>
      </c>
      <c r="K39" s="256">
        <f t="shared" si="8"/>
        <v>0</v>
      </c>
      <c r="L39" s="256">
        <f t="shared" si="8"/>
        <v>0</v>
      </c>
      <c r="M39" s="255">
        <f t="shared" si="9"/>
        <v>0</v>
      </c>
      <c r="N39" s="256">
        <f t="shared" si="10"/>
        <v>0</v>
      </c>
      <c r="O39" s="256">
        <f t="shared" si="11"/>
        <v>0</v>
      </c>
      <c r="P39" s="256">
        <f t="shared" si="12"/>
        <v>0</v>
      </c>
      <c r="Q39" s="304">
        <f t="shared" si="13"/>
        <v>0</v>
      </c>
      <c r="R39" s="305">
        <f t="shared" si="14"/>
        <v>0</v>
      </c>
      <c r="S39" s="305">
        <f t="shared" si="15"/>
        <v>0</v>
      </c>
      <c r="T39" s="305">
        <f t="shared" si="16"/>
        <v>0</v>
      </c>
      <c r="U39" s="258" t="str">
        <f t="shared" si="17"/>
        <v>-</v>
      </c>
      <c r="V39" s="276">
        <f t="shared" si="18"/>
        <v>0</v>
      </c>
      <c r="W39" s="277">
        <f t="shared" si="19"/>
        <v>0</v>
      </c>
      <c r="X39" s="277">
        <f t="shared" si="20"/>
        <v>0</v>
      </c>
      <c r="Y39" s="277">
        <f t="shared" si="21"/>
        <v>0</v>
      </c>
      <c r="Z39" s="277"/>
      <c r="AA39" s="277">
        <f t="shared" si="3"/>
        <v>0</v>
      </c>
      <c r="AB39" s="298">
        <f t="shared" si="22"/>
        <v>0</v>
      </c>
      <c r="AC39" s="279">
        <f t="shared" si="23"/>
        <v>0</v>
      </c>
      <c r="AD39" s="279">
        <f t="shared" si="24"/>
        <v>0</v>
      </c>
      <c r="AE39" s="279">
        <f t="shared" si="25"/>
        <v>0</v>
      </c>
      <c r="AF39" s="279"/>
      <c r="AG39" s="279">
        <f t="shared" si="26"/>
        <v>0</v>
      </c>
      <c r="AH39" s="298">
        <v>1.3333333333333346E-3</v>
      </c>
      <c r="AI39" s="279">
        <v>7.0000000000000062E-3</v>
      </c>
      <c r="AJ39" s="279">
        <v>1.1666666666666676E-3</v>
      </c>
      <c r="AK39" s="279">
        <v>-1.6666666666666682E-4</v>
      </c>
      <c r="AL39" s="279"/>
      <c r="AM39" s="279">
        <v>5.0000000000000044E-4</v>
      </c>
      <c r="AN39" s="279"/>
      <c r="AO39" s="280" t="s">
        <v>3947</v>
      </c>
      <c r="AQ39" s="281" t="e">
        <f>VLOOKUP(A39,'Lambert-RGB-GDP_Efficacy'!A:A,1,FALSE)</f>
        <v>#N/A</v>
      </c>
    </row>
    <row r="40" spans="1:43" s="281" customFormat="1">
      <c r="A40" s="275" t="s">
        <v>4285</v>
      </c>
      <c r="B40" s="259" t="s">
        <v>5555</v>
      </c>
      <c r="C40" s="255" t="str">
        <f t="shared" si="27"/>
        <v/>
      </c>
      <c r="D40" s="256" t="str">
        <f t="shared" si="27"/>
        <v/>
      </c>
      <c r="E40" s="256" t="str">
        <f t="shared" si="27"/>
        <v/>
      </c>
      <c r="F40" s="256" t="str">
        <f t="shared" si="27"/>
        <v/>
      </c>
      <c r="G40" s="257">
        <f t="shared" si="6"/>
        <v>0</v>
      </c>
      <c r="H40" s="258" t="str">
        <f t="shared" si="7"/>
        <v>-</v>
      </c>
      <c r="I40" s="255">
        <f t="shared" si="8"/>
        <v>0</v>
      </c>
      <c r="J40" s="256">
        <f t="shared" si="8"/>
        <v>0</v>
      </c>
      <c r="K40" s="256">
        <f t="shared" si="8"/>
        <v>0</v>
      </c>
      <c r="L40" s="256">
        <f t="shared" si="8"/>
        <v>0</v>
      </c>
      <c r="M40" s="255">
        <f t="shared" si="9"/>
        <v>0</v>
      </c>
      <c r="N40" s="256">
        <f t="shared" si="10"/>
        <v>0</v>
      </c>
      <c r="O40" s="256">
        <f t="shared" si="11"/>
        <v>0</v>
      </c>
      <c r="P40" s="256">
        <f t="shared" si="12"/>
        <v>0</v>
      </c>
      <c r="Q40" s="304">
        <f t="shared" si="13"/>
        <v>0</v>
      </c>
      <c r="R40" s="305">
        <f t="shared" si="14"/>
        <v>0</v>
      </c>
      <c r="S40" s="305">
        <f t="shared" si="15"/>
        <v>0</v>
      </c>
      <c r="T40" s="305">
        <f t="shared" si="16"/>
        <v>0</v>
      </c>
      <c r="U40" s="258" t="str">
        <f t="shared" si="17"/>
        <v>-</v>
      </c>
      <c r="V40" s="276">
        <f t="shared" si="18"/>
        <v>0</v>
      </c>
      <c r="W40" s="277">
        <f t="shared" si="19"/>
        <v>0</v>
      </c>
      <c r="X40" s="277">
        <f t="shared" si="20"/>
        <v>0</v>
      </c>
      <c r="Y40" s="277">
        <f t="shared" si="21"/>
        <v>0</v>
      </c>
      <c r="Z40" s="277"/>
      <c r="AA40" s="277">
        <f t="shared" si="3"/>
        <v>0</v>
      </c>
      <c r="AB40" s="298">
        <f t="shared" si="22"/>
        <v>0</v>
      </c>
      <c r="AC40" s="279">
        <f t="shared" si="23"/>
        <v>0</v>
      </c>
      <c r="AD40" s="279">
        <f t="shared" si="24"/>
        <v>0</v>
      </c>
      <c r="AE40" s="279">
        <f t="shared" si="25"/>
        <v>0</v>
      </c>
      <c r="AF40" s="279"/>
      <c r="AG40" s="279">
        <f t="shared" si="26"/>
        <v>0</v>
      </c>
      <c r="AH40" s="298">
        <v>-2.1666666666666687E-3</v>
      </c>
      <c r="AI40" s="279">
        <v>1.1666666666666676E-3</v>
      </c>
      <c r="AJ40" s="279">
        <v>-1.0000000000000009E-3</v>
      </c>
      <c r="AK40" s="279">
        <v>-6.6666666666666729E-4</v>
      </c>
      <c r="AL40" s="279"/>
      <c r="AM40" s="279">
        <v>2.3333333333333353E-3</v>
      </c>
      <c r="AN40" s="279"/>
      <c r="AO40" s="280" t="s">
        <v>4283</v>
      </c>
      <c r="AQ40" s="281" t="e">
        <f>VLOOKUP(A40,'Lambert-RGB-GDP_Efficacy'!A:A,1,FALSE)</f>
        <v>#N/A</v>
      </c>
    </row>
    <row r="41" spans="1:43" s="281" customFormat="1">
      <c r="A41" s="275" t="s">
        <v>4278</v>
      </c>
      <c r="B41" s="259" t="s">
        <v>5555</v>
      </c>
      <c r="C41" s="255" t="str">
        <f t="shared" si="27"/>
        <v/>
      </c>
      <c r="D41" s="256" t="str">
        <f t="shared" si="27"/>
        <v/>
      </c>
      <c r="E41" s="256" t="str">
        <f t="shared" si="27"/>
        <v/>
      </c>
      <c r="F41" s="256" t="str">
        <f t="shared" si="27"/>
        <v/>
      </c>
      <c r="G41" s="257">
        <f t="shared" si="6"/>
        <v>0</v>
      </c>
      <c r="H41" s="258" t="str">
        <f t="shared" si="7"/>
        <v>-</v>
      </c>
      <c r="I41" s="255">
        <f t="shared" si="8"/>
        <v>0</v>
      </c>
      <c r="J41" s="256">
        <f t="shared" si="8"/>
        <v>0</v>
      </c>
      <c r="K41" s="256">
        <f t="shared" si="8"/>
        <v>0</v>
      </c>
      <c r="L41" s="256">
        <f t="shared" si="8"/>
        <v>0</v>
      </c>
      <c r="M41" s="255">
        <f t="shared" si="9"/>
        <v>0</v>
      </c>
      <c r="N41" s="256">
        <f t="shared" si="10"/>
        <v>0</v>
      </c>
      <c r="O41" s="256">
        <f t="shared" si="11"/>
        <v>0</v>
      </c>
      <c r="P41" s="256">
        <f t="shared" si="12"/>
        <v>0</v>
      </c>
      <c r="Q41" s="304">
        <f t="shared" si="13"/>
        <v>0</v>
      </c>
      <c r="R41" s="305">
        <f t="shared" si="14"/>
        <v>0</v>
      </c>
      <c r="S41" s="305">
        <f t="shared" si="15"/>
        <v>0</v>
      </c>
      <c r="T41" s="305">
        <f t="shared" si="16"/>
        <v>0</v>
      </c>
      <c r="U41" s="258" t="str">
        <f t="shared" si="17"/>
        <v>-</v>
      </c>
      <c r="V41" s="276">
        <f t="shared" si="18"/>
        <v>0</v>
      </c>
      <c r="W41" s="277">
        <f t="shared" si="19"/>
        <v>0</v>
      </c>
      <c r="X41" s="277">
        <f t="shared" si="20"/>
        <v>0</v>
      </c>
      <c r="Y41" s="277">
        <f t="shared" si="21"/>
        <v>0</v>
      </c>
      <c r="Z41" s="277"/>
      <c r="AA41" s="277">
        <f t="shared" si="3"/>
        <v>0</v>
      </c>
      <c r="AB41" s="298">
        <f t="shared" si="22"/>
        <v>0</v>
      </c>
      <c r="AC41" s="279">
        <f t="shared" si="23"/>
        <v>0</v>
      </c>
      <c r="AD41" s="279">
        <f t="shared" si="24"/>
        <v>0</v>
      </c>
      <c r="AE41" s="279">
        <f t="shared" si="25"/>
        <v>0</v>
      </c>
      <c r="AF41" s="279"/>
      <c r="AG41" s="279">
        <f t="shared" si="26"/>
        <v>0</v>
      </c>
      <c r="AH41" s="298">
        <v>-1.6666666666666682E-4</v>
      </c>
      <c r="AI41" s="279">
        <v>1.3333333333333346E-3</v>
      </c>
      <c r="AJ41" s="279">
        <v>-1.6666666666666682E-4</v>
      </c>
      <c r="AK41" s="279">
        <v>-2.5000000000000022E-3</v>
      </c>
      <c r="AL41" s="279"/>
      <c r="AM41" s="279">
        <v>5.0000000000000044E-4</v>
      </c>
      <c r="AN41" s="279"/>
      <c r="AO41" s="280" t="s">
        <v>4276</v>
      </c>
      <c r="AQ41" s="281" t="e">
        <f>VLOOKUP(A41,'Lambert-RGB-GDP_Efficacy'!A:A,1,FALSE)</f>
        <v>#N/A</v>
      </c>
    </row>
    <row r="42" spans="1:43" s="281" customFormat="1">
      <c r="A42" s="275" t="s">
        <v>4274</v>
      </c>
      <c r="B42" s="259" t="s">
        <v>5555</v>
      </c>
      <c r="C42" s="255" t="str">
        <f t="shared" si="27"/>
        <v/>
      </c>
      <c r="D42" s="256" t="str">
        <f t="shared" si="27"/>
        <v/>
      </c>
      <c r="E42" s="256" t="str">
        <f t="shared" si="27"/>
        <v/>
      </c>
      <c r="F42" s="256" t="str">
        <f t="shared" si="27"/>
        <v/>
      </c>
      <c r="G42" s="257">
        <f t="shared" si="6"/>
        <v>0</v>
      </c>
      <c r="H42" s="258" t="str">
        <f t="shared" si="7"/>
        <v>-</v>
      </c>
      <c r="I42" s="255">
        <f t="shared" si="8"/>
        <v>0</v>
      </c>
      <c r="J42" s="256">
        <f t="shared" si="8"/>
        <v>0</v>
      </c>
      <c r="K42" s="256">
        <f t="shared" si="8"/>
        <v>0</v>
      </c>
      <c r="L42" s="256">
        <f t="shared" si="8"/>
        <v>0</v>
      </c>
      <c r="M42" s="255">
        <f t="shared" si="9"/>
        <v>0</v>
      </c>
      <c r="N42" s="256">
        <f t="shared" si="10"/>
        <v>0</v>
      </c>
      <c r="O42" s="256">
        <f t="shared" si="11"/>
        <v>0</v>
      </c>
      <c r="P42" s="256">
        <f t="shared" si="12"/>
        <v>0</v>
      </c>
      <c r="Q42" s="304">
        <f t="shared" si="13"/>
        <v>0</v>
      </c>
      <c r="R42" s="305">
        <f t="shared" si="14"/>
        <v>0</v>
      </c>
      <c r="S42" s="305">
        <f t="shared" si="15"/>
        <v>0</v>
      </c>
      <c r="T42" s="305">
        <f t="shared" si="16"/>
        <v>0</v>
      </c>
      <c r="U42" s="258" t="str">
        <f t="shared" si="17"/>
        <v>-</v>
      </c>
      <c r="V42" s="276">
        <f t="shared" si="18"/>
        <v>0</v>
      </c>
      <c r="W42" s="277">
        <f t="shared" si="19"/>
        <v>0</v>
      </c>
      <c r="X42" s="277">
        <f t="shared" si="20"/>
        <v>0</v>
      </c>
      <c r="Y42" s="277">
        <f t="shared" si="21"/>
        <v>0</v>
      </c>
      <c r="Z42" s="277"/>
      <c r="AA42" s="277">
        <f t="shared" si="3"/>
        <v>0</v>
      </c>
      <c r="AB42" s="298">
        <f t="shared" si="22"/>
        <v>0</v>
      </c>
      <c r="AC42" s="279">
        <f t="shared" si="23"/>
        <v>0</v>
      </c>
      <c r="AD42" s="279">
        <f t="shared" si="24"/>
        <v>0</v>
      </c>
      <c r="AE42" s="279">
        <f t="shared" si="25"/>
        <v>0</v>
      </c>
      <c r="AF42" s="279"/>
      <c r="AG42" s="279">
        <f t="shared" si="26"/>
        <v>0</v>
      </c>
      <c r="AH42" s="298">
        <v>-8.3333333333333404E-4</v>
      </c>
      <c r="AI42" s="279">
        <v>-8.3333333333333404E-4</v>
      </c>
      <c r="AJ42" s="279">
        <v>-1.1666666666666676E-3</v>
      </c>
      <c r="AK42" s="279">
        <v>-1.6666666666666682E-4</v>
      </c>
      <c r="AL42" s="279"/>
      <c r="AM42" s="279">
        <v>1.5000000000000013E-3</v>
      </c>
      <c r="AN42" s="279"/>
      <c r="AO42" s="280" t="s">
        <v>4272</v>
      </c>
      <c r="AQ42" s="281" t="e">
        <f>VLOOKUP(A42,'Lambert-RGB-GDP_Efficacy'!A:A,1,FALSE)</f>
        <v>#N/A</v>
      </c>
    </row>
    <row r="43" spans="1:43" s="281" customFormat="1">
      <c r="A43" s="275" t="s">
        <v>4270</v>
      </c>
      <c r="B43" s="259" t="s">
        <v>5555</v>
      </c>
      <c r="C43" s="255" t="str">
        <f t="shared" si="27"/>
        <v/>
      </c>
      <c r="D43" s="256" t="str">
        <f t="shared" si="27"/>
        <v/>
      </c>
      <c r="E43" s="256" t="str">
        <f t="shared" si="27"/>
        <v/>
      </c>
      <c r="F43" s="256" t="str">
        <f t="shared" si="27"/>
        <v/>
      </c>
      <c r="G43" s="257">
        <f t="shared" si="6"/>
        <v>0</v>
      </c>
      <c r="H43" s="258" t="str">
        <f t="shared" si="7"/>
        <v>-</v>
      </c>
      <c r="I43" s="255">
        <f t="shared" si="8"/>
        <v>0</v>
      </c>
      <c r="J43" s="256">
        <f t="shared" si="8"/>
        <v>0</v>
      </c>
      <c r="K43" s="256">
        <f t="shared" si="8"/>
        <v>0</v>
      </c>
      <c r="L43" s="256">
        <f t="shared" si="8"/>
        <v>0</v>
      </c>
      <c r="M43" s="255">
        <f t="shared" si="9"/>
        <v>0</v>
      </c>
      <c r="N43" s="256">
        <f t="shared" si="10"/>
        <v>0</v>
      </c>
      <c r="O43" s="256">
        <f t="shared" si="11"/>
        <v>0</v>
      </c>
      <c r="P43" s="256">
        <f t="shared" si="12"/>
        <v>0</v>
      </c>
      <c r="Q43" s="304">
        <f t="shared" si="13"/>
        <v>0</v>
      </c>
      <c r="R43" s="305">
        <f t="shared" si="14"/>
        <v>0</v>
      </c>
      <c r="S43" s="305">
        <f t="shared" si="15"/>
        <v>0</v>
      </c>
      <c r="T43" s="305">
        <f t="shared" si="16"/>
        <v>0</v>
      </c>
      <c r="U43" s="258" t="str">
        <f t="shared" si="17"/>
        <v>-</v>
      </c>
      <c r="V43" s="276">
        <f t="shared" si="18"/>
        <v>0</v>
      </c>
      <c r="W43" s="277">
        <f t="shared" si="19"/>
        <v>0</v>
      </c>
      <c r="X43" s="277">
        <f t="shared" si="20"/>
        <v>0</v>
      </c>
      <c r="Y43" s="277">
        <f t="shared" si="21"/>
        <v>0</v>
      </c>
      <c r="Z43" s="277"/>
      <c r="AA43" s="277">
        <f t="shared" si="3"/>
        <v>0</v>
      </c>
      <c r="AB43" s="298">
        <f t="shared" si="22"/>
        <v>0</v>
      </c>
      <c r="AC43" s="279">
        <f t="shared" si="23"/>
        <v>0</v>
      </c>
      <c r="AD43" s="279">
        <f t="shared" si="24"/>
        <v>0</v>
      </c>
      <c r="AE43" s="279">
        <f t="shared" si="25"/>
        <v>0</v>
      </c>
      <c r="AF43" s="279"/>
      <c r="AG43" s="279">
        <f t="shared" si="26"/>
        <v>0</v>
      </c>
      <c r="AH43" s="298">
        <v>-1.6666666666666681E-3</v>
      </c>
      <c r="AI43" s="279">
        <v>-6.6666666666666729E-4</v>
      </c>
      <c r="AJ43" s="279">
        <v>-1.833333333333335E-3</v>
      </c>
      <c r="AK43" s="279">
        <v>-1.3333333333333346E-3</v>
      </c>
      <c r="AL43" s="279"/>
      <c r="AM43" s="279">
        <v>-2.3333333333333353E-3</v>
      </c>
      <c r="AN43" s="279"/>
      <c r="AO43" s="280" t="s">
        <v>4268</v>
      </c>
      <c r="AQ43" s="281" t="e">
        <f>VLOOKUP(A43,'Lambert-RGB-GDP_Efficacy'!A:A,1,FALSE)</f>
        <v>#N/A</v>
      </c>
    </row>
    <row r="44" spans="1:43" s="281" customFormat="1">
      <c r="A44" s="275" t="s">
        <v>84</v>
      </c>
      <c r="B44" s="259" t="s">
        <v>5555</v>
      </c>
      <c r="C44" s="255">
        <f t="shared" si="27"/>
        <v>1</v>
      </c>
      <c r="D44" s="256">
        <f t="shared" si="27"/>
        <v>1</v>
      </c>
      <c r="E44" s="256" t="str">
        <f t="shared" si="27"/>
        <v/>
      </c>
      <c r="F44" s="256">
        <f t="shared" si="27"/>
        <v>1</v>
      </c>
      <c r="G44" s="257">
        <f t="shared" si="6"/>
        <v>3</v>
      </c>
      <c r="H44" s="258" t="str">
        <f t="shared" si="7"/>
        <v>Gs</v>
      </c>
      <c r="I44" s="255">
        <f t="shared" si="8"/>
        <v>1</v>
      </c>
      <c r="J44" s="256">
        <f t="shared" si="8"/>
        <v>3</v>
      </c>
      <c r="K44" s="256">
        <f t="shared" si="8"/>
        <v>0</v>
      </c>
      <c r="L44" s="256">
        <f t="shared" si="8"/>
        <v>2</v>
      </c>
      <c r="M44" s="255">
        <f t="shared" si="9"/>
        <v>100</v>
      </c>
      <c r="N44" s="256">
        <f t="shared" si="10"/>
        <v>12.240663900414903</v>
      </c>
      <c r="O44" s="256">
        <f t="shared" si="11"/>
        <v>0</v>
      </c>
      <c r="P44" s="256">
        <f t="shared" si="12"/>
        <v>41.078838174273855</v>
      </c>
      <c r="Q44" s="304">
        <f t="shared" si="13"/>
        <v>8.0333333333333326E-2</v>
      </c>
      <c r="R44" s="305">
        <f t="shared" si="14"/>
        <v>9.8333333333333051E-3</v>
      </c>
      <c r="S44" s="305">
        <f t="shared" si="15"/>
        <v>0</v>
      </c>
      <c r="T44" s="305">
        <f t="shared" si="16"/>
        <v>3.2999999999999995E-2</v>
      </c>
      <c r="U44" s="258" t="str">
        <f t="shared" si="17"/>
        <v>GsL</v>
      </c>
      <c r="V44" s="276">
        <f t="shared" si="18"/>
        <v>100</v>
      </c>
      <c r="W44" s="277">
        <f t="shared" si="19"/>
        <v>12.240663900414903</v>
      </c>
      <c r="X44" s="277">
        <f t="shared" si="20"/>
        <v>0</v>
      </c>
      <c r="Y44" s="277">
        <f t="shared" si="21"/>
        <v>0</v>
      </c>
      <c r="Z44" s="277"/>
      <c r="AA44" s="277">
        <f t="shared" si="3"/>
        <v>41.078838174273855</v>
      </c>
      <c r="AB44" s="298">
        <f t="shared" si="22"/>
        <v>8.0333333333333326E-2</v>
      </c>
      <c r="AC44" s="279">
        <f t="shared" si="23"/>
        <v>9.8333333333333051E-3</v>
      </c>
      <c r="AD44" s="279">
        <f t="shared" si="24"/>
        <v>0</v>
      </c>
      <c r="AE44" s="279">
        <f t="shared" si="25"/>
        <v>0</v>
      </c>
      <c r="AF44" s="279"/>
      <c r="AG44" s="279">
        <f t="shared" si="26"/>
        <v>3.2999999999999995E-2</v>
      </c>
      <c r="AH44" s="298">
        <v>8.0333333333333326E-2</v>
      </c>
      <c r="AI44" s="279">
        <v>9.8333333333333051E-3</v>
      </c>
      <c r="AJ44" s="279">
        <v>-8.3333333333329707E-4</v>
      </c>
      <c r="AK44" s="279">
        <v>8.8333333333333233E-3</v>
      </c>
      <c r="AL44" s="279"/>
      <c r="AM44" s="279">
        <v>3.2999999999999995E-2</v>
      </c>
      <c r="AN44" s="279"/>
      <c r="AO44" s="280" t="s">
        <v>85</v>
      </c>
      <c r="AQ44" s="281" t="e">
        <f>VLOOKUP(A44,'Lambert-RGB-GDP_Efficacy'!A:A,1,FALSE)</f>
        <v>#N/A</v>
      </c>
    </row>
    <row r="45" spans="1:43" s="281" customFormat="1">
      <c r="A45" s="275" t="s">
        <v>4262</v>
      </c>
      <c r="B45" s="259" t="s">
        <v>5555</v>
      </c>
      <c r="C45" s="255" t="str">
        <f t="shared" si="27"/>
        <v/>
      </c>
      <c r="D45" s="256" t="str">
        <f t="shared" si="27"/>
        <v/>
      </c>
      <c r="E45" s="256" t="str">
        <f t="shared" si="27"/>
        <v/>
      </c>
      <c r="F45" s="256" t="str">
        <f t="shared" si="27"/>
        <v/>
      </c>
      <c r="G45" s="257">
        <f t="shared" si="6"/>
        <v>0</v>
      </c>
      <c r="H45" s="258" t="str">
        <f t="shared" si="7"/>
        <v>-</v>
      </c>
      <c r="I45" s="255">
        <f t="shared" si="8"/>
        <v>0</v>
      </c>
      <c r="J45" s="256">
        <f t="shared" si="8"/>
        <v>0</v>
      </c>
      <c r="K45" s="256">
        <f t="shared" si="8"/>
        <v>0</v>
      </c>
      <c r="L45" s="256">
        <f t="shared" si="8"/>
        <v>0</v>
      </c>
      <c r="M45" s="255">
        <f t="shared" si="9"/>
        <v>0</v>
      </c>
      <c r="N45" s="256">
        <f t="shared" si="10"/>
        <v>0</v>
      </c>
      <c r="O45" s="256">
        <f t="shared" si="11"/>
        <v>0</v>
      </c>
      <c r="P45" s="256">
        <f t="shared" si="12"/>
        <v>0</v>
      </c>
      <c r="Q45" s="304">
        <f t="shared" si="13"/>
        <v>0</v>
      </c>
      <c r="R45" s="305">
        <f t="shared" si="14"/>
        <v>0</v>
      </c>
      <c r="S45" s="305">
        <f t="shared" si="15"/>
        <v>0</v>
      </c>
      <c r="T45" s="305">
        <f t="shared" si="16"/>
        <v>0</v>
      </c>
      <c r="U45" s="258" t="str">
        <f t="shared" si="17"/>
        <v>-</v>
      </c>
      <c r="V45" s="276">
        <f t="shared" si="18"/>
        <v>0</v>
      </c>
      <c r="W45" s="277">
        <f t="shared" si="19"/>
        <v>0</v>
      </c>
      <c r="X45" s="277">
        <f t="shared" si="20"/>
        <v>0</v>
      </c>
      <c r="Y45" s="277">
        <f t="shared" si="21"/>
        <v>0</v>
      </c>
      <c r="Z45" s="277"/>
      <c r="AA45" s="277">
        <f t="shared" si="3"/>
        <v>0</v>
      </c>
      <c r="AB45" s="298">
        <f t="shared" si="22"/>
        <v>0</v>
      </c>
      <c r="AC45" s="279">
        <f t="shared" si="23"/>
        <v>0</v>
      </c>
      <c r="AD45" s="279">
        <f t="shared" si="24"/>
        <v>0</v>
      </c>
      <c r="AE45" s="279">
        <f t="shared" si="25"/>
        <v>0</v>
      </c>
      <c r="AF45" s="279"/>
      <c r="AG45" s="279">
        <f t="shared" si="26"/>
        <v>0</v>
      </c>
      <c r="AH45" s="298">
        <v>-1.3333333333333346E-3</v>
      </c>
      <c r="AI45" s="279">
        <v>1.1666666666666676E-3</v>
      </c>
      <c r="AJ45" s="279">
        <v>0</v>
      </c>
      <c r="AK45" s="279">
        <v>8.3333333333333404E-4</v>
      </c>
      <c r="AL45" s="279"/>
      <c r="AM45" s="279">
        <v>-5.0000000000000044E-4</v>
      </c>
      <c r="AN45" s="279"/>
      <c r="AO45" s="280" t="s">
        <v>4260</v>
      </c>
      <c r="AQ45" s="281" t="e">
        <f>VLOOKUP(A45,'Lambert-RGB-GDP_Efficacy'!A:A,1,FALSE)</f>
        <v>#N/A</v>
      </c>
    </row>
    <row r="46" spans="1:43" s="281" customFormat="1">
      <c r="A46" s="275" t="s">
        <v>3443</v>
      </c>
      <c r="B46" s="259" t="s">
        <v>5555</v>
      </c>
      <c r="C46" s="255" t="str">
        <f t="shared" si="27"/>
        <v/>
      </c>
      <c r="D46" s="256">
        <f t="shared" si="27"/>
        <v>1</v>
      </c>
      <c r="E46" s="256">
        <f t="shared" si="27"/>
        <v>1</v>
      </c>
      <c r="F46" s="256">
        <f t="shared" si="27"/>
        <v>1</v>
      </c>
      <c r="G46" s="257">
        <f t="shared" si="6"/>
        <v>3</v>
      </c>
      <c r="H46" s="258" t="str">
        <f t="shared" si="7"/>
        <v>Gi/o</v>
      </c>
      <c r="I46" s="255">
        <f t="shared" si="8"/>
        <v>0</v>
      </c>
      <c r="J46" s="256">
        <f t="shared" si="8"/>
        <v>1</v>
      </c>
      <c r="K46" s="256">
        <f t="shared" si="8"/>
        <v>2</v>
      </c>
      <c r="L46" s="256">
        <f t="shared" si="8"/>
        <v>3</v>
      </c>
      <c r="M46" s="255">
        <f t="shared" si="9"/>
        <v>0</v>
      </c>
      <c r="N46" s="256">
        <f t="shared" si="10"/>
        <v>100</v>
      </c>
      <c r="O46" s="256">
        <f t="shared" si="11"/>
        <v>50.073855243722321</v>
      </c>
      <c r="P46" s="256">
        <f t="shared" si="12"/>
        <v>44.903988183160997</v>
      </c>
      <c r="Q46" s="304">
        <f t="shared" si="13"/>
        <v>0</v>
      </c>
      <c r="R46" s="305">
        <f t="shared" si="14"/>
        <v>0.11283333333333329</v>
      </c>
      <c r="S46" s="305">
        <f t="shared" si="15"/>
        <v>5.6499999999999995E-2</v>
      </c>
      <c r="T46" s="305">
        <f t="shared" si="16"/>
        <v>5.0666666666666638E-2</v>
      </c>
      <c r="U46" s="258" t="str">
        <f t="shared" si="17"/>
        <v>Gi1</v>
      </c>
      <c r="V46" s="276">
        <f t="shared" si="18"/>
        <v>0</v>
      </c>
      <c r="W46" s="277">
        <f t="shared" si="19"/>
        <v>100</v>
      </c>
      <c r="X46" s="277">
        <f t="shared" si="20"/>
        <v>37.223042836041358</v>
      </c>
      <c r="Y46" s="277">
        <f t="shared" si="21"/>
        <v>50.073855243722321</v>
      </c>
      <c r="Z46" s="277"/>
      <c r="AA46" s="277">
        <f t="shared" si="3"/>
        <v>44.903988183160997</v>
      </c>
      <c r="AB46" s="298">
        <f t="shared" si="22"/>
        <v>0</v>
      </c>
      <c r="AC46" s="279">
        <f t="shared" si="23"/>
        <v>0.11283333333333329</v>
      </c>
      <c r="AD46" s="279">
        <f t="shared" si="24"/>
        <v>4.1999999999999982E-2</v>
      </c>
      <c r="AE46" s="279">
        <f t="shared" si="25"/>
        <v>5.6499999999999995E-2</v>
      </c>
      <c r="AF46" s="279"/>
      <c r="AG46" s="279">
        <f t="shared" si="26"/>
        <v>5.0666666666666638E-2</v>
      </c>
      <c r="AH46" s="298">
        <v>8.5000000000000075E-3</v>
      </c>
      <c r="AI46" s="279">
        <v>0.11283333333333329</v>
      </c>
      <c r="AJ46" s="279">
        <v>4.1999999999999982E-2</v>
      </c>
      <c r="AK46" s="279">
        <v>5.6499999999999995E-2</v>
      </c>
      <c r="AL46" s="279"/>
      <c r="AM46" s="279">
        <v>5.0666666666666638E-2</v>
      </c>
      <c r="AN46" s="279"/>
      <c r="AO46" s="280" t="s">
        <v>3442</v>
      </c>
      <c r="AQ46" s="281" t="e">
        <f>VLOOKUP(A46,'Lambert-RGB-GDP_Efficacy'!A:A,1,FALSE)</f>
        <v>#N/A</v>
      </c>
    </row>
    <row r="47" spans="1:43" s="281" customFormat="1">
      <c r="A47" s="275" t="s">
        <v>4245</v>
      </c>
      <c r="B47" s="259" t="s">
        <v>5555</v>
      </c>
      <c r="C47" s="255" t="str">
        <f t="shared" si="27"/>
        <v/>
      </c>
      <c r="D47" s="256" t="str">
        <f t="shared" si="27"/>
        <v/>
      </c>
      <c r="E47" s="256" t="str">
        <f t="shared" si="27"/>
        <v/>
      </c>
      <c r="F47" s="256" t="str">
        <f t="shared" si="27"/>
        <v/>
      </c>
      <c r="G47" s="257">
        <f t="shared" si="6"/>
        <v>0</v>
      </c>
      <c r="H47" s="258" t="str">
        <f t="shared" si="7"/>
        <v>-</v>
      </c>
      <c r="I47" s="255">
        <f t="shared" si="8"/>
        <v>0</v>
      </c>
      <c r="J47" s="256">
        <f t="shared" si="8"/>
        <v>0</v>
      </c>
      <c r="K47" s="256">
        <f t="shared" si="8"/>
        <v>0</v>
      </c>
      <c r="L47" s="256">
        <f t="shared" si="8"/>
        <v>0</v>
      </c>
      <c r="M47" s="255">
        <f t="shared" si="9"/>
        <v>0</v>
      </c>
      <c r="N47" s="256">
        <f t="shared" si="10"/>
        <v>0</v>
      </c>
      <c r="O47" s="256">
        <f t="shared" si="11"/>
        <v>0</v>
      </c>
      <c r="P47" s="256">
        <f t="shared" si="12"/>
        <v>0</v>
      </c>
      <c r="Q47" s="304">
        <f t="shared" si="13"/>
        <v>0</v>
      </c>
      <c r="R47" s="305">
        <f t="shared" si="14"/>
        <v>0</v>
      </c>
      <c r="S47" s="305">
        <f t="shared" si="15"/>
        <v>0</v>
      </c>
      <c r="T47" s="305">
        <f t="shared" si="16"/>
        <v>0</v>
      </c>
      <c r="U47" s="258" t="str">
        <f t="shared" si="17"/>
        <v>-</v>
      </c>
      <c r="V47" s="276">
        <f t="shared" si="18"/>
        <v>0</v>
      </c>
      <c r="W47" s="277">
        <f t="shared" si="19"/>
        <v>0</v>
      </c>
      <c r="X47" s="277">
        <f t="shared" si="20"/>
        <v>0</v>
      </c>
      <c r="Y47" s="277">
        <f t="shared" si="21"/>
        <v>0</v>
      </c>
      <c r="Z47" s="277"/>
      <c r="AA47" s="277">
        <f t="shared" si="3"/>
        <v>0</v>
      </c>
      <c r="AB47" s="298">
        <f t="shared" si="22"/>
        <v>0</v>
      </c>
      <c r="AC47" s="279">
        <f t="shared" si="23"/>
        <v>0</v>
      </c>
      <c r="AD47" s="279">
        <f t="shared" si="24"/>
        <v>0</v>
      </c>
      <c r="AE47" s="279">
        <f t="shared" si="25"/>
        <v>0</v>
      </c>
      <c r="AF47" s="279"/>
      <c r="AG47" s="279">
        <f t="shared" si="26"/>
        <v>0</v>
      </c>
      <c r="AH47" s="298">
        <v>-8.3333333333333404E-4</v>
      </c>
      <c r="AI47" s="279">
        <v>0</v>
      </c>
      <c r="AJ47" s="279">
        <v>-3.3333333333333365E-4</v>
      </c>
      <c r="AK47" s="279">
        <v>-5.0000000000000044E-4</v>
      </c>
      <c r="AL47" s="279"/>
      <c r="AM47" s="279">
        <v>0</v>
      </c>
      <c r="AN47" s="279"/>
      <c r="AO47" s="280" t="s">
        <v>4243</v>
      </c>
      <c r="AQ47" s="281" t="e">
        <f>VLOOKUP(A47,'Lambert-RGB-GDP_Efficacy'!A:A,1,FALSE)</f>
        <v>#N/A</v>
      </c>
    </row>
    <row r="48" spans="1:43" s="281" customFormat="1">
      <c r="A48" s="275" t="s">
        <v>4241</v>
      </c>
      <c r="B48" s="259" t="s">
        <v>5555</v>
      </c>
      <c r="C48" s="255" t="str">
        <f t="shared" si="27"/>
        <v/>
      </c>
      <c r="D48" s="256" t="str">
        <f t="shared" si="27"/>
        <v/>
      </c>
      <c r="E48" s="256" t="str">
        <f t="shared" si="27"/>
        <v/>
      </c>
      <c r="F48" s="256" t="str">
        <f t="shared" si="27"/>
        <v/>
      </c>
      <c r="G48" s="257">
        <f t="shared" si="6"/>
        <v>0</v>
      </c>
      <c r="H48" s="258" t="str">
        <f t="shared" si="7"/>
        <v>-</v>
      </c>
      <c r="I48" s="255">
        <f t="shared" si="8"/>
        <v>0</v>
      </c>
      <c r="J48" s="256">
        <f t="shared" si="8"/>
        <v>0</v>
      </c>
      <c r="K48" s="256">
        <f t="shared" si="8"/>
        <v>0</v>
      </c>
      <c r="L48" s="256">
        <f t="shared" si="8"/>
        <v>0</v>
      </c>
      <c r="M48" s="255">
        <f t="shared" si="9"/>
        <v>0</v>
      </c>
      <c r="N48" s="256">
        <f t="shared" si="10"/>
        <v>0</v>
      </c>
      <c r="O48" s="256">
        <f t="shared" si="11"/>
        <v>0</v>
      </c>
      <c r="P48" s="256">
        <f t="shared" si="12"/>
        <v>0</v>
      </c>
      <c r="Q48" s="304">
        <f t="shared" si="13"/>
        <v>0</v>
      </c>
      <c r="R48" s="305">
        <f t="shared" si="14"/>
        <v>0</v>
      </c>
      <c r="S48" s="305">
        <f t="shared" si="15"/>
        <v>0</v>
      </c>
      <c r="T48" s="305">
        <f t="shared" si="16"/>
        <v>0</v>
      </c>
      <c r="U48" s="258" t="str">
        <f t="shared" si="17"/>
        <v>-</v>
      </c>
      <c r="V48" s="276">
        <f t="shared" si="18"/>
        <v>0</v>
      </c>
      <c r="W48" s="277">
        <f t="shared" si="19"/>
        <v>0</v>
      </c>
      <c r="X48" s="277">
        <f t="shared" si="20"/>
        <v>0</v>
      </c>
      <c r="Y48" s="277">
        <f t="shared" si="21"/>
        <v>0</v>
      </c>
      <c r="Z48" s="277"/>
      <c r="AA48" s="277">
        <f t="shared" si="3"/>
        <v>0</v>
      </c>
      <c r="AB48" s="298">
        <f t="shared" si="22"/>
        <v>0</v>
      </c>
      <c r="AC48" s="279">
        <f t="shared" si="23"/>
        <v>0</v>
      </c>
      <c r="AD48" s="279">
        <f t="shared" si="24"/>
        <v>0</v>
      </c>
      <c r="AE48" s="279">
        <f t="shared" si="25"/>
        <v>0</v>
      </c>
      <c r="AF48" s="279"/>
      <c r="AG48" s="279">
        <f t="shared" si="26"/>
        <v>0</v>
      </c>
      <c r="AH48" s="298">
        <v>-1.6666666666666682E-4</v>
      </c>
      <c r="AI48" s="279">
        <v>5.0000000000000044E-4</v>
      </c>
      <c r="AJ48" s="279">
        <v>5.0000000000000044E-4</v>
      </c>
      <c r="AK48" s="279">
        <v>0</v>
      </c>
      <c r="AL48" s="279"/>
      <c r="AM48" s="279">
        <v>1.6666666666666682E-4</v>
      </c>
      <c r="AN48" s="279"/>
      <c r="AO48" s="280" t="s">
        <v>4239</v>
      </c>
      <c r="AQ48" s="281" t="e">
        <f>VLOOKUP(A48,'Lambert-RGB-GDP_Efficacy'!A:A,1,FALSE)</f>
        <v>#N/A</v>
      </c>
    </row>
    <row r="49" spans="1:43" s="281" customFormat="1">
      <c r="A49" s="275" t="s">
        <v>4237</v>
      </c>
      <c r="B49" s="259" t="s">
        <v>5555</v>
      </c>
      <c r="C49" s="255" t="str">
        <f t="shared" si="27"/>
        <v/>
      </c>
      <c r="D49" s="256" t="str">
        <f t="shared" si="27"/>
        <v/>
      </c>
      <c r="E49" s="256" t="str">
        <f t="shared" si="27"/>
        <v/>
      </c>
      <c r="F49" s="256" t="str">
        <f t="shared" si="27"/>
        <v/>
      </c>
      <c r="G49" s="257">
        <f t="shared" si="6"/>
        <v>0</v>
      </c>
      <c r="H49" s="258" t="str">
        <f t="shared" si="7"/>
        <v>-</v>
      </c>
      <c r="I49" s="255">
        <f t="shared" si="8"/>
        <v>0</v>
      </c>
      <c r="J49" s="256">
        <f t="shared" si="8"/>
        <v>0</v>
      </c>
      <c r="K49" s="256">
        <f t="shared" si="8"/>
        <v>0</v>
      </c>
      <c r="L49" s="256">
        <f t="shared" si="8"/>
        <v>0</v>
      </c>
      <c r="M49" s="255">
        <f t="shared" si="9"/>
        <v>0</v>
      </c>
      <c r="N49" s="256">
        <f t="shared" si="10"/>
        <v>0</v>
      </c>
      <c r="O49" s="256">
        <f t="shared" si="11"/>
        <v>0</v>
      </c>
      <c r="P49" s="256">
        <f t="shared" si="12"/>
        <v>0</v>
      </c>
      <c r="Q49" s="304">
        <f t="shared" si="13"/>
        <v>0</v>
      </c>
      <c r="R49" s="305">
        <f t="shared" si="14"/>
        <v>0</v>
      </c>
      <c r="S49" s="305">
        <f t="shared" si="15"/>
        <v>0</v>
      </c>
      <c r="T49" s="305">
        <f t="shared" si="16"/>
        <v>0</v>
      </c>
      <c r="U49" s="258" t="str">
        <f t="shared" si="17"/>
        <v>-</v>
      </c>
      <c r="V49" s="276">
        <f t="shared" si="18"/>
        <v>0</v>
      </c>
      <c r="W49" s="277">
        <f t="shared" si="19"/>
        <v>0</v>
      </c>
      <c r="X49" s="277">
        <f t="shared" si="20"/>
        <v>0</v>
      </c>
      <c r="Y49" s="277">
        <f t="shared" si="21"/>
        <v>0</v>
      </c>
      <c r="Z49" s="277"/>
      <c r="AA49" s="277">
        <f t="shared" si="3"/>
        <v>0</v>
      </c>
      <c r="AB49" s="298">
        <f t="shared" si="22"/>
        <v>0</v>
      </c>
      <c r="AC49" s="279">
        <f t="shared" si="23"/>
        <v>0</v>
      </c>
      <c r="AD49" s="279">
        <f t="shared" si="24"/>
        <v>0</v>
      </c>
      <c r="AE49" s="279">
        <f t="shared" si="25"/>
        <v>0</v>
      </c>
      <c r="AF49" s="279"/>
      <c r="AG49" s="279">
        <f t="shared" si="26"/>
        <v>0</v>
      </c>
      <c r="AH49" s="298">
        <v>0</v>
      </c>
      <c r="AI49" s="279">
        <v>1.5000000000000013E-3</v>
      </c>
      <c r="AJ49" s="279">
        <v>-1.6666666666666681E-3</v>
      </c>
      <c r="AK49" s="279">
        <v>6.6666666666664876E-4</v>
      </c>
      <c r="AL49" s="279"/>
      <c r="AM49" s="279">
        <v>-1.5000000000000013E-3</v>
      </c>
      <c r="AN49" s="279"/>
      <c r="AO49" s="280" t="s">
        <v>4235</v>
      </c>
      <c r="AQ49" s="281" t="e">
        <f>VLOOKUP(A49,'Lambert-RGB-GDP_Efficacy'!A:A,1,FALSE)</f>
        <v>#N/A</v>
      </c>
    </row>
    <row r="50" spans="1:43" s="281" customFormat="1">
      <c r="A50" s="282" t="s">
        <v>41</v>
      </c>
      <c r="B50" s="259" t="s">
        <v>5531</v>
      </c>
      <c r="C50" s="255">
        <f t="shared" si="27"/>
        <v>1</v>
      </c>
      <c r="D50" s="256" t="str">
        <f t="shared" si="27"/>
        <v/>
      </c>
      <c r="E50" s="256" t="str">
        <f t="shared" si="27"/>
        <v/>
      </c>
      <c r="F50" s="256" t="str">
        <f t="shared" si="27"/>
        <v/>
      </c>
      <c r="G50" s="257">
        <f t="shared" si="6"/>
        <v>1</v>
      </c>
      <c r="H50" s="258" t="str">
        <f t="shared" si="7"/>
        <v>Gs</v>
      </c>
      <c r="I50" s="255">
        <f t="shared" si="8"/>
        <v>1</v>
      </c>
      <c r="J50" s="256">
        <f t="shared" si="8"/>
        <v>0</v>
      </c>
      <c r="K50" s="256">
        <f t="shared" si="8"/>
        <v>0</v>
      </c>
      <c r="L50" s="256">
        <f t="shared" si="8"/>
        <v>0</v>
      </c>
      <c r="M50" s="255">
        <f t="shared" si="9"/>
        <v>100</v>
      </c>
      <c r="N50" s="256">
        <f t="shared" si="10"/>
        <v>0</v>
      </c>
      <c r="O50" s="256">
        <f t="shared" si="11"/>
        <v>0</v>
      </c>
      <c r="P50" s="256">
        <f t="shared" si="12"/>
        <v>0</v>
      </c>
      <c r="Q50" s="304">
        <f t="shared" si="13"/>
        <v>2.1799999999999976E-2</v>
      </c>
      <c r="R50" s="305">
        <f t="shared" si="14"/>
        <v>0</v>
      </c>
      <c r="S50" s="305">
        <f t="shared" si="15"/>
        <v>0</v>
      </c>
      <c r="T50" s="305">
        <f t="shared" si="16"/>
        <v>0</v>
      </c>
      <c r="U50" s="258" t="str">
        <f t="shared" si="17"/>
        <v>GsL</v>
      </c>
      <c r="V50" s="276">
        <f t="shared" si="18"/>
        <v>100</v>
      </c>
      <c r="W50" s="277">
        <f t="shared" si="19"/>
        <v>0</v>
      </c>
      <c r="X50" s="277">
        <f t="shared" si="20"/>
        <v>0</v>
      </c>
      <c r="Y50" s="277"/>
      <c r="Z50" s="277">
        <f t="shared" ref="Z50:Z66" si="28">IF(AF50=0,0,AF50/MAX($AB50:$AG50)*100)</f>
        <v>0</v>
      </c>
      <c r="AA50" s="277"/>
      <c r="AB50" s="298">
        <f t="shared" si="22"/>
        <v>2.1799999999999976E-2</v>
      </c>
      <c r="AC50" s="279">
        <f t="shared" si="23"/>
        <v>0</v>
      </c>
      <c r="AD50" s="279">
        <f t="shared" si="24"/>
        <v>0</v>
      </c>
      <c r="AE50" s="279"/>
      <c r="AF50" s="279">
        <f t="shared" ref="AF50:AF52" si="29">IF(AL50&lt;0.009,0,AL50)</f>
        <v>0</v>
      </c>
      <c r="AG50" s="279"/>
      <c r="AH50" s="298">
        <v>2.1799999999999976E-2</v>
      </c>
      <c r="AI50" s="279">
        <v>1.300000000000029E-3</v>
      </c>
      <c r="AJ50" s="279">
        <v>-2.6999999999999837E-3</v>
      </c>
      <c r="AK50" s="279"/>
      <c r="AL50" s="279">
        <v>-4.5000000000000031E-4</v>
      </c>
      <c r="AM50" s="279"/>
      <c r="AN50" s="283"/>
      <c r="AO50" s="280" t="s">
        <v>5564</v>
      </c>
      <c r="AQ50" s="281" t="str">
        <f>VLOOKUP(A50,'Lambert-RGB-GDP_Efficacy'!A:A,1,FALSE)</f>
        <v>ADRB2</v>
      </c>
    </row>
    <row r="51" spans="1:43" s="281" customFormat="1">
      <c r="A51" s="282" t="s">
        <v>37</v>
      </c>
      <c r="B51" s="259" t="s">
        <v>5531</v>
      </c>
      <c r="C51" s="255" t="str">
        <f t="shared" si="27"/>
        <v/>
      </c>
      <c r="D51" s="256">
        <f t="shared" si="27"/>
        <v>1</v>
      </c>
      <c r="E51" s="256" t="str">
        <f t="shared" si="27"/>
        <v/>
      </c>
      <c r="F51" s="256" t="str">
        <f t="shared" si="27"/>
        <v/>
      </c>
      <c r="G51" s="257">
        <f t="shared" si="6"/>
        <v>1</v>
      </c>
      <c r="H51" s="258" t="str">
        <f t="shared" si="7"/>
        <v>Gi/o</v>
      </c>
      <c r="I51" s="255">
        <f t="shared" si="8"/>
        <v>0</v>
      </c>
      <c r="J51" s="256">
        <f t="shared" si="8"/>
        <v>1</v>
      </c>
      <c r="K51" s="256">
        <f t="shared" si="8"/>
        <v>0</v>
      </c>
      <c r="L51" s="256">
        <f t="shared" si="8"/>
        <v>0</v>
      </c>
      <c r="M51" s="255">
        <f t="shared" si="9"/>
        <v>0</v>
      </c>
      <c r="N51" s="256">
        <f t="shared" si="10"/>
        <v>100</v>
      </c>
      <c r="O51" s="256">
        <f t="shared" si="11"/>
        <v>0</v>
      </c>
      <c r="P51" s="256">
        <f t="shared" si="12"/>
        <v>0</v>
      </c>
      <c r="Q51" s="304">
        <f t="shared" si="13"/>
        <v>0</v>
      </c>
      <c r="R51" s="305">
        <f t="shared" si="14"/>
        <v>2.8066666666666684E-2</v>
      </c>
      <c r="S51" s="305">
        <f t="shared" si="15"/>
        <v>0</v>
      </c>
      <c r="T51" s="305">
        <f t="shared" si="16"/>
        <v>0</v>
      </c>
      <c r="U51" s="258" t="str">
        <f t="shared" si="17"/>
        <v>Gi1</v>
      </c>
      <c r="V51" s="276">
        <f t="shared" si="18"/>
        <v>0</v>
      </c>
      <c r="W51" s="277">
        <f t="shared" si="19"/>
        <v>100</v>
      </c>
      <c r="X51" s="277">
        <f t="shared" si="20"/>
        <v>0</v>
      </c>
      <c r="Y51" s="277"/>
      <c r="Z51" s="277">
        <f t="shared" si="28"/>
        <v>0</v>
      </c>
      <c r="AA51" s="277"/>
      <c r="AB51" s="298">
        <f t="shared" si="22"/>
        <v>0</v>
      </c>
      <c r="AC51" s="279">
        <f t="shared" si="23"/>
        <v>2.8066666666666684E-2</v>
      </c>
      <c r="AD51" s="279">
        <f t="shared" si="24"/>
        <v>0</v>
      </c>
      <c r="AE51" s="279"/>
      <c r="AF51" s="279">
        <f t="shared" si="29"/>
        <v>0</v>
      </c>
      <c r="AG51" s="279"/>
      <c r="AH51" s="298">
        <v>7.333333333333341E-4</v>
      </c>
      <c r="AI51" s="279">
        <v>2.8066666666666684E-2</v>
      </c>
      <c r="AJ51" s="279">
        <v>-2.6666666666666684E-4</v>
      </c>
      <c r="AK51" s="279"/>
      <c r="AL51" s="279">
        <v>1.5666666666666682E-3</v>
      </c>
      <c r="AM51" s="279"/>
      <c r="AN51" s="283"/>
      <c r="AO51" s="280" t="s">
        <v>5565</v>
      </c>
      <c r="AQ51" s="281" t="str">
        <f>VLOOKUP(A51,'Lambert-RGB-GDP_Efficacy'!A:A,1,FALSE)</f>
        <v>ADA2A</v>
      </c>
    </row>
    <row r="52" spans="1:43" s="281" customFormat="1">
      <c r="A52" s="282" t="s">
        <v>106</v>
      </c>
      <c r="B52" s="259" t="s">
        <v>5531</v>
      </c>
      <c r="C52" s="255">
        <f t="shared" si="27"/>
        <v>1</v>
      </c>
      <c r="D52" s="256" t="str">
        <f t="shared" si="27"/>
        <v/>
      </c>
      <c r="E52" s="256" t="str">
        <f t="shared" si="27"/>
        <v/>
      </c>
      <c r="F52" s="256" t="str">
        <f t="shared" si="27"/>
        <v/>
      </c>
      <c r="G52" s="257">
        <f t="shared" si="6"/>
        <v>1</v>
      </c>
      <c r="H52" s="258" t="str">
        <f t="shared" si="7"/>
        <v>Gs</v>
      </c>
      <c r="I52" s="255">
        <f t="shared" si="8"/>
        <v>1</v>
      </c>
      <c r="J52" s="256">
        <f t="shared" si="8"/>
        <v>0</v>
      </c>
      <c r="K52" s="256">
        <f t="shared" si="8"/>
        <v>0</v>
      </c>
      <c r="L52" s="256">
        <f t="shared" si="8"/>
        <v>0</v>
      </c>
      <c r="M52" s="255">
        <f t="shared" si="9"/>
        <v>100</v>
      </c>
      <c r="N52" s="256">
        <f t="shared" si="10"/>
        <v>0</v>
      </c>
      <c r="O52" s="256">
        <f t="shared" si="11"/>
        <v>0</v>
      </c>
      <c r="P52" s="256">
        <f t="shared" si="12"/>
        <v>0</v>
      </c>
      <c r="Q52" s="304">
        <f t="shared" si="13"/>
        <v>3.4583333333333334E-2</v>
      </c>
      <c r="R52" s="305">
        <f t="shared" si="14"/>
        <v>0</v>
      </c>
      <c r="S52" s="305">
        <f t="shared" si="15"/>
        <v>0</v>
      </c>
      <c r="T52" s="305">
        <f t="shared" si="16"/>
        <v>0</v>
      </c>
      <c r="U52" s="258" t="str">
        <f t="shared" si="17"/>
        <v>GsL</v>
      </c>
      <c r="V52" s="276">
        <f t="shared" si="18"/>
        <v>100</v>
      </c>
      <c r="W52" s="277">
        <f t="shared" si="19"/>
        <v>0</v>
      </c>
      <c r="X52" s="277">
        <f t="shared" si="20"/>
        <v>0</v>
      </c>
      <c r="Y52" s="277"/>
      <c r="Z52" s="277">
        <f t="shared" si="28"/>
        <v>0</v>
      </c>
      <c r="AA52" s="277"/>
      <c r="AB52" s="298">
        <f>IF(AH52&lt;0.009,0,AH52)</f>
        <v>3.4583333333333334E-2</v>
      </c>
      <c r="AC52" s="279">
        <f t="shared" si="23"/>
        <v>0</v>
      </c>
      <c r="AD52" s="279">
        <f t="shared" si="24"/>
        <v>0</v>
      </c>
      <c r="AE52" s="279"/>
      <c r="AF52" s="279">
        <f t="shared" si="29"/>
        <v>0</v>
      </c>
      <c r="AG52" s="279"/>
      <c r="AH52" s="298">
        <v>3.4583333333333334E-2</v>
      </c>
      <c r="AI52" s="279">
        <v>6.1250000000000054E-3</v>
      </c>
      <c r="AJ52" s="279">
        <v>9.9999999999998701E-4</v>
      </c>
      <c r="AK52" s="279"/>
      <c r="AL52" s="279">
        <v>2.6250000000000023E-3</v>
      </c>
      <c r="AM52" s="279"/>
      <c r="AN52" s="283"/>
      <c r="AO52" s="280" t="s">
        <v>5061</v>
      </c>
      <c r="AQ52" s="281" t="str">
        <f>VLOOKUP(A52,'Lambert-RGB-GDP_Efficacy'!A:A,1,FALSE)</f>
        <v>DRD1</v>
      </c>
    </row>
    <row r="53" spans="1:43" s="281" customFormat="1">
      <c r="A53" s="282" t="s">
        <v>108</v>
      </c>
      <c r="B53" s="259" t="s">
        <v>5531</v>
      </c>
      <c r="C53" s="255" t="str">
        <f t="shared" si="27"/>
        <v/>
      </c>
      <c r="D53" s="256">
        <f t="shared" si="27"/>
        <v>1</v>
      </c>
      <c r="E53" s="256" t="str">
        <f t="shared" si="27"/>
        <v/>
      </c>
      <c r="F53" s="256" t="str">
        <f t="shared" si="27"/>
        <v/>
      </c>
      <c r="G53" s="257">
        <f t="shared" si="6"/>
        <v>1</v>
      </c>
      <c r="H53" s="258" t="str">
        <f t="shared" si="7"/>
        <v>Gi/o</v>
      </c>
      <c r="I53" s="255">
        <f t="shared" si="8"/>
        <v>0</v>
      </c>
      <c r="J53" s="256">
        <f t="shared" si="8"/>
        <v>1</v>
      </c>
      <c r="K53" s="256">
        <f t="shared" si="8"/>
        <v>0</v>
      </c>
      <c r="L53" s="256">
        <f t="shared" si="8"/>
        <v>0</v>
      </c>
      <c r="M53" s="255">
        <f t="shared" si="9"/>
        <v>0</v>
      </c>
      <c r="N53" s="256">
        <f t="shared" si="10"/>
        <v>100</v>
      </c>
      <c r="O53" s="256">
        <f t="shared" si="11"/>
        <v>0</v>
      </c>
      <c r="P53" s="256">
        <f t="shared" si="12"/>
        <v>0</v>
      </c>
      <c r="Q53" s="304">
        <f t="shared" si="13"/>
        <v>0</v>
      </c>
      <c r="R53" s="305">
        <f t="shared" si="14"/>
        <v>3.1166666666666658E-2</v>
      </c>
      <c r="S53" s="305">
        <f t="shared" si="15"/>
        <v>0</v>
      </c>
      <c r="T53" s="305">
        <f t="shared" si="16"/>
        <v>0</v>
      </c>
      <c r="U53" s="258" t="str">
        <f t="shared" si="17"/>
        <v>Gi1</v>
      </c>
      <c r="V53" s="276">
        <f t="shared" si="18"/>
        <v>0</v>
      </c>
      <c r="W53" s="277">
        <f t="shared" si="19"/>
        <v>100</v>
      </c>
      <c r="X53" s="277">
        <f t="shared" si="20"/>
        <v>0</v>
      </c>
      <c r="Y53" s="277"/>
      <c r="Z53" s="277">
        <f t="shared" si="28"/>
        <v>0</v>
      </c>
      <c r="AA53" s="277"/>
      <c r="AB53" s="298">
        <f t="shared" ref="AB53:AB76" si="30">IF(AH53&lt;0.009,0,AH53)</f>
        <v>0</v>
      </c>
      <c r="AC53" s="279">
        <f t="shared" ref="AC53:AC76" si="31">IF(AI53&lt;0.009,0,AI53)</f>
        <v>3.1166666666666658E-2</v>
      </c>
      <c r="AD53" s="279">
        <f t="shared" ref="AD53:AD76" si="32">IF(AJ53&lt;0.009,0,AJ53)</f>
        <v>0</v>
      </c>
      <c r="AE53" s="279"/>
      <c r="AF53" s="279">
        <f t="shared" ref="AF53:AF76" si="33">IF(AL53&lt;0.009,0,AL53)</f>
        <v>0</v>
      </c>
      <c r="AG53" s="279"/>
      <c r="AH53" s="298">
        <v>7.3750000000000066E-3</v>
      </c>
      <c r="AI53" s="279">
        <v>3.1166666666666658E-2</v>
      </c>
      <c r="AJ53" s="279">
        <v>6.3749999999999918E-3</v>
      </c>
      <c r="AK53" s="279"/>
      <c r="AL53" s="279">
        <v>8.2499999999999934E-3</v>
      </c>
      <c r="AM53" s="279"/>
      <c r="AN53" s="283"/>
      <c r="AO53" s="280" t="s">
        <v>5058</v>
      </c>
      <c r="AQ53" s="281" t="str">
        <f>VLOOKUP(A53,'Lambert-RGB-GDP_Efficacy'!A:A,1,FALSE)</f>
        <v>DRD2</v>
      </c>
    </row>
    <row r="54" spans="1:43" s="281" customFormat="1">
      <c r="A54" s="282" t="s">
        <v>31</v>
      </c>
      <c r="B54" s="259" t="s">
        <v>5531</v>
      </c>
      <c r="C54" s="255" t="str">
        <f t="shared" si="27"/>
        <v/>
      </c>
      <c r="D54" s="256">
        <f t="shared" si="27"/>
        <v>1</v>
      </c>
      <c r="E54" s="256" t="str">
        <f t="shared" si="27"/>
        <v/>
      </c>
      <c r="F54" s="256" t="str">
        <f t="shared" si="27"/>
        <v/>
      </c>
      <c r="G54" s="257">
        <f t="shared" si="6"/>
        <v>1</v>
      </c>
      <c r="H54" s="258" t="str">
        <f t="shared" si="7"/>
        <v>Gi/o</v>
      </c>
      <c r="I54" s="255">
        <f t="shared" si="8"/>
        <v>0</v>
      </c>
      <c r="J54" s="256">
        <f t="shared" si="8"/>
        <v>1</v>
      </c>
      <c r="K54" s="256">
        <f t="shared" si="8"/>
        <v>0</v>
      </c>
      <c r="L54" s="256">
        <f t="shared" si="8"/>
        <v>0</v>
      </c>
      <c r="M54" s="255">
        <f t="shared" si="9"/>
        <v>0</v>
      </c>
      <c r="N54" s="256">
        <f t="shared" si="10"/>
        <v>100</v>
      </c>
      <c r="O54" s="256">
        <f t="shared" si="11"/>
        <v>0</v>
      </c>
      <c r="P54" s="256">
        <f t="shared" si="12"/>
        <v>0</v>
      </c>
      <c r="Q54" s="304">
        <f t="shared" si="13"/>
        <v>0</v>
      </c>
      <c r="R54" s="305">
        <f t="shared" si="14"/>
        <v>0.1049833333333333</v>
      </c>
      <c r="S54" s="305">
        <f t="shared" si="15"/>
        <v>0</v>
      </c>
      <c r="T54" s="305">
        <f t="shared" si="16"/>
        <v>0</v>
      </c>
      <c r="U54" s="258" t="str">
        <f t="shared" si="17"/>
        <v>Gi1</v>
      </c>
      <c r="V54" s="276">
        <f t="shared" si="18"/>
        <v>0</v>
      </c>
      <c r="W54" s="277">
        <f t="shared" si="19"/>
        <v>100</v>
      </c>
      <c r="X54" s="277">
        <f t="shared" si="20"/>
        <v>0</v>
      </c>
      <c r="Y54" s="277"/>
      <c r="Z54" s="277">
        <f t="shared" si="28"/>
        <v>0</v>
      </c>
      <c r="AA54" s="277"/>
      <c r="AB54" s="298">
        <f t="shared" si="30"/>
        <v>0</v>
      </c>
      <c r="AC54" s="279">
        <f t="shared" si="31"/>
        <v>0.1049833333333333</v>
      </c>
      <c r="AD54" s="279">
        <f t="shared" si="32"/>
        <v>0</v>
      </c>
      <c r="AE54" s="279"/>
      <c r="AF54" s="279">
        <f t="shared" si="33"/>
        <v>0</v>
      </c>
      <c r="AG54" s="279"/>
      <c r="AH54" s="298">
        <v>7.3333333333333367E-4</v>
      </c>
      <c r="AI54" s="279">
        <v>0.1049833333333333</v>
      </c>
      <c r="AJ54" s="279">
        <v>-1.2666666666666679E-3</v>
      </c>
      <c r="AK54" s="279"/>
      <c r="AL54" s="279">
        <v>-7.6666666666666767E-4</v>
      </c>
      <c r="AM54" s="279"/>
      <c r="AN54" s="283"/>
      <c r="AO54" s="280" t="s">
        <v>5566</v>
      </c>
      <c r="AQ54" s="281" t="str">
        <f>VLOOKUP(A54,'Lambert-RGB-GDP_Efficacy'!A:A,1,FALSE)</f>
        <v>AA1R</v>
      </c>
    </row>
    <row r="55" spans="1:43" s="281" customFormat="1">
      <c r="A55" s="282" t="s">
        <v>28</v>
      </c>
      <c r="B55" s="259" t="s">
        <v>5531</v>
      </c>
      <c r="C55" s="255" t="str">
        <f t="shared" si="27"/>
        <v/>
      </c>
      <c r="D55" s="256" t="str">
        <f t="shared" si="27"/>
        <v/>
      </c>
      <c r="E55" s="256">
        <f t="shared" si="27"/>
        <v>1</v>
      </c>
      <c r="F55" s="256" t="str">
        <f t="shared" si="27"/>
        <v/>
      </c>
      <c r="G55" s="257">
        <f t="shared" si="6"/>
        <v>1</v>
      </c>
      <c r="H55" s="258" t="str">
        <f t="shared" si="7"/>
        <v>Gq/11</v>
      </c>
      <c r="I55" s="255">
        <f t="shared" si="8"/>
        <v>0</v>
      </c>
      <c r="J55" s="256">
        <f t="shared" si="8"/>
        <v>0</v>
      </c>
      <c r="K55" s="256">
        <f t="shared" si="8"/>
        <v>1</v>
      </c>
      <c r="L55" s="256">
        <f t="shared" si="8"/>
        <v>0</v>
      </c>
      <c r="M55" s="255">
        <f t="shared" si="9"/>
        <v>0</v>
      </c>
      <c r="N55" s="256">
        <f t="shared" si="10"/>
        <v>0</v>
      </c>
      <c r="O55" s="256">
        <f t="shared" si="11"/>
        <v>100</v>
      </c>
      <c r="P55" s="256">
        <f t="shared" si="12"/>
        <v>0</v>
      </c>
      <c r="Q55" s="304">
        <f t="shared" si="13"/>
        <v>0</v>
      </c>
      <c r="R55" s="305">
        <f t="shared" si="14"/>
        <v>0</v>
      </c>
      <c r="S55" s="305">
        <f t="shared" si="15"/>
        <v>1.6699999999999982E-2</v>
      </c>
      <c r="T55" s="305">
        <f t="shared" si="16"/>
        <v>0</v>
      </c>
      <c r="U55" s="258" t="str">
        <f t="shared" si="17"/>
        <v>Gq</v>
      </c>
      <c r="V55" s="276">
        <f t="shared" si="18"/>
        <v>0</v>
      </c>
      <c r="W55" s="277">
        <f t="shared" si="19"/>
        <v>0</v>
      </c>
      <c r="X55" s="277">
        <f t="shared" si="20"/>
        <v>100</v>
      </c>
      <c r="Y55" s="277"/>
      <c r="Z55" s="277">
        <f t="shared" si="28"/>
        <v>0</v>
      </c>
      <c r="AA55" s="277"/>
      <c r="AB55" s="298">
        <f t="shared" si="30"/>
        <v>0</v>
      </c>
      <c r="AC55" s="279">
        <f t="shared" si="31"/>
        <v>0</v>
      </c>
      <c r="AD55" s="279">
        <f t="shared" si="32"/>
        <v>1.6699999999999982E-2</v>
      </c>
      <c r="AE55" s="279"/>
      <c r="AF55" s="279">
        <f t="shared" si="33"/>
        <v>0</v>
      </c>
      <c r="AG55" s="279"/>
      <c r="AH55" s="298">
        <v>4.5666666666666703E-3</v>
      </c>
      <c r="AI55" s="279">
        <v>7.7333333333332839E-3</v>
      </c>
      <c r="AJ55" s="279">
        <v>1.6699999999999982E-2</v>
      </c>
      <c r="AK55" s="279"/>
      <c r="AL55" s="279">
        <v>-6.1000000000000056E-3</v>
      </c>
      <c r="AM55" s="279"/>
      <c r="AN55" s="283"/>
      <c r="AO55" s="280" t="s">
        <v>5567</v>
      </c>
      <c r="AQ55" s="281" t="str">
        <f>VLOOKUP(A55,'Lambert-RGB-GDP_Efficacy'!A:A,1,FALSE)</f>
        <v>ACM3</v>
      </c>
    </row>
    <row r="56" spans="1:43" s="281" customFormat="1">
      <c r="A56" s="282" t="s">
        <v>29</v>
      </c>
      <c r="B56" s="259" t="s">
        <v>5531</v>
      </c>
      <c r="C56" s="255" t="str">
        <f t="shared" si="27"/>
        <v/>
      </c>
      <c r="D56" s="256">
        <f t="shared" si="27"/>
        <v>1</v>
      </c>
      <c r="E56" s="256" t="str">
        <f t="shared" si="27"/>
        <v/>
      </c>
      <c r="F56" s="256" t="str">
        <f t="shared" si="27"/>
        <v/>
      </c>
      <c r="G56" s="257">
        <f t="shared" si="6"/>
        <v>1</v>
      </c>
      <c r="H56" s="258" t="str">
        <f t="shared" si="7"/>
        <v>Gi/o</v>
      </c>
      <c r="I56" s="255">
        <f t="shared" si="8"/>
        <v>0</v>
      </c>
      <c r="J56" s="256">
        <f t="shared" si="8"/>
        <v>1</v>
      </c>
      <c r="K56" s="256">
        <f t="shared" si="8"/>
        <v>0</v>
      </c>
      <c r="L56" s="256">
        <f t="shared" si="8"/>
        <v>0</v>
      </c>
      <c r="M56" s="255">
        <f t="shared" si="9"/>
        <v>0</v>
      </c>
      <c r="N56" s="256">
        <f t="shared" si="10"/>
        <v>100</v>
      </c>
      <c r="O56" s="256">
        <f t="shared" si="11"/>
        <v>0</v>
      </c>
      <c r="P56" s="256">
        <f t="shared" si="12"/>
        <v>0</v>
      </c>
      <c r="Q56" s="304">
        <f t="shared" si="13"/>
        <v>0</v>
      </c>
      <c r="R56" s="305">
        <f t="shared" si="14"/>
        <v>0.14216666666666669</v>
      </c>
      <c r="S56" s="305">
        <f t="shared" si="15"/>
        <v>0</v>
      </c>
      <c r="T56" s="305">
        <f t="shared" si="16"/>
        <v>0</v>
      </c>
      <c r="U56" s="258" t="str">
        <f t="shared" si="17"/>
        <v>Gi1</v>
      </c>
      <c r="V56" s="276">
        <f t="shared" si="18"/>
        <v>0</v>
      </c>
      <c r="W56" s="277">
        <f t="shared" si="19"/>
        <v>100</v>
      </c>
      <c r="X56" s="277">
        <f t="shared" si="20"/>
        <v>0</v>
      </c>
      <c r="Y56" s="277"/>
      <c r="Z56" s="277">
        <f t="shared" si="28"/>
        <v>0</v>
      </c>
      <c r="AA56" s="277"/>
      <c r="AB56" s="298">
        <f t="shared" si="30"/>
        <v>0</v>
      </c>
      <c r="AC56" s="279">
        <f t="shared" si="31"/>
        <v>0.14216666666666669</v>
      </c>
      <c r="AD56" s="279">
        <f t="shared" si="32"/>
        <v>0</v>
      </c>
      <c r="AE56" s="279"/>
      <c r="AF56" s="279">
        <f t="shared" si="33"/>
        <v>0</v>
      </c>
      <c r="AG56" s="279"/>
      <c r="AH56" s="298">
        <v>3.1250000000000028E-3</v>
      </c>
      <c r="AI56" s="279">
        <v>0.14216666666666669</v>
      </c>
      <c r="AJ56" s="279">
        <v>1.6250000000000014E-3</v>
      </c>
      <c r="AK56" s="279"/>
      <c r="AL56" s="279">
        <v>2.6250000000000023E-3</v>
      </c>
      <c r="AM56" s="279"/>
      <c r="AN56" s="283"/>
      <c r="AO56" s="280" t="s">
        <v>5568</v>
      </c>
      <c r="AQ56" s="281" t="str">
        <f>VLOOKUP(A56,'Lambert-RGB-GDP_Efficacy'!A:A,1,FALSE)</f>
        <v>ACM4</v>
      </c>
    </row>
    <row r="57" spans="1:43" s="281" customFormat="1">
      <c r="A57" s="282" t="s">
        <v>183</v>
      </c>
      <c r="B57" s="259" t="s">
        <v>5531</v>
      </c>
      <c r="C57" s="255" t="str">
        <f t="shared" si="27"/>
        <v/>
      </c>
      <c r="D57" s="256">
        <f t="shared" si="27"/>
        <v>1</v>
      </c>
      <c r="E57" s="256" t="str">
        <f t="shared" si="27"/>
        <v/>
      </c>
      <c r="F57" s="256" t="str">
        <f t="shared" si="27"/>
        <v/>
      </c>
      <c r="G57" s="257">
        <f t="shared" si="6"/>
        <v>1</v>
      </c>
      <c r="H57" s="258" t="str">
        <f t="shared" si="7"/>
        <v>Gi/o</v>
      </c>
      <c r="I57" s="255">
        <f t="shared" si="8"/>
        <v>0</v>
      </c>
      <c r="J57" s="256">
        <f t="shared" si="8"/>
        <v>1</v>
      </c>
      <c r="K57" s="256">
        <f t="shared" si="8"/>
        <v>0</v>
      </c>
      <c r="L57" s="256">
        <f t="shared" si="8"/>
        <v>0</v>
      </c>
      <c r="M57" s="255">
        <f t="shared" si="9"/>
        <v>0</v>
      </c>
      <c r="N57" s="256">
        <f t="shared" si="10"/>
        <v>100</v>
      </c>
      <c r="O57" s="256">
        <f t="shared" si="11"/>
        <v>0</v>
      </c>
      <c r="P57" s="256">
        <f t="shared" si="12"/>
        <v>0</v>
      </c>
      <c r="Q57" s="304">
        <f t="shared" si="13"/>
        <v>0</v>
      </c>
      <c r="R57" s="305">
        <f t="shared" si="14"/>
        <v>3.1000000000000028E-2</v>
      </c>
      <c r="S57" s="305">
        <f t="shared" si="15"/>
        <v>0</v>
      </c>
      <c r="T57" s="305">
        <f t="shared" si="16"/>
        <v>0</v>
      </c>
      <c r="U57" s="258" t="str">
        <f t="shared" si="17"/>
        <v>Gi1</v>
      </c>
      <c r="V57" s="276">
        <f t="shared" si="18"/>
        <v>0</v>
      </c>
      <c r="W57" s="277">
        <f t="shared" si="19"/>
        <v>100</v>
      </c>
      <c r="X57" s="277">
        <f t="shared" si="20"/>
        <v>0</v>
      </c>
      <c r="Y57" s="277"/>
      <c r="Z57" s="277">
        <f t="shared" si="28"/>
        <v>0</v>
      </c>
      <c r="AA57" s="277"/>
      <c r="AB57" s="298">
        <f t="shared" si="30"/>
        <v>0</v>
      </c>
      <c r="AC57" s="279">
        <f t="shared" si="31"/>
        <v>3.1000000000000028E-2</v>
      </c>
      <c r="AD57" s="279">
        <f t="shared" si="32"/>
        <v>0</v>
      </c>
      <c r="AE57" s="279"/>
      <c r="AF57" s="279">
        <f t="shared" si="33"/>
        <v>0</v>
      </c>
      <c r="AG57" s="279"/>
      <c r="AH57" s="298">
        <v>-1.3750000000000012E-3</v>
      </c>
      <c r="AI57" s="279">
        <v>3.1000000000000028E-2</v>
      </c>
      <c r="AJ57" s="279">
        <v>-2.6249999999999885E-3</v>
      </c>
      <c r="AK57" s="279"/>
      <c r="AL57" s="279">
        <v>-5.0000000000000044E-4</v>
      </c>
      <c r="AM57" s="279"/>
      <c r="AN57" s="283"/>
      <c r="AO57" s="280" t="s">
        <v>3126</v>
      </c>
      <c r="AQ57" s="281" t="str">
        <f>VLOOKUP(A57,'Lambert-RGB-GDP_Efficacy'!A:A,1,FALSE)</f>
        <v>OPRM</v>
      </c>
    </row>
    <row r="58" spans="1:43" s="281" customFormat="1">
      <c r="A58" s="282" t="s">
        <v>43</v>
      </c>
      <c r="B58" s="259" t="s">
        <v>5531</v>
      </c>
      <c r="C58" s="255" t="str">
        <f t="shared" si="27"/>
        <v/>
      </c>
      <c r="D58" s="256" t="str">
        <f t="shared" si="27"/>
        <v/>
      </c>
      <c r="E58" s="256" t="str">
        <f t="shared" si="27"/>
        <v/>
      </c>
      <c r="F58" s="256" t="str">
        <f t="shared" si="27"/>
        <v/>
      </c>
      <c r="G58" s="257">
        <f t="shared" si="6"/>
        <v>0</v>
      </c>
      <c r="H58" s="258" t="str">
        <f t="shared" si="7"/>
        <v>-</v>
      </c>
      <c r="I58" s="255">
        <f t="shared" si="8"/>
        <v>0</v>
      </c>
      <c r="J58" s="256">
        <f t="shared" si="8"/>
        <v>0</v>
      </c>
      <c r="K58" s="256">
        <f t="shared" si="8"/>
        <v>0</v>
      </c>
      <c r="L58" s="256">
        <f t="shared" si="8"/>
        <v>0</v>
      </c>
      <c r="M58" s="255">
        <f t="shared" si="9"/>
        <v>0</v>
      </c>
      <c r="N58" s="256">
        <f t="shared" si="10"/>
        <v>0</v>
      </c>
      <c r="O58" s="256">
        <f t="shared" si="11"/>
        <v>0</v>
      </c>
      <c r="P58" s="256">
        <f t="shared" si="12"/>
        <v>0</v>
      </c>
      <c r="Q58" s="304">
        <f t="shared" si="13"/>
        <v>0</v>
      </c>
      <c r="R58" s="305">
        <f t="shared" si="14"/>
        <v>0</v>
      </c>
      <c r="S58" s="305">
        <f t="shared" si="15"/>
        <v>0</v>
      </c>
      <c r="T58" s="305">
        <f t="shared" si="16"/>
        <v>0</v>
      </c>
      <c r="U58" s="258" t="str">
        <f t="shared" si="17"/>
        <v>-</v>
      </c>
      <c r="V58" s="276">
        <f t="shared" si="18"/>
        <v>0</v>
      </c>
      <c r="W58" s="277">
        <f t="shared" si="19"/>
        <v>0</v>
      </c>
      <c r="X58" s="277">
        <f t="shared" si="20"/>
        <v>0</v>
      </c>
      <c r="Y58" s="277"/>
      <c r="Z58" s="277">
        <f t="shared" si="28"/>
        <v>0</v>
      </c>
      <c r="AA58" s="277"/>
      <c r="AB58" s="298">
        <f t="shared" si="30"/>
        <v>0</v>
      </c>
      <c r="AC58" s="279">
        <f t="shared" si="31"/>
        <v>0</v>
      </c>
      <c r="AD58" s="279">
        <f t="shared" si="32"/>
        <v>0</v>
      </c>
      <c r="AE58" s="279"/>
      <c r="AF58" s="279">
        <f t="shared" si="33"/>
        <v>0</v>
      </c>
      <c r="AG58" s="279"/>
      <c r="AH58" s="298">
        <v>-1.2500000000000011E-3</v>
      </c>
      <c r="AI58" s="279">
        <v>2.7500000000000024E-3</v>
      </c>
      <c r="AJ58" s="279">
        <v>2.5000000000000022E-4</v>
      </c>
      <c r="AK58" s="279"/>
      <c r="AL58" s="279">
        <v>-3.0000000000000027E-3</v>
      </c>
      <c r="AM58" s="279"/>
      <c r="AN58" s="283"/>
      <c r="AO58" s="280" t="s">
        <v>43</v>
      </c>
      <c r="AQ58" s="281" t="str">
        <f>VLOOKUP(A58,'Lambert-RGB-GDP_Efficacy'!A:A,1,FALSE)</f>
        <v>AGTR1</v>
      </c>
    </row>
    <row r="59" spans="1:43" s="281" customFormat="1">
      <c r="A59" s="282" t="s">
        <v>135</v>
      </c>
      <c r="B59" s="259" t="s">
        <v>5531</v>
      </c>
      <c r="C59" s="255" t="str">
        <f t="shared" si="27"/>
        <v/>
      </c>
      <c r="D59" s="256" t="str">
        <f t="shared" si="27"/>
        <v/>
      </c>
      <c r="E59" s="256">
        <f t="shared" si="27"/>
        <v>1</v>
      </c>
      <c r="F59" s="256" t="str">
        <f t="shared" si="27"/>
        <v/>
      </c>
      <c r="G59" s="257">
        <f t="shared" si="6"/>
        <v>1</v>
      </c>
      <c r="H59" s="258" t="str">
        <f t="shared" si="7"/>
        <v>Gq/11</v>
      </c>
      <c r="I59" s="255">
        <f t="shared" si="8"/>
        <v>0</v>
      </c>
      <c r="J59" s="256">
        <f t="shared" si="8"/>
        <v>0</v>
      </c>
      <c r="K59" s="256">
        <f t="shared" si="8"/>
        <v>1</v>
      </c>
      <c r="L59" s="256">
        <f t="shared" si="8"/>
        <v>0</v>
      </c>
      <c r="M59" s="255">
        <f t="shared" si="9"/>
        <v>0</v>
      </c>
      <c r="N59" s="256">
        <f t="shared" si="10"/>
        <v>0</v>
      </c>
      <c r="O59" s="256">
        <f t="shared" si="11"/>
        <v>100</v>
      </c>
      <c r="P59" s="256">
        <f t="shared" si="12"/>
        <v>0</v>
      </c>
      <c r="Q59" s="304">
        <f t="shared" si="13"/>
        <v>0</v>
      </c>
      <c r="R59" s="305">
        <f t="shared" si="14"/>
        <v>0</v>
      </c>
      <c r="S59" s="305">
        <f t="shared" si="15"/>
        <v>9.1250000000000081E-3</v>
      </c>
      <c r="T59" s="305">
        <f t="shared" si="16"/>
        <v>0</v>
      </c>
      <c r="U59" s="258" t="str">
        <f t="shared" si="17"/>
        <v>Gq</v>
      </c>
      <c r="V59" s="276">
        <f t="shared" si="18"/>
        <v>0</v>
      </c>
      <c r="W59" s="277">
        <f t="shared" si="19"/>
        <v>0</v>
      </c>
      <c r="X59" s="277">
        <f t="shared" si="20"/>
        <v>100</v>
      </c>
      <c r="Y59" s="277"/>
      <c r="Z59" s="277">
        <f t="shared" si="28"/>
        <v>0</v>
      </c>
      <c r="AA59" s="277"/>
      <c r="AB59" s="298">
        <f t="shared" si="30"/>
        <v>0</v>
      </c>
      <c r="AC59" s="279">
        <f t="shared" si="31"/>
        <v>0</v>
      </c>
      <c r="AD59" s="279">
        <f t="shared" si="32"/>
        <v>9.1250000000000081E-3</v>
      </c>
      <c r="AE59" s="279"/>
      <c r="AF59" s="279">
        <f t="shared" si="33"/>
        <v>0</v>
      </c>
      <c r="AG59" s="279"/>
      <c r="AH59" s="298">
        <v>-1.6750000000000016E-3</v>
      </c>
      <c r="AI59" s="279">
        <v>7.5000000000000067E-3</v>
      </c>
      <c r="AJ59" s="279">
        <v>9.1250000000000081E-3</v>
      </c>
      <c r="AK59" s="279"/>
      <c r="AL59" s="279">
        <v>-3.6250000000000032E-3</v>
      </c>
      <c r="AM59" s="279"/>
      <c r="AN59" s="283"/>
      <c r="AO59" s="280" t="s">
        <v>135</v>
      </c>
      <c r="AQ59" s="281" t="str">
        <f>VLOOKUP(A59,'Lambert-RGB-GDP_Efficacy'!A:A,1,FALSE)</f>
        <v>HRH1</v>
      </c>
    </row>
    <row r="60" spans="1:43" s="281" customFormat="1">
      <c r="A60" s="282" t="s">
        <v>137</v>
      </c>
      <c r="B60" s="259" t="s">
        <v>5531</v>
      </c>
      <c r="C60" s="255">
        <f t="shared" si="27"/>
        <v>1</v>
      </c>
      <c r="D60" s="256" t="str">
        <f t="shared" si="27"/>
        <v/>
      </c>
      <c r="E60" s="256" t="str">
        <f t="shared" si="27"/>
        <v/>
      </c>
      <c r="F60" s="256" t="str">
        <f t="shared" si="27"/>
        <v/>
      </c>
      <c r="G60" s="257">
        <f t="shared" si="6"/>
        <v>1</v>
      </c>
      <c r="H60" s="258" t="str">
        <f t="shared" si="7"/>
        <v>Gs</v>
      </c>
      <c r="I60" s="255">
        <f t="shared" si="8"/>
        <v>1</v>
      </c>
      <c r="J60" s="256">
        <f t="shared" si="8"/>
        <v>0</v>
      </c>
      <c r="K60" s="256">
        <f t="shared" si="8"/>
        <v>0</v>
      </c>
      <c r="L60" s="256">
        <f t="shared" si="8"/>
        <v>0</v>
      </c>
      <c r="M60" s="255">
        <f t="shared" si="9"/>
        <v>100</v>
      </c>
      <c r="N60" s="256">
        <f t="shared" si="10"/>
        <v>0</v>
      </c>
      <c r="O60" s="256">
        <f t="shared" si="11"/>
        <v>0</v>
      </c>
      <c r="P60" s="256">
        <f t="shared" si="12"/>
        <v>0</v>
      </c>
      <c r="Q60" s="304">
        <f t="shared" si="13"/>
        <v>7.4374999999999997E-2</v>
      </c>
      <c r="R60" s="305">
        <f t="shared" si="14"/>
        <v>0</v>
      </c>
      <c r="S60" s="305">
        <f t="shared" si="15"/>
        <v>0</v>
      </c>
      <c r="T60" s="305">
        <f t="shared" si="16"/>
        <v>0</v>
      </c>
      <c r="U60" s="258" t="str">
        <f t="shared" si="17"/>
        <v>GsL</v>
      </c>
      <c r="V60" s="276">
        <f t="shared" si="18"/>
        <v>100</v>
      </c>
      <c r="W60" s="277">
        <f t="shared" si="19"/>
        <v>0</v>
      </c>
      <c r="X60" s="277">
        <f t="shared" si="20"/>
        <v>0</v>
      </c>
      <c r="Y60" s="277"/>
      <c r="Z60" s="277">
        <f t="shared" si="28"/>
        <v>0</v>
      </c>
      <c r="AA60" s="277"/>
      <c r="AB60" s="298">
        <f t="shared" si="30"/>
        <v>7.4374999999999997E-2</v>
      </c>
      <c r="AC60" s="279">
        <f t="shared" si="31"/>
        <v>0</v>
      </c>
      <c r="AD60" s="279">
        <f t="shared" si="32"/>
        <v>0</v>
      </c>
      <c r="AE60" s="279"/>
      <c r="AF60" s="279">
        <f t="shared" si="33"/>
        <v>0</v>
      </c>
      <c r="AG60" s="279"/>
      <c r="AH60" s="298">
        <v>7.4374999999999997E-2</v>
      </c>
      <c r="AI60" s="279">
        <v>2.9166666666666508E-3</v>
      </c>
      <c r="AJ60" s="279">
        <v>2.8500000000000027E-3</v>
      </c>
      <c r="AK60" s="279"/>
      <c r="AL60" s="279">
        <v>-7.5000000000002842E-4</v>
      </c>
      <c r="AM60" s="279"/>
      <c r="AN60" s="283"/>
      <c r="AO60" s="280" t="s">
        <v>137</v>
      </c>
      <c r="AQ60" s="281" t="str">
        <f>VLOOKUP(A60,'Lambert-RGB-GDP_Efficacy'!A:A,1,FALSE)</f>
        <v>HRH2</v>
      </c>
    </row>
    <row r="61" spans="1:43" s="281" customFormat="1">
      <c r="A61" s="282" t="s">
        <v>230</v>
      </c>
      <c r="B61" s="259" t="s">
        <v>5531</v>
      </c>
      <c r="C61" s="255" t="str">
        <f t="shared" si="27"/>
        <v/>
      </c>
      <c r="D61" s="256" t="str">
        <f t="shared" si="27"/>
        <v/>
      </c>
      <c r="E61" s="256" t="str">
        <f t="shared" si="27"/>
        <v/>
      </c>
      <c r="F61" s="256" t="str">
        <f t="shared" si="27"/>
        <v/>
      </c>
      <c r="G61" s="257">
        <f t="shared" si="6"/>
        <v>0</v>
      </c>
      <c r="H61" s="258" t="str">
        <f t="shared" si="7"/>
        <v>-</v>
      </c>
      <c r="I61" s="255">
        <f t="shared" si="8"/>
        <v>0</v>
      </c>
      <c r="J61" s="256">
        <f t="shared" si="8"/>
        <v>0</v>
      </c>
      <c r="K61" s="256">
        <f t="shared" si="8"/>
        <v>0</v>
      </c>
      <c r="L61" s="256">
        <f t="shared" si="8"/>
        <v>0</v>
      </c>
      <c r="M61" s="255">
        <f t="shared" si="9"/>
        <v>0</v>
      </c>
      <c r="N61" s="256">
        <f t="shared" si="10"/>
        <v>0</v>
      </c>
      <c r="O61" s="256">
        <f t="shared" si="11"/>
        <v>0</v>
      </c>
      <c r="P61" s="256">
        <f t="shared" si="12"/>
        <v>0</v>
      </c>
      <c r="Q61" s="304">
        <f t="shared" si="13"/>
        <v>0</v>
      </c>
      <c r="R61" s="305">
        <f t="shared" si="14"/>
        <v>0</v>
      </c>
      <c r="S61" s="305">
        <f t="shared" si="15"/>
        <v>0</v>
      </c>
      <c r="T61" s="305">
        <f t="shared" si="16"/>
        <v>0</v>
      </c>
      <c r="U61" s="258" t="str">
        <f t="shared" si="17"/>
        <v>-</v>
      </c>
      <c r="V61" s="276">
        <f t="shared" si="18"/>
        <v>0</v>
      </c>
      <c r="W61" s="277">
        <f t="shared" si="19"/>
        <v>0</v>
      </c>
      <c r="X61" s="277">
        <f t="shared" si="20"/>
        <v>0</v>
      </c>
      <c r="Y61" s="277"/>
      <c r="Z61" s="277">
        <f t="shared" si="28"/>
        <v>0</v>
      </c>
      <c r="AA61" s="277"/>
      <c r="AB61" s="298">
        <f t="shared" si="30"/>
        <v>0</v>
      </c>
      <c r="AC61" s="279">
        <f t="shared" si="31"/>
        <v>0</v>
      </c>
      <c r="AD61" s="279">
        <f t="shared" si="32"/>
        <v>0</v>
      </c>
      <c r="AE61" s="279"/>
      <c r="AF61" s="279">
        <f t="shared" si="33"/>
        <v>0</v>
      </c>
      <c r="AG61" s="279"/>
      <c r="AH61" s="298">
        <v>1.9999999999998914E-4</v>
      </c>
      <c r="AI61" s="279">
        <v>1.2833333333333342E-3</v>
      </c>
      <c r="AJ61" s="279">
        <v>-1.3000000000000012E-3</v>
      </c>
      <c r="AK61" s="279"/>
      <c r="AL61" s="279">
        <v>-1.7999999999999921E-3</v>
      </c>
      <c r="AM61" s="279"/>
      <c r="AN61" s="283"/>
      <c r="AO61" s="280" t="s">
        <v>230</v>
      </c>
      <c r="AQ61" s="281" t="str">
        <f>VLOOKUP(A61,'Lambert-RGB-GDP_Efficacy'!A:A,1,FALSE)</f>
        <v>V2R</v>
      </c>
    </row>
    <row r="62" spans="1:43" s="281" customFormat="1">
      <c r="A62" s="282" t="s">
        <v>112</v>
      </c>
      <c r="B62" s="259" t="s">
        <v>5531</v>
      </c>
      <c r="C62" s="255" t="str">
        <f t="shared" si="27"/>
        <v/>
      </c>
      <c r="D62" s="256" t="str">
        <f t="shared" si="27"/>
        <v/>
      </c>
      <c r="E62" s="256" t="str">
        <f t="shared" si="27"/>
        <v/>
      </c>
      <c r="F62" s="256" t="str">
        <f t="shared" si="27"/>
        <v/>
      </c>
      <c r="G62" s="257">
        <f t="shared" si="6"/>
        <v>0</v>
      </c>
      <c r="H62" s="258" t="str">
        <f t="shared" si="7"/>
        <v>-</v>
      </c>
      <c r="I62" s="255">
        <f t="shared" si="8"/>
        <v>0</v>
      </c>
      <c r="J62" s="256">
        <f t="shared" si="8"/>
        <v>0</v>
      </c>
      <c r="K62" s="256">
        <f t="shared" si="8"/>
        <v>0</v>
      </c>
      <c r="L62" s="256">
        <f t="shared" si="8"/>
        <v>0</v>
      </c>
      <c r="M62" s="255">
        <f t="shared" si="9"/>
        <v>0</v>
      </c>
      <c r="N62" s="256">
        <f t="shared" si="10"/>
        <v>0</v>
      </c>
      <c r="O62" s="256">
        <f t="shared" si="11"/>
        <v>0</v>
      </c>
      <c r="P62" s="256">
        <f t="shared" si="12"/>
        <v>0</v>
      </c>
      <c r="Q62" s="304">
        <f t="shared" si="13"/>
        <v>0</v>
      </c>
      <c r="R62" s="305">
        <f t="shared" si="14"/>
        <v>0</v>
      </c>
      <c r="S62" s="305">
        <f t="shared" si="15"/>
        <v>0</v>
      </c>
      <c r="T62" s="305">
        <f t="shared" si="16"/>
        <v>0</v>
      </c>
      <c r="U62" s="258" t="str">
        <f t="shared" si="17"/>
        <v>-</v>
      </c>
      <c r="V62" s="276">
        <f t="shared" si="18"/>
        <v>0</v>
      </c>
      <c r="W62" s="277">
        <f t="shared" si="19"/>
        <v>0</v>
      </c>
      <c r="X62" s="277">
        <f t="shared" si="20"/>
        <v>0</v>
      </c>
      <c r="Y62" s="277"/>
      <c r="Z62" s="277">
        <f t="shared" si="28"/>
        <v>0</v>
      </c>
      <c r="AA62" s="277"/>
      <c r="AB62" s="298">
        <f t="shared" si="30"/>
        <v>0</v>
      </c>
      <c r="AC62" s="279">
        <f t="shared" si="31"/>
        <v>0</v>
      </c>
      <c r="AD62" s="279">
        <f t="shared" si="32"/>
        <v>0</v>
      </c>
      <c r="AE62" s="279"/>
      <c r="AF62" s="279">
        <f t="shared" si="33"/>
        <v>0</v>
      </c>
      <c r="AG62" s="279"/>
      <c r="AH62" s="298">
        <v>4.3333333333333375E-4</v>
      </c>
      <c r="AI62" s="279">
        <v>3.0166666666666601E-3</v>
      </c>
      <c r="AJ62" s="279">
        <v>4.2666666666666703E-3</v>
      </c>
      <c r="AK62" s="279"/>
      <c r="AL62" s="279">
        <v>-2.0000000000000015E-4</v>
      </c>
      <c r="AM62" s="279"/>
      <c r="AN62" s="283"/>
      <c r="AO62" s="280" t="s">
        <v>5569</v>
      </c>
      <c r="AQ62" s="281" t="str">
        <f>VLOOKUP(A62,'Lambert-RGB-GDP_Efficacy'!A:A,1,FALSE)</f>
        <v>EDNRA</v>
      </c>
    </row>
    <row r="63" spans="1:43" s="281" customFormat="1">
      <c r="A63" s="282" t="s">
        <v>113</v>
      </c>
      <c r="B63" s="259" t="s">
        <v>5531</v>
      </c>
      <c r="C63" s="255" t="str">
        <f t="shared" si="27"/>
        <v/>
      </c>
      <c r="D63" s="256" t="str">
        <f t="shared" si="27"/>
        <v/>
      </c>
      <c r="E63" s="256" t="str">
        <f t="shared" si="27"/>
        <v/>
      </c>
      <c r="F63" s="256" t="str">
        <f t="shared" si="27"/>
        <v/>
      </c>
      <c r="G63" s="257">
        <f t="shared" si="6"/>
        <v>0</v>
      </c>
      <c r="H63" s="258" t="str">
        <f t="shared" si="7"/>
        <v>-</v>
      </c>
      <c r="I63" s="255">
        <f t="shared" si="8"/>
        <v>0</v>
      </c>
      <c r="J63" s="256">
        <f t="shared" si="8"/>
        <v>0</v>
      </c>
      <c r="K63" s="256">
        <f t="shared" si="8"/>
        <v>0</v>
      </c>
      <c r="L63" s="256">
        <f t="shared" si="8"/>
        <v>0</v>
      </c>
      <c r="M63" s="255">
        <f t="shared" si="9"/>
        <v>0</v>
      </c>
      <c r="N63" s="256">
        <f t="shared" si="10"/>
        <v>0</v>
      </c>
      <c r="O63" s="256">
        <f t="shared" si="11"/>
        <v>0</v>
      </c>
      <c r="P63" s="256">
        <f t="shared" si="12"/>
        <v>0</v>
      </c>
      <c r="Q63" s="304">
        <f t="shared" si="13"/>
        <v>0</v>
      </c>
      <c r="R63" s="305">
        <f t="shared" si="14"/>
        <v>0</v>
      </c>
      <c r="S63" s="305">
        <f t="shared" si="15"/>
        <v>0</v>
      </c>
      <c r="T63" s="305">
        <f t="shared" si="16"/>
        <v>0</v>
      </c>
      <c r="U63" s="258" t="str">
        <f t="shared" si="17"/>
        <v>-</v>
      </c>
      <c r="V63" s="276">
        <f t="shared" si="18"/>
        <v>0</v>
      </c>
      <c r="W63" s="277">
        <f t="shared" si="19"/>
        <v>0</v>
      </c>
      <c r="X63" s="277">
        <f t="shared" si="20"/>
        <v>0</v>
      </c>
      <c r="Y63" s="277"/>
      <c r="Z63" s="277">
        <f t="shared" si="28"/>
        <v>0</v>
      </c>
      <c r="AA63" s="277"/>
      <c r="AB63" s="298">
        <f t="shared" si="30"/>
        <v>0</v>
      </c>
      <c r="AC63" s="279">
        <f t="shared" si="31"/>
        <v>0</v>
      </c>
      <c r="AD63" s="279">
        <f t="shared" si="32"/>
        <v>0</v>
      </c>
      <c r="AE63" s="279"/>
      <c r="AF63" s="279">
        <f t="shared" si="33"/>
        <v>0</v>
      </c>
      <c r="AG63" s="279"/>
      <c r="AH63" s="298">
        <v>-1.4583333333333349E-3</v>
      </c>
      <c r="AI63" s="279">
        <v>7.4999999999999694E-3</v>
      </c>
      <c r="AJ63" s="279">
        <v>-8.3333333333336212E-4</v>
      </c>
      <c r="AK63" s="279"/>
      <c r="AL63" s="279">
        <v>-1.1708333333333345E-2</v>
      </c>
      <c r="AM63" s="279"/>
      <c r="AN63" s="283"/>
      <c r="AO63" s="280" t="s">
        <v>5570</v>
      </c>
      <c r="AQ63" s="281" t="str">
        <f>VLOOKUP(A63,'Lambert-RGB-GDP_Efficacy'!A:A,1,FALSE)</f>
        <v>EDNRB</v>
      </c>
    </row>
    <row r="64" spans="1:43" s="281" customFormat="1">
      <c r="A64" s="282" t="s">
        <v>100</v>
      </c>
      <c r="B64" s="259" t="s">
        <v>5531</v>
      </c>
      <c r="C64" s="255" t="str">
        <f t="shared" si="27"/>
        <v/>
      </c>
      <c r="D64" s="256">
        <f t="shared" si="27"/>
        <v>1</v>
      </c>
      <c r="E64" s="256" t="str">
        <f t="shared" si="27"/>
        <v/>
      </c>
      <c r="F64" s="256">
        <f t="shared" si="27"/>
        <v>1</v>
      </c>
      <c r="G64" s="257">
        <f t="shared" si="6"/>
        <v>2</v>
      </c>
      <c r="H64" s="258" t="str">
        <f t="shared" si="7"/>
        <v>Gi/o</v>
      </c>
      <c r="I64" s="255">
        <f t="shared" si="8"/>
        <v>0</v>
      </c>
      <c r="J64" s="256">
        <f t="shared" si="8"/>
        <v>1</v>
      </c>
      <c r="K64" s="256">
        <f t="shared" si="8"/>
        <v>0</v>
      </c>
      <c r="L64" s="256">
        <f t="shared" si="8"/>
        <v>2</v>
      </c>
      <c r="M64" s="255">
        <f t="shared" si="9"/>
        <v>0</v>
      </c>
      <c r="N64" s="256">
        <f t="shared" si="10"/>
        <v>100</v>
      </c>
      <c r="O64" s="256">
        <f t="shared" si="11"/>
        <v>0</v>
      </c>
      <c r="P64" s="256">
        <f t="shared" si="12"/>
        <v>97.058823529411626</v>
      </c>
      <c r="Q64" s="304">
        <f t="shared" si="13"/>
        <v>0</v>
      </c>
      <c r="R64" s="305">
        <f t="shared" si="14"/>
        <v>2.1250000000000005E-2</v>
      </c>
      <c r="S64" s="305">
        <f t="shared" si="15"/>
        <v>0</v>
      </c>
      <c r="T64" s="305">
        <f t="shared" si="16"/>
        <v>2.0624999999999977E-2</v>
      </c>
      <c r="U64" s="258" t="str">
        <f t="shared" si="17"/>
        <v>Gi1</v>
      </c>
      <c r="V64" s="276">
        <f t="shared" si="18"/>
        <v>0</v>
      </c>
      <c r="W64" s="277">
        <f t="shared" si="19"/>
        <v>100</v>
      </c>
      <c r="X64" s="277">
        <f t="shared" si="20"/>
        <v>0</v>
      </c>
      <c r="Y64" s="277"/>
      <c r="Z64" s="277">
        <f t="shared" si="28"/>
        <v>97.058823529411626</v>
      </c>
      <c r="AA64" s="277"/>
      <c r="AB64" s="298">
        <f t="shared" si="30"/>
        <v>0</v>
      </c>
      <c r="AC64" s="279">
        <f t="shared" si="31"/>
        <v>2.1250000000000005E-2</v>
      </c>
      <c r="AD64" s="279">
        <f t="shared" si="32"/>
        <v>0</v>
      </c>
      <c r="AE64" s="279"/>
      <c r="AF64" s="279">
        <f t="shared" si="33"/>
        <v>2.0624999999999977E-2</v>
      </c>
      <c r="AG64" s="279"/>
      <c r="AH64" s="298">
        <v>-4.2500000000000038E-3</v>
      </c>
      <c r="AI64" s="279">
        <v>2.1250000000000005E-2</v>
      </c>
      <c r="AJ64" s="279">
        <v>-3.375000000000003E-3</v>
      </c>
      <c r="AK64" s="279"/>
      <c r="AL64" s="279">
        <v>2.0624999999999977E-2</v>
      </c>
      <c r="AM64" s="279"/>
      <c r="AN64" s="283"/>
      <c r="AO64" s="280" t="s">
        <v>4231</v>
      </c>
      <c r="AQ64" s="281" t="str">
        <f>VLOOKUP(A64,'Lambert-RGB-GDP_Efficacy'!A:A,1,FALSE)</f>
        <v>P2Y10</v>
      </c>
    </row>
    <row r="65" spans="1:43" s="281" customFormat="1">
      <c r="A65" s="282" t="s">
        <v>90</v>
      </c>
      <c r="B65" s="259" t="s">
        <v>5531</v>
      </c>
      <c r="C65" s="255" t="str">
        <f t="shared" si="27"/>
        <v/>
      </c>
      <c r="D65" s="256" t="str">
        <f t="shared" si="27"/>
        <v/>
      </c>
      <c r="E65" s="256" t="str">
        <f t="shared" si="27"/>
        <v/>
      </c>
      <c r="F65" s="256" t="str">
        <f t="shared" si="27"/>
        <v/>
      </c>
      <c r="G65" s="257">
        <f t="shared" si="6"/>
        <v>0</v>
      </c>
      <c r="H65" s="258" t="str">
        <f t="shared" si="7"/>
        <v>-</v>
      </c>
      <c r="I65" s="255">
        <f t="shared" ref="I65:I76" si="34">IF(Q65=0,0,_xlfn.RANK.EQ(Q65,$Q65:$T65,0))</f>
        <v>0</v>
      </c>
      <c r="J65" s="256">
        <f t="shared" ref="J65:J76" si="35">IF(R65=0,0,_xlfn.RANK.EQ(R65,$Q65:$T65,0))</f>
        <v>0</v>
      </c>
      <c r="K65" s="256">
        <f t="shared" ref="K65:K76" si="36">IF(S65=0,0,_xlfn.RANK.EQ(S65,$Q65:$T65,0))</f>
        <v>0</v>
      </c>
      <c r="L65" s="256">
        <f t="shared" ref="L65:L76" si="37">IF(T65=0,0,_xlfn.RANK.EQ(T65,$Q65:$T65,0))</f>
        <v>0</v>
      </c>
      <c r="M65" s="255">
        <f t="shared" si="9"/>
        <v>0</v>
      </c>
      <c r="N65" s="256">
        <f t="shared" si="10"/>
        <v>0</v>
      </c>
      <c r="O65" s="256">
        <f t="shared" si="11"/>
        <v>0</v>
      </c>
      <c r="P65" s="256">
        <f t="shared" si="12"/>
        <v>0</v>
      </c>
      <c r="Q65" s="304">
        <f t="shared" si="13"/>
        <v>0</v>
      </c>
      <c r="R65" s="305">
        <f t="shared" si="14"/>
        <v>0</v>
      </c>
      <c r="S65" s="305">
        <f t="shared" si="15"/>
        <v>0</v>
      </c>
      <c r="T65" s="305">
        <f t="shared" si="16"/>
        <v>0</v>
      </c>
      <c r="U65" s="258" t="str">
        <f t="shared" si="17"/>
        <v>-</v>
      </c>
      <c r="V65" s="276">
        <f t="shared" si="18"/>
        <v>0</v>
      </c>
      <c r="W65" s="277">
        <f t="shared" si="19"/>
        <v>0</v>
      </c>
      <c r="X65" s="277">
        <f t="shared" si="20"/>
        <v>0</v>
      </c>
      <c r="Y65" s="277"/>
      <c r="Z65" s="277">
        <f t="shared" si="28"/>
        <v>0</v>
      </c>
      <c r="AA65" s="277"/>
      <c r="AB65" s="298">
        <f t="shared" si="30"/>
        <v>0</v>
      </c>
      <c r="AC65" s="279">
        <f t="shared" si="31"/>
        <v>0</v>
      </c>
      <c r="AD65" s="279">
        <f t="shared" si="32"/>
        <v>0</v>
      </c>
      <c r="AE65" s="279"/>
      <c r="AF65" s="279">
        <f t="shared" si="33"/>
        <v>0</v>
      </c>
      <c r="AG65" s="279"/>
      <c r="AH65" s="298">
        <v>-4.0000000000000034E-4</v>
      </c>
      <c r="AI65" s="279">
        <v>0</v>
      </c>
      <c r="AJ65" s="279">
        <v>-6.0000000000000049E-4</v>
      </c>
      <c r="AK65" s="279"/>
      <c r="AL65" s="279">
        <v>3.0999999999999917E-3</v>
      </c>
      <c r="AM65" s="279"/>
      <c r="AN65" s="283"/>
      <c r="AO65" s="280" t="s">
        <v>90</v>
      </c>
      <c r="AQ65" s="281" t="str">
        <f>VLOOKUP(A65,'Lambert-RGB-GDP_Efficacy'!A:A,1,FALSE)</f>
        <v>GPR35</v>
      </c>
    </row>
    <row r="66" spans="1:43" s="281" customFormat="1">
      <c r="A66" s="282" t="s">
        <v>111</v>
      </c>
      <c r="B66" s="259" t="s">
        <v>5532</v>
      </c>
      <c r="C66" s="255" t="str">
        <f t="shared" si="27"/>
        <v/>
      </c>
      <c r="D66" s="256" t="str">
        <f t="shared" si="27"/>
        <v/>
      </c>
      <c r="E66" s="256" t="str">
        <f t="shared" si="27"/>
        <v/>
      </c>
      <c r="F66" s="256" t="str">
        <f t="shared" si="27"/>
        <v/>
      </c>
      <c r="G66" s="257">
        <f t="shared" si="6"/>
        <v>0</v>
      </c>
      <c r="H66" s="258" t="str">
        <f t="shared" si="7"/>
        <v>-</v>
      </c>
      <c r="I66" s="255">
        <f t="shared" si="34"/>
        <v>0</v>
      </c>
      <c r="J66" s="256">
        <f t="shared" si="35"/>
        <v>0</v>
      </c>
      <c r="K66" s="256">
        <f t="shared" si="36"/>
        <v>0</v>
      </c>
      <c r="L66" s="256">
        <f t="shared" si="37"/>
        <v>0</v>
      </c>
      <c r="M66" s="255">
        <f t="shared" si="9"/>
        <v>0</v>
      </c>
      <c r="N66" s="256">
        <f t="shared" si="10"/>
        <v>0</v>
      </c>
      <c r="O66" s="256">
        <f t="shared" si="11"/>
        <v>0</v>
      </c>
      <c r="P66" s="256">
        <f t="shared" si="12"/>
        <v>0</v>
      </c>
      <c r="Q66" s="304">
        <f t="shared" si="13"/>
        <v>0</v>
      </c>
      <c r="R66" s="305">
        <f t="shared" si="14"/>
        <v>0</v>
      </c>
      <c r="S66" s="305">
        <f t="shared" si="15"/>
        <v>0</v>
      </c>
      <c r="T66" s="305">
        <f t="shared" si="16"/>
        <v>0</v>
      </c>
      <c r="U66" s="258" t="str">
        <f t="shared" si="17"/>
        <v>-</v>
      </c>
      <c r="V66" s="276">
        <f t="shared" si="18"/>
        <v>0</v>
      </c>
      <c r="W66" s="277">
        <f t="shared" si="19"/>
        <v>0</v>
      </c>
      <c r="X66" s="277">
        <f t="shared" si="20"/>
        <v>0</v>
      </c>
      <c r="Y66" s="277"/>
      <c r="Z66" s="277">
        <f t="shared" si="28"/>
        <v>0</v>
      </c>
      <c r="AA66" s="277"/>
      <c r="AB66" s="298">
        <f t="shared" si="30"/>
        <v>0</v>
      </c>
      <c r="AC66" s="279">
        <f t="shared" si="31"/>
        <v>0</v>
      </c>
      <c r="AD66" s="279">
        <f t="shared" si="32"/>
        <v>0</v>
      </c>
      <c r="AE66" s="279"/>
      <c r="AF66" s="279">
        <f t="shared" si="33"/>
        <v>0</v>
      </c>
      <c r="AG66" s="279"/>
      <c r="AH66" s="298">
        <v>8.8333333333333406E-3</v>
      </c>
      <c r="AI66" s="279">
        <v>-1.1666666666666678E-3</v>
      </c>
      <c r="AJ66" s="279">
        <v>-1.0000000000000009E-3</v>
      </c>
      <c r="AK66" s="279"/>
      <c r="AL66" s="279">
        <v>-4.0000000000000036E-3</v>
      </c>
      <c r="AM66" s="279"/>
      <c r="AN66" s="283"/>
      <c r="AO66" s="280" t="s">
        <v>5055</v>
      </c>
      <c r="AQ66" s="281" t="str">
        <f>VLOOKUP(A66,'Lambert-RGB-GDP_Efficacy'!A:A,1,FALSE)</f>
        <v>DRD5</v>
      </c>
    </row>
    <row r="67" spans="1:43" s="281" customFormat="1">
      <c r="A67" s="282" t="s">
        <v>58</v>
      </c>
      <c r="B67" s="259" t="s">
        <v>5532</v>
      </c>
      <c r="C67" s="255">
        <f t="shared" si="27"/>
        <v>1</v>
      </c>
      <c r="D67" s="256">
        <f t="shared" si="27"/>
        <v>1</v>
      </c>
      <c r="E67" s="256" t="str">
        <f t="shared" si="27"/>
        <v/>
      </c>
      <c r="F67" s="256">
        <f t="shared" si="27"/>
        <v>1</v>
      </c>
      <c r="G67" s="257">
        <f t="shared" ref="G67:G76" si="38">COUNTIF(I67:L67,"&gt;0")</f>
        <v>3</v>
      </c>
      <c r="H67" s="258" t="str">
        <f t="shared" ref="H67:H76" si="39">IF(SUM(Q67:T67)=0,"-",SUBSTITUTE(INDEX(Q$1:T$1,1,MATCH(MAX(Q67:T67),Q67:T67,0)),"-fam",""))</f>
        <v>Gi/o</v>
      </c>
      <c r="I67" s="255">
        <f t="shared" si="34"/>
        <v>3</v>
      </c>
      <c r="J67" s="256">
        <f t="shared" si="35"/>
        <v>1</v>
      </c>
      <c r="K67" s="256">
        <f t="shared" si="36"/>
        <v>0</v>
      </c>
      <c r="L67" s="256">
        <f t="shared" si="37"/>
        <v>2</v>
      </c>
      <c r="M67" s="255">
        <f t="shared" ref="M67:M76" si="40">IF(Q67=0,0,Q67/MAX($Q67:$T67)*100)</f>
        <v>34.080717488789233</v>
      </c>
      <c r="N67" s="256">
        <f t="shared" ref="N67:N76" si="41">IF(R67=0,0,R67/MAX($Q67:$T67)*100)</f>
        <v>100</v>
      </c>
      <c r="O67" s="256">
        <f t="shared" ref="O67:O76" si="42">IF(S67=0,0,S67/MAX($Q67:$T67)*100)</f>
        <v>0</v>
      </c>
      <c r="P67" s="256">
        <f t="shared" ref="P67:P76" si="43">IF(T67=0,0,T67/MAX($Q67:$T67)*100)</f>
        <v>41.2556053811659</v>
      </c>
      <c r="Q67" s="304">
        <f t="shared" ref="Q67:Q76" si="44">AB67</f>
        <v>1.8999999999999996E-2</v>
      </c>
      <c r="R67" s="305">
        <f t="shared" ref="R67:R76" si="45">AC67</f>
        <v>5.5749999999999987E-2</v>
      </c>
      <c r="S67" s="305">
        <f t="shared" ref="S67:S76" si="46">MAX(AD67:AE67)</f>
        <v>0</v>
      </c>
      <c r="T67" s="305">
        <f t="shared" ref="T67:T76" si="47">MAX(AF67:AG67)</f>
        <v>2.2999999999999982E-2</v>
      </c>
      <c r="U67" s="258" t="str">
        <f t="shared" ref="U67:U76" si="48">IF(SUM(AB67:AG67)=0,"-",INDEX(AB$1:AG$1,1,MATCH(MAX(AB67:AG67),AB67:AG67,0)))</f>
        <v>Gi1</v>
      </c>
      <c r="V67" s="276">
        <f t="shared" ref="V67:V76" si="49">IF(AB67=0,0,AB67/MAX($AB67:$AG67)*100)</f>
        <v>34.080717488789233</v>
      </c>
      <c r="W67" s="277">
        <f t="shared" ref="W67:W76" si="50">IF(AC67=0,0,AC67/MAX($AB67:$AG67)*100)</f>
        <v>100</v>
      </c>
      <c r="X67" s="277">
        <f t="shared" ref="X67:X76" si="51">IF(AD67=0,0,AD67/MAX($AB67:$AG67)*100)</f>
        <v>0</v>
      </c>
      <c r="Y67" s="277"/>
      <c r="Z67" s="277">
        <f t="shared" ref="Z67:Z76" si="52">IF(AF67=0,0,AF67/MAX($AB67:$AG67)*100)</f>
        <v>41.2556053811659</v>
      </c>
      <c r="AA67" s="277"/>
      <c r="AB67" s="298">
        <f t="shared" si="30"/>
        <v>1.8999999999999996E-2</v>
      </c>
      <c r="AC67" s="279">
        <f t="shared" si="31"/>
        <v>5.5749999999999987E-2</v>
      </c>
      <c r="AD67" s="279">
        <f t="shared" si="32"/>
        <v>0</v>
      </c>
      <c r="AE67" s="279"/>
      <c r="AF67" s="279">
        <f t="shared" si="33"/>
        <v>2.2999999999999982E-2</v>
      </c>
      <c r="AG67" s="279"/>
      <c r="AH67" s="298">
        <v>1.8999999999999996E-2</v>
      </c>
      <c r="AI67" s="279">
        <v>5.5749999999999987E-2</v>
      </c>
      <c r="AJ67" s="279">
        <v>7.3333333333333401E-3</v>
      </c>
      <c r="AK67" s="279"/>
      <c r="AL67" s="279">
        <v>2.2999999999999982E-2</v>
      </c>
      <c r="AM67" s="279"/>
      <c r="AN67" s="283"/>
      <c r="AO67" s="280" t="s">
        <v>5068</v>
      </c>
      <c r="AQ67" s="281" t="str">
        <f>VLOOKUP(A67,'Lambert-RGB-GDP_Efficacy'!A:A,1,FALSE)</f>
        <v>CNR1</v>
      </c>
    </row>
    <row r="68" spans="1:43" s="281" customFormat="1">
      <c r="A68" s="282" t="s">
        <v>20</v>
      </c>
      <c r="B68" s="259" t="s">
        <v>5532</v>
      </c>
      <c r="C68" s="255" t="str">
        <f t="shared" si="27"/>
        <v/>
      </c>
      <c r="D68" s="256" t="str">
        <f t="shared" si="27"/>
        <v/>
      </c>
      <c r="E68" s="256" t="str">
        <f t="shared" si="27"/>
        <v/>
      </c>
      <c r="F68" s="256" t="str">
        <f t="shared" si="27"/>
        <v/>
      </c>
      <c r="G68" s="257">
        <f t="shared" si="38"/>
        <v>0</v>
      </c>
      <c r="H68" s="258" t="str">
        <f t="shared" si="39"/>
        <v>-</v>
      </c>
      <c r="I68" s="255">
        <f t="shared" si="34"/>
        <v>0</v>
      </c>
      <c r="J68" s="256">
        <f t="shared" si="35"/>
        <v>0</v>
      </c>
      <c r="K68" s="256">
        <f t="shared" si="36"/>
        <v>0</v>
      </c>
      <c r="L68" s="256">
        <f t="shared" si="37"/>
        <v>0</v>
      </c>
      <c r="M68" s="255">
        <f t="shared" si="40"/>
        <v>0</v>
      </c>
      <c r="N68" s="256">
        <f t="shared" si="41"/>
        <v>0</v>
      </c>
      <c r="O68" s="256">
        <f t="shared" si="42"/>
        <v>0</v>
      </c>
      <c r="P68" s="256">
        <f t="shared" si="43"/>
        <v>0</v>
      </c>
      <c r="Q68" s="304">
        <f t="shared" si="44"/>
        <v>0</v>
      </c>
      <c r="R68" s="305">
        <f t="shared" si="45"/>
        <v>0</v>
      </c>
      <c r="S68" s="305">
        <f t="shared" si="46"/>
        <v>0</v>
      </c>
      <c r="T68" s="305">
        <f t="shared" si="47"/>
        <v>0</v>
      </c>
      <c r="U68" s="258" t="str">
        <f t="shared" si="48"/>
        <v>-</v>
      </c>
      <c r="V68" s="276">
        <f t="shared" si="49"/>
        <v>0</v>
      </c>
      <c r="W68" s="277">
        <f t="shared" si="50"/>
        <v>0</v>
      </c>
      <c r="X68" s="277">
        <f t="shared" si="51"/>
        <v>0</v>
      </c>
      <c r="Y68" s="277"/>
      <c r="Z68" s="277">
        <f t="shared" si="52"/>
        <v>0</v>
      </c>
      <c r="AA68" s="277"/>
      <c r="AB68" s="298">
        <f t="shared" si="30"/>
        <v>0</v>
      </c>
      <c r="AC68" s="279">
        <f t="shared" si="31"/>
        <v>0</v>
      </c>
      <c r="AD68" s="279">
        <f t="shared" si="32"/>
        <v>0</v>
      </c>
      <c r="AE68" s="279"/>
      <c r="AF68" s="279">
        <f t="shared" si="33"/>
        <v>0</v>
      </c>
      <c r="AG68" s="279"/>
      <c r="AH68" s="298">
        <v>1.6666666666666696E-4</v>
      </c>
      <c r="AI68" s="279">
        <v>3.6666666666666696E-3</v>
      </c>
      <c r="AJ68" s="279">
        <v>3.1666666666666692E-3</v>
      </c>
      <c r="AK68" s="279"/>
      <c r="AL68" s="279">
        <v>6.0000000000000053E-3</v>
      </c>
      <c r="AM68" s="279"/>
      <c r="AN68" s="283"/>
      <c r="AO68" s="280" t="s">
        <v>20</v>
      </c>
      <c r="AQ68" s="281" t="str">
        <f>VLOOKUP(A68,'Lambert-RGB-GDP_Efficacy'!A:A,1,FALSE)</f>
        <v>5HT2A</v>
      </c>
    </row>
    <row r="69" spans="1:43" s="281" customFormat="1">
      <c r="A69" s="282" t="s">
        <v>114</v>
      </c>
      <c r="B69" s="259" t="s">
        <v>5533</v>
      </c>
      <c r="C69" s="255" t="str">
        <f t="shared" si="27"/>
        <v/>
      </c>
      <c r="D69" s="256">
        <f t="shared" si="27"/>
        <v>1</v>
      </c>
      <c r="E69" s="256" t="str">
        <f t="shared" si="27"/>
        <v/>
      </c>
      <c r="F69" s="256" t="str">
        <f t="shared" si="27"/>
        <v/>
      </c>
      <c r="G69" s="257">
        <f t="shared" si="38"/>
        <v>1</v>
      </c>
      <c r="H69" s="258" t="str">
        <f t="shared" si="39"/>
        <v>Gi/o</v>
      </c>
      <c r="I69" s="255">
        <f t="shared" si="34"/>
        <v>0</v>
      </c>
      <c r="J69" s="256">
        <f t="shared" si="35"/>
        <v>1</v>
      </c>
      <c r="K69" s="256">
        <f t="shared" si="36"/>
        <v>0</v>
      </c>
      <c r="L69" s="256">
        <f t="shared" si="37"/>
        <v>0</v>
      </c>
      <c r="M69" s="255">
        <f t="shared" si="40"/>
        <v>0</v>
      </c>
      <c r="N69" s="256">
        <f t="shared" si="41"/>
        <v>100</v>
      </c>
      <c r="O69" s="256">
        <f t="shared" si="42"/>
        <v>0</v>
      </c>
      <c r="P69" s="256">
        <f t="shared" si="43"/>
        <v>0</v>
      </c>
      <c r="Q69" s="304">
        <f t="shared" si="44"/>
        <v>0</v>
      </c>
      <c r="R69" s="305">
        <f t="shared" si="45"/>
        <v>7.2833333333333347E-2</v>
      </c>
      <c r="S69" s="305">
        <f t="shared" si="46"/>
        <v>0</v>
      </c>
      <c r="T69" s="305">
        <f t="shared" si="47"/>
        <v>0</v>
      </c>
      <c r="U69" s="258" t="str">
        <f t="shared" si="48"/>
        <v>Gi1</v>
      </c>
      <c r="V69" s="276">
        <f t="shared" si="49"/>
        <v>0</v>
      </c>
      <c r="W69" s="277">
        <f t="shared" si="50"/>
        <v>100</v>
      </c>
      <c r="X69" s="277">
        <f t="shared" si="51"/>
        <v>0</v>
      </c>
      <c r="Y69" s="277"/>
      <c r="Z69" s="277">
        <f t="shared" si="52"/>
        <v>0</v>
      </c>
      <c r="AA69" s="277"/>
      <c r="AB69" s="298">
        <f t="shared" si="30"/>
        <v>0</v>
      </c>
      <c r="AC69" s="279">
        <f t="shared" si="31"/>
        <v>7.2833333333333347E-2</v>
      </c>
      <c r="AD69" s="279">
        <f t="shared" si="32"/>
        <v>0</v>
      </c>
      <c r="AE69" s="279"/>
      <c r="AF69" s="279">
        <f t="shared" si="33"/>
        <v>0</v>
      </c>
      <c r="AG69" s="279"/>
      <c r="AH69" s="298">
        <v>-3.3333333333333365E-4</v>
      </c>
      <c r="AI69" s="279">
        <v>7.2833333333333347E-2</v>
      </c>
      <c r="AJ69" s="279">
        <v>-1.1666666666666678E-3</v>
      </c>
      <c r="AK69" s="279"/>
      <c r="AL69" s="279">
        <v>3.3333333333331516E-4</v>
      </c>
      <c r="AM69" s="279"/>
      <c r="AN69" s="283"/>
      <c r="AO69" s="280" t="s">
        <v>114</v>
      </c>
      <c r="AQ69" s="281" t="str">
        <f>VLOOKUP(A69,'Lambert-RGB-GDP_Efficacy'!A:A,1,FALSE)</f>
        <v>FPR1</v>
      </c>
    </row>
    <row r="70" spans="1:43" s="281" customFormat="1">
      <c r="A70" s="282" t="s">
        <v>115</v>
      </c>
      <c r="B70" s="259" t="s">
        <v>5533</v>
      </c>
      <c r="C70" s="255" t="str">
        <f t="shared" si="27"/>
        <v/>
      </c>
      <c r="D70" s="256">
        <f t="shared" si="27"/>
        <v>1</v>
      </c>
      <c r="E70" s="256" t="str">
        <f t="shared" si="27"/>
        <v/>
      </c>
      <c r="F70" s="256" t="str">
        <f t="shared" si="27"/>
        <v/>
      </c>
      <c r="G70" s="257">
        <f t="shared" si="38"/>
        <v>1</v>
      </c>
      <c r="H70" s="258" t="str">
        <f t="shared" si="39"/>
        <v>Gi/o</v>
      </c>
      <c r="I70" s="255">
        <f t="shared" si="34"/>
        <v>0</v>
      </c>
      <c r="J70" s="256">
        <f t="shared" si="35"/>
        <v>1</v>
      </c>
      <c r="K70" s="256">
        <f t="shared" si="36"/>
        <v>0</v>
      </c>
      <c r="L70" s="256">
        <f t="shared" si="37"/>
        <v>0</v>
      </c>
      <c r="M70" s="255">
        <f t="shared" si="40"/>
        <v>0</v>
      </c>
      <c r="N70" s="256">
        <f t="shared" si="41"/>
        <v>100</v>
      </c>
      <c r="O70" s="256">
        <f t="shared" si="42"/>
        <v>0</v>
      </c>
      <c r="P70" s="256">
        <f t="shared" si="43"/>
        <v>0</v>
      </c>
      <c r="Q70" s="304">
        <f t="shared" si="44"/>
        <v>0</v>
      </c>
      <c r="R70" s="305">
        <f t="shared" si="45"/>
        <v>4.6833333333333338E-2</v>
      </c>
      <c r="S70" s="305">
        <f t="shared" si="46"/>
        <v>0</v>
      </c>
      <c r="T70" s="305">
        <f t="shared" si="47"/>
        <v>0</v>
      </c>
      <c r="U70" s="258" t="str">
        <f t="shared" si="48"/>
        <v>Gi1</v>
      </c>
      <c r="V70" s="276">
        <f t="shared" si="49"/>
        <v>0</v>
      </c>
      <c r="W70" s="277">
        <f t="shared" si="50"/>
        <v>100</v>
      </c>
      <c r="X70" s="277">
        <f t="shared" si="51"/>
        <v>0</v>
      </c>
      <c r="Y70" s="277"/>
      <c r="Z70" s="277">
        <f t="shared" si="52"/>
        <v>0</v>
      </c>
      <c r="AA70" s="277"/>
      <c r="AB70" s="298">
        <f t="shared" si="30"/>
        <v>0</v>
      </c>
      <c r="AC70" s="279">
        <f t="shared" si="31"/>
        <v>4.6833333333333338E-2</v>
      </c>
      <c r="AD70" s="279">
        <f t="shared" si="32"/>
        <v>0</v>
      </c>
      <c r="AE70" s="279"/>
      <c r="AF70" s="279">
        <f t="shared" si="33"/>
        <v>0</v>
      </c>
      <c r="AG70" s="279"/>
      <c r="AH70" s="298">
        <v>-5.8333333333333388E-3</v>
      </c>
      <c r="AI70" s="279">
        <v>4.6833333333333338E-2</v>
      </c>
      <c r="AJ70" s="279">
        <v>-6.6666666666666723E-3</v>
      </c>
      <c r="AK70" s="279"/>
      <c r="AL70" s="279">
        <v>-6.5000000000000058E-3</v>
      </c>
      <c r="AM70" s="279"/>
      <c r="AN70" s="283"/>
      <c r="AO70" s="280" t="s">
        <v>115</v>
      </c>
      <c r="AQ70" s="281" t="str">
        <f>VLOOKUP(A70,'Lambert-RGB-GDP_Efficacy'!A:A,1,FALSE)</f>
        <v>FPR2</v>
      </c>
    </row>
    <row r="71" spans="1:43" s="281" customFormat="1">
      <c r="A71" s="282" t="s">
        <v>209</v>
      </c>
      <c r="B71" s="259" t="s">
        <v>5533</v>
      </c>
      <c r="C71" s="255" t="str">
        <f t="shared" si="27"/>
        <v/>
      </c>
      <c r="D71" s="256" t="str">
        <f t="shared" si="27"/>
        <v/>
      </c>
      <c r="E71" s="256" t="str">
        <f t="shared" si="27"/>
        <v/>
      </c>
      <c r="F71" s="256" t="str">
        <f t="shared" si="27"/>
        <v/>
      </c>
      <c r="G71" s="257">
        <f t="shared" si="38"/>
        <v>0</v>
      </c>
      <c r="H71" s="258" t="str">
        <f t="shared" si="39"/>
        <v>-</v>
      </c>
      <c r="I71" s="255">
        <f t="shared" si="34"/>
        <v>0</v>
      </c>
      <c r="J71" s="256">
        <f t="shared" si="35"/>
        <v>0</v>
      </c>
      <c r="K71" s="256">
        <f t="shared" si="36"/>
        <v>0</v>
      </c>
      <c r="L71" s="256">
        <f t="shared" si="37"/>
        <v>0</v>
      </c>
      <c r="M71" s="255">
        <f t="shared" si="40"/>
        <v>0</v>
      </c>
      <c r="N71" s="256">
        <f t="shared" si="41"/>
        <v>0</v>
      </c>
      <c r="O71" s="256">
        <f t="shared" si="42"/>
        <v>0</v>
      </c>
      <c r="P71" s="256">
        <f t="shared" si="43"/>
        <v>0</v>
      </c>
      <c r="Q71" s="304">
        <f t="shared" si="44"/>
        <v>0</v>
      </c>
      <c r="R71" s="305">
        <f t="shared" si="45"/>
        <v>0</v>
      </c>
      <c r="S71" s="305">
        <f t="shared" si="46"/>
        <v>0</v>
      </c>
      <c r="T71" s="305">
        <f t="shared" si="47"/>
        <v>0</v>
      </c>
      <c r="U71" s="258" t="str">
        <f t="shared" si="48"/>
        <v>-</v>
      </c>
      <c r="V71" s="276">
        <f t="shared" si="49"/>
        <v>0</v>
      </c>
      <c r="W71" s="277">
        <f t="shared" si="50"/>
        <v>0</v>
      </c>
      <c r="X71" s="277">
        <f t="shared" si="51"/>
        <v>0</v>
      </c>
      <c r="Y71" s="277"/>
      <c r="Z71" s="277">
        <f t="shared" si="52"/>
        <v>0</v>
      </c>
      <c r="AA71" s="277"/>
      <c r="AB71" s="298">
        <f t="shared" si="30"/>
        <v>0</v>
      </c>
      <c r="AC71" s="279">
        <f t="shared" si="31"/>
        <v>0</v>
      </c>
      <c r="AD71" s="279">
        <f t="shared" si="32"/>
        <v>0</v>
      </c>
      <c r="AE71" s="279"/>
      <c r="AF71" s="279">
        <f t="shared" si="33"/>
        <v>0</v>
      </c>
      <c r="AG71" s="279"/>
      <c r="AH71" s="298">
        <v>-5.0000000000000044E-4</v>
      </c>
      <c r="AI71" s="279">
        <v>9.1666666666666752E-4</v>
      </c>
      <c r="AJ71" s="279">
        <v>4.9166666666666707E-3</v>
      </c>
      <c r="AK71" s="279"/>
      <c r="AL71" s="279">
        <v>-7.5000000000000067E-4</v>
      </c>
      <c r="AM71" s="279"/>
      <c r="AN71" s="283"/>
      <c r="AO71" s="280" t="s">
        <v>5571</v>
      </c>
      <c r="AQ71" s="281" t="str">
        <f>VLOOKUP(A71,'Lambert-RGB-GDP_Efficacy'!A:A,1,FALSE)</f>
        <v>TA2R</v>
      </c>
    </row>
    <row r="72" spans="1:43" s="281" customFormat="1">
      <c r="A72" s="282" t="s">
        <v>227</v>
      </c>
      <c r="B72" s="259" t="s">
        <v>5532</v>
      </c>
      <c r="C72" s="255" t="str">
        <f t="shared" si="27"/>
        <v/>
      </c>
      <c r="D72" s="256" t="str">
        <f t="shared" si="27"/>
        <v/>
      </c>
      <c r="E72" s="256" t="str">
        <f t="shared" si="27"/>
        <v/>
      </c>
      <c r="F72" s="256" t="str">
        <f t="shared" si="27"/>
        <v/>
      </c>
      <c r="G72" s="257">
        <f t="shared" si="38"/>
        <v>0</v>
      </c>
      <c r="H72" s="258" t="str">
        <f t="shared" si="39"/>
        <v>-</v>
      </c>
      <c r="I72" s="255">
        <f t="shared" si="34"/>
        <v>0</v>
      </c>
      <c r="J72" s="256">
        <f t="shared" si="35"/>
        <v>0</v>
      </c>
      <c r="K72" s="256">
        <f t="shared" si="36"/>
        <v>0</v>
      </c>
      <c r="L72" s="256">
        <f t="shared" si="37"/>
        <v>0</v>
      </c>
      <c r="M72" s="255">
        <f t="shared" si="40"/>
        <v>0</v>
      </c>
      <c r="N72" s="256">
        <f t="shared" si="41"/>
        <v>0</v>
      </c>
      <c r="O72" s="256">
        <f t="shared" si="42"/>
        <v>0</v>
      </c>
      <c r="P72" s="256">
        <f t="shared" si="43"/>
        <v>0</v>
      </c>
      <c r="Q72" s="304">
        <f t="shared" si="44"/>
        <v>0</v>
      </c>
      <c r="R72" s="305">
        <f t="shared" si="45"/>
        <v>0</v>
      </c>
      <c r="S72" s="305">
        <f t="shared" si="46"/>
        <v>0</v>
      </c>
      <c r="T72" s="305">
        <f t="shared" si="47"/>
        <v>0</v>
      </c>
      <c r="U72" s="258" t="str">
        <f t="shared" si="48"/>
        <v>-</v>
      </c>
      <c r="V72" s="276">
        <f t="shared" si="49"/>
        <v>0</v>
      </c>
      <c r="W72" s="277">
        <f t="shared" si="50"/>
        <v>0</v>
      </c>
      <c r="X72" s="277">
        <f t="shared" si="51"/>
        <v>0</v>
      </c>
      <c r="Y72" s="277"/>
      <c r="Z72" s="277">
        <f t="shared" si="52"/>
        <v>0</v>
      </c>
      <c r="AA72" s="277"/>
      <c r="AB72" s="298">
        <f t="shared" si="30"/>
        <v>0</v>
      </c>
      <c r="AC72" s="279">
        <f t="shared" si="31"/>
        <v>0</v>
      </c>
      <c r="AD72" s="279">
        <f t="shared" si="32"/>
        <v>0</v>
      </c>
      <c r="AE72" s="279"/>
      <c r="AF72" s="279">
        <f t="shared" si="33"/>
        <v>0</v>
      </c>
      <c r="AG72" s="279"/>
      <c r="AH72" s="298">
        <v>7.5000000000000012E-4</v>
      </c>
      <c r="AI72" s="279">
        <v>8.3333333333333176E-4</v>
      </c>
      <c r="AJ72" s="279">
        <v>1.200000000000001E-3</v>
      </c>
      <c r="AK72" s="279"/>
      <c r="AL72" s="279">
        <v>1.0000000000000009E-3</v>
      </c>
      <c r="AM72" s="279"/>
      <c r="AN72" s="283"/>
      <c r="AO72" s="280" t="s">
        <v>2548</v>
      </c>
      <c r="AQ72" s="281" t="str">
        <f>VLOOKUP(A72,'Lambert-RGB-GDP_Efficacy'!A:A,1,FALSE)</f>
        <v>OXYR</v>
      </c>
    </row>
    <row r="73" spans="1:43" s="281" customFormat="1">
      <c r="A73" s="282" t="s">
        <v>3522</v>
      </c>
      <c r="B73" s="259" t="s">
        <v>5532</v>
      </c>
      <c r="C73" s="255" t="str">
        <f t="shared" si="27"/>
        <v/>
      </c>
      <c r="D73" s="256">
        <f t="shared" si="27"/>
        <v>1</v>
      </c>
      <c r="E73" s="256" t="str">
        <f t="shared" si="27"/>
        <v/>
      </c>
      <c r="F73" s="256" t="str">
        <f t="shared" si="27"/>
        <v/>
      </c>
      <c r="G73" s="257">
        <f t="shared" si="38"/>
        <v>1</v>
      </c>
      <c r="H73" s="258" t="str">
        <f t="shared" si="39"/>
        <v>Gi/o</v>
      </c>
      <c r="I73" s="255">
        <f t="shared" si="34"/>
        <v>0</v>
      </c>
      <c r="J73" s="256">
        <f t="shared" si="35"/>
        <v>1</v>
      </c>
      <c r="K73" s="256">
        <f t="shared" si="36"/>
        <v>0</v>
      </c>
      <c r="L73" s="256">
        <f t="shared" si="37"/>
        <v>0</v>
      </c>
      <c r="M73" s="255">
        <f t="shared" si="40"/>
        <v>0</v>
      </c>
      <c r="N73" s="256">
        <f t="shared" si="41"/>
        <v>100</v>
      </c>
      <c r="O73" s="256">
        <f t="shared" si="42"/>
        <v>0</v>
      </c>
      <c r="P73" s="256">
        <f t="shared" si="43"/>
        <v>0</v>
      </c>
      <c r="Q73" s="304">
        <f t="shared" si="44"/>
        <v>0</v>
      </c>
      <c r="R73" s="305">
        <f t="shared" si="45"/>
        <v>3.95E-2</v>
      </c>
      <c r="S73" s="305">
        <f t="shared" si="46"/>
        <v>0</v>
      </c>
      <c r="T73" s="305">
        <f t="shared" si="47"/>
        <v>0</v>
      </c>
      <c r="U73" s="258" t="str">
        <f t="shared" si="48"/>
        <v>Gi1</v>
      </c>
      <c r="V73" s="276">
        <f t="shared" si="49"/>
        <v>0</v>
      </c>
      <c r="W73" s="277">
        <f t="shared" si="50"/>
        <v>100</v>
      </c>
      <c r="X73" s="277">
        <f t="shared" si="51"/>
        <v>0</v>
      </c>
      <c r="Y73" s="277"/>
      <c r="Z73" s="277">
        <f t="shared" si="52"/>
        <v>0</v>
      </c>
      <c r="AA73" s="277"/>
      <c r="AB73" s="298">
        <f t="shared" si="30"/>
        <v>0</v>
      </c>
      <c r="AC73" s="279">
        <f t="shared" si="31"/>
        <v>3.95E-2</v>
      </c>
      <c r="AD73" s="279">
        <f t="shared" si="32"/>
        <v>0</v>
      </c>
      <c r="AE73" s="279"/>
      <c r="AF73" s="279">
        <f t="shared" si="33"/>
        <v>0</v>
      </c>
      <c r="AG73" s="279"/>
      <c r="AH73" s="298">
        <v>-2.4999999999999827E-4</v>
      </c>
      <c r="AI73" s="279">
        <v>3.95E-2</v>
      </c>
      <c r="AJ73" s="279">
        <v>-1.6249999999999995E-3</v>
      </c>
      <c r="AK73" s="279"/>
      <c r="AL73" s="279">
        <v>-3.3749999999999978E-3</v>
      </c>
      <c r="AM73" s="279"/>
      <c r="AN73" s="283"/>
      <c r="AO73" s="280" t="s">
        <v>5572</v>
      </c>
      <c r="AQ73" s="281" t="str">
        <f>VLOOKUP(A73,'Lambert-RGB-GDP_Efficacy'!A:A,1,FALSE)</f>
        <v>HCAR1</v>
      </c>
    </row>
    <row r="74" spans="1:43" s="281" customFormat="1">
      <c r="A74" s="282" t="s">
        <v>140</v>
      </c>
      <c r="B74" s="259" t="s">
        <v>5532</v>
      </c>
      <c r="C74" s="255" t="str">
        <f t="shared" si="27"/>
        <v/>
      </c>
      <c r="D74" s="256">
        <f t="shared" si="27"/>
        <v>1</v>
      </c>
      <c r="E74" s="256" t="str">
        <f t="shared" si="27"/>
        <v/>
      </c>
      <c r="F74" s="256" t="str">
        <f t="shared" si="27"/>
        <v/>
      </c>
      <c r="G74" s="257">
        <f t="shared" si="38"/>
        <v>1</v>
      </c>
      <c r="H74" s="258" t="str">
        <f t="shared" si="39"/>
        <v>Gi/o</v>
      </c>
      <c r="I74" s="255">
        <f t="shared" si="34"/>
        <v>0</v>
      </c>
      <c r="J74" s="256">
        <f t="shared" si="35"/>
        <v>1</v>
      </c>
      <c r="K74" s="256">
        <f t="shared" si="36"/>
        <v>0</v>
      </c>
      <c r="L74" s="256">
        <f t="shared" si="37"/>
        <v>0</v>
      </c>
      <c r="M74" s="255">
        <f t="shared" si="40"/>
        <v>0</v>
      </c>
      <c r="N74" s="256">
        <f t="shared" si="41"/>
        <v>100</v>
      </c>
      <c r="O74" s="256">
        <f t="shared" si="42"/>
        <v>0</v>
      </c>
      <c r="P74" s="256">
        <f t="shared" si="43"/>
        <v>0</v>
      </c>
      <c r="Q74" s="304">
        <f t="shared" si="44"/>
        <v>0</v>
      </c>
      <c r="R74" s="305">
        <f t="shared" si="45"/>
        <v>4.9250000000000002E-2</v>
      </c>
      <c r="S74" s="305">
        <f t="shared" si="46"/>
        <v>0</v>
      </c>
      <c r="T74" s="305">
        <f t="shared" si="47"/>
        <v>0</v>
      </c>
      <c r="U74" s="258" t="str">
        <f t="shared" si="48"/>
        <v>Gi1</v>
      </c>
      <c r="V74" s="276">
        <f t="shared" si="49"/>
        <v>0</v>
      </c>
      <c r="W74" s="277">
        <f t="shared" si="50"/>
        <v>100</v>
      </c>
      <c r="X74" s="277">
        <f t="shared" si="51"/>
        <v>0</v>
      </c>
      <c r="Y74" s="277"/>
      <c r="Z74" s="277">
        <f t="shared" si="52"/>
        <v>0</v>
      </c>
      <c r="AA74" s="277"/>
      <c r="AB74" s="298">
        <f t="shared" si="30"/>
        <v>0</v>
      </c>
      <c r="AC74" s="279">
        <f t="shared" si="31"/>
        <v>4.9250000000000002E-2</v>
      </c>
      <c r="AD74" s="279">
        <f t="shared" si="32"/>
        <v>0</v>
      </c>
      <c r="AE74" s="279"/>
      <c r="AF74" s="279">
        <f t="shared" si="33"/>
        <v>0</v>
      </c>
      <c r="AG74" s="279"/>
      <c r="AH74" s="298">
        <v>1.6249999999999984E-3</v>
      </c>
      <c r="AI74" s="279">
        <v>4.9250000000000002E-2</v>
      </c>
      <c r="AJ74" s="279">
        <v>2.5000000000000066E-4</v>
      </c>
      <c r="AK74" s="279"/>
      <c r="AL74" s="279">
        <v>-1.1250000000000006E-3</v>
      </c>
      <c r="AM74" s="279"/>
      <c r="AN74" s="283"/>
      <c r="AO74" s="280" t="s">
        <v>5573</v>
      </c>
      <c r="AQ74" s="281" t="str">
        <f>VLOOKUP(A74,'Lambert-RGB-GDP_Efficacy'!A:A,1,FALSE)</f>
        <v>HCAR2</v>
      </c>
    </row>
    <row r="75" spans="1:43" s="281" customFormat="1">
      <c r="A75" s="282" t="s">
        <v>141</v>
      </c>
      <c r="B75" s="259" t="s">
        <v>5532</v>
      </c>
      <c r="C75" s="255" t="str">
        <f t="shared" si="27"/>
        <v/>
      </c>
      <c r="D75" s="256">
        <f t="shared" si="27"/>
        <v>1</v>
      </c>
      <c r="E75" s="256" t="str">
        <f t="shared" si="27"/>
        <v/>
      </c>
      <c r="F75" s="256" t="str">
        <f t="shared" si="27"/>
        <v/>
      </c>
      <c r="G75" s="257">
        <f t="shared" si="38"/>
        <v>1</v>
      </c>
      <c r="H75" s="258" t="str">
        <f t="shared" si="39"/>
        <v>Gi/o</v>
      </c>
      <c r="I75" s="255">
        <f t="shared" si="34"/>
        <v>0</v>
      </c>
      <c r="J75" s="256">
        <f t="shared" si="35"/>
        <v>1</v>
      </c>
      <c r="K75" s="256">
        <f t="shared" si="36"/>
        <v>0</v>
      </c>
      <c r="L75" s="256">
        <f t="shared" si="37"/>
        <v>0</v>
      </c>
      <c r="M75" s="255">
        <f t="shared" si="40"/>
        <v>0</v>
      </c>
      <c r="N75" s="256">
        <f t="shared" si="41"/>
        <v>100</v>
      </c>
      <c r="O75" s="256">
        <f t="shared" si="42"/>
        <v>0</v>
      </c>
      <c r="P75" s="256">
        <f t="shared" si="43"/>
        <v>0</v>
      </c>
      <c r="Q75" s="304">
        <f t="shared" si="44"/>
        <v>0</v>
      </c>
      <c r="R75" s="305">
        <f t="shared" si="45"/>
        <v>5.6375000000000008E-2</v>
      </c>
      <c r="S75" s="305">
        <f t="shared" si="46"/>
        <v>0</v>
      </c>
      <c r="T75" s="305">
        <f t="shared" si="47"/>
        <v>0</v>
      </c>
      <c r="U75" s="258" t="str">
        <f t="shared" si="48"/>
        <v>Gi1</v>
      </c>
      <c r="V75" s="276">
        <f t="shared" si="49"/>
        <v>0</v>
      </c>
      <c r="W75" s="277">
        <f t="shared" si="50"/>
        <v>100</v>
      </c>
      <c r="X75" s="277">
        <f t="shared" si="51"/>
        <v>0</v>
      </c>
      <c r="Y75" s="277"/>
      <c r="Z75" s="277">
        <f t="shared" si="52"/>
        <v>0</v>
      </c>
      <c r="AA75" s="277"/>
      <c r="AB75" s="298">
        <f t="shared" si="30"/>
        <v>0</v>
      </c>
      <c r="AC75" s="279">
        <f t="shared" si="31"/>
        <v>5.6375000000000008E-2</v>
      </c>
      <c r="AD75" s="279">
        <f t="shared" si="32"/>
        <v>0</v>
      </c>
      <c r="AE75" s="279"/>
      <c r="AF75" s="279">
        <f t="shared" si="33"/>
        <v>0</v>
      </c>
      <c r="AG75" s="279"/>
      <c r="AH75" s="298">
        <v>1.3749999999999995E-3</v>
      </c>
      <c r="AI75" s="279">
        <v>5.6375000000000008E-2</v>
      </c>
      <c r="AJ75" s="279">
        <v>-1.0000000000000009E-3</v>
      </c>
      <c r="AK75" s="279"/>
      <c r="AL75" s="279">
        <v>-1.0000000000000009E-3</v>
      </c>
      <c r="AM75" s="279"/>
      <c r="AN75" s="283"/>
      <c r="AO75" s="280" t="s">
        <v>5574</v>
      </c>
      <c r="AQ75" s="281" t="str">
        <f>VLOOKUP(A75,'Lambert-RGB-GDP_Efficacy'!A:A,1,FALSE)</f>
        <v>HCAR3</v>
      </c>
    </row>
    <row r="76" spans="1:43" s="281" customFormat="1">
      <c r="A76" s="282" t="s">
        <v>103</v>
      </c>
      <c r="B76" s="259" t="s">
        <v>5532</v>
      </c>
      <c r="C76" s="255" t="str">
        <f t="shared" si="27"/>
        <v/>
      </c>
      <c r="D76" s="256">
        <f t="shared" si="27"/>
        <v>1</v>
      </c>
      <c r="E76" s="256" t="str">
        <f t="shared" si="27"/>
        <v/>
      </c>
      <c r="F76" s="256" t="str">
        <f t="shared" si="27"/>
        <v/>
      </c>
      <c r="G76" s="257">
        <f t="shared" si="38"/>
        <v>1</v>
      </c>
      <c r="H76" s="258" t="str">
        <f t="shared" si="39"/>
        <v>Gi/o</v>
      </c>
      <c r="I76" s="255">
        <f t="shared" si="34"/>
        <v>0</v>
      </c>
      <c r="J76" s="256">
        <f t="shared" si="35"/>
        <v>1</v>
      </c>
      <c r="K76" s="256">
        <f t="shared" si="36"/>
        <v>0</v>
      </c>
      <c r="L76" s="256">
        <f t="shared" si="37"/>
        <v>0</v>
      </c>
      <c r="M76" s="255">
        <f t="shared" si="40"/>
        <v>0</v>
      </c>
      <c r="N76" s="256">
        <f t="shared" si="41"/>
        <v>100</v>
      </c>
      <c r="O76" s="256">
        <f t="shared" si="42"/>
        <v>0</v>
      </c>
      <c r="P76" s="256">
        <f t="shared" si="43"/>
        <v>0</v>
      </c>
      <c r="Q76" s="304">
        <f t="shared" si="44"/>
        <v>0</v>
      </c>
      <c r="R76" s="305">
        <f t="shared" si="45"/>
        <v>3.1000000000000003E-2</v>
      </c>
      <c r="S76" s="305">
        <f t="shared" si="46"/>
        <v>0</v>
      </c>
      <c r="T76" s="305">
        <f t="shared" si="47"/>
        <v>0</v>
      </c>
      <c r="U76" s="258" t="str">
        <f t="shared" si="48"/>
        <v>Gi1</v>
      </c>
      <c r="V76" s="276">
        <f t="shared" si="49"/>
        <v>0</v>
      </c>
      <c r="W76" s="277">
        <f t="shared" si="50"/>
        <v>100</v>
      </c>
      <c r="X76" s="277">
        <f t="shared" si="51"/>
        <v>0</v>
      </c>
      <c r="Y76" s="277"/>
      <c r="Z76" s="277">
        <f t="shared" si="52"/>
        <v>0</v>
      </c>
      <c r="AA76" s="277"/>
      <c r="AB76" s="298">
        <f t="shared" si="30"/>
        <v>0</v>
      </c>
      <c r="AC76" s="279">
        <f t="shared" si="31"/>
        <v>3.1000000000000003E-2</v>
      </c>
      <c r="AD76" s="279">
        <f t="shared" si="32"/>
        <v>0</v>
      </c>
      <c r="AE76" s="279"/>
      <c r="AF76" s="279">
        <f t="shared" si="33"/>
        <v>0</v>
      </c>
      <c r="AG76" s="279"/>
      <c r="AH76" s="298">
        <v>1.9999999999999983E-3</v>
      </c>
      <c r="AI76" s="279">
        <v>3.1000000000000003E-2</v>
      </c>
      <c r="AJ76" s="279">
        <v>-2.0000000000000052E-3</v>
      </c>
      <c r="AK76" s="279"/>
      <c r="AL76" s="279">
        <v>4.0000000000000001E-3</v>
      </c>
      <c r="AM76" s="279"/>
      <c r="AN76" s="283"/>
      <c r="AO76" s="280" t="s">
        <v>4900</v>
      </c>
      <c r="AQ76" s="281" t="str">
        <f>VLOOKUP(A76,'Lambert-RGB-GDP_Efficacy'!A:A,1,FALSE)</f>
        <v>C5AR1</v>
      </c>
    </row>
    <row r="78" spans="1:43">
      <c r="AB78" s="300"/>
      <c r="AC78" s="288"/>
      <c r="AD78" s="288"/>
      <c r="AE78" s="288"/>
      <c r="AF78" s="288"/>
      <c r="AG78" s="288"/>
      <c r="AH78" s="300"/>
      <c r="AI78" s="288"/>
      <c r="AJ78" s="288"/>
      <c r="AK78" s="288"/>
      <c r="AL78" s="288"/>
      <c r="AM78" s="288"/>
    </row>
  </sheetData>
  <conditionalFormatting sqref="I1:L1048576">
    <cfRule type="cellIs" dxfId="7" priority="40" operator="equal">
      <formula>1</formula>
    </cfRule>
  </conditionalFormatting>
  <conditionalFormatting sqref="AB2:AG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AH1:AM1048576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E19-2B0C-CB49-A8EB-E86D4E4EAF0A}">
  <sheetPr>
    <tabColor theme="4"/>
  </sheetPr>
  <dimension ref="A1:BT117"/>
  <sheetViews>
    <sheetView zoomScale="131" workbookViewId="0">
      <pane xSplit="1" ySplit="1" topLeftCell="B90" activePane="bottomRight" state="frozen"/>
      <selection activeCell="J80" sqref="J80"/>
      <selection pane="topRight" activeCell="J80" sqref="J80"/>
      <selection pane="bottomLeft" activeCell="J80" sqref="J80"/>
      <selection pane="bottomRight" sqref="A1:A1048576"/>
    </sheetView>
  </sheetViews>
  <sheetFormatPr baseColWidth="10" defaultColWidth="8.83203125" defaultRowHeight="16"/>
  <cols>
    <col min="1" max="1" width="8.6640625" style="89" bestFit="1" customWidth="1"/>
    <col min="2" max="2" width="4.33203125" style="23" bestFit="1" customWidth="1"/>
    <col min="3" max="3" width="11.5" customWidth="1"/>
    <col min="4" max="4" width="6.33203125" style="19" customWidth="1"/>
    <col min="5" max="5" width="5.83203125" style="9" bestFit="1" customWidth="1"/>
    <col min="6" max="6" width="5.33203125" style="1" bestFit="1" customWidth="1"/>
    <col min="7" max="7" width="5.33203125" bestFit="1" customWidth="1"/>
    <col min="8" max="8" width="6.33203125" bestFit="1" customWidth="1"/>
    <col min="9" max="9" width="7.33203125" bestFit="1" customWidth="1"/>
    <col min="10" max="10" width="5.83203125" style="148" bestFit="1" customWidth="1"/>
    <col min="11" max="11" width="7.6640625" style="148" bestFit="1" customWidth="1"/>
    <col min="12" max="12" width="5.33203125" style="1" bestFit="1" customWidth="1"/>
    <col min="13" max="13" width="5.33203125" bestFit="1" customWidth="1"/>
    <col min="14" max="14" width="6.33203125" bestFit="1" customWidth="1"/>
    <col min="15" max="15" width="7.33203125" bestFit="1" customWidth="1"/>
    <col min="16" max="16" width="7" style="20" bestFit="1" customWidth="1"/>
    <col min="17" max="17" width="8.5" style="19" bestFit="1" customWidth="1"/>
    <col min="18" max="18" width="10" style="19" bestFit="1" customWidth="1"/>
    <col min="19" max="19" width="11" style="19" bestFit="1" customWidth="1"/>
    <col min="20" max="20" width="4.33203125" style="22" bestFit="1" customWidth="1"/>
    <col min="21" max="23" width="4.33203125" style="21" bestFit="1" customWidth="1"/>
    <col min="24" max="24" width="7.6640625" style="149" bestFit="1" customWidth="1"/>
    <col min="25" max="25" width="7.83203125" style="26" bestFit="1" customWidth="1"/>
    <col min="26" max="29" width="7.83203125" style="25" bestFit="1" customWidth="1"/>
    <col min="30" max="30" width="5" style="95" bestFit="1" customWidth="1"/>
    <col min="31" max="32" width="5.6640625" style="96" bestFit="1" customWidth="1"/>
    <col min="33" max="34" width="4.83203125" style="96" bestFit="1" customWidth="1"/>
    <col min="35" max="35" width="4.83203125" style="308" bestFit="1" customWidth="1"/>
    <col min="36" max="37" width="5.83203125" style="309" bestFit="1" customWidth="1"/>
    <col min="38" max="38" width="4.83203125" style="309" bestFit="1" customWidth="1"/>
    <col min="39" max="39" width="5.83203125" style="309" bestFit="1" customWidth="1"/>
    <col min="40" max="40" width="6" style="140" bestFit="1" customWidth="1"/>
    <col min="41" max="44" width="6" style="141" bestFit="1" customWidth="1"/>
    <col min="45" max="45" width="5.6640625" style="140" bestFit="1" customWidth="1"/>
    <col min="46" max="49" width="5.6640625" style="141" bestFit="1" customWidth="1"/>
    <col min="50" max="50" width="6" style="140" bestFit="1" customWidth="1"/>
    <col min="51" max="54" width="6" style="141" bestFit="1" customWidth="1"/>
    <col min="55" max="55" width="8.83203125" style="74"/>
    <col min="56" max="56" width="8.83203125" style="49"/>
    <col min="57" max="57" width="14.83203125" style="52" customWidth="1"/>
    <col min="58" max="58" width="16.5" style="52" customWidth="1"/>
    <col min="59" max="59" width="3" style="53" customWidth="1"/>
    <col min="60" max="60" width="8.1640625" style="168" customWidth="1"/>
    <col min="61" max="61" width="10.6640625" style="169" customWidth="1"/>
    <col min="62" max="62" width="15" style="52" bestFit="1" customWidth="1"/>
    <col min="63" max="63" width="9" style="52" bestFit="1" customWidth="1"/>
    <col min="64" max="64" width="14.5" style="52" bestFit="1" customWidth="1"/>
    <col min="65" max="65" width="15.1640625" style="52" customWidth="1"/>
    <col min="66" max="66" width="12.6640625" style="52" bestFit="1" customWidth="1"/>
    <col min="67" max="67" width="29.6640625" style="52" bestFit="1" customWidth="1"/>
    <col min="68" max="68" width="13" style="52" bestFit="1" customWidth="1"/>
    <col min="69" max="69" width="22.1640625" style="52" bestFit="1" customWidth="1"/>
    <col min="70" max="70" width="6.6640625" style="52" bestFit="1" customWidth="1"/>
    <col min="71" max="71" width="17.1640625" style="52" bestFit="1" customWidth="1"/>
    <col min="72" max="72" width="34.1640625" style="52" bestFit="1" customWidth="1"/>
    <col min="73" max="16384" width="8.83203125" style="49"/>
  </cols>
  <sheetData>
    <row r="1" spans="1:72" s="75" customFormat="1" ht="74" customHeight="1">
      <c r="A1" s="159" t="s">
        <v>5152</v>
      </c>
      <c r="B1" s="218" t="s">
        <v>5530</v>
      </c>
      <c r="C1" s="158" t="s">
        <v>5403</v>
      </c>
      <c r="D1" s="150" t="s">
        <v>5404</v>
      </c>
      <c r="E1" s="158" t="s">
        <v>5199</v>
      </c>
      <c r="F1" s="161" t="s">
        <v>5407</v>
      </c>
      <c r="G1" s="166" t="s">
        <v>5408</v>
      </c>
      <c r="H1" s="166" t="s">
        <v>5409</v>
      </c>
      <c r="I1" s="162" t="s">
        <v>5410</v>
      </c>
      <c r="J1" s="160" t="s">
        <v>5411</v>
      </c>
      <c r="K1" s="160" t="s">
        <v>5412</v>
      </c>
      <c r="L1" s="161" t="s">
        <v>5194</v>
      </c>
      <c r="M1" s="166" t="s">
        <v>5195</v>
      </c>
      <c r="N1" s="162" t="s">
        <v>5196</v>
      </c>
      <c r="O1" s="162" t="s">
        <v>5197</v>
      </c>
      <c r="P1" s="163" t="s">
        <v>5185</v>
      </c>
      <c r="Q1" s="164" t="s">
        <v>5186</v>
      </c>
      <c r="R1" s="165" t="s">
        <v>5187</v>
      </c>
      <c r="S1" s="165" t="s">
        <v>5188</v>
      </c>
      <c r="T1" s="161" t="s">
        <v>5560</v>
      </c>
      <c r="U1" s="166" t="s">
        <v>5561</v>
      </c>
      <c r="V1" s="166" t="s">
        <v>5562</v>
      </c>
      <c r="W1" s="162" t="s">
        <v>5563</v>
      </c>
      <c r="X1" s="146" t="s">
        <v>5193</v>
      </c>
      <c r="Y1" s="151" t="s">
        <v>5173</v>
      </c>
      <c r="Z1" s="152" t="s">
        <v>5176</v>
      </c>
      <c r="AA1" s="151" t="s">
        <v>5179</v>
      </c>
      <c r="AB1" s="152" t="s">
        <v>5182</v>
      </c>
      <c r="AC1" s="152" t="s">
        <v>5184</v>
      </c>
      <c r="AD1" s="156" t="s">
        <v>3264</v>
      </c>
      <c r="AE1" s="157" t="s">
        <v>3263</v>
      </c>
      <c r="AF1" s="157" t="s">
        <v>2853</v>
      </c>
      <c r="AG1" s="157" t="s">
        <v>2852</v>
      </c>
      <c r="AH1" s="157" t="s">
        <v>3265</v>
      </c>
      <c r="AI1" s="320" t="s">
        <v>5676</v>
      </c>
      <c r="AJ1" s="321" t="s">
        <v>5677</v>
      </c>
      <c r="AK1" s="321" t="s">
        <v>5678</v>
      </c>
      <c r="AL1" s="321" t="s">
        <v>5679</v>
      </c>
      <c r="AM1" s="321" t="s">
        <v>5680</v>
      </c>
      <c r="AN1" s="136" t="s">
        <v>5154</v>
      </c>
      <c r="AO1" s="137" t="s">
        <v>5155</v>
      </c>
      <c r="AP1" s="137" t="s">
        <v>5156</v>
      </c>
      <c r="AQ1" s="137" t="s">
        <v>5157</v>
      </c>
      <c r="AR1" s="137" t="s">
        <v>5158</v>
      </c>
      <c r="AS1" s="136" t="s">
        <v>3279</v>
      </c>
      <c r="AT1" s="137" t="s">
        <v>3273</v>
      </c>
      <c r="AU1" s="137" t="s">
        <v>3275</v>
      </c>
      <c r="AV1" s="137" t="s">
        <v>3277</v>
      </c>
      <c r="AW1" s="137" t="s">
        <v>3281</v>
      </c>
      <c r="AX1" s="136" t="s">
        <v>3270</v>
      </c>
      <c r="AY1" s="137" t="s">
        <v>3267</v>
      </c>
      <c r="AZ1" s="137" t="s">
        <v>3268</v>
      </c>
      <c r="BA1" s="137" t="s">
        <v>3269</v>
      </c>
      <c r="BB1" s="137" t="s">
        <v>3271</v>
      </c>
      <c r="BC1" s="77"/>
      <c r="BE1" s="78" t="s">
        <v>5153</v>
      </c>
      <c r="BF1" s="78" t="s">
        <v>3266</v>
      </c>
      <c r="BG1" s="79" t="s">
        <v>13</v>
      </c>
      <c r="BH1" s="167" t="s">
        <v>580</v>
      </c>
      <c r="BI1" s="178" t="s">
        <v>581</v>
      </c>
      <c r="BJ1" s="78" t="s">
        <v>4462</v>
      </c>
      <c r="BK1" s="78" t="s">
        <v>5203</v>
      </c>
      <c r="BL1" s="78" t="s">
        <v>3257</v>
      </c>
      <c r="BM1" s="79" t="s">
        <v>3256</v>
      </c>
      <c r="BN1" s="79" t="s">
        <v>3255</v>
      </c>
      <c r="BO1" s="79" t="s">
        <v>3261</v>
      </c>
      <c r="BP1" s="79" t="s">
        <v>3255</v>
      </c>
      <c r="BQ1" s="79" t="s">
        <v>3260</v>
      </c>
      <c r="BR1" s="78" t="s">
        <v>4463</v>
      </c>
      <c r="BS1" s="79" t="s">
        <v>3259</v>
      </c>
      <c r="BT1" s="79" t="s">
        <v>3258</v>
      </c>
    </row>
    <row r="2" spans="1:72" ht="16" customHeight="1">
      <c r="A2" s="88" t="s">
        <v>26</v>
      </c>
      <c r="B2" s="205" t="s">
        <v>5558</v>
      </c>
      <c r="C2" t="s">
        <v>583</v>
      </c>
      <c r="D2" s="19">
        <v>294</v>
      </c>
      <c r="E2" s="9" t="s">
        <v>5200</v>
      </c>
      <c r="F2" s="20" t="str">
        <f t="shared" ref="F2:F33" si="0">IF(AI2&gt;0,1,"")</f>
        <v/>
      </c>
      <c r="G2" s="19">
        <f t="shared" ref="G2:G33" si="1">IF(AJ2&gt;0,1,"")</f>
        <v>1</v>
      </c>
      <c r="H2" s="19">
        <f t="shared" ref="H2:H33" si="2">IF(SUM(AK2:AL2)&gt;0,1,"")</f>
        <v>1</v>
      </c>
      <c r="I2" s="19" t="str">
        <f t="shared" ref="I2:I33" si="3">IF(AM2&gt;0,1,"")</f>
        <v/>
      </c>
      <c r="J2" s="225">
        <f>COUNTIF(L2:O2,"&gt;0")</f>
        <v>2</v>
      </c>
      <c r="K2" s="226" t="str">
        <f>SUBSTITUTE(INDEX(T$1:W$1,1,MATCH(MAX(T2:W2),T2:W2,0)),"-fam","")</f>
        <v>Gq/11</v>
      </c>
      <c r="L2" s="227">
        <f>IF(T2=0,0,_xlfn.RANK.EQ(T2,$T2:$W2,0))</f>
        <v>0</v>
      </c>
      <c r="M2" s="228">
        <f t="shared" ref="M2:O2" si="4">IF(U2=0,0,_xlfn.RANK.EQ(U2,$T2:$W2,0))</f>
        <v>2</v>
      </c>
      <c r="N2" s="228">
        <f t="shared" si="4"/>
        <v>1</v>
      </c>
      <c r="O2" s="228">
        <f t="shared" si="4"/>
        <v>0</v>
      </c>
      <c r="P2" s="20">
        <f>T2/MAX($T2:$W2)*100</f>
        <v>0</v>
      </c>
      <c r="Q2" s="19">
        <f t="shared" ref="Q2" si="5">U2/MAX($T2:$W2)*100</f>
        <v>4.7471663390355099</v>
      </c>
      <c r="R2" s="19">
        <f>V2/MAX($T2:$W2)*100</f>
        <v>100</v>
      </c>
      <c r="S2" s="19">
        <f>W2/MAX($T2:$W2)*100</f>
        <v>0</v>
      </c>
      <c r="T2" s="20">
        <f>AD2</f>
        <v>0</v>
      </c>
      <c r="U2" s="19">
        <f>AE2</f>
        <v>0.1135</v>
      </c>
      <c r="V2" s="19">
        <f>MAX(AF2:AG2)</f>
        <v>2.3908999999999998</v>
      </c>
      <c r="W2" s="19">
        <f>AH2</f>
        <v>0</v>
      </c>
      <c r="X2" s="147" t="str">
        <f>INDEX(AD$1:AH$1,1,MATCH(MAX(AD2:AH2),AD2:AH2,0))</f>
        <v>Gq</v>
      </c>
      <c r="Y2" s="32">
        <f>AD2/MAX($AD2:$AH2)*100</f>
        <v>0</v>
      </c>
      <c r="Z2" s="31">
        <f t="shared" ref="Z2:AC2" si="6">AE2/MAX($AD2:$AH2)*100</f>
        <v>4.7471663390355099</v>
      </c>
      <c r="AA2" s="31">
        <f t="shared" si="6"/>
        <v>100</v>
      </c>
      <c r="AB2" s="31">
        <f t="shared" si="6"/>
        <v>54.577774059977415</v>
      </c>
      <c r="AC2" s="31">
        <f t="shared" si="6"/>
        <v>0</v>
      </c>
      <c r="AD2" s="322">
        <f>AI2</f>
        <v>0</v>
      </c>
      <c r="AE2" s="309">
        <f t="shared" ref="AE2:AH2" si="7">AJ2</f>
        <v>0.1135</v>
      </c>
      <c r="AF2" s="309">
        <f t="shared" si="7"/>
        <v>2.3908999999999998</v>
      </c>
      <c r="AG2" s="309">
        <f t="shared" si="7"/>
        <v>1.3048999999999999</v>
      </c>
      <c r="AH2" s="309">
        <f t="shared" si="7"/>
        <v>0</v>
      </c>
      <c r="AI2" s="322">
        <v>0</v>
      </c>
      <c r="AJ2" s="309">
        <v>0.1135</v>
      </c>
      <c r="AK2" s="309">
        <v>2.3908999999999998</v>
      </c>
      <c r="AL2" s="309">
        <v>1.3048999999999999</v>
      </c>
      <c r="AM2" s="309">
        <v>0</v>
      </c>
      <c r="AN2" s="140">
        <v>0</v>
      </c>
      <c r="AO2" s="141">
        <v>0.12130000000000001</v>
      </c>
      <c r="AP2" s="141">
        <v>6.08E-2</v>
      </c>
      <c r="AQ2" s="141">
        <v>0.1143</v>
      </c>
      <c r="AR2" s="141">
        <v>0</v>
      </c>
      <c r="AS2" s="142">
        <v>0</v>
      </c>
      <c r="AT2" s="143">
        <v>2.8430999999999999E-3</v>
      </c>
      <c r="AU2" s="143">
        <v>6.13E-2</v>
      </c>
      <c r="AV2" s="143">
        <v>7.1300000000000002E-2</v>
      </c>
      <c r="AW2" s="143">
        <v>0</v>
      </c>
      <c r="AX2" s="142">
        <v>0</v>
      </c>
      <c r="AY2" s="143">
        <v>9.8206000000000005E-3</v>
      </c>
      <c r="AZ2" s="143">
        <v>1.35E-2</v>
      </c>
      <c r="BA2" s="143">
        <v>1.41E-2</v>
      </c>
      <c r="BB2" s="143">
        <v>0</v>
      </c>
      <c r="BD2" s="50"/>
      <c r="BE2" s="179" t="s">
        <v>5204</v>
      </c>
      <c r="BF2" s="179" t="s">
        <v>3208</v>
      </c>
      <c r="BG2" s="53" t="s">
        <v>15</v>
      </c>
      <c r="BH2" s="169"/>
      <c r="BI2" s="52" t="s">
        <v>2679</v>
      </c>
      <c r="BJ2" s="52" t="s">
        <v>2854</v>
      </c>
      <c r="BK2" s="179">
        <v>100</v>
      </c>
      <c r="BL2" s="179" t="s">
        <v>5205</v>
      </c>
      <c r="BM2" s="179" t="s">
        <v>2851</v>
      </c>
      <c r="BN2" s="179">
        <v>2809</v>
      </c>
      <c r="BO2" s="52" t="s">
        <v>2866</v>
      </c>
      <c r="BP2" s="179" t="s">
        <v>3207</v>
      </c>
      <c r="BQ2" s="52" t="s">
        <v>3206</v>
      </c>
      <c r="BR2" s="179">
        <v>6</v>
      </c>
      <c r="BS2" s="179" t="s">
        <v>2848</v>
      </c>
    </row>
    <row r="3" spans="1:72" ht="18.75" customHeight="1">
      <c r="A3" s="88" t="s">
        <v>27</v>
      </c>
      <c r="B3" s="205" t="s">
        <v>5558</v>
      </c>
      <c r="C3" t="s">
        <v>583</v>
      </c>
      <c r="D3" s="19">
        <v>294</v>
      </c>
      <c r="E3" s="9" t="s">
        <v>5200</v>
      </c>
      <c r="F3" s="20" t="str">
        <f t="shared" si="0"/>
        <v/>
      </c>
      <c r="G3" s="19">
        <f t="shared" si="1"/>
        <v>1</v>
      </c>
      <c r="H3" s="19">
        <f t="shared" si="2"/>
        <v>1</v>
      </c>
      <c r="I3" s="19" t="str">
        <f t="shared" si="3"/>
        <v/>
      </c>
      <c r="J3" s="225">
        <f t="shared" ref="J3:J66" si="8">COUNTIF(L3:O3,"&gt;0")</f>
        <v>2</v>
      </c>
      <c r="K3" s="226" t="str">
        <f t="shared" ref="K3:K66" si="9">SUBSTITUTE(INDEX(T$1:W$1,1,MATCH(MAX(T3:W3),T3:W3,0)),"-fam","")</f>
        <v>Gi/o</v>
      </c>
      <c r="L3" s="227">
        <f t="shared" ref="L3:L66" si="10">IF(T3=0,0,_xlfn.RANK.EQ(T3,$T3:$W3,0))</f>
        <v>0</v>
      </c>
      <c r="M3" s="228">
        <f t="shared" ref="M3:M66" si="11">IF(U3=0,0,_xlfn.RANK.EQ(U3,$T3:$W3,0))</f>
        <v>1</v>
      </c>
      <c r="N3" s="228">
        <f t="shared" ref="N3:N66" si="12">IF(V3=0,0,_xlfn.RANK.EQ(V3,$T3:$W3,0))</f>
        <v>2</v>
      </c>
      <c r="O3" s="228">
        <f t="shared" ref="O3:O66" si="13">IF(W3=0,0,_xlfn.RANK.EQ(W3,$T3:$W3,0))</f>
        <v>0</v>
      </c>
      <c r="P3" s="20">
        <f t="shared" ref="P3:P66" si="14">T3/MAX($T3:$W3)*100</f>
        <v>0</v>
      </c>
      <c r="Q3" s="19">
        <f t="shared" ref="Q3:Q66" si="15">U3/MAX($T3:$W3)*100</f>
        <v>100</v>
      </c>
      <c r="R3" s="19">
        <f t="shared" ref="R3:R66" si="16">V3/MAX($T3:$W3)*100</f>
        <v>1.7878426698450536</v>
      </c>
      <c r="S3" s="19">
        <f t="shared" ref="S3:S66" si="17">W3/MAX($T3:$W3)*100</f>
        <v>0</v>
      </c>
      <c r="T3" s="20">
        <f t="shared" ref="T3:T66" si="18">AD3</f>
        <v>0</v>
      </c>
      <c r="U3" s="19">
        <f t="shared" ref="U3:U66" si="19">AE3</f>
        <v>1.2585</v>
      </c>
      <c r="V3" s="19">
        <f t="shared" ref="V3:V66" si="20">MAX(AF3:AG3)</f>
        <v>2.2499999999999999E-2</v>
      </c>
      <c r="W3" s="19">
        <f t="shared" ref="W3:W66" si="21">AH3</f>
        <v>0</v>
      </c>
      <c r="X3" s="147" t="str">
        <f t="shared" ref="X3:X66" si="22">INDEX(AD$1:AH$1,1,MATCH(MAX(AD3:AH3),AD3:AH3,0))</f>
        <v>GoA</v>
      </c>
      <c r="Y3" s="32">
        <f t="shared" ref="Y3:Y66" si="23">AD3/MAX($AD3:$AH3)*100</f>
        <v>0</v>
      </c>
      <c r="Z3" s="31">
        <f t="shared" ref="Z3:Z66" si="24">AE3/MAX($AD3:$AH3)*100</f>
        <v>100</v>
      </c>
      <c r="AA3" s="31">
        <f t="shared" ref="AA3:AA66" si="25">AF3/MAX($AD3:$AH3)*100</f>
        <v>0</v>
      </c>
      <c r="AB3" s="31">
        <f t="shared" ref="AB3:AB66" si="26">AG3/MAX($AD3:$AH3)*100</f>
        <v>1.7878426698450536</v>
      </c>
      <c r="AC3" s="31">
        <f t="shared" ref="AC3:AC66" si="27">AH3/MAX($AD3:$AH3)*100</f>
        <v>0</v>
      </c>
      <c r="AD3" s="322">
        <f t="shared" ref="AD3:AD66" si="28">AI3</f>
        <v>0</v>
      </c>
      <c r="AE3" s="309">
        <f t="shared" ref="AE3:AE66" si="29">AJ3</f>
        <v>1.2585</v>
      </c>
      <c r="AF3" s="309">
        <f t="shared" ref="AF3:AF66" si="30">AK3</f>
        <v>0</v>
      </c>
      <c r="AG3" s="309">
        <f t="shared" ref="AG3:AG66" si="31">AL3</f>
        <v>2.2499999999999999E-2</v>
      </c>
      <c r="AH3" s="309">
        <f t="shared" ref="AH3:AH66" si="32">AM3</f>
        <v>0</v>
      </c>
      <c r="AI3" s="322">
        <v>0</v>
      </c>
      <c r="AJ3" s="309">
        <v>1.2585</v>
      </c>
      <c r="AK3" s="309">
        <v>0</v>
      </c>
      <c r="AL3" s="309">
        <v>2.2499999999999999E-2</v>
      </c>
      <c r="AM3" s="309">
        <v>0</v>
      </c>
      <c r="AN3" s="140">
        <v>0</v>
      </c>
      <c r="AO3" s="141">
        <v>0.19070000000000001</v>
      </c>
      <c r="AP3" s="141">
        <v>0</v>
      </c>
      <c r="AQ3" s="141">
        <v>7.4700000000000003E-2</v>
      </c>
      <c r="AR3" s="141">
        <v>0</v>
      </c>
      <c r="AS3" s="142">
        <v>0</v>
      </c>
      <c r="AT3" s="143">
        <v>5.62E-2</v>
      </c>
      <c r="AU3" s="143">
        <v>0</v>
      </c>
      <c r="AV3" s="143">
        <v>5.4569000000000004E-4</v>
      </c>
      <c r="AW3" s="143">
        <v>0</v>
      </c>
      <c r="AX3" s="142">
        <v>0</v>
      </c>
      <c r="AY3" s="143">
        <v>2.07E-2</v>
      </c>
      <c r="AZ3" s="143">
        <v>0</v>
      </c>
      <c r="BA3" s="143">
        <v>3.5276999999999999E-3</v>
      </c>
      <c r="BB3" s="143">
        <v>0</v>
      </c>
      <c r="BD3" s="50"/>
      <c r="BE3" s="179" t="s">
        <v>5206</v>
      </c>
      <c r="BF3" s="179" t="s">
        <v>3205</v>
      </c>
      <c r="BG3" s="53" t="s">
        <v>15</v>
      </c>
      <c r="BH3" s="169"/>
      <c r="BI3" s="52" t="s">
        <v>2679</v>
      </c>
      <c r="BJ3" s="52" t="s">
        <v>2854</v>
      </c>
      <c r="BK3" s="179">
        <v>100</v>
      </c>
      <c r="BL3" s="179" t="s">
        <v>5207</v>
      </c>
      <c r="BM3" s="179" t="s">
        <v>2851</v>
      </c>
      <c r="BN3" s="179">
        <v>2809</v>
      </c>
      <c r="BO3" s="52" t="s">
        <v>2866</v>
      </c>
      <c r="BP3" s="179" t="s">
        <v>3204</v>
      </c>
      <c r="BQ3" s="52" t="s">
        <v>3203</v>
      </c>
      <c r="BR3" s="179">
        <v>6</v>
      </c>
      <c r="BS3" s="179" t="s">
        <v>2848</v>
      </c>
    </row>
    <row r="4" spans="1:72" ht="18.75" customHeight="1">
      <c r="A4" s="88" t="s">
        <v>28</v>
      </c>
      <c r="B4" s="205" t="s">
        <v>5558</v>
      </c>
      <c r="C4" t="s">
        <v>583</v>
      </c>
      <c r="D4" s="19">
        <v>294</v>
      </c>
      <c r="E4" s="9" t="s">
        <v>5200</v>
      </c>
      <c r="F4" s="20" t="str">
        <f t="shared" si="0"/>
        <v/>
      </c>
      <c r="G4" s="19">
        <f t="shared" si="1"/>
        <v>1</v>
      </c>
      <c r="H4" s="19">
        <f t="shared" si="2"/>
        <v>1</v>
      </c>
      <c r="I4" s="19" t="str">
        <f t="shared" si="3"/>
        <v/>
      </c>
      <c r="J4" s="225">
        <f t="shared" si="8"/>
        <v>2</v>
      </c>
      <c r="K4" s="226" t="str">
        <f t="shared" si="9"/>
        <v>Gq/11</v>
      </c>
      <c r="L4" s="227">
        <f t="shared" si="10"/>
        <v>0</v>
      </c>
      <c r="M4" s="228">
        <f t="shared" si="11"/>
        <v>2</v>
      </c>
      <c r="N4" s="228">
        <f t="shared" si="12"/>
        <v>1</v>
      </c>
      <c r="O4" s="228">
        <f t="shared" si="13"/>
        <v>0</v>
      </c>
      <c r="P4" s="20">
        <f t="shared" si="14"/>
        <v>0</v>
      </c>
      <c r="Q4" s="19">
        <f t="shared" si="15"/>
        <v>13.064850816930917</v>
      </c>
      <c r="R4" s="19">
        <f t="shared" si="16"/>
        <v>100</v>
      </c>
      <c r="S4" s="19">
        <f t="shared" si="17"/>
        <v>0</v>
      </c>
      <c r="T4" s="20">
        <f t="shared" si="18"/>
        <v>0</v>
      </c>
      <c r="U4" s="19">
        <f t="shared" si="19"/>
        <v>0.64849999999999997</v>
      </c>
      <c r="V4" s="19">
        <f t="shared" si="20"/>
        <v>4.9637000000000002</v>
      </c>
      <c r="W4" s="19">
        <f t="shared" si="21"/>
        <v>0</v>
      </c>
      <c r="X4" s="147" t="str">
        <f t="shared" si="22"/>
        <v>Gq</v>
      </c>
      <c r="Y4" s="32">
        <f t="shared" si="23"/>
        <v>0</v>
      </c>
      <c r="Z4" s="31">
        <f t="shared" si="24"/>
        <v>13.064850816930917</v>
      </c>
      <c r="AA4" s="31">
        <f t="shared" si="25"/>
        <v>100</v>
      </c>
      <c r="AB4" s="31">
        <f t="shared" si="26"/>
        <v>49.448999738098593</v>
      </c>
      <c r="AC4" s="31">
        <f t="shared" si="27"/>
        <v>0</v>
      </c>
      <c r="AD4" s="322">
        <f t="shared" si="28"/>
        <v>0</v>
      </c>
      <c r="AE4" s="309">
        <f t="shared" si="29"/>
        <v>0.64849999999999997</v>
      </c>
      <c r="AF4" s="309">
        <f t="shared" si="30"/>
        <v>4.9637000000000002</v>
      </c>
      <c r="AG4" s="309">
        <f t="shared" si="31"/>
        <v>2.4544999999999999</v>
      </c>
      <c r="AH4" s="309">
        <f t="shared" si="32"/>
        <v>0</v>
      </c>
      <c r="AI4" s="322">
        <v>0</v>
      </c>
      <c r="AJ4" s="309">
        <v>0.64849999999999997</v>
      </c>
      <c r="AK4" s="309">
        <v>4.9637000000000002</v>
      </c>
      <c r="AL4" s="309">
        <v>2.4544999999999999</v>
      </c>
      <c r="AM4" s="309">
        <v>0</v>
      </c>
      <c r="AN4" s="140">
        <v>0</v>
      </c>
      <c r="AO4" s="141">
        <v>0.17330000000000001</v>
      </c>
      <c r="AP4" s="141">
        <v>5.9299999999999999E-2</v>
      </c>
      <c r="AQ4" s="141">
        <v>9.0700000000000003E-2</v>
      </c>
      <c r="AR4" s="141">
        <v>0</v>
      </c>
      <c r="AS4" s="140">
        <v>0</v>
      </c>
      <c r="AT4" s="141">
        <v>4.7600000000000003E-2</v>
      </c>
      <c r="AU4" s="141">
        <v>2.1999999999999999E-2</v>
      </c>
      <c r="AV4" s="141">
        <v>6.5000000000000002E-2</v>
      </c>
      <c r="AW4" s="141">
        <v>0</v>
      </c>
      <c r="AX4" s="140">
        <v>0</v>
      </c>
      <c r="AY4" s="141">
        <v>3.3333E-3</v>
      </c>
      <c r="AZ4" s="141">
        <v>1.5800000000000002E-2</v>
      </c>
      <c r="BA4" s="141">
        <v>1.6500000000000001E-2</v>
      </c>
      <c r="BB4" s="141">
        <v>0</v>
      </c>
      <c r="BD4" s="50"/>
      <c r="BE4" s="179" t="s">
        <v>5208</v>
      </c>
      <c r="BF4" s="179" t="s">
        <v>3202</v>
      </c>
      <c r="BG4" s="53" t="s">
        <v>15</v>
      </c>
      <c r="BH4" s="169"/>
      <c r="BI4" s="52" t="s">
        <v>2679</v>
      </c>
      <c r="BJ4" s="52" t="s">
        <v>2854</v>
      </c>
      <c r="BK4" s="179">
        <v>100</v>
      </c>
      <c r="BL4" s="179" t="s">
        <v>5209</v>
      </c>
      <c r="BM4" s="179" t="s">
        <v>2851</v>
      </c>
      <c r="BN4" s="179">
        <v>2809</v>
      </c>
      <c r="BO4" s="52" t="s">
        <v>2866</v>
      </c>
      <c r="BP4" s="179" t="s">
        <v>3201</v>
      </c>
      <c r="BQ4" s="52" t="s">
        <v>3200</v>
      </c>
      <c r="BR4" s="179">
        <v>6</v>
      </c>
      <c r="BS4" s="179" t="s">
        <v>2848</v>
      </c>
    </row>
    <row r="5" spans="1:72" ht="18.75" customHeight="1">
      <c r="A5" s="88" t="s">
        <v>29</v>
      </c>
      <c r="B5" s="205" t="s">
        <v>5558</v>
      </c>
      <c r="C5" t="s">
        <v>583</v>
      </c>
      <c r="D5" s="19">
        <v>294</v>
      </c>
      <c r="E5" s="9" t="s">
        <v>5200</v>
      </c>
      <c r="F5" s="20" t="str">
        <f t="shared" si="0"/>
        <v/>
      </c>
      <c r="G5" s="19">
        <f t="shared" si="1"/>
        <v>1</v>
      </c>
      <c r="H5" s="19">
        <f t="shared" si="2"/>
        <v>1</v>
      </c>
      <c r="I5" s="19" t="str">
        <f t="shared" si="3"/>
        <v/>
      </c>
      <c r="J5" s="225">
        <f t="shared" si="8"/>
        <v>2</v>
      </c>
      <c r="K5" s="226" t="str">
        <f t="shared" si="9"/>
        <v>Gi/o</v>
      </c>
      <c r="L5" s="227">
        <f t="shared" si="10"/>
        <v>0</v>
      </c>
      <c r="M5" s="228">
        <f t="shared" si="11"/>
        <v>1</v>
      </c>
      <c r="N5" s="228">
        <f t="shared" si="12"/>
        <v>2</v>
      </c>
      <c r="O5" s="228">
        <f t="shared" si="13"/>
        <v>0</v>
      </c>
      <c r="P5" s="20">
        <f t="shared" si="14"/>
        <v>0</v>
      </c>
      <c r="Q5" s="19">
        <f t="shared" si="15"/>
        <v>100</v>
      </c>
      <c r="R5" s="19">
        <f t="shared" si="16"/>
        <v>3.3728160061134465</v>
      </c>
      <c r="S5" s="19">
        <f t="shared" si="17"/>
        <v>0</v>
      </c>
      <c r="T5" s="20">
        <f t="shared" si="18"/>
        <v>0</v>
      </c>
      <c r="U5" s="19">
        <f t="shared" si="19"/>
        <v>5.7577999999999996</v>
      </c>
      <c r="V5" s="19">
        <f t="shared" si="20"/>
        <v>0.19420000000000001</v>
      </c>
      <c r="W5" s="19">
        <f t="shared" si="21"/>
        <v>0</v>
      </c>
      <c r="X5" s="147" t="str">
        <f t="shared" si="22"/>
        <v>GoA</v>
      </c>
      <c r="Y5" s="32">
        <f t="shared" si="23"/>
        <v>0</v>
      </c>
      <c r="Z5" s="31">
        <f t="shared" si="24"/>
        <v>100</v>
      </c>
      <c r="AA5" s="31">
        <f t="shared" si="25"/>
        <v>0</v>
      </c>
      <c r="AB5" s="31">
        <f t="shared" si="26"/>
        <v>3.3728160061134465</v>
      </c>
      <c r="AC5" s="31">
        <f t="shared" si="27"/>
        <v>0</v>
      </c>
      <c r="AD5" s="322">
        <f t="shared" si="28"/>
        <v>0</v>
      </c>
      <c r="AE5" s="309">
        <f t="shared" si="29"/>
        <v>5.7577999999999996</v>
      </c>
      <c r="AF5" s="309">
        <f t="shared" si="30"/>
        <v>0</v>
      </c>
      <c r="AG5" s="309">
        <f t="shared" si="31"/>
        <v>0.19420000000000001</v>
      </c>
      <c r="AH5" s="309">
        <f t="shared" si="32"/>
        <v>0</v>
      </c>
      <c r="AI5" s="322">
        <v>0</v>
      </c>
      <c r="AJ5" s="309">
        <v>5.7577999999999996</v>
      </c>
      <c r="AK5" s="309">
        <v>0</v>
      </c>
      <c r="AL5" s="309">
        <v>0.19420000000000001</v>
      </c>
      <c r="AM5" s="309">
        <v>0</v>
      </c>
      <c r="AN5" s="140">
        <v>0</v>
      </c>
      <c r="AO5" s="141">
        <v>0.19800000000000001</v>
      </c>
      <c r="AP5" s="141">
        <v>0</v>
      </c>
      <c r="AQ5" s="141">
        <v>0.12470000000000001</v>
      </c>
      <c r="AR5" s="141">
        <v>0</v>
      </c>
      <c r="AS5" s="142">
        <v>0</v>
      </c>
      <c r="AT5" s="143">
        <v>0.92130000000000001</v>
      </c>
      <c r="AU5" s="143">
        <v>0</v>
      </c>
      <c r="AV5" s="143">
        <v>5.3900000000000003E-2</v>
      </c>
      <c r="AW5" s="143">
        <v>0</v>
      </c>
      <c r="AX5" s="142">
        <v>0</v>
      </c>
      <c r="AY5" s="143">
        <v>3.9E-2</v>
      </c>
      <c r="AZ5" s="143">
        <v>0</v>
      </c>
      <c r="BA5" s="143">
        <v>7.8811000000000003E-3</v>
      </c>
      <c r="BB5" s="143">
        <v>0</v>
      </c>
      <c r="BD5" s="50"/>
      <c r="BE5" s="179" t="s">
        <v>5210</v>
      </c>
      <c r="BF5" s="179" t="s">
        <v>3199</v>
      </c>
      <c r="BG5" s="53" t="s">
        <v>15</v>
      </c>
      <c r="BH5" s="169"/>
      <c r="BI5" s="52" t="s">
        <v>2679</v>
      </c>
      <c r="BJ5" s="52" t="s">
        <v>2854</v>
      </c>
      <c r="BK5" s="179">
        <v>100</v>
      </c>
      <c r="BL5" s="179" t="s">
        <v>5211</v>
      </c>
      <c r="BM5" s="179" t="s">
        <v>2851</v>
      </c>
      <c r="BN5" s="179">
        <v>2809</v>
      </c>
      <c r="BO5" s="52" t="s">
        <v>2866</v>
      </c>
      <c r="BP5" s="179" t="s">
        <v>3198</v>
      </c>
      <c r="BQ5" s="52" t="s">
        <v>3197</v>
      </c>
      <c r="BR5" s="179">
        <v>6</v>
      </c>
      <c r="BS5" s="179" t="s">
        <v>2848</v>
      </c>
    </row>
    <row r="6" spans="1:72" ht="18.75" customHeight="1">
      <c r="A6" s="88" t="s">
        <v>30</v>
      </c>
      <c r="B6" s="205" t="s">
        <v>5558</v>
      </c>
      <c r="C6" t="s">
        <v>583</v>
      </c>
      <c r="D6" s="19">
        <v>294</v>
      </c>
      <c r="E6" s="9" t="s">
        <v>5200</v>
      </c>
      <c r="F6" s="20" t="str">
        <f t="shared" si="0"/>
        <v/>
      </c>
      <c r="G6" s="19">
        <f t="shared" si="1"/>
        <v>1</v>
      </c>
      <c r="H6" s="19">
        <f t="shared" si="2"/>
        <v>1</v>
      </c>
      <c r="I6" s="19" t="str">
        <f t="shared" si="3"/>
        <v/>
      </c>
      <c r="J6" s="225">
        <f t="shared" si="8"/>
        <v>2</v>
      </c>
      <c r="K6" s="226" t="str">
        <f t="shared" si="9"/>
        <v>Gq/11</v>
      </c>
      <c r="L6" s="227">
        <f t="shared" si="10"/>
        <v>0</v>
      </c>
      <c r="M6" s="228">
        <f t="shared" si="11"/>
        <v>2</v>
      </c>
      <c r="N6" s="228">
        <f t="shared" si="12"/>
        <v>1</v>
      </c>
      <c r="O6" s="228">
        <f t="shared" si="13"/>
        <v>0</v>
      </c>
      <c r="P6" s="20">
        <f t="shared" si="14"/>
        <v>0</v>
      </c>
      <c r="Q6" s="19">
        <f t="shared" si="15"/>
        <v>5.5190305270265476</v>
      </c>
      <c r="R6" s="19">
        <f t="shared" si="16"/>
        <v>100</v>
      </c>
      <c r="S6" s="19">
        <f t="shared" si="17"/>
        <v>0</v>
      </c>
      <c r="T6" s="20">
        <f t="shared" si="18"/>
        <v>0</v>
      </c>
      <c r="U6" s="19">
        <f t="shared" si="19"/>
        <v>0.15529999999999999</v>
      </c>
      <c r="V6" s="19">
        <f t="shared" si="20"/>
        <v>2.8138999999999998</v>
      </c>
      <c r="W6" s="19">
        <f t="shared" si="21"/>
        <v>0</v>
      </c>
      <c r="X6" s="147" t="str">
        <f t="shared" si="22"/>
        <v>Gq</v>
      </c>
      <c r="Y6" s="32">
        <f t="shared" si="23"/>
        <v>0</v>
      </c>
      <c r="Z6" s="31">
        <f t="shared" si="24"/>
        <v>5.5190305270265476</v>
      </c>
      <c r="AA6" s="31">
        <f t="shared" si="25"/>
        <v>100</v>
      </c>
      <c r="AB6" s="31">
        <f t="shared" si="26"/>
        <v>53.388535484558794</v>
      </c>
      <c r="AC6" s="31">
        <f t="shared" si="27"/>
        <v>0</v>
      </c>
      <c r="AD6" s="322">
        <f t="shared" si="28"/>
        <v>0</v>
      </c>
      <c r="AE6" s="309">
        <f t="shared" si="29"/>
        <v>0.15529999999999999</v>
      </c>
      <c r="AF6" s="309">
        <f t="shared" si="30"/>
        <v>2.8138999999999998</v>
      </c>
      <c r="AG6" s="309">
        <f t="shared" si="31"/>
        <v>1.5023</v>
      </c>
      <c r="AH6" s="309">
        <f t="shared" si="32"/>
        <v>0</v>
      </c>
      <c r="AI6" s="322">
        <v>0</v>
      </c>
      <c r="AJ6" s="309">
        <v>0.15529999999999999</v>
      </c>
      <c r="AK6" s="309">
        <v>2.8138999999999998</v>
      </c>
      <c r="AL6" s="309">
        <v>1.5023</v>
      </c>
      <c r="AM6" s="309">
        <v>0</v>
      </c>
      <c r="AN6" s="140">
        <v>0</v>
      </c>
      <c r="AO6" s="141">
        <v>0.1613</v>
      </c>
      <c r="AP6" s="141">
        <v>0.1047</v>
      </c>
      <c r="AQ6" s="141">
        <v>0.14199999999999999</v>
      </c>
      <c r="AR6" s="141">
        <v>0</v>
      </c>
      <c r="AS6" s="142">
        <v>0</v>
      </c>
      <c r="AT6" s="143">
        <v>4.4307000000000001E-3</v>
      </c>
      <c r="AU6" s="143">
        <v>9.4E-2</v>
      </c>
      <c r="AV6" s="143">
        <v>0.1424</v>
      </c>
      <c r="AW6" s="143">
        <v>0</v>
      </c>
      <c r="AX6" s="142">
        <v>0</v>
      </c>
      <c r="AY6" s="143">
        <v>1.2E-2</v>
      </c>
      <c r="AZ6" s="143">
        <v>9.9387E-3</v>
      </c>
      <c r="BA6" s="143">
        <v>1.0800000000000001E-2</v>
      </c>
      <c r="BB6" s="143">
        <v>0</v>
      </c>
      <c r="BD6" s="50"/>
      <c r="BE6" s="179" t="s">
        <v>5212</v>
      </c>
      <c r="BF6" s="179" t="s">
        <v>3196</v>
      </c>
      <c r="BG6" s="53" t="s">
        <v>15</v>
      </c>
      <c r="BH6" s="169"/>
      <c r="BI6" s="52" t="s">
        <v>2679</v>
      </c>
      <c r="BJ6" s="52" t="s">
        <v>2854</v>
      </c>
      <c r="BK6" s="179">
        <v>100</v>
      </c>
      <c r="BL6" s="179" t="s">
        <v>5213</v>
      </c>
      <c r="BM6" s="179" t="s">
        <v>2851</v>
      </c>
      <c r="BN6" s="179">
        <v>2809</v>
      </c>
      <c r="BO6" s="52" t="s">
        <v>2866</v>
      </c>
      <c r="BP6" s="179" t="s">
        <v>3195</v>
      </c>
      <c r="BQ6" s="52" t="s">
        <v>3194</v>
      </c>
      <c r="BR6" s="179">
        <v>6</v>
      </c>
      <c r="BS6" s="179" t="s">
        <v>2848</v>
      </c>
    </row>
    <row r="7" spans="1:72" ht="18.75" customHeight="1">
      <c r="A7" s="88" t="s">
        <v>31</v>
      </c>
      <c r="B7" s="205" t="s">
        <v>5558</v>
      </c>
      <c r="C7" t="s">
        <v>583</v>
      </c>
      <c r="D7" s="19">
        <v>2844</v>
      </c>
      <c r="E7" s="9" t="s">
        <v>5200</v>
      </c>
      <c r="F7" s="20" t="str">
        <f t="shared" si="0"/>
        <v/>
      </c>
      <c r="G7" s="19">
        <f t="shared" si="1"/>
        <v>1</v>
      </c>
      <c r="H7" s="19">
        <f t="shared" si="2"/>
        <v>1</v>
      </c>
      <c r="I7" s="19" t="str">
        <f t="shared" si="3"/>
        <v/>
      </c>
      <c r="J7" s="225">
        <f t="shared" si="8"/>
        <v>2</v>
      </c>
      <c r="K7" s="226" t="str">
        <f t="shared" si="9"/>
        <v>Gi/o</v>
      </c>
      <c r="L7" s="227">
        <f t="shared" si="10"/>
        <v>0</v>
      </c>
      <c r="M7" s="228">
        <f t="shared" si="11"/>
        <v>1</v>
      </c>
      <c r="N7" s="228">
        <f t="shared" si="12"/>
        <v>2</v>
      </c>
      <c r="O7" s="228">
        <f t="shared" si="13"/>
        <v>0</v>
      </c>
      <c r="P7" s="20">
        <f t="shared" si="14"/>
        <v>0</v>
      </c>
      <c r="Q7" s="19">
        <f t="shared" si="15"/>
        <v>100</v>
      </c>
      <c r="R7" s="19">
        <f t="shared" si="16"/>
        <v>13.046302310476014</v>
      </c>
      <c r="S7" s="19">
        <f t="shared" si="17"/>
        <v>0</v>
      </c>
      <c r="T7" s="20">
        <f t="shared" si="18"/>
        <v>0</v>
      </c>
      <c r="U7" s="19">
        <f t="shared" si="19"/>
        <v>5.3884999999999996</v>
      </c>
      <c r="V7" s="19">
        <f t="shared" si="20"/>
        <v>0.70299999999999996</v>
      </c>
      <c r="W7" s="19">
        <f t="shared" si="21"/>
        <v>0</v>
      </c>
      <c r="X7" s="147" t="str">
        <f t="shared" si="22"/>
        <v>GoA</v>
      </c>
      <c r="Y7" s="32">
        <f t="shared" si="23"/>
        <v>0</v>
      </c>
      <c r="Z7" s="31">
        <f t="shared" si="24"/>
        <v>100</v>
      </c>
      <c r="AA7" s="31">
        <f t="shared" si="25"/>
        <v>0</v>
      </c>
      <c r="AB7" s="31">
        <f t="shared" si="26"/>
        <v>13.046302310476014</v>
      </c>
      <c r="AC7" s="31">
        <f t="shared" si="27"/>
        <v>0</v>
      </c>
      <c r="AD7" s="322">
        <f t="shared" si="28"/>
        <v>0</v>
      </c>
      <c r="AE7" s="309">
        <f t="shared" si="29"/>
        <v>5.3884999999999996</v>
      </c>
      <c r="AF7" s="309">
        <f t="shared" si="30"/>
        <v>0</v>
      </c>
      <c r="AG7" s="309">
        <f t="shared" si="31"/>
        <v>0.70299999999999996</v>
      </c>
      <c r="AH7" s="309">
        <f t="shared" si="32"/>
        <v>0</v>
      </c>
      <c r="AI7" s="322">
        <v>0</v>
      </c>
      <c r="AJ7" s="309">
        <v>5.3884999999999996</v>
      </c>
      <c r="AK7" s="309">
        <v>0</v>
      </c>
      <c r="AL7" s="309">
        <v>0.70299999999999996</v>
      </c>
      <c r="AM7" s="309">
        <v>0</v>
      </c>
      <c r="AN7" s="140">
        <v>0</v>
      </c>
      <c r="AO7" s="141">
        <v>6.2600000000000003E-2</v>
      </c>
      <c r="AP7" s="141">
        <v>0</v>
      </c>
      <c r="AQ7" s="141">
        <v>3.4599999999999999E-2</v>
      </c>
      <c r="AR7" s="141">
        <v>0</v>
      </c>
      <c r="AS7" s="142">
        <v>0</v>
      </c>
      <c r="AT7" s="143">
        <v>0.20899999999999999</v>
      </c>
      <c r="AU7" s="143">
        <v>0</v>
      </c>
      <c r="AV7" s="143">
        <v>2.0500000000000001E-2</v>
      </c>
      <c r="AW7" s="143">
        <v>0</v>
      </c>
      <c r="AX7" s="142">
        <v>0</v>
      </c>
      <c r="AY7" s="143">
        <v>9.1348000000000004E-4</v>
      </c>
      <c r="AZ7" s="143">
        <v>0</v>
      </c>
      <c r="BA7" s="143">
        <v>2.1881000000000001E-3</v>
      </c>
      <c r="BB7" s="143">
        <v>0</v>
      </c>
      <c r="BD7" s="50"/>
      <c r="BE7" s="179" t="s">
        <v>5214</v>
      </c>
      <c r="BF7" s="179" t="s">
        <v>3146</v>
      </c>
      <c r="BG7" s="53" t="s">
        <v>15</v>
      </c>
      <c r="BH7" s="169"/>
      <c r="BI7" s="52" t="s">
        <v>2</v>
      </c>
      <c r="BJ7" s="52" t="s">
        <v>3137</v>
      </c>
      <c r="BK7" s="179">
        <v>100</v>
      </c>
      <c r="BL7" s="179" t="s">
        <v>5215</v>
      </c>
      <c r="BM7" s="179" t="s">
        <v>2851</v>
      </c>
      <c r="BN7" s="179">
        <v>3624</v>
      </c>
      <c r="BO7" s="52" t="s">
        <v>3136</v>
      </c>
      <c r="BP7" s="179" t="s">
        <v>3145</v>
      </c>
      <c r="BQ7" s="52" t="s">
        <v>3144</v>
      </c>
      <c r="BR7" s="179">
        <v>1</v>
      </c>
      <c r="BS7" s="179" t="s">
        <v>2848</v>
      </c>
    </row>
    <row r="8" spans="1:72" ht="18.75" customHeight="1">
      <c r="A8" s="88" t="s">
        <v>1</v>
      </c>
      <c r="B8" s="205" t="s">
        <v>5558</v>
      </c>
      <c r="C8" t="s">
        <v>583</v>
      </c>
      <c r="D8" s="19">
        <v>2844</v>
      </c>
      <c r="E8" s="9" t="s">
        <v>5200</v>
      </c>
      <c r="F8" s="20">
        <f t="shared" si="0"/>
        <v>1</v>
      </c>
      <c r="G8" s="19">
        <f t="shared" si="1"/>
        <v>1</v>
      </c>
      <c r="H8" s="19">
        <f t="shared" si="2"/>
        <v>1</v>
      </c>
      <c r="I8" s="19" t="str">
        <f t="shared" si="3"/>
        <v/>
      </c>
      <c r="J8" s="225">
        <f t="shared" si="8"/>
        <v>3</v>
      </c>
      <c r="K8" s="226" t="str">
        <f t="shared" si="9"/>
        <v>Gs</v>
      </c>
      <c r="L8" s="227">
        <f t="shared" si="10"/>
        <v>1</v>
      </c>
      <c r="M8" s="228">
        <f t="shared" si="11"/>
        <v>3</v>
      </c>
      <c r="N8" s="228">
        <f t="shared" si="12"/>
        <v>2</v>
      </c>
      <c r="O8" s="228">
        <f t="shared" si="13"/>
        <v>0</v>
      </c>
      <c r="P8" s="20">
        <f t="shared" si="14"/>
        <v>100</v>
      </c>
      <c r="Q8" s="19">
        <f t="shared" si="15"/>
        <v>6.549382716049382</v>
      </c>
      <c r="R8" s="19">
        <f t="shared" si="16"/>
        <v>37.969135802469133</v>
      </c>
      <c r="S8" s="19">
        <f t="shared" si="17"/>
        <v>0</v>
      </c>
      <c r="T8" s="20">
        <f t="shared" si="18"/>
        <v>1.62</v>
      </c>
      <c r="U8" s="19">
        <f t="shared" si="19"/>
        <v>0.1061</v>
      </c>
      <c r="V8" s="19">
        <f t="shared" si="20"/>
        <v>0.61509999999999998</v>
      </c>
      <c r="W8" s="19">
        <f t="shared" si="21"/>
        <v>0</v>
      </c>
      <c r="X8" s="147" t="str">
        <f t="shared" si="22"/>
        <v>GsL</v>
      </c>
      <c r="Y8" s="32">
        <f t="shared" si="23"/>
        <v>100</v>
      </c>
      <c r="Z8" s="31">
        <f t="shared" si="24"/>
        <v>6.549382716049382</v>
      </c>
      <c r="AA8" s="31">
        <f t="shared" si="25"/>
        <v>0</v>
      </c>
      <c r="AB8" s="31">
        <f t="shared" si="26"/>
        <v>37.969135802469133</v>
      </c>
      <c r="AC8" s="31">
        <f t="shared" si="27"/>
        <v>0</v>
      </c>
      <c r="AD8" s="322">
        <f t="shared" si="28"/>
        <v>1.62</v>
      </c>
      <c r="AE8" s="309">
        <f t="shared" si="29"/>
        <v>0.1061</v>
      </c>
      <c r="AF8" s="309">
        <f t="shared" si="30"/>
        <v>0</v>
      </c>
      <c r="AG8" s="309">
        <f t="shared" si="31"/>
        <v>0.61509999999999998</v>
      </c>
      <c r="AH8" s="309">
        <f t="shared" si="32"/>
        <v>0</v>
      </c>
      <c r="AI8" s="322">
        <v>1.62</v>
      </c>
      <c r="AJ8" s="309">
        <v>0.1061</v>
      </c>
      <c r="AK8" s="309">
        <v>0</v>
      </c>
      <c r="AL8" s="309">
        <v>0.61509999999999998</v>
      </c>
      <c r="AM8" s="309">
        <v>0</v>
      </c>
      <c r="AN8" s="140">
        <v>2.0199999999999999E-2</v>
      </c>
      <c r="AO8" s="141">
        <v>7.1701000000000004E-3</v>
      </c>
      <c r="AP8" s="141">
        <v>0</v>
      </c>
      <c r="AQ8" s="141">
        <v>1.5299999999999999E-2</v>
      </c>
      <c r="AR8" s="141">
        <v>0</v>
      </c>
      <c r="AS8" s="142">
        <v>0.185</v>
      </c>
      <c r="AT8" s="143">
        <v>2.9811999999999998E-3</v>
      </c>
      <c r="AU8" s="143">
        <v>0</v>
      </c>
      <c r="AV8" s="143">
        <v>6.25E-2</v>
      </c>
      <c r="AW8" s="143">
        <v>0</v>
      </c>
      <c r="AX8" s="142">
        <v>6.1733999999999997E-4</v>
      </c>
      <c r="AY8" s="143">
        <v>1.7895000000000001E-4</v>
      </c>
      <c r="AZ8" s="143">
        <v>0</v>
      </c>
      <c r="BA8" s="143">
        <v>1.464E-3</v>
      </c>
      <c r="BB8" s="143">
        <v>0</v>
      </c>
      <c r="BD8" s="50"/>
      <c r="BE8" s="179" t="s">
        <v>5216</v>
      </c>
      <c r="BF8" s="179" t="s">
        <v>3143</v>
      </c>
      <c r="BG8" s="53" t="s">
        <v>15</v>
      </c>
      <c r="BH8" s="169"/>
      <c r="BI8" s="52" t="s">
        <v>2</v>
      </c>
      <c r="BJ8" s="52" t="s">
        <v>3137</v>
      </c>
      <c r="BK8" s="179">
        <v>100</v>
      </c>
      <c r="BL8" s="179" t="s">
        <v>5217</v>
      </c>
      <c r="BM8" s="179" t="s">
        <v>2851</v>
      </c>
      <c r="BN8" s="179">
        <v>3624</v>
      </c>
      <c r="BO8" s="52" t="s">
        <v>3136</v>
      </c>
      <c r="BP8" s="179" t="s">
        <v>3142</v>
      </c>
      <c r="BR8" s="179">
        <v>1</v>
      </c>
      <c r="BS8" s="179" t="s">
        <v>2848</v>
      </c>
    </row>
    <row r="9" spans="1:72" ht="18.75" customHeight="1">
      <c r="A9" s="88" t="s">
        <v>32</v>
      </c>
      <c r="B9" s="205" t="s">
        <v>5558</v>
      </c>
      <c r="C9" t="s">
        <v>583</v>
      </c>
      <c r="D9" s="19">
        <v>2844</v>
      </c>
      <c r="E9" s="9" t="s">
        <v>5200</v>
      </c>
      <c r="F9" s="20">
        <f t="shared" si="0"/>
        <v>1</v>
      </c>
      <c r="G9" s="19">
        <f t="shared" si="1"/>
        <v>1</v>
      </c>
      <c r="H9" s="19">
        <f t="shared" si="2"/>
        <v>1</v>
      </c>
      <c r="I9" s="19">
        <f t="shared" si="3"/>
        <v>1</v>
      </c>
      <c r="J9" s="225">
        <f t="shared" si="8"/>
        <v>4</v>
      </c>
      <c r="K9" s="226" t="str">
        <f t="shared" si="9"/>
        <v>Gq/11</v>
      </c>
      <c r="L9" s="227">
        <f t="shared" si="10"/>
        <v>2</v>
      </c>
      <c r="M9" s="228">
        <f t="shared" si="11"/>
        <v>3</v>
      </c>
      <c r="N9" s="228">
        <f t="shared" si="12"/>
        <v>1</v>
      </c>
      <c r="O9" s="228">
        <f t="shared" si="13"/>
        <v>4</v>
      </c>
      <c r="P9" s="20">
        <f t="shared" si="14"/>
        <v>78.120004263028875</v>
      </c>
      <c r="Q9" s="19">
        <f t="shared" si="15"/>
        <v>16.977512522647338</v>
      </c>
      <c r="R9" s="19">
        <f t="shared" si="16"/>
        <v>100</v>
      </c>
      <c r="S9" s="19">
        <f t="shared" si="17"/>
        <v>9.6451028455717776</v>
      </c>
      <c r="T9" s="20">
        <f t="shared" si="18"/>
        <v>0.73299999999999998</v>
      </c>
      <c r="U9" s="19">
        <f t="shared" si="19"/>
        <v>0.1593</v>
      </c>
      <c r="V9" s="19">
        <f t="shared" si="20"/>
        <v>0.93830000000000002</v>
      </c>
      <c r="W9" s="19">
        <f t="shared" si="21"/>
        <v>9.0499999999999997E-2</v>
      </c>
      <c r="X9" s="147" t="str">
        <f t="shared" si="22"/>
        <v>G15</v>
      </c>
      <c r="Y9" s="32">
        <f t="shared" si="23"/>
        <v>78.120004263028875</v>
      </c>
      <c r="Z9" s="31">
        <f t="shared" si="24"/>
        <v>16.977512522647338</v>
      </c>
      <c r="AA9" s="31">
        <f t="shared" si="25"/>
        <v>0</v>
      </c>
      <c r="AB9" s="31">
        <f t="shared" si="26"/>
        <v>100</v>
      </c>
      <c r="AC9" s="31">
        <f t="shared" si="27"/>
        <v>9.6451028455717776</v>
      </c>
      <c r="AD9" s="322">
        <f t="shared" si="28"/>
        <v>0.73299999999999998</v>
      </c>
      <c r="AE9" s="309">
        <f t="shared" si="29"/>
        <v>0.1593</v>
      </c>
      <c r="AF9" s="309">
        <f t="shared" si="30"/>
        <v>0</v>
      </c>
      <c r="AG9" s="309">
        <f t="shared" si="31"/>
        <v>0.93830000000000002</v>
      </c>
      <c r="AH9" s="309">
        <f t="shared" si="32"/>
        <v>9.0499999999999997E-2</v>
      </c>
      <c r="AI9" s="322">
        <v>0.73299999999999998</v>
      </c>
      <c r="AJ9" s="309">
        <v>0.1593</v>
      </c>
      <c r="AK9" s="309">
        <v>0</v>
      </c>
      <c r="AL9" s="309">
        <v>0.93830000000000002</v>
      </c>
      <c r="AM9" s="309">
        <v>9.0499999999999997E-2</v>
      </c>
      <c r="AN9" s="140">
        <v>1.5599999999999999E-2</v>
      </c>
      <c r="AO9" s="141">
        <v>1.2200000000000001E-2</v>
      </c>
      <c r="AP9" s="141">
        <v>0</v>
      </c>
      <c r="AQ9" s="141">
        <v>7.8556000000000008E-3</v>
      </c>
      <c r="AR9" s="141">
        <v>9.4999999999999998E-3</v>
      </c>
      <c r="AS9" s="142">
        <v>7.2099999999999997E-2</v>
      </c>
      <c r="AT9" s="143">
        <v>8.4671999999999994E-3</v>
      </c>
      <c r="AU9" s="143">
        <v>0</v>
      </c>
      <c r="AV9" s="143">
        <v>6.2700000000000006E-2</v>
      </c>
      <c r="AW9" s="143">
        <v>7.9739000000000008E-3</v>
      </c>
      <c r="AX9" s="142">
        <v>1.2719000000000001E-3</v>
      </c>
      <c r="AY9" s="143">
        <v>5.1962000000000004E-4</v>
      </c>
      <c r="AZ9" s="143">
        <v>0</v>
      </c>
      <c r="BA9" s="143">
        <v>6.0165000000000001E-4</v>
      </c>
      <c r="BB9" s="143">
        <v>1.0536E-3</v>
      </c>
      <c r="BD9" s="50"/>
      <c r="BE9" s="179" t="s">
        <v>5218</v>
      </c>
      <c r="BF9" s="179" t="s">
        <v>3141</v>
      </c>
      <c r="BG9" s="53" t="s">
        <v>15</v>
      </c>
      <c r="BH9" s="169"/>
      <c r="BI9" s="52" t="s">
        <v>2</v>
      </c>
      <c r="BJ9" s="52" t="s">
        <v>3137</v>
      </c>
      <c r="BK9" s="179">
        <v>100</v>
      </c>
      <c r="BL9" s="179" t="s">
        <v>5217</v>
      </c>
      <c r="BM9" s="179" t="s">
        <v>2851</v>
      </c>
      <c r="BN9" s="179">
        <v>3624</v>
      </c>
      <c r="BO9" s="52" t="s">
        <v>3136</v>
      </c>
      <c r="BP9" s="179" t="s">
        <v>3140</v>
      </c>
      <c r="BQ9" s="52" t="s">
        <v>3139</v>
      </c>
      <c r="BR9" s="179">
        <v>4</v>
      </c>
      <c r="BS9" s="179" t="s">
        <v>2848</v>
      </c>
    </row>
    <row r="10" spans="1:72" ht="18.75" customHeight="1">
      <c r="A10" s="88" t="s">
        <v>33</v>
      </c>
      <c r="B10" s="205" t="s">
        <v>5558</v>
      </c>
      <c r="C10" t="s">
        <v>583</v>
      </c>
      <c r="D10" s="19">
        <v>2844</v>
      </c>
      <c r="E10" s="9" t="s">
        <v>5200</v>
      </c>
      <c r="F10" s="20" t="str">
        <f t="shared" si="0"/>
        <v/>
      </c>
      <c r="G10" s="19">
        <f t="shared" si="1"/>
        <v>1</v>
      </c>
      <c r="H10" s="19">
        <f t="shared" si="2"/>
        <v>1</v>
      </c>
      <c r="I10" s="19" t="str">
        <f t="shared" si="3"/>
        <v/>
      </c>
      <c r="J10" s="225">
        <f t="shared" si="8"/>
        <v>2</v>
      </c>
      <c r="K10" s="226" t="str">
        <f t="shared" si="9"/>
        <v>Gq/11</v>
      </c>
      <c r="L10" s="227">
        <f t="shared" si="10"/>
        <v>0</v>
      </c>
      <c r="M10" s="228">
        <f t="shared" si="11"/>
        <v>2</v>
      </c>
      <c r="N10" s="228">
        <f t="shared" si="12"/>
        <v>1</v>
      </c>
      <c r="O10" s="228">
        <f t="shared" si="13"/>
        <v>0</v>
      </c>
      <c r="P10" s="20">
        <f t="shared" si="14"/>
        <v>0</v>
      </c>
      <c r="Q10" s="19">
        <f t="shared" si="15"/>
        <v>49.963898916967501</v>
      </c>
      <c r="R10" s="19">
        <f t="shared" si="16"/>
        <v>100</v>
      </c>
      <c r="S10" s="19">
        <f t="shared" si="17"/>
        <v>0</v>
      </c>
      <c r="T10" s="20">
        <f t="shared" si="18"/>
        <v>0</v>
      </c>
      <c r="U10" s="19">
        <f t="shared" si="19"/>
        <v>0.1384</v>
      </c>
      <c r="V10" s="19">
        <f t="shared" si="20"/>
        <v>0.27700000000000002</v>
      </c>
      <c r="W10" s="19">
        <f t="shared" si="21"/>
        <v>0</v>
      </c>
      <c r="X10" s="147" t="str">
        <f t="shared" si="22"/>
        <v>G15</v>
      </c>
      <c r="Y10" s="32">
        <f t="shared" si="23"/>
        <v>0</v>
      </c>
      <c r="Z10" s="31">
        <f t="shared" si="24"/>
        <v>49.963898916967501</v>
      </c>
      <c r="AA10" s="31">
        <f t="shared" si="25"/>
        <v>0</v>
      </c>
      <c r="AB10" s="31">
        <f t="shared" si="26"/>
        <v>100</v>
      </c>
      <c r="AC10" s="31">
        <f t="shared" si="27"/>
        <v>0</v>
      </c>
      <c r="AD10" s="322">
        <f t="shared" si="28"/>
        <v>0</v>
      </c>
      <c r="AE10" s="309">
        <f t="shared" si="29"/>
        <v>0.1384</v>
      </c>
      <c r="AF10" s="309">
        <f t="shared" si="30"/>
        <v>0</v>
      </c>
      <c r="AG10" s="309">
        <f t="shared" si="31"/>
        <v>0.27700000000000002</v>
      </c>
      <c r="AH10" s="309">
        <f t="shared" si="32"/>
        <v>0</v>
      </c>
      <c r="AI10" s="322">
        <v>0</v>
      </c>
      <c r="AJ10" s="309">
        <v>0.1384</v>
      </c>
      <c r="AK10" s="309">
        <v>0</v>
      </c>
      <c r="AL10" s="309">
        <v>0.27700000000000002</v>
      </c>
      <c r="AM10" s="309">
        <v>0</v>
      </c>
      <c r="AN10" s="140">
        <v>0</v>
      </c>
      <c r="AO10" s="141">
        <v>1.95E-2</v>
      </c>
      <c r="AP10" s="141">
        <v>0</v>
      </c>
      <c r="AQ10" s="141">
        <v>2.53E-2</v>
      </c>
      <c r="AR10" s="141">
        <v>0</v>
      </c>
      <c r="AS10" s="142">
        <v>0</v>
      </c>
      <c r="AT10" s="143">
        <v>6.8723999999999999E-3</v>
      </c>
      <c r="AU10" s="143">
        <v>0</v>
      </c>
      <c r="AV10" s="143">
        <v>8.9855999999999998E-3</v>
      </c>
      <c r="AW10" s="143">
        <v>0</v>
      </c>
      <c r="AX10" s="142">
        <v>0</v>
      </c>
      <c r="AY10" s="143">
        <v>7.6884000000000002E-4</v>
      </c>
      <c r="AZ10" s="143">
        <v>0</v>
      </c>
      <c r="BA10" s="143">
        <v>1.3868000000000001E-3</v>
      </c>
      <c r="BB10" s="143">
        <v>0</v>
      </c>
      <c r="BD10" s="50"/>
      <c r="BE10" s="179" t="s">
        <v>5219</v>
      </c>
      <c r="BF10" s="179" t="s">
        <v>3138</v>
      </c>
      <c r="BG10" s="53" t="s">
        <v>15</v>
      </c>
      <c r="BH10" s="169"/>
      <c r="BI10" s="52" t="s">
        <v>2</v>
      </c>
      <c r="BJ10" s="52" t="s">
        <v>3137</v>
      </c>
      <c r="BK10" s="179">
        <v>100</v>
      </c>
      <c r="BL10" s="179" t="s">
        <v>5217</v>
      </c>
      <c r="BM10" s="179" t="s">
        <v>2851</v>
      </c>
      <c r="BN10" s="179">
        <v>3624</v>
      </c>
      <c r="BO10" s="52" t="s">
        <v>3136</v>
      </c>
      <c r="BP10" s="179" t="s">
        <v>3135</v>
      </c>
      <c r="BQ10" s="52" t="s">
        <v>3134</v>
      </c>
      <c r="BR10" s="179">
        <v>12</v>
      </c>
      <c r="BS10" s="179" t="s">
        <v>2848</v>
      </c>
    </row>
    <row r="11" spans="1:72" ht="18.75" customHeight="1">
      <c r="A11" s="88" t="s">
        <v>54</v>
      </c>
      <c r="B11" s="205" t="s">
        <v>5558</v>
      </c>
      <c r="C11" t="s">
        <v>583</v>
      </c>
      <c r="D11" s="19">
        <v>649</v>
      </c>
      <c r="E11" s="9" t="s">
        <v>5200</v>
      </c>
      <c r="F11" s="20" t="str">
        <f t="shared" si="0"/>
        <v/>
      </c>
      <c r="G11" s="19">
        <f t="shared" si="1"/>
        <v>1</v>
      </c>
      <c r="H11" s="19">
        <f t="shared" si="2"/>
        <v>1</v>
      </c>
      <c r="I11" s="19">
        <f t="shared" si="3"/>
        <v>1</v>
      </c>
      <c r="J11" s="225">
        <f t="shared" si="8"/>
        <v>3</v>
      </c>
      <c r="K11" s="226" t="str">
        <f t="shared" si="9"/>
        <v>Gq/11</v>
      </c>
      <c r="L11" s="227">
        <f t="shared" si="10"/>
        <v>0</v>
      </c>
      <c r="M11" s="228">
        <f t="shared" si="11"/>
        <v>3</v>
      </c>
      <c r="N11" s="228">
        <f t="shared" si="12"/>
        <v>1</v>
      </c>
      <c r="O11" s="228">
        <f t="shared" si="13"/>
        <v>2</v>
      </c>
      <c r="P11" s="20">
        <f t="shared" si="14"/>
        <v>0</v>
      </c>
      <c r="Q11" s="19">
        <f t="shared" si="15"/>
        <v>3.4254043249136834</v>
      </c>
      <c r="R11" s="19">
        <f t="shared" si="16"/>
        <v>100</v>
      </c>
      <c r="S11" s="19">
        <f t="shared" si="17"/>
        <v>8.2250590586952566</v>
      </c>
      <c r="T11" s="20">
        <f t="shared" si="18"/>
        <v>0</v>
      </c>
      <c r="U11" s="19">
        <f t="shared" si="19"/>
        <v>0.15079999999999999</v>
      </c>
      <c r="V11" s="19">
        <f t="shared" si="20"/>
        <v>4.4024000000000001</v>
      </c>
      <c r="W11" s="19">
        <f t="shared" si="21"/>
        <v>0.36209999999999998</v>
      </c>
      <c r="X11" s="147" t="str">
        <f t="shared" si="22"/>
        <v>Gq</v>
      </c>
      <c r="Y11" s="32">
        <f t="shared" si="23"/>
        <v>0</v>
      </c>
      <c r="Z11" s="31">
        <f t="shared" si="24"/>
        <v>3.4254043249136834</v>
      </c>
      <c r="AA11" s="31">
        <f t="shared" si="25"/>
        <v>100</v>
      </c>
      <c r="AB11" s="31">
        <f t="shared" si="26"/>
        <v>4.3885153552607674</v>
      </c>
      <c r="AC11" s="31">
        <f t="shared" si="27"/>
        <v>8.2250590586952566</v>
      </c>
      <c r="AD11" s="322">
        <f t="shared" si="28"/>
        <v>0</v>
      </c>
      <c r="AE11" s="309">
        <f t="shared" si="29"/>
        <v>0.15079999999999999</v>
      </c>
      <c r="AF11" s="309">
        <f t="shared" si="30"/>
        <v>4.4024000000000001</v>
      </c>
      <c r="AG11" s="309">
        <f t="shared" si="31"/>
        <v>0.19320000000000001</v>
      </c>
      <c r="AH11" s="309">
        <f t="shared" si="32"/>
        <v>0.36209999999999998</v>
      </c>
      <c r="AI11" s="322">
        <v>0</v>
      </c>
      <c r="AJ11" s="309">
        <v>0.15079999999999999</v>
      </c>
      <c r="AK11" s="309">
        <v>4.4024000000000001</v>
      </c>
      <c r="AL11" s="309">
        <v>0.19320000000000001</v>
      </c>
      <c r="AM11" s="309">
        <v>0.36209999999999998</v>
      </c>
      <c r="AN11" s="140">
        <v>0</v>
      </c>
      <c r="AO11" s="141">
        <v>9.0300000000000005E-2</v>
      </c>
      <c r="AP11" s="141">
        <v>5.4399999999999997E-2</v>
      </c>
      <c r="AQ11" s="141">
        <v>8.7400000000000005E-2</v>
      </c>
      <c r="AR11" s="141">
        <v>7.8899999999999998E-2</v>
      </c>
      <c r="AS11" s="142">
        <v>0</v>
      </c>
      <c r="AT11" s="143">
        <v>1.09E-2</v>
      </c>
      <c r="AU11" s="143">
        <v>0.28949999999999998</v>
      </c>
      <c r="AV11" s="143">
        <v>6.2998000000000004E-3</v>
      </c>
      <c r="AW11" s="143">
        <v>1.8200000000000001E-2</v>
      </c>
      <c r="AX11" s="142">
        <v>0</v>
      </c>
      <c r="AY11" s="143">
        <v>1.34E-2</v>
      </c>
      <c r="AZ11" s="143">
        <v>8.9495000000000009E-3</v>
      </c>
      <c r="BA11" s="143">
        <v>1.04E-2</v>
      </c>
      <c r="BB11" s="143">
        <v>6.2528000000000002E-3</v>
      </c>
      <c r="BD11" s="50"/>
      <c r="BE11" s="179" t="s">
        <v>5220</v>
      </c>
      <c r="BF11" s="179" t="s">
        <v>3079</v>
      </c>
      <c r="BG11" s="53" t="s">
        <v>15</v>
      </c>
      <c r="BH11" s="169"/>
      <c r="BI11" s="52" t="s">
        <v>3078</v>
      </c>
      <c r="BJ11" s="52" t="s">
        <v>44</v>
      </c>
      <c r="BK11" s="179">
        <v>100</v>
      </c>
      <c r="BL11" s="179" t="s">
        <v>5221</v>
      </c>
      <c r="BM11" s="179" t="s">
        <v>2851</v>
      </c>
      <c r="BN11" s="179">
        <v>3004</v>
      </c>
      <c r="BO11" s="52" t="s">
        <v>2866</v>
      </c>
      <c r="BP11" s="179" t="s">
        <v>3077</v>
      </c>
      <c r="BQ11" s="52" t="s">
        <v>3076</v>
      </c>
      <c r="BR11" s="179">
        <v>1</v>
      </c>
      <c r="BS11" s="179" t="s">
        <v>2848</v>
      </c>
    </row>
    <row r="12" spans="1:72" ht="18.75" customHeight="1">
      <c r="A12" s="51" t="s">
        <v>106</v>
      </c>
      <c r="B12" s="205" t="s">
        <v>5558</v>
      </c>
      <c r="C12" t="s">
        <v>583</v>
      </c>
      <c r="D12" s="19">
        <v>940</v>
      </c>
      <c r="E12" s="9" t="s">
        <v>5200</v>
      </c>
      <c r="F12" s="20">
        <f t="shared" si="0"/>
        <v>1</v>
      </c>
      <c r="G12" s="19" t="str">
        <f t="shared" si="1"/>
        <v/>
      </c>
      <c r="H12" s="19">
        <f t="shared" si="2"/>
        <v>1</v>
      </c>
      <c r="I12" s="19" t="str">
        <f t="shared" si="3"/>
        <v/>
      </c>
      <c r="J12" s="225">
        <f t="shared" si="8"/>
        <v>2</v>
      </c>
      <c r="K12" s="226" t="str">
        <f t="shared" si="9"/>
        <v>Gs</v>
      </c>
      <c r="L12" s="227">
        <f t="shared" si="10"/>
        <v>1</v>
      </c>
      <c r="M12" s="228">
        <f t="shared" si="11"/>
        <v>0</v>
      </c>
      <c r="N12" s="228">
        <f t="shared" si="12"/>
        <v>2</v>
      </c>
      <c r="O12" s="228">
        <f t="shared" si="13"/>
        <v>0</v>
      </c>
      <c r="P12" s="20">
        <f t="shared" si="14"/>
        <v>100</v>
      </c>
      <c r="Q12" s="19">
        <f t="shared" si="15"/>
        <v>0</v>
      </c>
      <c r="R12" s="19">
        <f t="shared" si="16"/>
        <v>17.900262467191602</v>
      </c>
      <c r="S12" s="19">
        <f t="shared" si="17"/>
        <v>0</v>
      </c>
      <c r="T12" s="20">
        <f t="shared" si="18"/>
        <v>1.143</v>
      </c>
      <c r="U12" s="19">
        <f t="shared" si="19"/>
        <v>0</v>
      </c>
      <c r="V12" s="19">
        <f t="shared" si="20"/>
        <v>0.2046</v>
      </c>
      <c r="W12" s="19">
        <f t="shared" si="21"/>
        <v>0</v>
      </c>
      <c r="X12" s="147" t="str">
        <f t="shared" si="22"/>
        <v>GsL</v>
      </c>
      <c r="Y12" s="32">
        <f t="shared" si="23"/>
        <v>100</v>
      </c>
      <c r="Z12" s="31">
        <f t="shared" si="24"/>
        <v>0</v>
      </c>
      <c r="AA12" s="31">
        <f t="shared" si="25"/>
        <v>0</v>
      </c>
      <c r="AB12" s="31">
        <f t="shared" si="26"/>
        <v>17.900262467191602</v>
      </c>
      <c r="AC12" s="31">
        <f t="shared" si="27"/>
        <v>0</v>
      </c>
      <c r="AD12" s="322">
        <f t="shared" si="28"/>
        <v>1.143</v>
      </c>
      <c r="AE12" s="309">
        <f t="shared" si="29"/>
        <v>0</v>
      </c>
      <c r="AF12" s="309">
        <f t="shared" si="30"/>
        <v>0</v>
      </c>
      <c r="AG12" s="309">
        <f t="shared" si="31"/>
        <v>0.2046</v>
      </c>
      <c r="AH12" s="309">
        <f t="shared" si="32"/>
        <v>0</v>
      </c>
      <c r="AI12" s="322">
        <v>1.143</v>
      </c>
      <c r="AJ12" s="309">
        <v>0</v>
      </c>
      <c r="AK12" s="309">
        <v>0</v>
      </c>
      <c r="AL12" s="309">
        <v>0.2046</v>
      </c>
      <c r="AM12" s="309">
        <v>0</v>
      </c>
      <c r="AN12" s="140">
        <v>6.08E-2</v>
      </c>
      <c r="AO12" s="141">
        <v>0</v>
      </c>
      <c r="AP12" s="141">
        <v>0</v>
      </c>
      <c r="AQ12" s="141">
        <v>7.1199999999999999E-2</v>
      </c>
      <c r="AR12" s="141">
        <v>0</v>
      </c>
      <c r="AS12" s="142">
        <v>4.87E-2</v>
      </c>
      <c r="AT12" s="143">
        <v>0</v>
      </c>
      <c r="AU12" s="143">
        <v>0</v>
      </c>
      <c r="AV12" s="143">
        <v>2.46E-2</v>
      </c>
      <c r="AW12" s="143">
        <v>0</v>
      </c>
      <c r="AX12" s="142">
        <v>1.2413999999999999E-3</v>
      </c>
      <c r="AY12" s="143">
        <v>0</v>
      </c>
      <c r="AZ12" s="143">
        <v>0</v>
      </c>
      <c r="BA12" s="143">
        <v>6.3058000000000003E-3</v>
      </c>
      <c r="BB12" s="143">
        <v>0</v>
      </c>
      <c r="BD12" s="50"/>
      <c r="BE12" s="179" t="s">
        <v>5222</v>
      </c>
      <c r="BF12" s="179" t="s">
        <v>106</v>
      </c>
      <c r="BG12" s="53" t="s">
        <v>15</v>
      </c>
      <c r="BH12" s="169"/>
      <c r="BI12" s="52" t="s">
        <v>107</v>
      </c>
      <c r="BJ12" s="52" t="s">
        <v>2854</v>
      </c>
      <c r="BK12" s="179">
        <v>100</v>
      </c>
      <c r="BL12" s="179" t="s">
        <v>5223</v>
      </c>
      <c r="BM12" s="179" t="s">
        <v>2851</v>
      </c>
      <c r="BN12" s="179">
        <v>3548</v>
      </c>
      <c r="BO12" s="52" t="s">
        <v>3136</v>
      </c>
      <c r="BP12" s="179" t="s">
        <v>3169</v>
      </c>
      <c r="BQ12" s="52" t="s">
        <v>3168</v>
      </c>
      <c r="BR12" s="179">
        <v>1</v>
      </c>
      <c r="BS12" s="179" t="s">
        <v>2848</v>
      </c>
    </row>
    <row r="13" spans="1:72" ht="18.75" customHeight="1">
      <c r="A13" s="51" t="s">
        <v>108</v>
      </c>
      <c r="B13" s="205" t="s">
        <v>5558</v>
      </c>
      <c r="C13" t="s">
        <v>583</v>
      </c>
      <c r="D13" s="19">
        <v>940</v>
      </c>
      <c r="E13" s="9" t="s">
        <v>5200</v>
      </c>
      <c r="F13" s="20" t="str">
        <f t="shared" si="0"/>
        <v/>
      </c>
      <c r="G13" s="19">
        <f t="shared" si="1"/>
        <v>1</v>
      </c>
      <c r="H13" s="19" t="str">
        <f t="shared" si="2"/>
        <v/>
      </c>
      <c r="I13" s="19" t="str">
        <f t="shared" si="3"/>
        <v/>
      </c>
      <c r="J13" s="225">
        <f t="shared" si="8"/>
        <v>1</v>
      </c>
      <c r="K13" s="226" t="str">
        <f t="shared" si="9"/>
        <v>Gi/o</v>
      </c>
      <c r="L13" s="227">
        <f t="shared" si="10"/>
        <v>0</v>
      </c>
      <c r="M13" s="228">
        <f t="shared" si="11"/>
        <v>1</v>
      </c>
      <c r="N13" s="228">
        <f t="shared" si="12"/>
        <v>0</v>
      </c>
      <c r="O13" s="228">
        <f t="shared" si="13"/>
        <v>0</v>
      </c>
      <c r="P13" s="20">
        <f t="shared" si="14"/>
        <v>0</v>
      </c>
      <c r="Q13" s="19">
        <f t="shared" si="15"/>
        <v>100</v>
      </c>
      <c r="R13" s="19">
        <f t="shared" si="16"/>
        <v>0</v>
      </c>
      <c r="S13" s="19">
        <f t="shared" si="17"/>
        <v>0</v>
      </c>
      <c r="T13" s="20">
        <f t="shared" si="18"/>
        <v>0</v>
      </c>
      <c r="U13" s="19">
        <f t="shared" si="19"/>
        <v>4.2420716666666634</v>
      </c>
      <c r="V13" s="19">
        <f t="shared" si="20"/>
        <v>0</v>
      </c>
      <c r="W13" s="19">
        <f t="shared" si="21"/>
        <v>0</v>
      </c>
      <c r="X13" s="147" t="str">
        <f t="shared" si="22"/>
        <v>GoA</v>
      </c>
      <c r="Y13" s="32">
        <f t="shared" si="23"/>
        <v>0</v>
      </c>
      <c r="Z13" s="31">
        <f t="shared" si="24"/>
        <v>100</v>
      </c>
      <c r="AA13" s="31">
        <f t="shared" si="25"/>
        <v>0</v>
      </c>
      <c r="AB13" s="31">
        <f t="shared" si="26"/>
        <v>0</v>
      </c>
      <c r="AC13" s="31">
        <f t="shared" si="27"/>
        <v>0</v>
      </c>
      <c r="AD13" s="322">
        <f t="shared" si="28"/>
        <v>0</v>
      </c>
      <c r="AE13" s="309">
        <f t="shared" si="29"/>
        <v>4.2420716666666634</v>
      </c>
      <c r="AF13" s="309">
        <f t="shared" si="30"/>
        <v>0</v>
      </c>
      <c r="AG13" s="309">
        <f t="shared" si="31"/>
        <v>0</v>
      </c>
      <c r="AH13" s="309">
        <f t="shared" si="32"/>
        <v>0</v>
      </c>
      <c r="AI13" s="322">
        <v>0</v>
      </c>
      <c r="AJ13" s="309">
        <v>4.2420716666666634</v>
      </c>
      <c r="AK13" s="309">
        <v>0</v>
      </c>
      <c r="AL13" s="309">
        <v>0</v>
      </c>
      <c r="AM13" s="309">
        <v>0</v>
      </c>
      <c r="AN13" s="140">
        <v>0</v>
      </c>
      <c r="AO13" s="141">
        <v>0.15448306833333333</v>
      </c>
      <c r="AP13" s="141">
        <v>0</v>
      </c>
      <c r="AQ13" s="141">
        <v>0</v>
      </c>
      <c r="AR13" s="141">
        <v>0</v>
      </c>
      <c r="AS13" s="142">
        <v>0</v>
      </c>
      <c r="AT13" s="143">
        <v>1.3929711702365592E-2</v>
      </c>
      <c r="AU13" s="143">
        <v>0</v>
      </c>
      <c r="AV13" s="143">
        <v>0</v>
      </c>
      <c r="AW13" s="143">
        <v>0</v>
      </c>
      <c r="AX13" s="142">
        <v>0</v>
      </c>
      <c r="AY13" s="143">
        <v>3.3523716378135661E-3</v>
      </c>
      <c r="AZ13" s="143">
        <v>0</v>
      </c>
      <c r="BA13" s="143">
        <v>0</v>
      </c>
      <c r="BB13" s="143">
        <v>0</v>
      </c>
      <c r="BD13" s="50"/>
      <c r="BE13" s="179" t="s">
        <v>5224</v>
      </c>
      <c r="BF13" s="179" t="s">
        <v>108</v>
      </c>
      <c r="BG13" s="53" t="s">
        <v>15</v>
      </c>
      <c r="BH13" s="169"/>
      <c r="BI13" s="52" t="s">
        <v>107</v>
      </c>
      <c r="BJ13" s="52" t="s">
        <v>2854</v>
      </c>
      <c r="BK13" s="179">
        <v>100</v>
      </c>
      <c r="BL13" s="179" t="s">
        <v>5225</v>
      </c>
      <c r="BM13" s="179" t="s">
        <v>2851</v>
      </c>
      <c r="BN13" s="179">
        <v>3548</v>
      </c>
      <c r="BO13" s="52" t="s">
        <v>3136</v>
      </c>
      <c r="BP13" s="179" t="s">
        <v>3167</v>
      </c>
      <c r="BQ13" s="52" t="s">
        <v>3166</v>
      </c>
      <c r="BR13" s="179">
        <v>1</v>
      </c>
      <c r="BS13" s="179" t="s">
        <v>2848</v>
      </c>
    </row>
    <row r="14" spans="1:72" ht="18.75" customHeight="1">
      <c r="A14" s="51" t="s">
        <v>109</v>
      </c>
      <c r="B14" s="205" t="s">
        <v>5558</v>
      </c>
      <c r="C14" t="s">
        <v>583</v>
      </c>
      <c r="D14" s="19">
        <v>940</v>
      </c>
      <c r="E14" s="9" t="s">
        <v>5200</v>
      </c>
      <c r="F14" s="20" t="str">
        <f t="shared" si="0"/>
        <v/>
      </c>
      <c r="G14" s="19">
        <f t="shared" si="1"/>
        <v>1</v>
      </c>
      <c r="H14" s="19" t="str">
        <f t="shared" si="2"/>
        <v/>
      </c>
      <c r="I14" s="19" t="str">
        <f t="shared" si="3"/>
        <v/>
      </c>
      <c r="J14" s="225">
        <f t="shared" si="8"/>
        <v>1</v>
      </c>
      <c r="K14" s="226" t="str">
        <f t="shared" si="9"/>
        <v>Gi/o</v>
      </c>
      <c r="L14" s="227">
        <f t="shared" si="10"/>
        <v>0</v>
      </c>
      <c r="M14" s="228">
        <f t="shared" si="11"/>
        <v>1</v>
      </c>
      <c r="N14" s="228">
        <f t="shared" si="12"/>
        <v>0</v>
      </c>
      <c r="O14" s="228">
        <f t="shared" si="13"/>
        <v>0</v>
      </c>
      <c r="P14" s="20">
        <f t="shared" si="14"/>
        <v>0</v>
      </c>
      <c r="Q14" s="19">
        <f t="shared" si="15"/>
        <v>100</v>
      </c>
      <c r="R14" s="19">
        <f t="shared" si="16"/>
        <v>0</v>
      </c>
      <c r="S14" s="19">
        <f t="shared" si="17"/>
        <v>0</v>
      </c>
      <c r="T14" s="20">
        <f t="shared" si="18"/>
        <v>0</v>
      </c>
      <c r="U14" s="19">
        <f t="shared" si="19"/>
        <v>0.2621</v>
      </c>
      <c r="V14" s="19">
        <f t="shared" si="20"/>
        <v>0</v>
      </c>
      <c r="W14" s="19">
        <f t="shared" si="21"/>
        <v>0</v>
      </c>
      <c r="X14" s="147" t="str">
        <f t="shared" si="22"/>
        <v>GoA</v>
      </c>
      <c r="Y14" s="32">
        <f t="shared" si="23"/>
        <v>0</v>
      </c>
      <c r="Z14" s="31">
        <f t="shared" si="24"/>
        <v>100</v>
      </c>
      <c r="AA14" s="31">
        <f t="shared" si="25"/>
        <v>0</v>
      </c>
      <c r="AB14" s="31">
        <f t="shared" si="26"/>
        <v>0</v>
      </c>
      <c r="AC14" s="31">
        <f t="shared" si="27"/>
        <v>0</v>
      </c>
      <c r="AD14" s="322">
        <f t="shared" si="28"/>
        <v>0</v>
      </c>
      <c r="AE14" s="309">
        <f t="shared" si="29"/>
        <v>0.2621</v>
      </c>
      <c r="AF14" s="309">
        <f t="shared" si="30"/>
        <v>0</v>
      </c>
      <c r="AG14" s="309">
        <f t="shared" si="31"/>
        <v>0</v>
      </c>
      <c r="AH14" s="309">
        <f t="shared" si="32"/>
        <v>0</v>
      </c>
      <c r="AI14" s="322">
        <v>0</v>
      </c>
      <c r="AJ14" s="309">
        <v>0.2621</v>
      </c>
      <c r="AK14" s="309">
        <v>0</v>
      </c>
      <c r="AL14" s="309">
        <v>0</v>
      </c>
      <c r="AM14" s="309">
        <v>0</v>
      </c>
      <c r="AN14" s="140">
        <v>0</v>
      </c>
      <c r="AO14" s="141">
        <v>9.69E-2</v>
      </c>
      <c r="AP14" s="141">
        <v>0</v>
      </c>
      <c r="AQ14" s="141">
        <v>0</v>
      </c>
      <c r="AR14" s="141">
        <v>0</v>
      </c>
      <c r="AS14" s="142">
        <v>0</v>
      </c>
      <c r="AT14" s="143">
        <v>1.43E-2</v>
      </c>
      <c r="AU14" s="143">
        <v>0</v>
      </c>
      <c r="AV14" s="143">
        <v>0</v>
      </c>
      <c r="AW14" s="143">
        <v>0</v>
      </c>
      <c r="AX14" s="142">
        <v>0</v>
      </c>
      <c r="AY14" s="143">
        <v>7.9474999999999997E-3</v>
      </c>
      <c r="AZ14" s="143">
        <v>0</v>
      </c>
      <c r="BA14" s="143">
        <v>0</v>
      </c>
      <c r="BB14" s="143">
        <v>0</v>
      </c>
      <c r="BD14" s="50"/>
      <c r="BE14" s="179" t="s">
        <v>5226</v>
      </c>
      <c r="BF14" s="179" t="s">
        <v>109</v>
      </c>
      <c r="BG14" s="53" t="s">
        <v>15</v>
      </c>
      <c r="BH14" s="169"/>
      <c r="BI14" s="52" t="s">
        <v>107</v>
      </c>
      <c r="BJ14" s="52" t="s">
        <v>2854</v>
      </c>
      <c r="BK14" s="179">
        <v>100</v>
      </c>
      <c r="BL14" s="179" t="s">
        <v>5227</v>
      </c>
      <c r="BM14" s="179" t="s">
        <v>2851</v>
      </c>
      <c r="BN14" s="179">
        <v>3548</v>
      </c>
      <c r="BO14" s="52" t="s">
        <v>3136</v>
      </c>
      <c r="BP14" s="179" t="s">
        <v>3165</v>
      </c>
      <c r="BQ14" s="52" t="s">
        <v>3164</v>
      </c>
      <c r="BR14" s="179">
        <v>6</v>
      </c>
      <c r="BS14" s="179" t="s">
        <v>2848</v>
      </c>
    </row>
    <row r="15" spans="1:72" ht="18.75" customHeight="1">
      <c r="A15" s="51" t="s">
        <v>110</v>
      </c>
      <c r="B15" s="205" t="s">
        <v>5558</v>
      </c>
      <c r="C15" t="s">
        <v>583</v>
      </c>
      <c r="D15" s="19">
        <v>940</v>
      </c>
      <c r="E15" s="9" t="s">
        <v>5200</v>
      </c>
      <c r="F15" s="20" t="str">
        <f t="shared" si="0"/>
        <v/>
      </c>
      <c r="G15" s="19">
        <f t="shared" si="1"/>
        <v>1</v>
      </c>
      <c r="H15" s="19" t="str">
        <f t="shared" si="2"/>
        <v/>
      </c>
      <c r="I15" s="19" t="str">
        <f t="shared" si="3"/>
        <v/>
      </c>
      <c r="J15" s="225">
        <f t="shared" si="8"/>
        <v>1</v>
      </c>
      <c r="K15" s="226" t="str">
        <f t="shared" si="9"/>
        <v>Gi/o</v>
      </c>
      <c r="L15" s="227">
        <f t="shared" si="10"/>
        <v>0</v>
      </c>
      <c r="M15" s="228">
        <f t="shared" si="11"/>
        <v>1</v>
      </c>
      <c r="N15" s="228">
        <f t="shared" si="12"/>
        <v>0</v>
      </c>
      <c r="O15" s="228">
        <f t="shared" si="13"/>
        <v>0</v>
      </c>
      <c r="P15" s="20">
        <f t="shared" si="14"/>
        <v>0</v>
      </c>
      <c r="Q15" s="19">
        <f t="shared" si="15"/>
        <v>100</v>
      </c>
      <c r="R15" s="19">
        <f t="shared" si="16"/>
        <v>0</v>
      </c>
      <c r="S15" s="19">
        <f t="shared" si="17"/>
        <v>0</v>
      </c>
      <c r="T15" s="20">
        <f t="shared" si="18"/>
        <v>0</v>
      </c>
      <c r="U15" s="19">
        <f t="shared" si="19"/>
        <v>3.9085000000000001</v>
      </c>
      <c r="V15" s="19">
        <f t="shared" si="20"/>
        <v>0</v>
      </c>
      <c r="W15" s="19">
        <f t="shared" si="21"/>
        <v>0</v>
      </c>
      <c r="X15" s="147" t="str">
        <f t="shared" si="22"/>
        <v>GoA</v>
      </c>
      <c r="Y15" s="32">
        <f t="shared" si="23"/>
        <v>0</v>
      </c>
      <c r="Z15" s="31">
        <f t="shared" si="24"/>
        <v>100</v>
      </c>
      <c r="AA15" s="31">
        <f t="shared" si="25"/>
        <v>0</v>
      </c>
      <c r="AB15" s="31">
        <f t="shared" si="26"/>
        <v>0</v>
      </c>
      <c r="AC15" s="31">
        <f t="shared" si="27"/>
        <v>0</v>
      </c>
      <c r="AD15" s="322">
        <f t="shared" si="28"/>
        <v>0</v>
      </c>
      <c r="AE15" s="309">
        <f t="shared" si="29"/>
        <v>3.9085000000000001</v>
      </c>
      <c r="AF15" s="309">
        <f t="shared" si="30"/>
        <v>0</v>
      </c>
      <c r="AG15" s="309">
        <f t="shared" si="31"/>
        <v>0</v>
      </c>
      <c r="AH15" s="309">
        <f t="shared" si="32"/>
        <v>0</v>
      </c>
      <c r="AI15" s="322">
        <v>0</v>
      </c>
      <c r="AJ15" s="309">
        <v>3.9085000000000001</v>
      </c>
      <c r="AK15" s="309">
        <v>0</v>
      </c>
      <c r="AL15" s="309">
        <v>0</v>
      </c>
      <c r="AM15" s="309">
        <v>0</v>
      </c>
      <c r="AN15" s="140">
        <v>0</v>
      </c>
      <c r="AO15" s="141">
        <v>0.15260000000000001</v>
      </c>
      <c r="AP15" s="141">
        <v>0</v>
      </c>
      <c r="AQ15" s="141">
        <v>0</v>
      </c>
      <c r="AR15" s="141">
        <v>0</v>
      </c>
      <c r="AS15" s="142">
        <v>0</v>
      </c>
      <c r="AT15" s="143">
        <v>0.4778</v>
      </c>
      <c r="AU15" s="143">
        <v>0</v>
      </c>
      <c r="AV15" s="143">
        <v>0</v>
      </c>
      <c r="AW15" s="143">
        <v>0</v>
      </c>
      <c r="AX15" s="142">
        <v>0</v>
      </c>
      <c r="AY15" s="143">
        <v>4.8135000000000001E-3</v>
      </c>
      <c r="AZ15" s="143">
        <v>0</v>
      </c>
      <c r="BA15" s="143">
        <v>0</v>
      </c>
      <c r="BB15" s="143">
        <v>0</v>
      </c>
      <c r="BD15" s="50"/>
      <c r="BE15" s="179" t="s">
        <v>5228</v>
      </c>
      <c r="BF15" s="179" t="s">
        <v>110</v>
      </c>
      <c r="BG15" s="53" t="s">
        <v>15</v>
      </c>
      <c r="BI15" s="52" t="s">
        <v>107</v>
      </c>
      <c r="BJ15" s="52" t="s">
        <v>2854</v>
      </c>
      <c r="BK15" s="179">
        <v>100</v>
      </c>
      <c r="BL15" s="179" t="s">
        <v>5229</v>
      </c>
      <c r="BM15" s="179" t="s">
        <v>2851</v>
      </c>
      <c r="BN15" s="179">
        <v>3548</v>
      </c>
      <c r="BO15" s="52" t="s">
        <v>3136</v>
      </c>
      <c r="BP15" s="179" t="s">
        <v>3163</v>
      </c>
      <c r="BQ15" s="52" t="s">
        <v>3162</v>
      </c>
      <c r="BR15" s="179">
        <v>6</v>
      </c>
      <c r="BS15" s="179" t="s">
        <v>2848</v>
      </c>
    </row>
    <row r="16" spans="1:72" ht="18.75" customHeight="1">
      <c r="A16" s="51" t="s">
        <v>111</v>
      </c>
      <c r="B16" s="205" t="s">
        <v>5558</v>
      </c>
      <c r="C16" t="s">
        <v>583</v>
      </c>
      <c r="D16" s="19">
        <v>940</v>
      </c>
      <c r="E16" s="9" t="s">
        <v>5200</v>
      </c>
      <c r="F16" s="20">
        <f t="shared" si="0"/>
        <v>1</v>
      </c>
      <c r="G16" s="19">
        <f t="shared" si="1"/>
        <v>1</v>
      </c>
      <c r="H16" s="19">
        <f t="shared" si="2"/>
        <v>1</v>
      </c>
      <c r="I16" s="19" t="str">
        <f t="shared" si="3"/>
        <v/>
      </c>
      <c r="J16" s="225">
        <f t="shared" si="8"/>
        <v>3</v>
      </c>
      <c r="K16" s="226" t="str">
        <f t="shared" si="9"/>
        <v>Gs</v>
      </c>
      <c r="L16" s="227">
        <f t="shared" si="10"/>
        <v>1</v>
      </c>
      <c r="M16" s="228">
        <f t="shared" si="11"/>
        <v>3</v>
      </c>
      <c r="N16" s="228">
        <f t="shared" si="12"/>
        <v>2</v>
      </c>
      <c r="O16" s="228">
        <f t="shared" si="13"/>
        <v>0</v>
      </c>
      <c r="P16" s="20">
        <f t="shared" si="14"/>
        <v>100</v>
      </c>
      <c r="Q16" s="19">
        <f t="shared" si="15"/>
        <v>14.409148665819568</v>
      </c>
      <c r="R16" s="19">
        <f t="shared" si="16"/>
        <v>40.819567979669628</v>
      </c>
      <c r="S16" s="19">
        <f t="shared" si="17"/>
        <v>0</v>
      </c>
      <c r="T16" s="20">
        <f t="shared" si="18"/>
        <v>1.5740000000000001</v>
      </c>
      <c r="U16" s="19">
        <f t="shared" si="19"/>
        <v>0.2268</v>
      </c>
      <c r="V16" s="19">
        <f t="shared" si="20"/>
        <v>0.64249999999999996</v>
      </c>
      <c r="W16" s="19">
        <f t="shared" si="21"/>
        <v>0</v>
      </c>
      <c r="X16" s="147" t="str">
        <f t="shared" si="22"/>
        <v>GsL</v>
      </c>
      <c r="Y16" s="32">
        <f t="shared" si="23"/>
        <v>100</v>
      </c>
      <c r="Z16" s="31">
        <f t="shared" si="24"/>
        <v>14.409148665819568</v>
      </c>
      <c r="AA16" s="31">
        <f t="shared" si="25"/>
        <v>0</v>
      </c>
      <c r="AB16" s="31">
        <f t="shared" si="26"/>
        <v>40.819567979669628</v>
      </c>
      <c r="AC16" s="31">
        <f t="shared" si="27"/>
        <v>0</v>
      </c>
      <c r="AD16" s="322">
        <f t="shared" si="28"/>
        <v>1.5740000000000001</v>
      </c>
      <c r="AE16" s="309">
        <f t="shared" si="29"/>
        <v>0.2268</v>
      </c>
      <c r="AF16" s="309">
        <f t="shared" si="30"/>
        <v>0</v>
      </c>
      <c r="AG16" s="309">
        <f t="shared" si="31"/>
        <v>0.64249999999999996</v>
      </c>
      <c r="AH16" s="309">
        <f t="shared" si="32"/>
        <v>0</v>
      </c>
      <c r="AI16" s="322">
        <v>1.5740000000000001</v>
      </c>
      <c r="AJ16" s="309">
        <v>0.2268</v>
      </c>
      <c r="AK16" s="309">
        <v>0</v>
      </c>
      <c r="AL16" s="309">
        <v>0.64249999999999996</v>
      </c>
      <c r="AM16" s="309">
        <v>0</v>
      </c>
      <c r="AN16" s="140">
        <v>3.3799999999999997E-2</v>
      </c>
      <c r="AO16" s="141">
        <v>3.1600000000000003E-2</v>
      </c>
      <c r="AP16" s="141">
        <v>0</v>
      </c>
      <c r="AQ16" s="141">
        <v>3.9300000000000002E-2</v>
      </c>
      <c r="AR16" s="141">
        <v>0</v>
      </c>
      <c r="AS16" s="142">
        <v>5.79E-2</v>
      </c>
      <c r="AT16" s="143">
        <v>5.6407000000000002E-3</v>
      </c>
      <c r="AU16" s="143">
        <v>0</v>
      </c>
      <c r="AV16" s="143">
        <v>3.7400000000000003E-2</v>
      </c>
      <c r="AW16" s="143">
        <v>0</v>
      </c>
      <c r="AX16" s="142">
        <v>1.9857999999999998E-3</v>
      </c>
      <c r="AY16" s="143">
        <v>1.6475999999999999E-3</v>
      </c>
      <c r="AZ16" s="143">
        <v>0</v>
      </c>
      <c r="BA16" s="143">
        <v>1.4295E-3</v>
      </c>
      <c r="BB16" s="143">
        <v>0</v>
      </c>
      <c r="BD16" s="50"/>
      <c r="BE16" s="179" t="s">
        <v>5230</v>
      </c>
      <c r="BF16" s="179" t="s">
        <v>111</v>
      </c>
      <c r="BG16" s="53" t="s">
        <v>15</v>
      </c>
      <c r="BI16" s="52" t="s">
        <v>107</v>
      </c>
      <c r="BJ16" s="52" t="s">
        <v>2854</v>
      </c>
      <c r="BK16" s="179">
        <v>100</v>
      </c>
      <c r="BL16" s="179" t="s">
        <v>5231</v>
      </c>
      <c r="BM16" s="179" t="s">
        <v>2851</v>
      </c>
      <c r="BN16" s="179">
        <v>3548</v>
      </c>
      <c r="BO16" s="52" t="s">
        <v>3136</v>
      </c>
      <c r="BP16" s="179" t="s">
        <v>3161</v>
      </c>
      <c r="BQ16" s="52" t="s">
        <v>3160</v>
      </c>
      <c r="BR16" s="179">
        <v>6</v>
      </c>
      <c r="BS16" s="179" t="s">
        <v>2848</v>
      </c>
    </row>
    <row r="17" spans="1:71" ht="18.75" customHeight="1">
      <c r="A17" s="88" t="s">
        <v>182</v>
      </c>
      <c r="B17" s="205" t="s">
        <v>5558</v>
      </c>
      <c r="C17" t="s">
        <v>583</v>
      </c>
      <c r="D17" s="19">
        <v>1620</v>
      </c>
      <c r="E17" s="9" t="s">
        <v>5200</v>
      </c>
      <c r="F17" s="20" t="str">
        <f t="shared" si="0"/>
        <v/>
      </c>
      <c r="G17" s="19">
        <f t="shared" si="1"/>
        <v>1</v>
      </c>
      <c r="H17" s="19" t="str">
        <f t="shared" si="2"/>
        <v/>
      </c>
      <c r="I17" s="19" t="str">
        <f t="shared" si="3"/>
        <v/>
      </c>
      <c r="J17" s="225">
        <f t="shared" si="8"/>
        <v>1</v>
      </c>
      <c r="K17" s="226" t="str">
        <f t="shared" si="9"/>
        <v>Gi/o</v>
      </c>
      <c r="L17" s="227">
        <f t="shared" si="10"/>
        <v>0</v>
      </c>
      <c r="M17" s="228">
        <f t="shared" si="11"/>
        <v>1</v>
      </c>
      <c r="N17" s="228">
        <f t="shared" si="12"/>
        <v>0</v>
      </c>
      <c r="O17" s="228">
        <f t="shared" si="13"/>
        <v>0</v>
      </c>
      <c r="P17" s="20">
        <f t="shared" si="14"/>
        <v>0</v>
      </c>
      <c r="Q17" s="19">
        <f t="shared" si="15"/>
        <v>100</v>
      </c>
      <c r="R17" s="19">
        <f t="shared" si="16"/>
        <v>0</v>
      </c>
      <c r="S17" s="19">
        <f t="shared" si="17"/>
        <v>0</v>
      </c>
      <c r="T17" s="20">
        <f t="shared" si="18"/>
        <v>0</v>
      </c>
      <c r="U17" s="19">
        <f t="shared" si="19"/>
        <v>4.6406999999999998</v>
      </c>
      <c r="V17" s="19">
        <f t="shared" si="20"/>
        <v>0</v>
      </c>
      <c r="W17" s="19">
        <f t="shared" si="21"/>
        <v>0</v>
      </c>
      <c r="X17" s="147" t="str">
        <f t="shared" si="22"/>
        <v>GoA</v>
      </c>
      <c r="Y17" s="32">
        <f t="shared" si="23"/>
        <v>0</v>
      </c>
      <c r="Z17" s="31">
        <f t="shared" si="24"/>
        <v>100</v>
      </c>
      <c r="AA17" s="31">
        <f t="shared" si="25"/>
        <v>0</v>
      </c>
      <c r="AB17" s="31">
        <f t="shared" si="26"/>
        <v>0</v>
      </c>
      <c r="AC17" s="31">
        <f t="shared" si="27"/>
        <v>0</v>
      </c>
      <c r="AD17" s="322">
        <f t="shared" si="28"/>
        <v>0</v>
      </c>
      <c r="AE17" s="309">
        <f t="shared" si="29"/>
        <v>4.6406999999999998</v>
      </c>
      <c r="AF17" s="309">
        <f t="shared" si="30"/>
        <v>0</v>
      </c>
      <c r="AG17" s="309">
        <f t="shared" si="31"/>
        <v>0</v>
      </c>
      <c r="AH17" s="309">
        <f t="shared" si="32"/>
        <v>0</v>
      </c>
      <c r="AI17" s="322">
        <v>0</v>
      </c>
      <c r="AJ17" s="309">
        <v>4.6406999999999998</v>
      </c>
      <c r="AK17" s="309">
        <v>0</v>
      </c>
      <c r="AL17" s="309">
        <v>0</v>
      </c>
      <c r="AM17" s="309">
        <v>0</v>
      </c>
      <c r="AN17" s="140">
        <v>0</v>
      </c>
      <c r="AO17" s="141">
        <v>0.11269999999999999</v>
      </c>
      <c r="AP17" s="141">
        <v>0</v>
      </c>
      <c r="AQ17" s="141">
        <v>0</v>
      </c>
      <c r="AR17" s="141">
        <v>0</v>
      </c>
      <c r="AS17" s="142">
        <v>0</v>
      </c>
      <c r="AT17" s="143">
        <v>0.1963</v>
      </c>
      <c r="AU17" s="143">
        <v>0</v>
      </c>
      <c r="AV17" s="143">
        <v>0</v>
      </c>
      <c r="AW17" s="143">
        <v>0</v>
      </c>
      <c r="AX17" s="142">
        <v>0</v>
      </c>
      <c r="AY17" s="143">
        <v>2.5499999999999998E-2</v>
      </c>
      <c r="AZ17" s="143">
        <v>0</v>
      </c>
      <c r="BA17" s="143">
        <v>0</v>
      </c>
      <c r="BB17" s="143">
        <v>0</v>
      </c>
      <c r="BD17" s="50"/>
      <c r="BE17" s="179" t="s">
        <v>3116</v>
      </c>
      <c r="BF17" s="179" t="s">
        <v>3115</v>
      </c>
      <c r="BG17" s="53" t="s">
        <v>15</v>
      </c>
      <c r="BI17" s="52" t="s">
        <v>2713</v>
      </c>
      <c r="BJ17" s="52" t="s">
        <v>44</v>
      </c>
      <c r="BK17" s="180">
        <v>10</v>
      </c>
      <c r="BL17" s="180" t="s">
        <v>5232</v>
      </c>
      <c r="BM17" s="180" t="s">
        <v>2851</v>
      </c>
      <c r="BN17" s="180">
        <v>3195</v>
      </c>
      <c r="BO17" s="52" t="s">
        <v>2866</v>
      </c>
      <c r="BP17" s="179" t="s">
        <v>3113</v>
      </c>
      <c r="BQ17" s="52" t="s">
        <v>3112</v>
      </c>
      <c r="BR17" s="179">
        <v>1</v>
      </c>
      <c r="BS17" s="179" t="s">
        <v>2848</v>
      </c>
    </row>
    <row r="18" spans="1:71" ht="18.75" customHeight="1">
      <c r="A18" s="51" t="s">
        <v>121</v>
      </c>
      <c r="B18" s="205" t="s">
        <v>5558</v>
      </c>
      <c r="C18" t="s">
        <v>583</v>
      </c>
      <c r="D18" s="19">
        <v>3592</v>
      </c>
      <c r="E18" s="9" t="s">
        <v>5200</v>
      </c>
      <c r="F18" s="20" t="str">
        <f t="shared" si="0"/>
        <v/>
      </c>
      <c r="G18" s="19">
        <f t="shared" si="1"/>
        <v>1</v>
      </c>
      <c r="H18" s="19">
        <f t="shared" si="2"/>
        <v>1</v>
      </c>
      <c r="I18" s="19" t="str">
        <f t="shared" si="3"/>
        <v/>
      </c>
      <c r="J18" s="225">
        <f t="shared" si="8"/>
        <v>2</v>
      </c>
      <c r="K18" s="226" t="str">
        <f t="shared" si="9"/>
        <v>Gi/o</v>
      </c>
      <c r="L18" s="227">
        <f t="shared" si="10"/>
        <v>0</v>
      </c>
      <c r="M18" s="228">
        <f t="shared" si="11"/>
        <v>1</v>
      </c>
      <c r="N18" s="228">
        <f t="shared" si="12"/>
        <v>2</v>
      </c>
      <c r="O18" s="228">
        <f t="shared" si="13"/>
        <v>0</v>
      </c>
      <c r="P18" s="20">
        <f t="shared" si="14"/>
        <v>0</v>
      </c>
      <c r="Q18" s="19">
        <f t="shared" si="15"/>
        <v>100</v>
      </c>
      <c r="R18" s="19">
        <f t="shared" si="16"/>
        <v>0.17071415421178598</v>
      </c>
      <c r="S18" s="19">
        <f t="shared" si="17"/>
        <v>0</v>
      </c>
      <c r="T18" s="20">
        <f t="shared" si="18"/>
        <v>0</v>
      </c>
      <c r="U18" s="19">
        <f t="shared" si="19"/>
        <v>5.9748999999999999</v>
      </c>
      <c r="V18" s="19">
        <f t="shared" si="20"/>
        <v>1.0200000000000001E-2</v>
      </c>
      <c r="W18" s="19">
        <f t="shared" si="21"/>
        <v>0</v>
      </c>
      <c r="X18" s="147" t="str">
        <f t="shared" si="22"/>
        <v>GoA</v>
      </c>
      <c r="Y18" s="32">
        <f t="shared" si="23"/>
        <v>0</v>
      </c>
      <c r="Z18" s="31">
        <f t="shared" si="24"/>
        <v>100</v>
      </c>
      <c r="AA18" s="31">
        <f t="shared" si="25"/>
        <v>0</v>
      </c>
      <c r="AB18" s="31">
        <f t="shared" si="26"/>
        <v>0.17071415421178598</v>
      </c>
      <c r="AC18" s="31">
        <f t="shared" si="27"/>
        <v>0</v>
      </c>
      <c r="AD18" s="322">
        <f t="shared" si="28"/>
        <v>0</v>
      </c>
      <c r="AE18" s="309">
        <f t="shared" si="29"/>
        <v>5.9748999999999999</v>
      </c>
      <c r="AF18" s="309">
        <f t="shared" si="30"/>
        <v>0</v>
      </c>
      <c r="AG18" s="309">
        <f t="shared" si="31"/>
        <v>1.0200000000000001E-2</v>
      </c>
      <c r="AH18" s="309">
        <f t="shared" si="32"/>
        <v>0</v>
      </c>
      <c r="AI18" s="322">
        <v>0</v>
      </c>
      <c r="AJ18" s="309">
        <v>5.9748999999999999</v>
      </c>
      <c r="AK18" s="309">
        <v>0</v>
      </c>
      <c r="AL18" s="309">
        <v>1.0200000000000001E-2</v>
      </c>
      <c r="AM18" s="309">
        <v>0</v>
      </c>
      <c r="AN18" s="140">
        <v>0</v>
      </c>
      <c r="AO18" s="141">
        <v>7.0000000000000007E-2</v>
      </c>
      <c r="AP18" s="141">
        <v>0</v>
      </c>
      <c r="AQ18" s="141">
        <v>9.1383000000000002E-3</v>
      </c>
      <c r="AR18" s="141">
        <v>0</v>
      </c>
      <c r="AS18" s="142">
        <v>0</v>
      </c>
      <c r="AT18" s="143">
        <v>0.30669999999999997</v>
      </c>
      <c r="AU18" s="143">
        <v>0</v>
      </c>
      <c r="AV18" s="143">
        <v>2.3296999999999999E-4</v>
      </c>
      <c r="AW18" s="143">
        <v>0</v>
      </c>
      <c r="AX18" s="142">
        <v>0</v>
      </c>
      <c r="AY18" s="143">
        <v>6.0339E-3</v>
      </c>
      <c r="AZ18" s="143">
        <v>0</v>
      </c>
      <c r="BA18" s="143">
        <v>9.3015000000000003E-4</v>
      </c>
      <c r="BB18" s="143">
        <v>0</v>
      </c>
      <c r="BD18" s="50"/>
      <c r="BE18" s="179" t="s">
        <v>5233</v>
      </c>
      <c r="BF18" s="179" t="s">
        <v>121</v>
      </c>
      <c r="BG18" s="53" t="s">
        <v>15</v>
      </c>
      <c r="BI18" s="52" t="s">
        <v>122</v>
      </c>
      <c r="BJ18" s="52" t="s">
        <v>44</v>
      </c>
      <c r="BK18" s="179">
        <v>10</v>
      </c>
      <c r="BL18" s="179" t="s">
        <v>5234</v>
      </c>
      <c r="BM18" s="179" t="s">
        <v>2900</v>
      </c>
      <c r="BN18" s="179" t="s">
        <v>3129</v>
      </c>
      <c r="BO18" s="52" t="s">
        <v>2866</v>
      </c>
      <c r="BP18" s="179" t="s">
        <v>3133</v>
      </c>
      <c r="BQ18" s="52" t="s">
        <v>3132</v>
      </c>
      <c r="BR18" s="179">
        <v>1</v>
      </c>
      <c r="BS18" s="179" t="s">
        <v>2848</v>
      </c>
    </row>
    <row r="19" spans="1:71" ht="18.75" customHeight="1">
      <c r="A19" s="51" t="s">
        <v>123</v>
      </c>
      <c r="B19" s="205" t="s">
        <v>5558</v>
      </c>
      <c r="C19" t="s">
        <v>583</v>
      </c>
      <c r="D19" s="19">
        <v>3592</v>
      </c>
      <c r="E19" s="9" t="s">
        <v>5200</v>
      </c>
      <c r="F19" s="20" t="str">
        <f t="shared" si="0"/>
        <v/>
      </c>
      <c r="G19" s="19">
        <f t="shared" si="1"/>
        <v>1</v>
      </c>
      <c r="H19" s="19">
        <f t="shared" si="2"/>
        <v>1</v>
      </c>
      <c r="I19" s="19">
        <f t="shared" si="3"/>
        <v>1</v>
      </c>
      <c r="J19" s="225">
        <f t="shared" si="8"/>
        <v>3</v>
      </c>
      <c r="K19" s="226" t="str">
        <f t="shared" si="9"/>
        <v>Gq/11</v>
      </c>
      <c r="L19" s="227">
        <f t="shared" si="10"/>
        <v>0</v>
      </c>
      <c r="M19" s="228">
        <f t="shared" si="11"/>
        <v>3</v>
      </c>
      <c r="N19" s="228">
        <f t="shared" si="12"/>
        <v>1</v>
      </c>
      <c r="O19" s="228">
        <f t="shared" si="13"/>
        <v>2</v>
      </c>
      <c r="P19" s="20">
        <f t="shared" si="14"/>
        <v>0</v>
      </c>
      <c r="Q19" s="19">
        <f t="shared" si="15"/>
        <v>10.890910728763172</v>
      </c>
      <c r="R19" s="19">
        <f t="shared" si="16"/>
        <v>100</v>
      </c>
      <c r="S19" s="19">
        <f t="shared" si="17"/>
        <v>16.980452211512475</v>
      </c>
      <c r="T19" s="20">
        <f t="shared" si="18"/>
        <v>0</v>
      </c>
      <c r="U19" s="19">
        <f t="shared" si="19"/>
        <v>0.12089999999999999</v>
      </c>
      <c r="V19" s="19">
        <f t="shared" si="20"/>
        <v>1.1101000000000001</v>
      </c>
      <c r="W19" s="19">
        <f t="shared" si="21"/>
        <v>0.1885</v>
      </c>
      <c r="X19" s="147" t="str">
        <f t="shared" si="22"/>
        <v>Gq</v>
      </c>
      <c r="Y19" s="32">
        <f t="shared" si="23"/>
        <v>0</v>
      </c>
      <c r="Z19" s="31">
        <f t="shared" si="24"/>
        <v>10.890910728763172</v>
      </c>
      <c r="AA19" s="31">
        <f t="shared" si="25"/>
        <v>100</v>
      </c>
      <c r="AB19" s="31">
        <f t="shared" si="26"/>
        <v>6.8372218719034317</v>
      </c>
      <c r="AC19" s="31">
        <f t="shared" si="27"/>
        <v>16.980452211512475</v>
      </c>
      <c r="AD19" s="322">
        <f t="shared" si="28"/>
        <v>0</v>
      </c>
      <c r="AE19" s="309">
        <f t="shared" si="29"/>
        <v>0.12089999999999999</v>
      </c>
      <c r="AF19" s="309">
        <f t="shared" si="30"/>
        <v>1.1101000000000001</v>
      </c>
      <c r="AG19" s="309">
        <f t="shared" si="31"/>
        <v>7.5899999999999995E-2</v>
      </c>
      <c r="AH19" s="309">
        <f t="shared" si="32"/>
        <v>0.1885</v>
      </c>
      <c r="AI19" s="322">
        <v>0</v>
      </c>
      <c r="AJ19" s="309">
        <v>0.12089999999999999</v>
      </c>
      <c r="AK19" s="309">
        <v>1.1101000000000001</v>
      </c>
      <c r="AL19" s="309">
        <v>7.5899999999999995E-2</v>
      </c>
      <c r="AM19" s="309">
        <v>0.1885</v>
      </c>
      <c r="AN19" s="140">
        <v>0</v>
      </c>
      <c r="AO19" s="141">
        <v>1.9699999999999999E-2</v>
      </c>
      <c r="AP19" s="141">
        <v>2.0500000000000001E-2</v>
      </c>
      <c r="AQ19" s="141">
        <v>2.6200000000000001E-2</v>
      </c>
      <c r="AR19" s="141">
        <v>2.24E-2</v>
      </c>
      <c r="AS19" s="142">
        <v>0</v>
      </c>
      <c r="AT19" s="143">
        <v>8.5261E-3</v>
      </c>
      <c r="AU19" s="143">
        <v>8.6400000000000005E-2</v>
      </c>
      <c r="AV19" s="143">
        <v>1.5344E-3</v>
      </c>
      <c r="AW19" s="143">
        <v>1.49E-2</v>
      </c>
      <c r="AX19" s="142">
        <v>0</v>
      </c>
      <c r="AY19" s="143">
        <v>2.4848000000000001E-3</v>
      </c>
      <c r="AZ19" s="143">
        <v>2.7220999999999999E-3</v>
      </c>
      <c r="BA19" s="143">
        <v>3.7565E-4</v>
      </c>
      <c r="BB19" s="143">
        <v>2.1932000000000002E-3</v>
      </c>
      <c r="BD19" s="50"/>
      <c r="BE19" s="179" t="s">
        <v>5235</v>
      </c>
      <c r="BF19" s="179" t="s">
        <v>123</v>
      </c>
      <c r="BG19" s="53" t="s">
        <v>15</v>
      </c>
      <c r="BI19" s="52" t="s">
        <v>122</v>
      </c>
      <c r="BJ19" s="52" t="s">
        <v>44</v>
      </c>
      <c r="BK19" s="179">
        <v>10</v>
      </c>
      <c r="BL19" s="179" t="s">
        <v>5236</v>
      </c>
      <c r="BM19" s="179" t="s">
        <v>2900</v>
      </c>
      <c r="BN19" s="179" t="s">
        <v>3129</v>
      </c>
      <c r="BO19" s="52" t="s">
        <v>2866</v>
      </c>
      <c r="BP19" s="179" t="s">
        <v>3131</v>
      </c>
      <c r="BQ19" s="52" t="s">
        <v>3130</v>
      </c>
      <c r="BR19" s="179">
        <v>1</v>
      </c>
      <c r="BS19" s="179" t="s">
        <v>2848</v>
      </c>
    </row>
    <row r="20" spans="1:71" ht="18.75" customHeight="1">
      <c r="A20" s="51" t="s">
        <v>124</v>
      </c>
      <c r="B20" s="205" t="s">
        <v>5558</v>
      </c>
      <c r="C20" t="s">
        <v>583</v>
      </c>
      <c r="D20" s="19">
        <v>3592</v>
      </c>
      <c r="E20" s="9" t="s">
        <v>5200</v>
      </c>
      <c r="F20" s="20" t="str">
        <f t="shared" si="0"/>
        <v/>
      </c>
      <c r="G20" s="19">
        <f t="shared" si="1"/>
        <v>1</v>
      </c>
      <c r="H20" s="19" t="str">
        <f t="shared" si="2"/>
        <v/>
      </c>
      <c r="I20" s="19" t="str">
        <f t="shared" si="3"/>
        <v/>
      </c>
      <c r="J20" s="225">
        <f t="shared" si="8"/>
        <v>1</v>
      </c>
      <c r="K20" s="226" t="str">
        <f t="shared" si="9"/>
        <v>Gi/o</v>
      </c>
      <c r="L20" s="227">
        <f t="shared" si="10"/>
        <v>0</v>
      </c>
      <c r="M20" s="228">
        <f t="shared" si="11"/>
        <v>1</v>
      </c>
      <c r="N20" s="228">
        <f t="shared" si="12"/>
        <v>0</v>
      </c>
      <c r="O20" s="228">
        <f t="shared" si="13"/>
        <v>0</v>
      </c>
      <c r="P20" s="20">
        <f t="shared" si="14"/>
        <v>0</v>
      </c>
      <c r="Q20" s="19">
        <f t="shared" si="15"/>
        <v>100</v>
      </c>
      <c r="R20" s="19">
        <f t="shared" si="16"/>
        <v>0</v>
      </c>
      <c r="S20" s="19">
        <f t="shared" si="17"/>
        <v>0</v>
      </c>
      <c r="T20" s="20">
        <f t="shared" si="18"/>
        <v>0</v>
      </c>
      <c r="U20" s="19">
        <f t="shared" si="19"/>
        <v>0.1042</v>
      </c>
      <c r="V20" s="19">
        <f t="shared" si="20"/>
        <v>0</v>
      </c>
      <c r="W20" s="19">
        <f t="shared" si="21"/>
        <v>0</v>
      </c>
      <c r="X20" s="147" t="str">
        <f t="shared" si="22"/>
        <v>GoA</v>
      </c>
      <c r="Y20" s="32">
        <f t="shared" si="23"/>
        <v>0</v>
      </c>
      <c r="Z20" s="31">
        <f t="shared" si="24"/>
        <v>100</v>
      </c>
      <c r="AA20" s="31">
        <f t="shared" si="25"/>
        <v>0</v>
      </c>
      <c r="AB20" s="31">
        <f t="shared" si="26"/>
        <v>0</v>
      </c>
      <c r="AC20" s="31">
        <f t="shared" si="27"/>
        <v>0</v>
      </c>
      <c r="AD20" s="322">
        <f t="shared" si="28"/>
        <v>0</v>
      </c>
      <c r="AE20" s="309">
        <f t="shared" si="29"/>
        <v>0.1042</v>
      </c>
      <c r="AF20" s="309">
        <f t="shared" si="30"/>
        <v>0</v>
      </c>
      <c r="AG20" s="309">
        <f t="shared" si="31"/>
        <v>0</v>
      </c>
      <c r="AH20" s="309">
        <f t="shared" si="32"/>
        <v>0</v>
      </c>
      <c r="AI20" s="322">
        <v>0</v>
      </c>
      <c r="AJ20" s="309">
        <v>0.1042</v>
      </c>
      <c r="AK20" s="309">
        <v>0</v>
      </c>
      <c r="AL20" s="309">
        <v>0</v>
      </c>
      <c r="AM20" s="309">
        <v>0</v>
      </c>
      <c r="AN20" s="140">
        <v>0</v>
      </c>
      <c r="AO20" s="141">
        <v>1.2800000000000001E-2</v>
      </c>
      <c r="AP20" s="141">
        <v>0</v>
      </c>
      <c r="AQ20" s="141">
        <v>0</v>
      </c>
      <c r="AR20" s="141">
        <v>0</v>
      </c>
      <c r="AS20" s="142">
        <v>0</v>
      </c>
      <c r="AT20" s="143">
        <v>3.9167999999999998E-3</v>
      </c>
      <c r="AU20" s="143">
        <v>0</v>
      </c>
      <c r="AV20" s="143">
        <v>0</v>
      </c>
      <c r="AW20" s="143">
        <v>0</v>
      </c>
      <c r="AX20" s="142">
        <v>0</v>
      </c>
      <c r="AY20" s="143">
        <v>1.1504E-3</v>
      </c>
      <c r="AZ20" s="143">
        <v>0</v>
      </c>
      <c r="BA20" s="143">
        <v>0</v>
      </c>
      <c r="BB20" s="143">
        <v>0</v>
      </c>
      <c r="BD20" s="50"/>
      <c r="BE20" s="179" t="s">
        <v>5237</v>
      </c>
      <c r="BF20" s="179" t="s">
        <v>124</v>
      </c>
      <c r="BG20" s="53" t="s">
        <v>15</v>
      </c>
      <c r="BI20" s="52" t="s">
        <v>122</v>
      </c>
      <c r="BJ20" s="52" t="s">
        <v>44</v>
      </c>
      <c r="BK20" s="179">
        <v>10</v>
      </c>
      <c r="BL20" s="179" t="s">
        <v>5238</v>
      </c>
      <c r="BM20" s="179" t="s">
        <v>2900</v>
      </c>
      <c r="BN20" s="179" t="s">
        <v>3129</v>
      </c>
      <c r="BO20" s="52" t="s">
        <v>2866</v>
      </c>
      <c r="BP20" s="179" t="s">
        <v>3128</v>
      </c>
      <c r="BQ20" s="52" t="s">
        <v>3127</v>
      </c>
      <c r="BR20" s="179">
        <v>12</v>
      </c>
      <c r="BS20" s="179" t="s">
        <v>2848</v>
      </c>
    </row>
    <row r="21" spans="1:71" ht="18.75" customHeight="1">
      <c r="A21" s="51" t="s">
        <v>127</v>
      </c>
      <c r="B21" s="205" t="s">
        <v>5558</v>
      </c>
      <c r="C21" t="s">
        <v>2678</v>
      </c>
      <c r="D21" s="19">
        <v>3542</v>
      </c>
      <c r="E21" s="9" t="s">
        <v>5200</v>
      </c>
      <c r="F21" s="20">
        <f t="shared" si="0"/>
        <v>1</v>
      </c>
      <c r="G21" s="19">
        <f t="shared" si="1"/>
        <v>1</v>
      </c>
      <c r="H21" s="19">
        <f t="shared" si="2"/>
        <v>1</v>
      </c>
      <c r="I21" s="19" t="str">
        <f t="shared" si="3"/>
        <v/>
      </c>
      <c r="J21" s="225">
        <f t="shared" si="8"/>
        <v>3</v>
      </c>
      <c r="K21" s="226" t="str">
        <f t="shared" si="9"/>
        <v>Gs</v>
      </c>
      <c r="L21" s="227">
        <f t="shared" si="10"/>
        <v>1</v>
      </c>
      <c r="M21" s="228">
        <f t="shared" si="11"/>
        <v>2</v>
      </c>
      <c r="N21" s="228">
        <f t="shared" si="12"/>
        <v>3</v>
      </c>
      <c r="O21" s="228">
        <f t="shared" si="13"/>
        <v>0</v>
      </c>
      <c r="P21" s="20">
        <f t="shared" si="14"/>
        <v>100</v>
      </c>
      <c r="Q21" s="19">
        <f t="shared" si="15"/>
        <v>22.49569707401033</v>
      </c>
      <c r="R21" s="19">
        <f t="shared" si="16"/>
        <v>3.8382099827882965</v>
      </c>
      <c r="S21" s="19">
        <f t="shared" si="17"/>
        <v>0</v>
      </c>
      <c r="T21" s="20">
        <f t="shared" si="18"/>
        <v>0.58099999999999996</v>
      </c>
      <c r="U21" s="19">
        <f t="shared" si="19"/>
        <v>0.13070000000000001</v>
      </c>
      <c r="V21" s="19">
        <f t="shared" si="20"/>
        <v>2.23E-2</v>
      </c>
      <c r="W21" s="19">
        <f t="shared" si="21"/>
        <v>0</v>
      </c>
      <c r="X21" s="147" t="str">
        <f t="shared" si="22"/>
        <v>GsL</v>
      </c>
      <c r="Y21" s="32">
        <f t="shared" si="23"/>
        <v>100</v>
      </c>
      <c r="Z21" s="31">
        <f t="shared" si="24"/>
        <v>22.49569707401033</v>
      </c>
      <c r="AA21" s="31">
        <f t="shared" si="25"/>
        <v>0</v>
      </c>
      <c r="AB21" s="31">
        <f t="shared" si="26"/>
        <v>3.8382099827882965</v>
      </c>
      <c r="AC21" s="31">
        <f t="shared" si="27"/>
        <v>0</v>
      </c>
      <c r="AD21" s="322">
        <f t="shared" si="28"/>
        <v>0.58099999999999996</v>
      </c>
      <c r="AE21" s="309">
        <f t="shared" si="29"/>
        <v>0.13070000000000001</v>
      </c>
      <c r="AF21" s="309">
        <f t="shared" si="30"/>
        <v>0</v>
      </c>
      <c r="AG21" s="309">
        <f t="shared" si="31"/>
        <v>2.23E-2</v>
      </c>
      <c r="AH21" s="309">
        <f t="shared" si="32"/>
        <v>0</v>
      </c>
      <c r="AI21" s="322">
        <v>0.58099999999999996</v>
      </c>
      <c r="AJ21" s="309">
        <v>0.13070000000000001</v>
      </c>
      <c r="AK21" s="309">
        <v>0</v>
      </c>
      <c r="AL21" s="309">
        <v>2.23E-2</v>
      </c>
      <c r="AM21" s="309">
        <v>0</v>
      </c>
      <c r="AN21" s="140">
        <v>4.8099999999999997E-2</v>
      </c>
      <c r="AO21" s="141">
        <v>6.0600000000000001E-2</v>
      </c>
      <c r="AP21" s="141">
        <v>0</v>
      </c>
      <c r="AQ21" s="141">
        <v>4.0099999999999997E-2</v>
      </c>
      <c r="AR21" s="141">
        <v>0</v>
      </c>
      <c r="AS21" s="142">
        <v>2.7300000000000001E-2</v>
      </c>
      <c r="AT21" s="143">
        <v>1.43E-2</v>
      </c>
      <c r="AU21" s="143">
        <v>0</v>
      </c>
      <c r="AV21" s="143">
        <v>2.2000000000000001E-3</v>
      </c>
      <c r="AW21" s="143">
        <v>0</v>
      </c>
      <c r="AX21" s="142">
        <v>2.3999999999999898E-3</v>
      </c>
      <c r="AY21" s="143">
        <v>1.5E-3</v>
      </c>
      <c r="AZ21" s="143">
        <v>0</v>
      </c>
      <c r="BA21" s="143">
        <v>4.1999999999999997E-3</v>
      </c>
      <c r="BB21" s="143">
        <v>0</v>
      </c>
      <c r="BD21" s="50"/>
      <c r="BE21" s="179" t="s">
        <v>127</v>
      </c>
      <c r="BF21" s="179" t="s">
        <v>127</v>
      </c>
      <c r="BG21" s="53" t="s">
        <v>2892</v>
      </c>
      <c r="BI21" s="52" t="s">
        <v>2554</v>
      </c>
      <c r="BJ21" s="52" t="s">
        <v>44</v>
      </c>
      <c r="BK21" s="179">
        <v>10</v>
      </c>
      <c r="BL21" s="179" t="s">
        <v>5239</v>
      </c>
      <c r="BM21" s="179" t="s">
        <v>2940</v>
      </c>
      <c r="BN21" s="179">
        <v>350187</v>
      </c>
      <c r="BO21" s="52" t="s">
        <v>2850</v>
      </c>
      <c r="BP21" s="179" t="s">
        <v>2849</v>
      </c>
      <c r="BQ21" s="52" t="s">
        <v>2939</v>
      </c>
      <c r="BR21" s="179">
        <v>3</v>
      </c>
      <c r="BS21" s="179" t="s">
        <v>2848</v>
      </c>
    </row>
    <row r="22" spans="1:71" ht="18.75" customHeight="1">
      <c r="A22" s="51" t="s">
        <v>135</v>
      </c>
      <c r="B22" s="205" t="s">
        <v>5558</v>
      </c>
      <c r="C22" t="s">
        <v>583</v>
      </c>
      <c r="D22" s="19">
        <v>1204</v>
      </c>
      <c r="E22" s="9" t="s">
        <v>5200</v>
      </c>
      <c r="F22" s="20" t="str">
        <f t="shared" si="0"/>
        <v/>
      </c>
      <c r="G22" s="19">
        <f t="shared" si="1"/>
        <v>1</v>
      </c>
      <c r="H22" s="19">
        <f t="shared" si="2"/>
        <v>1</v>
      </c>
      <c r="I22" s="19">
        <f t="shared" si="3"/>
        <v>1</v>
      </c>
      <c r="J22" s="225">
        <f t="shared" si="8"/>
        <v>3</v>
      </c>
      <c r="K22" s="226" t="str">
        <f t="shared" si="9"/>
        <v>Gq/11</v>
      </c>
      <c r="L22" s="227">
        <f t="shared" si="10"/>
        <v>0</v>
      </c>
      <c r="M22" s="228">
        <f t="shared" si="11"/>
        <v>2</v>
      </c>
      <c r="N22" s="228">
        <f t="shared" si="12"/>
        <v>1</v>
      </c>
      <c r="O22" s="228">
        <f t="shared" si="13"/>
        <v>3</v>
      </c>
      <c r="P22" s="20">
        <f t="shared" si="14"/>
        <v>0</v>
      </c>
      <c r="Q22" s="19">
        <f t="shared" si="15"/>
        <v>30.341880341880341</v>
      </c>
      <c r="R22" s="19">
        <f t="shared" si="16"/>
        <v>100</v>
      </c>
      <c r="S22" s="19">
        <f t="shared" si="17"/>
        <v>11.728395061728394</v>
      </c>
      <c r="T22" s="20">
        <f t="shared" si="18"/>
        <v>0</v>
      </c>
      <c r="U22" s="19">
        <f t="shared" si="19"/>
        <v>0.38340000000000002</v>
      </c>
      <c r="V22" s="19">
        <f t="shared" si="20"/>
        <v>1.2636000000000001</v>
      </c>
      <c r="W22" s="19">
        <f t="shared" si="21"/>
        <v>0.1482</v>
      </c>
      <c r="X22" s="147" t="str">
        <f t="shared" si="22"/>
        <v>Gq</v>
      </c>
      <c r="Y22" s="32">
        <f t="shared" si="23"/>
        <v>0</v>
      </c>
      <c r="Z22" s="31">
        <f t="shared" si="24"/>
        <v>30.341880341880341</v>
      </c>
      <c r="AA22" s="31">
        <f t="shared" si="25"/>
        <v>100</v>
      </c>
      <c r="AB22" s="31">
        <f t="shared" si="26"/>
        <v>46.407090851535301</v>
      </c>
      <c r="AC22" s="31">
        <f t="shared" si="27"/>
        <v>11.728395061728394</v>
      </c>
      <c r="AD22" s="322">
        <f t="shared" si="28"/>
        <v>0</v>
      </c>
      <c r="AE22" s="309">
        <f t="shared" si="29"/>
        <v>0.38340000000000002</v>
      </c>
      <c r="AF22" s="309">
        <f t="shared" si="30"/>
        <v>1.2636000000000001</v>
      </c>
      <c r="AG22" s="309">
        <f t="shared" si="31"/>
        <v>0.58640000000000003</v>
      </c>
      <c r="AH22" s="309">
        <f t="shared" si="32"/>
        <v>0.1482</v>
      </c>
      <c r="AI22" s="322">
        <v>0</v>
      </c>
      <c r="AJ22" s="309">
        <v>0.38340000000000002</v>
      </c>
      <c r="AK22" s="309">
        <v>1.2636000000000001</v>
      </c>
      <c r="AL22" s="309">
        <v>0.58640000000000003</v>
      </c>
      <c r="AM22" s="309">
        <v>0.1482</v>
      </c>
      <c r="AN22" s="140">
        <v>0</v>
      </c>
      <c r="AO22" s="141">
        <v>8.77E-2</v>
      </c>
      <c r="AP22" s="141">
        <v>4.6399999999999997E-2</v>
      </c>
      <c r="AQ22" s="141">
        <v>4.9599999999999998E-2</v>
      </c>
      <c r="AR22" s="141">
        <v>1.2500000000000001E-2</v>
      </c>
      <c r="AS22" s="142">
        <v>0</v>
      </c>
      <c r="AT22" s="143">
        <v>2.1372000000000001E-3</v>
      </c>
      <c r="AU22" s="143">
        <v>0.12230000000000001</v>
      </c>
      <c r="AV22" s="143">
        <v>3.3300000000000003E-2</v>
      </c>
      <c r="AW22" s="143">
        <v>5.9220999999999996E-3</v>
      </c>
      <c r="AX22" s="142">
        <v>0</v>
      </c>
      <c r="AY22" s="143">
        <v>6.6E-3</v>
      </c>
      <c r="AZ22" s="143">
        <v>2.0999999999999999E-3</v>
      </c>
      <c r="BA22" s="143">
        <v>2.4667000000000001E-3</v>
      </c>
      <c r="BB22" s="143">
        <v>1.1015E-3</v>
      </c>
      <c r="BD22" s="50"/>
      <c r="BE22" s="179" t="s">
        <v>5240</v>
      </c>
      <c r="BF22" s="179" t="s">
        <v>135</v>
      </c>
      <c r="BG22" s="53" t="s">
        <v>15</v>
      </c>
      <c r="BI22" s="52" t="s">
        <v>136</v>
      </c>
      <c r="BJ22" s="52" t="s">
        <v>2854</v>
      </c>
      <c r="BK22" s="179">
        <v>100</v>
      </c>
      <c r="BL22" s="179" t="s">
        <v>5241</v>
      </c>
      <c r="BM22" s="179" t="s">
        <v>3039</v>
      </c>
      <c r="BN22" s="179" t="s">
        <v>3155</v>
      </c>
      <c r="BO22" s="52" t="s">
        <v>2866</v>
      </c>
      <c r="BP22" s="179" t="s">
        <v>3159</v>
      </c>
      <c r="BQ22" s="52" t="s">
        <v>3158</v>
      </c>
      <c r="BR22" s="179">
        <v>6</v>
      </c>
      <c r="BS22" s="179" t="s">
        <v>2848</v>
      </c>
    </row>
    <row r="23" spans="1:71" ht="18.75" customHeight="1">
      <c r="A23" s="51" t="s">
        <v>137</v>
      </c>
      <c r="B23" s="205" t="s">
        <v>5558</v>
      </c>
      <c r="C23" t="s">
        <v>583</v>
      </c>
      <c r="D23" s="19">
        <v>1204</v>
      </c>
      <c r="E23" s="9" t="s">
        <v>5200</v>
      </c>
      <c r="F23" s="20">
        <f t="shared" si="0"/>
        <v>1</v>
      </c>
      <c r="G23" s="19" t="str">
        <f t="shared" si="1"/>
        <v/>
      </c>
      <c r="H23" s="19">
        <f t="shared" si="2"/>
        <v>1</v>
      </c>
      <c r="I23" s="19" t="str">
        <f t="shared" si="3"/>
        <v/>
      </c>
      <c r="J23" s="225">
        <f t="shared" si="8"/>
        <v>2</v>
      </c>
      <c r="K23" s="226" t="str">
        <f t="shared" si="9"/>
        <v>Gs</v>
      </c>
      <c r="L23" s="227">
        <f t="shared" si="10"/>
        <v>1</v>
      </c>
      <c r="M23" s="228">
        <f t="shared" si="11"/>
        <v>0</v>
      </c>
      <c r="N23" s="228">
        <f t="shared" si="12"/>
        <v>2</v>
      </c>
      <c r="O23" s="228">
        <f t="shared" si="13"/>
        <v>0</v>
      </c>
      <c r="P23" s="20">
        <f t="shared" si="14"/>
        <v>100</v>
      </c>
      <c r="Q23" s="19">
        <f t="shared" si="15"/>
        <v>0</v>
      </c>
      <c r="R23" s="19">
        <f t="shared" si="16"/>
        <v>33.163590070019097</v>
      </c>
      <c r="S23" s="19">
        <f t="shared" si="17"/>
        <v>0</v>
      </c>
      <c r="T23" s="20">
        <f t="shared" si="18"/>
        <v>1.571</v>
      </c>
      <c r="U23" s="19">
        <f t="shared" si="19"/>
        <v>0</v>
      </c>
      <c r="V23" s="19">
        <f t="shared" si="20"/>
        <v>0.52100000000000002</v>
      </c>
      <c r="W23" s="19">
        <f t="shared" si="21"/>
        <v>0</v>
      </c>
      <c r="X23" s="147" t="str">
        <f t="shared" si="22"/>
        <v>GsL</v>
      </c>
      <c r="Y23" s="32">
        <f t="shared" si="23"/>
        <v>100</v>
      </c>
      <c r="Z23" s="31">
        <f t="shared" si="24"/>
        <v>0</v>
      </c>
      <c r="AA23" s="31">
        <f t="shared" si="25"/>
        <v>0</v>
      </c>
      <c r="AB23" s="31">
        <f t="shared" si="26"/>
        <v>33.163590070019097</v>
      </c>
      <c r="AC23" s="31">
        <f t="shared" si="27"/>
        <v>0</v>
      </c>
      <c r="AD23" s="322">
        <f t="shared" si="28"/>
        <v>1.571</v>
      </c>
      <c r="AE23" s="309">
        <f t="shared" si="29"/>
        <v>0</v>
      </c>
      <c r="AF23" s="309">
        <f t="shared" si="30"/>
        <v>0</v>
      </c>
      <c r="AG23" s="309">
        <f t="shared" si="31"/>
        <v>0.52100000000000002</v>
      </c>
      <c r="AH23" s="309">
        <f t="shared" si="32"/>
        <v>0</v>
      </c>
      <c r="AI23" s="322">
        <v>1.571</v>
      </c>
      <c r="AJ23" s="309">
        <v>0</v>
      </c>
      <c r="AK23" s="309">
        <v>0</v>
      </c>
      <c r="AL23" s="309">
        <v>0.52100000000000002</v>
      </c>
      <c r="AM23" s="309">
        <v>0</v>
      </c>
      <c r="AN23" s="140">
        <v>1.7899999999999999E-2</v>
      </c>
      <c r="AO23" s="141">
        <v>0</v>
      </c>
      <c r="AP23" s="141">
        <v>0</v>
      </c>
      <c r="AQ23" s="141">
        <v>1.8700000000000001E-2</v>
      </c>
      <c r="AR23" s="141">
        <v>0</v>
      </c>
      <c r="AS23" s="142">
        <v>8.9700000000000002E-2</v>
      </c>
      <c r="AT23" s="143">
        <v>0</v>
      </c>
      <c r="AU23" s="143">
        <v>0</v>
      </c>
      <c r="AV23" s="143">
        <v>1.03E-2</v>
      </c>
      <c r="AW23" s="143">
        <v>0</v>
      </c>
      <c r="AX23" s="142">
        <v>7.8102E-4</v>
      </c>
      <c r="AY23" s="143">
        <v>0</v>
      </c>
      <c r="AZ23" s="143">
        <v>0</v>
      </c>
      <c r="BA23" s="143">
        <v>2.4537999999999999E-3</v>
      </c>
      <c r="BB23" s="143">
        <v>0</v>
      </c>
      <c r="BD23" s="50"/>
      <c r="BE23" s="179" t="s">
        <v>5242</v>
      </c>
      <c r="BF23" s="179" t="s">
        <v>137</v>
      </c>
      <c r="BG23" s="53" t="s">
        <v>15</v>
      </c>
      <c r="BI23" s="52" t="s">
        <v>136</v>
      </c>
      <c r="BJ23" s="52" t="s">
        <v>2854</v>
      </c>
      <c r="BK23" s="179">
        <v>100</v>
      </c>
      <c r="BL23" s="179" t="s">
        <v>5243</v>
      </c>
      <c r="BM23" s="179" t="s">
        <v>3039</v>
      </c>
      <c r="BN23" s="179" t="s">
        <v>3155</v>
      </c>
      <c r="BO23" s="52" t="s">
        <v>2866</v>
      </c>
      <c r="BP23" s="179" t="s">
        <v>3157</v>
      </c>
      <c r="BQ23" s="52" t="s">
        <v>3156</v>
      </c>
      <c r="BR23" s="179">
        <v>6</v>
      </c>
      <c r="BS23" s="179" t="s">
        <v>2848</v>
      </c>
    </row>
    <row r="24" spans="1:71" ht="18.75" customHeight="1">
      <c r="A24" s="51" t="s">
        <v>138</v>
      </c>
      <c r="B24" s="205" t="s">
        <v>5558</v>
      </c>
      <c r="C24" t="s">
        <v>583</v>
      </c>
      <c r="D24" s="19">
        <v>1204</v>
      </c>
      <c r="E24" s="9" t="s">
        <v>5200</v>
      </c>
      <c r="F24" s="20" t="str">
        <f t="shared" si="0"/>
        <v/>
      </c>
      <c r="G24" s="19">
        <f t="shared" si="1"/>
        <v>1</v>
      </c>
      <c r="H24" s="19" t="str">
        <f t="shared" si="2"/>
        <v/>
      </c>
      <c r="I24" s="19" t="str">
        <f t="shared" si="3"/>
        <v/>
      </c>
      <c r="J24" s="225">
        <f t="shared" si="8"/>
        <v>1</v>
      </c>
      <c r="K24" s="226" t="str">
        <f t="shared" si="9"/>
        <v>Gi/o</v>
      </c>
      <c r="L24" s="227">
        <f t="shared" si="10"/>
        <v>0</v>
      </c>
      <c r="M24" s="228">
        <f t="shared" si="11"/>
        <v>1</v>
      </c>
      <c r="N24" s="228">
        <f t="shared" si="12"/>
        <v>0</v>
      </c>
      <c r="O24" s="228">
        <f t="shared" si="13"/>
        <v>0</v>
      </c>
      <c r="P24" s="20">
        <f t="shared" si="14"/>
        <v>0</v>
      </c>
      <c r="Q24" s="19">
        <f t="shared" si="15"/>
        <v>100</v>
      </c>
      <c r="R24" s="19">
        <f t="shared" si="16"/>
        <v>0</v>
      </c>
      <c r="S24" s="19">
        <f t="shared" si="17"/>
        <v>0</v>
      </c>
      <c r="T24" s="20">
        <f t="shared" si="18"/>
        <v>0</v>
      </c>
      <c r="U24" s="19">
        <f t="shared" si="19"/>
        <v>2.2599999999999998</v>
      </c>
      <c r="V24" s="19">
        <f t="shared" si="20"/>
        <v>0</v>
      </c>
      <c r="W24" s="19">
        <f t="shared" si="21"/>
        <v>0</v>
      </c>
      <c r="X24" s="147" t="str">
        <f t="shared" si="22"/>
        <v>GoA</v>
      </c>
      <c r="Y24" s="32">
        <f t="shared" si="23"/>
        <v>0</v>
      </c>
      <c r="Z24" s="31">
        <f t="shared" si="24"/>
        <v>100</v>
      </c>
      <c r="AA24" s="31">
        <f t="shared" si="25"/>
        <v>0</v>
      </c>
      <c r="AB24" s="31">
        <f t="shared" si="26"/>
        <v>0</v>
      </c>
      <c r="AC24" s="31">
        <f t="shared" si="27"/>
        <v>0</v>
      </c>
      <c r="AD24" s="322">
        <f t="shared" si="28"/>
        <v>0</v>
      </c>
      <c r="AE24" s="309">
        <f t="shared" si="29"/>
        <v>2.2599999999999998</v>
      </c>
      <c r="AF24" s="309">
        <f t="shared" si="30"/>
        <v>0</v>
      </c>
      <c r="AG24" s="309">
        <f t="shared" si="31"/>
        <v>0</v>
      </c>
      <c r="AH24" s="309">
        <f t="shared" si="32"/>
        <v>0</v>
      </c>
      <c r="AI24" s="322">
        <v>0</v>
      </c>
      <c r="AJ24" s="309">
        <v>2.2599999999999998</v>
      </c>
      <c r="AK24" s="309">
        <v>0</v>
      </c>
      <c r="AL24" s="309">
        <v>0</v>
      </c>
      <c r="AM24" s="309">
        <v>0</v>
      </c>
      <c r="AN24" s="140">
        <v>0</v>
      </c>
      <c r="AO24" s="141">
        <v>5.7700000000000001E-2</v>
      </c>
      <c r="AP24" s="141">
        <v>0</v>
      </c>
      <c r="AQ24" s="141">
        <v>0</v>
      </c>
      <c r="AR24" s="141">
        <v>0</v>
      </c>
      <c r="AS24" s="142">
        <v>0</v>
      </c>
      <c r="AT24" s="143">
        <v>0.1217</v>
      </c>
      <c r="AU24" s="143">
        <v>0</v>
      </c>
      <c r="AV24" s="143">
        <v>0</v>
      </c>
      <c r="AW24" s="143">
        <v>0</v>
      </c>
      <c r="AX24" s="142">
        <v>0</v>
      </c>
      <c r="AY24" s="143">
        <v>1.2E-2</v>
      </c>
      <c r="AZ24" s="143">
        <v>0</v>
      </c>
      <c r="BA24" s="143">
        <v>0</v>
      </c>
      <c r="BB24" s="143">
        <v>0</v>
      </c>
      <c r="BD24" s="50"/>
      <c r="BE24" s="179" t="s">
        <v>5244</v>
      </c>
      <c r="BF24" s="179" t="s">
        <v>138</v>
      </c>
      <c r="BG24" s="53" t="s">
        <v>15</v>
      </c>
      <c r="BI24" s="52" t="s">
        <v>136</v>
      </c>
      <c r="BJ24" s="52" t="s">
        <v>2854</v>
      </c>
      <c r="BK24" s="179">
        <v>100</v>
      </c>
      <c r="BL24" s="179" t="s">
        <v>5245</v>
      </c>
      <c r="BM24" s="179" t="s">
        <v>3039</v>
      </c>
      <c r="BN24" s="179" t="s">
        <v>3155</v>
      </c>
      <c r="BO24" s="52" t="s">
        <v>2866</v>
      </c>
      <c r="BP24" s="179" t="s">
        <v>3154</v>
      </c>
      <c r="BQ24" s="52" t="s">
        <v>3153</v>
      </c>
      <c r="BR24" s="179">
        <v>6</v>
      </c>
      <c r="BS24" s="179" t="s">
        <v>2848</v>
      </c>
    </row>
    <row r="25" spans="1:71" ht="18.75" customHeight="1">
      <c r="A25" s="88" t="s">
        <v>164</v>
      </c>
      <c r="B25" s="205" t="s">
        <v>5558</v>
      </c>
      <c r="C25" t="s">
        <v>583</v>
      </c>
      <c r="D25" s="19">
        <v>224</v>
      </c>
      <c r="E25" s="9" t="s">
        <v>5200</v>
      </c>
      <c r="F25" s="20" t="str">
        <f t="shared" si="0"/>
        <v/>
      </c>
      <c r="G25" s="19">
        <f t="shared" si="1"/>
        <v>1</v>
      </c>
      <c r="H25" s="19">
        <f t="shared" si="2"/>
        <v>1</v>
      </c>
      <c r="I25" s="19" t="str">
        <f t="shared" si="3"/>
        <v/>
      </c>
      <c r="J25" s="225">
        <f t="shared" si="8"/>
        <v>2</v>
      </c>
      <c r="K25" s="226" t="str">
        <f t="shared" si="9"/>
        <v>Gi/o</v>
      </c>
      <c r="L25" s="227">
        <f t="shared" si="10"/>
        <v>0</v>
      </c>
      <c r="M25" s="228">
        <f t="shared" si="11"/>
        <v>1</v>
      </c>
      <c r="N25" s="228">
        <f t="shared" si="12"/>
        <v>2</v>
      </c>
      <c r="O25" s="228">
        <f t="shared" si="13"/>
        <v>0</v>
      </c>
      <c r="P25" s="20">
        <f t="shared" si="14"/>
        <v>0</v>
      </c>
      <c r="Q25" s="19">
        <f t="shared" si="15"/>
        <v>100</v>
      </c>
      <c r="R25" s="19">
        <f t="shared" si="16"/>
        <v>5.8843595428961279</v>
      </c>
      <c r="S25" s="19">
        <f t="shared" si="17"/>
        <v>0</v>
      </c>
      <c r="T25" s="20">
        <f t="shared" si="18"/>
        <v>0</v>
      </c>
      <c r="U25" s="19">
        <f t="shared" si="19"/>
        <v>1.1726000000000001</v>
      </c>
      <c r="V25" s="19">
        <f t="shared" si="20"/>
        <v>6.9000000000000006E-2</v>
      </c>
      <c r="W25" s="19">
        <f t="shared" si="21"/>
        <v>0</v>
      </c>
      <c r="X25" s="147" t="str">
        <f t="shared" si="22"/>
        <v>GoA</v>
      </c>
      <c r="Y25" s="32">
        <f t="shared" si="23"/>
        <v>0</v>
      </c>
      <c r="Z25" s="31">
        <f t="shared" si="24"/>
        <v>100</v>
      </c>
      <c r="AA25" s="31">
        <f t="shared" si="25"/>
        <v>0</v>
      </c>
      <c r="AB25" s="31">
        <f t="shared" si="26"/>
        <v>5.8843595428961279</v>
      </c>
      <c r="AC25" s="31">
        <f t="shared" si="27"/>
        <v>0</v>
      </c>
      <c r="AD25" s="322">
        <f t="shared" si="28"/>
        <v>0</v>
      </c>
      <c r="AE25" s="309">
        <f t="shared" si="29"/>
        <v>1.1726000000000001</v>
      </c>
      <c r="AF25" s="309">
        <f t="shared" si="30"/>
        <v>0</v>
      </c>
      <c r="AG25" s="309">
        <f t="shared" si="31"/>
        <v>6.9000000000000006E-2</v>
      </c>
      <c r="AH25" s="309">
        <f t="shared" si="32"/>
        <v>0</v>
      </c>
      <c r="AI25" s="322">
        <v>0</v>
      </c>
      <c r="AJ25" s="309">
        <v>1.1726000000000001</v>
      </c>
      <c r="AK25" s="309">
        <v>0</v>
      </c>
      <c r="AL25" s="309">
        <v>6.9000000000000006E-2</v>
      </c>
      <c r="AM25" s="309">
        <v>0</v>
      </c>
      <c r="AN25" s="140">
        <v>0</v>
      </c>
      <c r="AO25" s="141">
        <v>5.0299999999999997E-2</v>
      </c>
      <c r="AP25" s="141">
        <v>0</v>
      </c>
      <c r="AQ25" s="141">
        <v>3.0800000000000001E-2</v>
      </c>
      <c r="AR25" s="141">
        <v>0</v>
      </c>
      <c r="AS25" s="142">
        <v>0</v>
      </c>
      <c r="AT25" s="143">
        <v>8.6300000000000002E-2</v>
      </c>
      <c r="AU25" s="143">
        <v>0</v>
      </c>
      <c r="AV25" s="143">
        <v>1.8415E-3</v>
      </c>
      <c r="AW25" s="143">
        <v>0</v>
      </c>
      <c r="AX25" s="142">
        <v>0</v>
      </c>
      <c r="AY25" s="143">
        <v>7.0064000000000003E-3</v>
      </c>
      <c r="AZ25" s="143">
        <v>0</v>
      </c>
      <c r="BA25" s="143">
        <v>5.0939000000000002E-3</v>
      </c>
      <c r="BB25" s="143">
        <v>0</v>
      </c>
      <c r="BD25" s="50"/>
      <c r="BE25" s="179" t="s">
        <v>5246</v>
      </c>
      <c r="BF25" s="179" t="s">
        <v>3152</v>
      </c>
      <c r="BG25" s="53" t="s">
        <v>15</v>
      </c>
      <c r="BI25" s="52" t="s">
        <v>165</v>
      </c>
      <c r="BJ25" s="52" t="s">
        <v>165</v>
      </c>
      <c r="BK25" s="179">
        <v>100</v>
      </c>
      <c r="BL25" s="179" t="s">
        <v>5247</v>
      </c>
      <c r="BM25" s="179" t="s">
        <v>2851</v>
      </c>
      <c r="BN25" s="179">
        <v>3550</v>
      </c>
      <c r="BO25" s="52" t="s">
        <v>2866</v>
      </c>
      <c r="BP25" s="179" t="s">
        <v>3151</v>
      </c>
      <c r="BQ25" s="52" t="s">
        <v>3150</v>
      </c>
      <c r="BR25" s="179">
        <v>1</v>
      </c>
      <c r="BS25" s="179" t="s">
        <v>2848</v>
      </c>
    </row>
    <row r="26" spans="1:71" ht="18.75" customHeight="1">
      <c r="A26" s="88" t="s">
        <v>166</v>
      </c>
      <c r="B26" s="205" t="s">
        <v>5558</v>
      </c>
      <c r="C26" t="s">
        <v>583</v>
      </c>
      <c r="D26" s="19">
        <v>224</v>
      </c>
      <c r="E26" s="9" t="s">
        <v>5200</v>
      </c>
      <c r="F26" s="20" t="str">
        <f t="shared" si="0"/>
        <v/>
      </c>
      <c r="G26" s="19">
        <f t="shared" si="1"/>
        <v>1</v>
      </c>
      <c r="H26" s="19">
        <f t="shared" si="2"/>
        <v>1</v>
      </c>
      <c r="I26" s="19" t="str">
        <f t="shared" si="3"/>
        <v/>
      </c>
      <c r="J26" s="225">
        <f t="shared" si="8"/>
        <v>2</v>
      </c>
      <c r="K26" s="226" t="str">
        <f t="shared" si="9"/>
        <v>Gi/o</v>
      </c>
      <c r="L26" s="227">
        <f t="shared" si="10"/>
        <v>0</v>
      </c>
      <c r="M26" s="228">
        <f t="shared" si="11"/>
        <v>1</v>
      </c>
      <c r="N26" s="228">
        <f t="shared" si="12"/>
        <v>2</v>
      </c>
      <c r="O26" s="228">
        <f t="shared" si="13"/>
        <v>0</v>
      </c>
      <c r="P26" s="20">
        <f t="shared" si="14"/>
        <v>0</v>
      </c>
      <c r="Q26" s="19">
        <f t="shared" si="15"/>
        <v>100</v>
      </c>
      <c r="R26" s="19">
        <f t="shared" si="16"/>
        <v>1.4012677745417166</v>
      </c>
      <c r="S26" s="19">
        <f t="shared" si="17"/>
        <v>0</v>
      </c>
      <c r="T26" s="20">
        <f t="shared" si="18"/>
        <v>0</v>
      </c>
      <c r="U26" s="19">
        <f t="shared" si="19"/>
        <v>0.5837</v>
      </c>
      <c r="V26" s="19">
        <f t="shared" si="20"/>
        <v>8.1791999999999993E-3</v>
      </c>
      <c r="W26" s="19">
        <f t="shared" si="21"/>
        <v>0</v>
      </c>
      <c r="X26" s="147" t="str">
        <f t="shared" si="22"/>
        <v>GoA</v>
      </c>
      <c r="Y26" s="32">
        <f t="shared" si="23"/>
        <v>0</v>
      </c>
      <c r="Z26" s="31">
        <f t="shared" si="24"/>
        <v>100</v>
      </c>
      <c r="AA26" s="31">
        <f t="shared" si="25"/>
        <v>0</v>
      </c>
      <c r="AB26" s="31">
        <f t="shared" si="26"/>
        <v>1.4012677745417166</v>
      </c>
      <c r="AC26" s="31">
        <f t="shared" si="27"/>
        <v>0</v>
      </c>
      <c r="AD26" s="322">
        <f t="shared" si="28"/>
        <v>0</v>
      </c>
      <c r="AE26" s="309">
        <f t="shared" si="29"/>
        <v>0.5837</v>
      </c>
      <c r="AF26" s="309">
        <f t="shared" si="30"/>
        <v>0</v>
      </c>
      <c r="AG26" s="309">
        <f t="shared" si="31"/>
        <v>8.1791999999999993E-3</v>
      </c>
      <c r="AH26" s="309">
        <f t="shared" si="32"/>
        <v>0</v>
      </c>
      <c r="AI26" s="322">
        <v>0</v>
      </c>
      <c r="AJ26" s="309">
        <v>0.5837</v>
      </c>
      <c r="AK26" s="309">
        <v>0</v>
      </c>
      <c r="AL26" s="309">
        <v>8.1791999999999993E-3</v>
      </c>
      <c r="AM26" s="309">
        <v>0</v>
      </c>
      <c r="AN26" s="140">
        <v>0</v>
      </c>
      <c r="AO26" s="141">
        <v>7.0699999999999999E-2</v>
      </c>
      <c r="AP26" s="141">
        <v>0</v>
      </c>
      <c r="AQ26" s="141">
        <v>1.37E-2</v>
      </c>
      <c r="AR26" s="141">
        <v>0</v>
      </c>
      <c r="AS26" s="142">
        <v>0</v>
      </c>
      <c r="AT26" s="143">
        <v>2.5499999999999998E-2</v>
      </c>
      <c r="AU26" s="143">
        <v>0</v>
      </c>
      <c r="AV26" s="143">
        <v>5.7510000000000005E-4</v>
      </c>
      <c r="AW26" s="143">
        <v>0</v>
      </c>
      <c r="AX26" s="142">
        <v>0</v>
      </c>
      <c r="AY26" s="143">
        <v>5.4346000000000004E-3</v>
      </c>
      <c r="AZ26" s="143">
        <v>0</v>
      </c>
      <c r="BA26" s="143">
        <v>1.2662000000000001E-3</v>
      </c>
      <c r="BB26" s="143">
        <v>0</v>
      </c>
      <c r="BD26" s="50"/>
      <c r="BE26" s="179" t="s">
        <v>5248</v>
      </c>
      <c r="BF26" s="179" t="s">
        <v>3149</v>
      </c>
      <c r="BG26" s="53" t="s">
        <v>15</v>
      </c>
      <c r="BI26" s="52" t="s">
        <v>165</v>
      </c>
      <c r="BJ26" s="52" t="s">
        <v>165</v>
      </c>
      <c r="BK26" s="179">
        <v>100</v>
      </c>
      <c r="BL26" s="179" t="s">
        <v>5249</v>
      </c>
      <c r="BM26" s="179" t="s">
        <v>2851</v>
      </c>
      <c r="BN26" s="179">
        <v>3550</v>
      </c>
      <c r="BO26" s="52" t="s">
        <v>2866</v>
      </c>
      <c r="BP26" s="179" t="s">
        <v>3148</v>
      </c>
      <c r="BQ26" s="52" t="s">
        <v>3147</v>
      </c>
      <c r="BR26" s="179">
        <v>12</v>
      </c>
      <c r="BS26" s="179" t="s">
        <v>2848</v>
      </c>
    </row>
    <row r="27" spans="1:71" ht="18.75" customHeight="1">
      <c r="A27" s="88" t="s">
        <v>223</v>
      </c>
      <c r="B27" s="205" t="s">
        <v>5558</v>
      </c>
      <c r="C27" t="s">
        <v>583</v>
      </c>
      <c r="D27" s="19">
        <v>2089</v>
      </c>
      <c r="E27" s="9" t="s">
        <v>5200</v>
      </c>
      <c r="F27" s="20" t="str">
        <f t="shared" si="0"/>
        <v/>
      </c>
      <c r="G27" s="19">
        <f t="shared" si="1"/>
        <v>1</v>
      </c>
      <c r="H27" s="19">
        <f t="shared" si="2"/>
        <v>1</v>
      </c>
      <c r="I27" s="19">
        <f t="shared" si="3"/>
        <v>1</v>
      </c>
      <c r="J27" s="225">
        <f t="shared" si="8"/>
        <v>3</v>
      </c>
      <c r="K27" s="226" t="str">
        <f t="shared" si="9"/>
        <v>Gq/11</v>
      </c>
      <c r="L27" s="227">
        <f t="shared" si="10"/>
        <v>0</v>
      </c>
      <c r="M27" s="228">
        <f t="shared" si="11"/>
        <v>2</v>
      </c>
      <c r="N27" s="228">
        <f t="shared" si="12"/>
        <v>1</v>
      </c>
      <c r="O27" s="228">
        <f t="shared" si="13"/>
        <v>3</v>
      </c>
      <c r="P27" s="20">
        <f t="shared" si="14"/>
        <v>0</v>
      </c>
      <c r="Q27" s="19">
        <f t="shared" si="15"/>
        <v>29.335860925012387</v>
      </c>
      <c r="R27" s="19">
        <f t="shared" si="16"/>
        <v>100</v>
      </c>
      <c r="S27" s="19">
        <f t="shared" si="17"/>
        <v>6.8051097563602685</v>
      </c>
      <c r="T27" s="20">
        <f t="shared" si="18"/>
        <v>0</v>
      </c>
      <c r="U27" s="19">
        <f t="shared" si="19"/>
        <v>1.3617999999999999</v>
      </c>
      <c r="V27" s="19">
        <f t="shared" si="20"/>
        <v>4.6421000000000001</v>
      </c>
      <c r="W27" s="19">
        <f t="shared" si="21"/>
        <v>0.31590000000000001</v>
      </c>
      <c r="X27" s="147" t="str">
        <f t="shared" si="22"/>
        <v>Gq</v>
      </c>
      <c r="Y27" s="32">
        <f t="shared" si="23"/>
        <v>0</v>
      </c>
      <c r="Z27" s="31">
        <f t="shared" si="24"/>
        <v>29.335860925012387</v>
      </c>
      <c r="AA27" s="31">
        <f t="shared" si="25"/>
        <v>100</v>
      </c>
      <c r="AB27" s="31">
        <f t="shared" si="26"/>
        <v>9.9222334719200358</v>
      </c>
      <c r="AC27" s="31">
        <f t="shared" si="27"/>
        <v>6.8051097563602685</v>
      </c>
      <c r="AD27" s="322">
        <f t="shared" si="28"/>
        <v>0</v>
      </c>
      <c r="AE27" s="309">
        <f t="shared" si="29"/>
        <v>1.3617999999999999</v>
      </c>
      <c r="AF27" s="309">
        <f t="shared" si="30"/>
        <v>4.6421000000000001</v>
      </c>
      <c r="AG27" s="309">
        <f t="shared" si="31"/>
        <v>0.46060000000000001</v>
      </c>
      <c r="AH27" s="309">
        <f t="shared" si="32"/>
        <v>0.31590000000000001</v>
      </c>
      <c r="AI27" s="322">
        <v>0</v>
      </c>
      <c r="AJ27" s="309">
        <v>1.3617999999999999</v>
      </c>
      <c r="AK27" s="309">
        <v>4.6421000000000001</v>
      </c>
      <c r="AL27" s="309">
        <v>0.46060000000000001</v>
      </c>
      <c r="AM27" s="309">
        <v>0.31590000000000001</v>
      </c>
      <c r="AN27" s="140">
        <v>0</v>
      </c>
      <c r="AO27" s="141">
        <v>5.9700000000000003E-2</v>
      </c>
      <c r="AP27" s="141">
        <v>3.2500000000000001E-2</v>
      </c>
      <c r="AQ27" s="141">
        <v>4.1700000000000001E-2</v>
      </c>
      <c r="AR27" s="141">
        <v>3.6299999999999999E-2</v>
      </c>
      <c r="AS27" s="142">
        <v>0</v>
      </c>
      <c r="AT27" s="143">
        <v>0.20849999999999999</v>
      </c>
      <c r="AU27" s="143">
        <v>0.59750000000000003</v>
      </c>
      <c r="AV27" s="143">
        <v>1.21E-2</v>
      </c>
      <c r="AW27" s="143">
        <v>1.9900000000000001E-2</v>
      </c>
      <c r="AX27" s="142">
        <v>0</v>
      </c>
      <c r="AY27" s="143">
        <v>9.4733000000000005E-3</v>
      </c>
      <c r="AZ27" s="143">
        <v>6.5367999999999997E-3</v>
      </c>
      <c r="BA27" s="143">
        <v>5.6255999999999997E-3</v>
      </c>
      <c r="BB27" s="143">
        <v>3.6074000000000002E-3</v>
      </c>
      <c r="BD27" s="50"/>
      <c r="BE27" s="179" t="s">
        <v>5250</v>
      </c>
      <c r="BF27" s="179" t="s">
        <v>3049</v>
      </c>
      <c r="BG27" s="53" t="s">
        <v>15</v>
      </c>
      <c r="BI27" s="52" t="s">
        <v>561</v>
      </c>
      <c r="BJ27" s="52" t="s">
        <v>44</v>
      </c>
      <c r="BK27" s="179">
        <v>100</v>
      </c>
      <c r="BL27" s="179" t="s">
        <v>5251</v>
      </c>
      <c r="BM27" s="179" t="s">
        <v>2900</v>
      </c>
      <c r="BN27" s="179" t="s">
        <v>3048</v>
      </c>
      <c r="BO27" s="52" t="s">
        <v>2866</v>
      </c>
      <c r="BP27" s="179" t="s">
        <v>3047</v>
      </c>
      <c r="BQ27" s="52" t="s">
        <v>3046</v>
      </c>
      <c r="BR27" s="179">
        <v>6</v>
      </c>
      <c r="BS27" s="179" t="s">
        <v>2848</v>
      </c>
    </row>
    <row r="28" spans="1:71" ht="18.75" customHeight="1">
      <c r="A28" s="88" t="s">
        <v>224</v>
      </c>
      <c r="B28" s="205" t="s">
        <v>5558</v>
      </c>
      <c r="C28" t="s">
        <v>583</v>
      </c>
      <c r="D28" s="19">
        <v>2090</v>
      </c>
      <c r="E28" s="9" t="s">
        <v>5200</v>
      </c>
      <c r="F28" s="20" t="str">
        <f t="shared" si="0"/>
        <v/>
      </c>
      <c r="G28" s="19">
        <f t="shared" si="1"/>
        <v>1</v>
      </c>
      <c r="H28" s="19">
        <f t="shared" si="2"/>
        <v>1</v>
      </c>
      <c r="I28" s="19">
        <f t="shared" si="3"/>
        <v>1</v>
      </c>
      <c r="J28" s="225">
        <f t="shared" si="8"/>
        <v>3</v>
      </c>
      <c r="K28" s="226" t="str">
        <f t="shared" si="9"/>
        <v>Gq/11</v>
      </c>
      <c r="L28" s="227">
        <f t="shared" si="10"/>
        <v>0</v>
      </c>
      <c r="M28" s="228">
        <f t="shared" si="11"/>
        <v>3</v>
      </c>
      <c r="N28" s="228">
        <f t="shared" si="12"/>
        <v>1</v>
      </c>
      <c r="O28" s="228">
        <f t="shared" si="13"/>
        <v>2</v>
      </c>
      <c r="P28" s="20">
        <f t="shared" si="14"/>
        <v>0</v>
      </c>
      <c r="Q28" s="19">
        <f t="shared" si="15"/>
        <v>6.6585280781304492</v>
      </c>
      <c r="R28" s="19">
        <f t="shared" si="16"/>
        <v>100</v>
      </c>
      <c r="S28" s="19">
        <f t="shared" si="17"/>
        <v>67.397976979420989</v>
      </c>
      <c r="T28" s="20">
        <f t="shared" si="18"/>
        <v>0</v>
      </c>
      <c r="U28" s="19">
        <f t="shared" si="19"/>
        <v>0.19089999999999999</v>
      </c>
      <c r="V28" s="19">
        <f t="shared" si="20"/>
        <v>2.867</v>
      </c>
      <c r="W28" s="19">
        <f t="shared" si="21"/>
        <v>1.9322999999999999</v>
      </c>
      <c r="X28" s="147" t="str">
        <f t="shared" si="22"/>
        <v>Gq</v>
      </c>
      <c r="Y28" s="32">
        <f t="shared" si="23"/>
        <v>0</v>
      </c>
      <c r="Z28" s="31">
        <f t="shared" si="24"/>
        <v>6.6585280781304492</v>
      </c>
      <c r="AA28" s="31">
        <f t="shared" si="25"/>
        <v>100</v>
      </c>
      <c r="AB28" s="31">
        <f t="shared" si="26"/>
        <v>15.245901639344261</v>
      </c>
      <c r="AC28" s="31">
        <f t="shared" si="27"/>
        <v>67.397976979420989</v>
      </c>
      <c r="AD28" s="322">
        <f t="shared" si="28"/>
        <v>0</v>
      </c>
      <c r="AE28" s="309">
        <f t="shared" si="29"/>
        <v>0.19089999999999999</v>
      </c>
      <c r="AF28" s="309">
        <f t="shared" si="30"/>
        <v>2.867</v>
      </c>
      <c r="AG28" s="309">
        <f t="shared" si="31"/>
        <v>0.43709999999999999</v>
      </c>
      <c r="AH28" s="309">
        <f t="shared" si="32"/>
        <v>1.9322999999999999</v>
      </c>
      <c r="AI28" s="322">
        <v>0</v>
      </c>
      <c r="AJ28" s="309">
        <v>0.19089999999999999</v>
      </c>
      <c r="AK28" s="309">
        <v>2.867</v>
      </c>
      <c r="AL28" s="309">
        <v>0.43709999999999999</v>
      </c>
      <c r="AM28" s="309">
        <v>1.9322999999999999</v>
      </c>
      <c r="AN28" s="140">
        <v>0</v>
      </c>
      <c r="AO28" s="141">
        <v>4.58E-2</v>
      </c>
      <c r="AP28" s="141">
        <v>3.4799999999999998E-2</v>
      </c>
      <c r="AQ28" s="141">
        <v>5.3199999999999997E-2</v>
      </c>
      <c r="AR28" s="141">
        <v>5.8900000000000001E-2</v>
      </c>
      <c r="AS28" s="142">
        <v>0</v>
      </c>
      <c r="AT28" s="143">
        <v>2.75E-2</v>
      </c>
      <c r="AU28" s="143">
        <v>0.156</v>
      </c>
      <c r="AV28" s="143">
        <v>1.6299999999999999E-2</v>
      </c>
      <c r="AW28" s="143">
        <v>0.2147</v>
      </c>
      <c r="AX28" s="142">
        <v>0</v>
      </c>
      <c r="AY28" s="143">
        <v>3.7777000000000002E-3</v>
      </c>
      <c r="AZ28" s="143">
        <v>8.1103999999999996E-4</v>
      </c>
      <c r="BA28" s="143">
        <v>5.9572999999999996E-3</v>
      </c>
      <c r="BB28" s="143">
        <v>3.6692000000000001E-3</v>
      </c>
      <c r="BD28" s="50"/>
      <c r="BE28" s="179" t="s">
        <v>5252</v>
      </c>
      <c r="BF28" s="179" t="s">
        <v>3045</v>
      </c>
      <c r="BG28" s="53" t="s">
        <v>15</v>
      </c>
      <c r="BI28" s="52" t="s">
        <v>3044</v>
      </c>
      <c r="BJ28" s="52" t="s">
        <v>44</v>
      </c>
      <c r="BK28" s="179">
        <v>10</v>
      </c>
      <c r="BL28" s="179" t="s">
        <v>5253</v>
      </c>
      <c r="BM28" s="179" t="s">
        <v>2916</v>
      </c>
      <c r="BN28" s="181" t="s">
        <v>3043</v>
      </c>
      <c r="BO28" s="52" t="s">
        <v>2866</v>
      </c>
      <c r="BP28" s="179" t="s">
        <v>3042</v>
      </c>
      <c r="BQ28" s="52" t="s">
        <v>3041</v>
      </c>
      <c r="BR28" s="179">
        <v>12</v>
      </c>
      <c r="BS28" s="179" t="s">
        <v>2848</v>
      </c>
    </row>
    <row r="29" spans="1:71" ht="18.75" customHeight="1">
      <c r="A29" s="88" t="s">
        <v>174</v>
      </c>
      <c r="B29" s="205" t="s">
        <v>5558</v>
      </c>
      <c r="C29" t="s">
        <v>583</v>
      </c>
      <c r="D29" s="19">
        <v>1479</v>
      </c>
      <c r="E29" s="9" t="s">
        <v>5200</v>
      </c>
      <c r="F29" s="20" t="str">
        <f t="shared" si="0"/>
        <v/>
      </c>
      <c r="G29" s="19">
        <f t="shared" si="1"/>
        <v>1</v>
      </c>
      <c r="H29" s="19">
        <f t="shared" si="2"/>
        <v>1</v>
      </c>
      <c r="I29" s="19" t="str">
        <f t="shared" si="3"/>
        <v/>
      </c>
      <c r="J29" s="225">
        <f t="shared" si="8"/>
        <v>2</v>
      </c>
      <c r="K29" s="226" t="str">
        <f t="shared" si="9"/>
        <v>Gi/o</v>
      </c>
      <c r="L29" s="227">
        <f t="shared" si="10"/>
        <v>0</v>
      </c>
      <c r="M29" s="228">
        <f t="shared" si="11"/>
        <v>1</v>
      </c>
      <c r="N29" s="228">
        <f t="shared" si="12"/>
        <v>2</v>
      </c>
      <c r="O29" s="228">
        <f t="shared" si="13"/>
        <v>0</v>
      </c>
      <c r="P29" s="20">
        <f t="shared" si="14"/>
        <v>0</v>
      </c>
      <c r="Q29" s="19">
        <f t="shared" si="15"/>
        <v>100</v>
      </c>
      <c r="R29" s="19">
        <f t="shared" si="16"/>
        <v>2.0986564675885062</v>
      </c>
      <c r="S29" s="19">
        <f t="shared" si="17"/>
        <v>0</v>
      </c>
      <c r="T29" s="20">
        <f t="shared" si="18"/>
        <v>0</v>
      </c>
      <c r="U29" s="19">
        <f t="shared" si="19"/>
        <v>1.0197000000000001</v>
      </c>
      <c r="V29" s="19">
        <f t="shared" si="20"/>
        <v>2.1399999999999999E-2</v>
      </c>
      <c r="W29" s="19">
        <f t="shared" si="21"/>
        <v>0</v>
      </c>
      <c r="X29" s="147" t="str">
        <f t="shared" si="22"/>
        <v>GoA</v>
      </c>
      <c r="Y29" s="32">
        <f t="shared" si="23"/>
        <v>0</v>
      </c>
      <c r="Z29" s="31">
        <f t="shared" si="24"/>
        <v>100</v>
      </c>
      <c r="AA29" s="31">
        <f t="shared" si="25"/>
        <v>0</v>
      </c>
      <c r="AB29" s="31">
        <f t="shared" si="26"/>
        <v>2.0986564675885062</v>
      </c>
      <c r="AC29" s="31">
        <f t="shared" si="27"/>
        <v>0</v>
      </c>
      <c r="AD29" s="322">
        <f t="shared" si="28"/>
        <v>0</v>
      </c>
      <c r="AE29" s="309">
        <f t="shared" si="29"/>
        <v>1.0197000000000001</v>
      </c>
      <c r="AF29" s="309">
        <f t="shared" si="30"/>
        <v>0</v>
      </c>
      <c r="AG29" s="309">
        <f t="shared" si="31"/>
        <v>2.1399999999999999E-2</v>
      </c>
      <c r="AH29" s="309">
        <f t="shared" si="32"/>
        <v>0</v>
      </c>
      <c r="AI29" s="322">
        <v>0</v>
      </c>
      <c r="AJ29" s="309">
        <v>1.0197000000000001</v>
      </c>
      <c r="AK29" s="309">
        <v>0</v>
      </c>
      <c r="AL29" s="309">
        <v>2.1399999999999999E-2</v>
      </c>
      <c r="AM29" s="309">
        <v>0</v>
      </c>
      <c r="AN29" s="140">
        <v>0</v>
      </c>
      <c r="AO29" s="141">
        <v>5.5800000000000002E-2</v>
      </c>
      <c r="AP29" s="141">
        <v>0</v>
      </c>
      <c r="AQ29" s="141">
        <v>1.2500000000000001E-2</v>
      </c>
      <c r="AR29" s="141">
        <v>0</v>
      </c>
      <c r="AS29" s="142">
        <v>0</v>
      </c>
      <c r="AT29" s="143">
        <v>0.25330000000000003</v>
      </c>
      <c r="AU29" s="143">
        <v>0</v>
      </c>
      <c r="AV29" s="143">
        <v>2.2604999999999999E-3</v>
      </c>
      <c r="AW29" s="143">
        <v>0</v>
      </c>
      <c r="AX29" s="142">
        <v>0</v>
      </c>
      <c r="AY29" s="143">
        <v>8.1723999999999998E-3</v>
      </c>
      <c r="AZ29" s="143">
        <v>0</v>
      </c>
      <c r="BA29" s="143">
        <v>1.0016999999999999E-3</v>
      </c>
      <c r="BB29" s="143">
        <v>0</v>
      </c>
      <c r="BD29" s="50"/>
      <c r="BE29" s="179" t="s">
        <v>5254</v>
      </c>
      <c r="BF29" s="179" t="s">
        <v>3015</v>
      </c>
      <c r="BG29" s="53" t="s">
        <v>15</v>
      </c>
      <c r="BI29" s="52" t="s">
        <v>237</v>
      </c>
      <c r="BJ29" s="52" t="s">
        <v>44</v>
      </c>
      <c r="BK29" s="179">
        <v>100</v>
      </c>
      <c r="BL29" s="179" t="s">
        <v>5255</v>
      </c>
      <c r="BM29" s="179" t="s">
        <v>2851</v>
      </c>
      <c r="BN29" s="179">
        <v>3137</v>
      </c>
      <c r="BO29" s="52" t="s">
        <v>2866</v>
      </c>
      <c r="BP29" s="179" t="s">
        <v>3014</v>
      </c>
      <c r="BQ29" s="52" t="s">
        <v>3013</v>
      </c>
      <c r="BR29" s="179">
        <v>12</v>
      </c>
      <c r="BS29" s="179" t="s">
        <v>2848</v>
      </c>
    </row>
    <row r="30" spans="1:71" ht="18.75" customHeight="1">
      <c r="A30" s="88" t="s">
        <v>184</v>
      </c>
      <c r="B30" s="205" t="s">
        <v>5558</v>
      </c>
      <c r="C30" t="s">
        <v>583</v>
      </c>
      <c r="D30" s="19">
        <v>1681</v>
      </c>
      <c r="E30" s="9" t="s">
        <v>5200</v>
      </c>
      <c r="F30" s="20" t="str">
        <f t="shared" si="0"/>
        <v/>
      </c>
      <c r="G30" s="19">
        <f t="shared" si="1"/>
        <v>1</v>
      </c>
      <c r="H30" s="19">
        <f t="shared" si="2"/>
        <v>1</v>
      </c>
      <c r="I30" s="19" t="str">
        <f t="shared" si="3"/>
        <v/>
      </c>
      <c r="J30" s="225">
        <f t="shared" si="8"/>
        <v>2</v>
      </c>
      <c r="K30" s="226" t="str">
        <f t="shared" si="9"/>
        <v>Gi/o</v>
      </c>
      <c r="L30" s="227">
        <f t="shared" si="10"/>
        <v>0</v>
      </c>
      <c r="M30" s="228">
        <f t="shared" si="11"/>
        <v>1</v>
      </c>
      <c r="N30" s="228">
        <f t="shared" si="12"/>
        <v>2</v>
      </c>
      <c r="O30" s="228">
        <f t="shared" si="13"/>
        <v>0</v>
      </c>
      <c r="P30" s="20">
        <f t="shared" si="14"/>
        <v>0</v>
      </c>
      <c r="Q30" s="19">
        <f t="shared" si="15"/>
        <v>100</v>
      </c>
      <c r="R30" s="19">
        <f t="shared" si="16"/>
        <v>1.1575670197872918</v>
      </c>
      <c r="S30" s="19">
        <f t="shared" si="17"/>
        <v>0</v>
      </c>
      <c r="T30" s="20">
        <f t="shared" si="18"/>
        <v>0</v>
      </c>
      <c r="U30" s="19">
        <f t="shared" si="19"/>
        <v>4.7858999999999998</v>
      </c>
      <c r="V30" s="19">
        <f t="shared" si="20"/>
        <v>5.5399999999999998E-2</v>
      </c>
      <c r="W30" s="19">
        <f t="shared" si="21"/>
        <v>0</v>
      </c>
      <c r="X30" s="147" t="str">
        <f t="shared" si="22"/>
        <v>GoA</v>
      </c>
      <c r="Y30" s="32">
        <f t="shared" si="23"/>
        <v>0</v>
      </c>
      <c r="Z30" s="31">
        <f t="shared" si="24"/>
        <v>100</v>
      </c>
      <c r="AA30" s="31">
        <f t="shared" si="25"/>
        <v>0</v>
      </c>
      <c r="AB30" s="31">
        <f t="shared" si="26"/>
        <v>1.1575670197872918</v>
      </c>
      <c r="AC30" s="31">
        <f t="shared" si="27"/>
        <v>0</v>
      </c>
      <c r="AD30" s="322">
        <f t="shared" si="28"/>
        <v>0</v>
      </c>
      <c r="AE30" s="309">
        <f t="shared" si="29"/>
        <v>4.7858999999999998</v>
      </c>
      <c r="AF30" s="309">
        <f t="shared" si="30"/>
        <v>0</v>
      </c>
      <c r="AG30" s="309">
        <f t="shared" si="31"/>
        <v>5.5399999999999998E-2</v>
      </c>
      <c r="AH30" s="309">
        <f t="shared" si="32"/>
        <v>0</v>
      </c>
      <c r="AI30" s="322">
        <v>0</v>
      </c>
      <c r="AJ30" s="309">
        <v>4.7858999999999998</v>
      </c>
      <c r="AK30" s="309">
        <v>0</v>
      </c>
      <c r="AL30" s="309">
        <v>5.5399999999999998E-2</v>
      </c>
      <c r="AM30" s="309">
        <v>0</v>
      </c>
      <c r="AN30" s="140">
        <v>0</v>
      </c>
      <c r="AO30" s="141">
        <v>9.1600000000000001E-2</v>
      </c>
      <c r="AP30" s="141">
        <v>0</v>
      </c>
      <c r="AQ30" s="141">
        <v>4.6600000000000003E-2</v>
      </c>
      <c r="AR30" s="141">
        <v>0</v>
      </c>
      <c r="AS30" s="142">
        <v>0</v>
      </c>
      <c r="AT30" s="143">
        <v>0.28710000000000002</v>
      </c>
      <c r="AU30" s="143">
        <v>0</v>
      </c>
      <c r="AV30" s="143">
        <v>2.9577000000000002E-3</v>
      </c>
      <c r="AW30" s="143">
        <v>0</v>
      </c>
      <c r="AX30" s="142">
        <v>0</v>
      </c>
      <c r="AY30" s="143">
        <v>1.14E-2</v>
      </c>
      <c r="AZ30" s="143">
        <v>0</v>
      </c>
      <c r="BA30" s="143">
        <v>6.3756000000000004E-3</v>
      </c>
      <c r="BB30" s="143">
        <v>0</v>
      </c>
      <c r="BD30" s="50"/>
      <c r="BE30" s="179" t="s">
        <v>185</v>
      </c>
      <c r="BF30" s="179" t="s">
        <v>3111</v>
      </c>
      <c r="BG30" s="53" t="s">
        <v>15</v>
      </c>
      <c r="BI30" s="52" t="s">
        <v>2716</v>
      </c>
      <c r="BJ30" s="52" t="s">
        <v>44</v>
      </c>
      <c r="BK30" s="180">
        <v>100</v>
      </c>
      <c r="BL30" s="180" t="s">
        <v>5256</v>
      </c>
      <c r="BM30" s="180" t="s">
        <v>2851</v>
      </c>
      <c r="BN30" s="182" t="s">
        <v>3110</v>
      </c>
      <c r="BO30" s="52" t="s">
        <v>2866</v>
      </c>
      <c r="BP30" s="179" t="s">
        <v>3109</v>
      </c>
      <c r="BQ30" s="52" t="s">
        <v>3108</v>
      </c>
      <c r="BR30" s="179">
        <v>1</v>
      </c>
      <c r="BS30" s="179" t="s">
        <v>2848</v>
      </c>
    </row>
    <row r="31" spans="1:71" ht="18.75" customHeight="1">
      <c r="A31" s="88" t="s">
        <v>227</v>
      </c>
      <c r="B31" s="205" t="s">
        <v>5558</v>
      </c>
      <c r="C31" t="s">
        <v>583</v>
      </c>
      <c r="D31" s="19">
        <v>2174</v>
      </c>
      <c r="E31" s="9" t="s">
        <v>5200</v>
      </c>
      <c r="F31" s="20" t="str">
        <f t="shared" si="0"/>
        <v/>
      </c>
      <c r="G31" s="19">
        <f t="shared" si="1"/>
        <v>1</v>
      </c>
      <c r="H31" s="19">
        <f t="shared" si="2"/>
        <v>1</v>
      </c>
      <c r="I31" s="19" t="str">
        <f t="shared" si="3"/>
        <v/>
      </c>
      <c r="J31" s="225">
        <f t="shared" si="8"/>
        <v>2</v>
      </c>
      <c r="K31" s="226" t="str">
        <f t="shared" si="9"/>
        <v>Gq/11</v>
      </c>
      <c r="L31" s="227">
        <f t="shared" si="10"/>
        <v>0</v>
      </c>
      <c r="M31" s="228">
        <f t="shared" si="11"/>
        <v>2</v>
      </c>
      <c r="N31" s="228">
        <f t="shared" si="12"/>
        <v>1</v>
      </c>
      <c r="O31" s="228">
        <f t="shared" si="13"/>
        <v>0</v>
      </c>
      <c r="P31" s="20">
        <f t="shared" si="14"/>
        <v>0</v>
      </c>
      <c r="Q31" s="19">
        <f t="shared" si="15"/>
        <v>13.04140127388535</v>
      </c>
      <c r="R31" s="19">
        <f t="shared" si="16"/>
        <v>100</v>
      </c>
      <c r="S31" s="19">
        <f t="shared" si="17"/>
        <v>0</v>
      </c>
      <c r="T31" s="20">
        <f t="shared" si="18"/>
        <v>0</v>
      </c>
      <c r="U31" s="19">
        <f t="shared" si="19"/>
        <v>8.1900000000000001E-2</v>
      </c>
      <c r="V31" s="19">
        <f t="shared" si="20"/>
        <v>0.628</v>
      </c>
      <c r="W31" s="19">
        <f t="shared" si="21"/>
        <v>0</v>
      </c>
      <c r="X31" s="147" t="str">
        <f t="shared" si="22"/>
        <v>Gq</v>
      </c>
      <c r="Y31" s="32">
        <f t="shared" si="23"/>
        <v>0</v>
      </c>
      <c r="Z31" s="31">
        <f t="shared" si="24"/>
        <v>13.04140127388535</v>
      </c>
      <c r="AA31" s="31">
        <f t="shared" si="25"/>
        <v>100</v>
      </c>
      <c r="AB31" s="31">
        <f t="shared" si="26"/>
        <v>17.35668789808917</v>
      </c>
      <c r="AC31" s="31">
        <f t="shared" si="27"/>
        <v>0</v>
      </c>
      <c r="AD31" s="322">
        <f t="shared" si="28"/>
        <v>0</v>
      </c>
      <c r="AE31" s="309">
        <f t="shared" si="29"/>
        <v>8.1900000000000001E-2</v>
      </c>
      <c r="AF31" s="309">
        <f t="shared" si="30"/>
        <v>0.628</v>
      </c>
      <c r="AG31" s="309">
        <f t="shared" si="31"/>
        <v>0.109</v>
      </c>
      <c r="AH31" s="309">
        <f t="shared" si="32"/>
        <v>0</v>
      </c>
      <c r="AI31" s="322">
        <v>0</v>
      </c>
      <c r="AJ31" s="309">
        <v>8.1900000000000001E-2</v>
      </c>
      <c r="AK31" s="309">
        <v>0.628</v>
      </c>
      <c r="AL31" s="309">
        <v>0.109</v>
      </c>
      <c r="AM31" s="309">
        <v>0</v>
      </c>
      <c r="AN31" s="140">
        <v>0</v>
      </c>
      <c r="AO31" s="141">
        <v>1.12E-2</v>
      </c>
      <c r="AP31" s="141">
        <v>3.2000000000000001E-2</v>
      </c>
      <c r="AQ31" s="141">
        <v>3.4299999999999997E-2</v>
      </c>
      <c r="AR31" s="141">
        <v>0</v>
      </c>
      <c r="AS31" s="142">
        <v>0</v>
      </c>
      <c r="AT31" s="143">
        <v>3.9938999999999999E-3</v>
      </c>
      <c r="AU31" s="143">
        <v>6.2399999999999997E-2</v>
      </c>
      <c r="AV31" s="143">
        <v>8.3893000000000006E-3</v>
      </c>
      <c r="AW31" s="143">
        <v>0</v>
      </c>
      <c r="AX31" s="142">
        <v>0</v>
      </c>
      <c r="AY31" s="143">
        <v>2.2636000000000002E-3</v>
      </c>
      <c r="AZ31" s="143">
        <v>2.4058E-3</v>
      </c>
      <c r="BA31" s="143">
        <v>1.3836E-3</v>
      </c>
      <c r="BB31" s="143">
        <v>0</v>
      </c>
      <c r="BD31" s="50"/>
      <c r="BE31" s="179" t="s">
        <v>2548</v>
      </c>
      <c r="BF31" s="179" t="s">
        <v>3025</v>
      </c>
      <c r="BG31" s="53" t="s">
        <v>15</v>
      </c>
      <c r="BI31" s="52" t="s">
        <v>2726</v>
      </c>
      <c r="BJ31" s="52" t="s">
        <v>44</v>
      </c>
      <c r="BK31" s="179">
        <v>100</v>
      </c>
      <c r="BL31" s="179" t="s">
        <v>5257</v>
      </c>
      <c r="BM31" s="179" t="s">
        <v>2890</v>
      </c>
      <c r="BN31" s="179" t="s">
        <v>3024</v>
      </c>
      <c r="BO31" s="52" t="s">
        <v>2866</v>
      </c>
      <c r="BP31" s="179" t="s">
        <v>3023</v>
      </c>
      <c r="BQ31" s="52" t="s">
        <v>3022</v>
      </c>
      <c r="BR31" s="179">
        <v>1</v>
      </c>
      <c r="BS31" s="179" t="s">
        <v>2848</v>
      </c>
    </row>
    <row r="32" spans="1:71" ht="18.75" customHeight="1">
      <c r="A32" s="88" t="s">
        <v>202</v>
      </c>
      <c r="B32" s="205" t="s">
        <v>5558</v>
      </c>
      <c r="C32" t="s">
        <v>2678</v>
      </c>
      <c r="D32" s="19">
        <v>1881</v>
      </c>
      <c r="E32" s="9" t="s">
        <v>5200</v>
      </c>
      <c r="F32" s="20">
        <f t="shared" si="0"/>
        <v>1</v>
      </c>
      <c r="G32" s="19" t="str">
        <f t="shared" si="1"/>
        <v/>
      </c>
      <c r="H32" s="19">
        <f t="shared" si="2"/>
        <v>1</v>
      </c>
      <c r="I32" s="19" t="str">
        <f t="shared" si="3"/>
        <v/>
      </c>
      <c r="J32" s="225">
        <f t="shared" si="8"/>
        <v>2</v>
      </c>
      <c r="K32" s="226" t="str">
        <f t="shared" si="9"/>
        <v>Gs</v>
      </c>
      <c r="L32" s="227">
        <f t="shared" si="10"/>
        <v>1</v>
      </c>
      <c r="M32" s="228">
        <f t="shared" si="11"/>
        <v>0</v>
      </c>
      <c r="N32" s="228">
        <f t="shared" si="12"/>
        <v>2</v>
      </c>
      <c r="O32" s="228">
        <f t="shared" si="13"/>
        <v>0</v>
      </c>
      <c r="P32" s="20">
        <f t="shared" si="14"/>
        <v>100</v>
      </c>
      <c r="Q32" s="19">
        <f t="shared" si="15"/>
        <v>0</v>
      </c>
      <c r="R32" s="19">
        <f t="shared" si="16"/>
        <v>21.858500527983104</v>
      </c>
      <c r="S32" s="19">
        <f t="shared" si="17"/>
        <v>0</v>
      </c>
      <c r="T32" s="20">
        <f t="shared" si="18"/>
        <v>0.94699999999999995</v>
      </c>
      <c r="U32" s="19">
        <f t="shared" si="19"/>
        <v>0</v>
      </c>
      <c r="V32" s="19">
        <f t="shared" si="20"/>
        <v>0.20699999999999999</v>
      </c>
      <c r="W32" s="19">
        <f t="shared" si="21"/>
        <v>0</v>
      </c>
      <c r="X32" s="147" t="str">
        <f t="shared" si="22"/>
        <v>GsL</v>
      </c>
      <c r="Y32" s="32">
        <f t="shared" si="23"/>
        <v>100</v>
      </c>
      <c r="Z32" s="31">
        <f t="shared" si="24"/>
        <v>0</v>
      </c>
      <c r="AA32" s="31">
        <f t="shared" si="25"/>
        <v>0</v>
      </c>
      <c r="AB32" s="31">
        <f t="shared" si="26"/>
        <v>21.858500527983104</v>
      </c>
      <c r="AC32" s="31">
        <f t="shared" si="27"/>
        <v>0</v>
      </c>
      <c r="AD32" s="322">
        <f t="shared" si="28"/>
        <v>0.94699999999999995</v>
      </c>
      <c r="AE32" s="309">
        <f t="shared" si="29"/>
        <v>0</v>
      </c>
      <c r="AF32" s="309">
        <f t="shared" si="30"/>
        <v>0</v>
      </c>
      <c r="AG32" s="309">
        <f t="shared" si="31"/>
        <v>0.20699999999999999</v>
      </c>
      <c r="AH32" s="309">
        <f t="shared" si="32"/>
        <v>0</v>
      </c>
      <c r="AI32" s="322">
        <v>0.94699999999999995</v>
      </c>
      <c r="AJ32" s="309">
        <v>0</v>
      </c>
      <c r="AK32" s="309">
        <v>0</v>
      </c>
      <c r="AL32" s="309">
        <v>0.20699999999999999</v>
      </c>
      <c r="AM32" s="309">
        <v>0</v>
      </c>
      <c r="AN32" s="140">
        <v>3.3799999999999997E-2</v>
      </c>
      <c r="AO32" s="141">
        <v>0</v>
      </c>
      <c r="AP32" s="141">
        <v>0</v>
      </c>
      <c r="AQ32" s="141">
        <v>3.6600000000000001E-2</v>
      </c>
      <c r="AR32" s="141">
        <v>0</v>
      </c>
      <c r="AS32" s="142">
        <v>2.3699999999999999E-2</v>
      </c>
      <c r="AT32" s="143">
        <v>0</v>
      </c>
      <c r="AU32" s="143">
        <v>0</v>
      </c>
      <c r="AV32" s="143">
        <v>6.6124E-3</v>
      </c>
      <c r="AW32" s="143">
        <v>0</v>
      </c>
      <c r="AX32" s="142">
        <v>3.0382999999999999E-3</v>
      </c>
      <c r="AY32" s="143">
        <v>0</v>
      </c>
      <c r="AZ32" s="143">
        <v>0</v>
      </c>
      <c r="BA32" s="143">
        <v>2.6673000000000001E-3</v>
      </c>
      <c r="BB32" s="143">
        <v>0</v>
      </c>
      <c r="BD32" s="50"/>
      <c r="BE32" s="179" t="s">
        <v>5258</v>
      </c>
      <c r="BF32" s="179" t="s">
        <v>2975</v>
      </c>
      <c r="BG32" s="53" t="s">
        <v>15</v>
      </c>
      <c r="BI32" s="52" t="s">
        <v>2719</v>
      </c>
      <c r="BJ32" s="52" t="s">
        <v>2964</v>
      </c>
      <c r="BK32" s="179">
        <v>100</v>
      </c>
      <c r="BL32" s="179" t="s">
        <v>5259</v>
      </c>
      <c r="BM32" s="179" t="s">
        <v>2855</v>
      </c>
      <c r="BN32" s="179">
        <v>12010</v>
      </c>
      <c r="BO32" s="52" t="s">
        <v>2866</v>
      </c>
      <c r="BP32" s="179" t="s">
        <v>2974</v>
      </c>
      <c r="BQ32" s="52" t="s">
        <v>2973</v>
      </c>
      <c r="BR32" s="179">
        <v>1</v>
      </c>
      <c r="BS32" s="179" t="s">
        <v>2848</v>
      </c>
    </row>
    <row r="33" spans="1:72" ht="18.75" customHeight="1">
      <c r="A33" s="88" t="s">
        <v>3573</v>
      </c>
      <c r="B33" s="205" t="s">
        <v>5558</v>
      </c>
      <c r="C33" t="s">
        <v>2678</v>
      </c>
      <c r="D33" s="19">
        <v>1881</v>
      </c>
      <c r="E33" s="9" t="s">
        <v>5200</v>
      </c>
      <c r="F33" s="20" t="str">
        <f t="shared" si="0"/>
        <v/>
      </c>
      <c r="G33" s="19">
        <f t="shared" si="1"/>
        <v>1</v>
      </c>
      <c r="H33" s="19" t="str">
        <f t="shared" si="2"/>
        <v/>
      </c>
      <c r="I33" s="19" t="str">
        <f t="shared" si="3"/>
        <v/>
      </c>
      <c r="J33" s="225">
        <f t="shared" si="8"/>
        <v>1</v>
      </c>
      <c r="K33" s="226" t="str">
        <f t="shared" si="9"/>
        <v>Gi/o</v>
      </c>
      <c r="L33" s="227">
        <f t="shared" si="10"/>
        <v>0</v>
      </c>
      <c r="M33" s="228">
        <f t="shared" si="11"/>
        <v>1</v>
      </c>
      <c r="N33" s="228">
        <f t="shared" si="12"/>
        <v>0</v>
      </c>
      <c r="O33" s="228">
        <f t="shared" si="13"/>
        <v>0</v>
      </c>
      <c r="P33" s="20">
        <f t="shared" si="14"/>
        <v>0</v>
      </c>
      <c r="Q33" s="19">
        <f t="shared" si="15"/>
        <v>100</v>
      </c>
      <c r="R33" s="19">
        <f t="shared" si="16"/>
        <v>0</v>
      </c>
      <c r="S33" s="19">
        <f t="shared" si="17"/>
        <v>0</v>
      </c>
      <c r="T33" s="20">
        <f t="shared" si="18"/>
        <v>0</v>
      </c>
      <c r="U33" s="19">
        <f t="shared" si="19"/>
        <v>0.61650000000000005</v>
      </c>
      <c r="V33" s="19">
        <f t="shared" si="20"/>
        <v>0</v>
      </c>
      <c r="W33" s="19">
        <f t="shared" si="21"/>
        <v>0</v>
      </c>
      <c r="X33" s="147" t="str">
        <f t="shared" si="22"/>
        <v>GoA</v>
      </c>
      <c r="Y33" s="32">
        <f t="shared" si="23"/>
        <v>0</v>
      </c>
      <c r="Z33" s="31">
        <f t="shared" si="24"/>
        <v>100</v>
      </c>
      <c r="AA33" s="31">
        <f t="shared" si="25"/>
        <v>0</v>
      </c>
      <c r="AB33" s="31">
        <f t="shared" si="26"/>
        <v>0</v>
      </c>
      <c r="AC33" s="31">
        <f t="shared" si="27"/>
        <v>0</v>
      </c>
      <c r="AD33" s="322">
        <f t="shared" si="28"/>
        <v>0</v>
      </c>
      <c r="AE33" s="309">
        <f t="shared" si="29"/>
        <v>0.61650000000000005</v>
      </c>
      <c r="AF33" s="309">
        <f t="shared" si="30"/>
        <v>0</v>
      </c>
      <c r="AG33" s="309">
        <f t="shared" si="31"/>
        <v>0</v>
      </c>
      <c r="AH33" s="309">
        <f t="shared" si="32"/>
        <v>0</v>
      </c>
      <c r="AI33" s="322">
        <v>0</v>
      </c>
      <c r="AJ33" s="309">
        <v>0.61650000000000005</v>
      </c>
      <c r="AK33" s="309">
        <v>0</v>
      </c>
      <c r="AL33" s="309">
        <v>0</v>
      </c>
      <c r="AM33" s="309">
        <v>0</v>
      </c>
      <c r="AN33" s="140">
        <v>0</v>
      </c>
      <c r="AO33" s="141">
        <v>0.1012</v>
      </c>
      <c r="AP33" s="141">
        <v>0</v>
      </c>
      <c r="AQ33" s="141">
        <v>0</v>
      </c>
      <c r="AR33" s="141">
        <v>0</v>
      </c>
      <c r="AS33" s="142">
        <v>0</v>
      </c>
      <c r="AT33" s="143">
        <v>5.1700000000000003E-2</v>
      </c>
      <c r="AU33" s="143">
        <v>0</v>
      </c>
      <c r="AV33" s="143">
        <v>0</v>
      </c>
      <c r="AW33" s="143">
        <v>0</v>
      </c>
      <c r="AX33" s="142">
        <v>0</v>
      </c>
      <c r="AY33" s="143">
        <v>1.03E-2</v>
      </c>
      <c r="AZ33" s="143">
        <v>0</v>
      </c>
      <c r="BA33" s="143">
        <v>0</v>
      </c>
      <c r="BB33" s="143">
        <v>0</v>
      </c>
      <c r="BD33" s="50"/>
      <c r="BE33" s="179" t="s">
        <v>5260</v>
      </c>
      <c r="BF33" s="179" t="s">
        <v>2972</v>
      </c>
      <c r="BG33" s="53" t="s">
        <v>15</v>
      </c>
      <c r="BI33" s="52" t="s">
        <v>2719</v>
      </c>
      <c r="BJ33" s="52" t="s">
        <v>2964</v>
      </c>
      <c r="BK33" s="179">
        <v>100</v>
      </c>
      <c r="BL33" s="179" t="s">
        <v>5261</v>
      </c>
      <c r="BM33" s="179" t="s">
        <v>2855</v>
      </c>
      <c r="BN33" s="179">
        <v>12010</v>
      </c>
      <c r="BO33" s="52" t="s">
        <v>2866</v>
      </c>
      <c r="BP33" s="179" t="s">
        <v>2971</v>
      </c>
      <c r="BQ33" s="52" t="s">
        <v>2970</v>
      </c>
      <c r="BR33" s="179">
        <v>4</v>
      </c>
      <c r="BS33" s="179" t="s">
        <v>2848</v>
      </c>
    </row>
    <row r="34" spans="1:72" ht="18.75" customHeight="1">
      <c r="A34" s="88" t="s">
        <v>203</v>
      </c>
      <c r="B34" s="205" t="s">
        <v>5558</v>
      </c>
      <c r="C34" t="s">
        <v>2678</v>
      </c>
      <c r="D34" s="19">
        <v>1883</v>
      </c>
      <c r="E34" s="9" t="s">
        <v>5200</v>
      </c>
      <c r="F34" s="20" t="str">
        <f t="shared" ref="F34:F65" si="33">IF(AI34&gt;0,1,"")</f>
        <v/>
      </c>
      <c r="G34" s="19">
        <f t="shared" ref="G34:G65" si="34">IF(AJ34&gt;0,1,"")</f>
        <v>1</v>
      </c>
      <c r="H34" s="19">
        <f t="shared" ref="H34:H65" si="35">IF(SUM(AK34:AL34)&gt;0,1,"")</f>
        <v>1</v>
      </c>
      <c r="I34" s="19" t="str">
        <f t="shared" ref="I34:I65" si="36">IF(AM34&gt;0,1,"")</f>
        <v/>
      </c>
      <c r="J34" s="225">
        <f t="shared" si="8"/>
        <v>2</v>
      </c>
      <c r="K34" s="226" t="str">
        <f t="shared" si="9"/>
        <v>Gq/11</v>
      </c>
      <c r="L34" s="227">
        <f t="shared" si="10"/>
        <v>0</v>
      </c>
      <c r="M34" s="228">
        <f t="shared" si="11"/>
        <v>2</v>
      </c>
      <c r="N34" s="228">
        <f t="shared" si="12"/>
        <v>1</v>
      </c>
      <c r="O34" s="228">
        <f t="shared" si="13"/>
        <v>0</v>
      </c>
      <c r="P34" s="20">
        <f t="shared" si="14"/>
        <v>0</v>
      </c>
      <c r="Q34" s="19">
        <f t="shared" si="15"/>
        <v>22.4748810153358</v>
      </c>
      <c r="R34" s="19">
        <f t="shared" si="16"/>
        <v>100</v>
      </c>
      <c r="S34" s="19">
        <f t="shared" si="17"/>
        <v>0</v>
      </c>
      <c r="T34" s="20">
        <f t="shared" si="18"/>
        <v>0</v>
      </c>
      <c r="U34" s="19">
        <f t="shared" si="19"/>
        <v>0.1275</v>
      </c>
      <c r="V34" s="19">
        <f t="shared" si="20"/>
        <v>0.56730000000000003</v>
      </c>
      <c r="W34" s="19">
        <f t="shared" si="21"/>
        <v>0</v>
      </c>
      <c r="X34" s="147" t="str">
        <f t="shared" si="22"/>
        <v>Gq</v>
      </c>
      <c r="Y34" s="32">
        <f t="shared" si="23"/>
        <v>0</v>
      </c>
      <c r="Z34" s="31">
        <f t="shared" si="24"/>
        <v>22.4748810153358</v>
      </c>
      <c r="AA34" s="31">
        <f t="shared" si="25"/>
        <v>100</v>
      </c>
      <c r="AB34" s="31">
        <f t="shared" si="26"/>
        <v>67.019213819848403</v>
      </c>
      <c r="AC34" s="31">
        <f t="shared" si="27"/>
        <v>0</v>
      </c>
      <c r="AD34" s="322">
        <f t="shared" si="28"/>
        <v>0</v>
      </c>
      <c r="AE34" s="309">
        <f t="shared" si="29"/>
        <v>0.1275</v>
      </c>
      <c r="AF34" s="309">
        <f t="shared" si="30"/>
        <v>0.56730000000000003</v>
      </c>
      <c r="AG34" s="309">
        <f t="shared" si="31"/>
        <v>0.38019999999999998</v>
      </c>
      <c r="AH34" s="309">
        <f t="shared" si="32"/>
        <v>0</v>
      </c>
      <c r="AI34" s="322">
        <v>0</v>
      </c>
      <c r="AJ34" s="309">
        <v>0.1275</v>
      </c>
      <c r="AK34" s="309">
        <v>0.56730000000000003</v>
      </c>
      <c r="AL34" s="309">
        <v>0.38019999999999998</v>
      </c>
      <c r="AM34" s="309">
        <v>0</v>
      </c>
      <c r="AN34" s="140">
        <v>0</v>
      </c>
      <c r="AO34" s="141">
        <v>2.3099999999999999E-2</v>
      </c>
      <c r="AP34" s="141">
        <v>4.1399999999999999E-2</v>
      </c>
      <c r="AQ34" s="141">
        <v>6.08E-2</v>
      </c>
      <c r="AR34" s="141">
        <v>0</v>
      </c>
      <c r="AS34" s="142">
        <v>0</v>
      </c>
      <c r="AT34" s="143">
        <v>8.5097000000000003E-3</v>
      </c>
      <c r="AU34" s="143">
        <v>9.1731999999999994E-3</v>
      </c>
      <c r="AV34" s="143">
        <v>1.46E-2</v>
      </c>
      <c r="AW34" s="143">
        <v>0</v>
      </c>
      <c r="AX34" s="142">
        <v>0</v>
      </c>
      <c r="AY34" s="143">
        <v>9.6089999999999999E-4</v>
      </c>
      <c r="AZ34" s="143">
        <v>3.9269999999999999E-3</v>
      </c>
      <c r="BA34" s="143">
        <v>4.8129000000000002E-3</v>
      </c>
      <c r="BB34" s="143">
        <v>0</v>
      </c>
      <c r="BD34" s="50"/>
      <c r="BE34" s="179" t="s">
        <v>5262</v>
      </c>
      <c r="BF34" s="179" t="s">
        <v>2987</v>
      </c>
      <c r="BG34" s="53" t="s">
        <v>15</v>
      </c>
      <c r="BI34" s="52" t="s">
        <v>2721</v>
      </c>
      <c r="BJ34" s="52" t="s">
        <v>2964</v>
      </c>
      <c r="BK34" s="179">
        <v>100</v>
      </c>
      <c r="BL34" s="179" t="s">
        <v>5263</v>
      </c>
      <c r="BM34" s="179" t="s">
        <v>2851</v>
      </c>
      <c r="BN34" s="179">
        <v>2296</v>
      </c>
      <c r="BO34" s="52" t="s">
        <v>2866</v>
      </c>
      <c r="BP34" s="179" t="s">
        <v>2986</v>
      </c>
      <c r="BQ34" s="52" t="s">
        <v>2985</v>
      </c>
      <c r="BR34" s="179">
        <v>12</v>
      </c>
      <c r="BS34" s="179" t="s">
        <v>2848</v>
      </c>
      <c r="BT34" s="52" t="s">
        <v>2984</v>
      </c>
    </row>
    <row r="35" spans="1:72" ht="18.75" customHeight="1">
      <c r="A35" s="88" t="s">
        <v>204</v>
      </c>
      <c r="B35" s="205" t="s">
        <v>5558</v>
      </c>
      <c r="C35" t="s">
        <v>2678</v>
      </c>
      <c r="D35" s="19">
        <v>1883</v>
      </c>
      <c r="E35" s="9" t="s">
        <v>5200</v>
      </c>
      <c r="F35" s="20">
        <f t="shared" si="33"/>
        <v>1</v>
      </c>
      <c r="G35" s="19" t="str">
        <f t="shared" si="34"/>
        <v/>
      </c>
      <c r="H35" s="19">
        <f t="shared" si="35"/>
        <v>1</v>
      </c>
      <c r="I35" s="19" t="str">
        <f t="shared" si="36"/>
        <v/>
      </c>
      <c r="J35" s="225">
        <f t="shared" si="8"/>
        <v>2</v>
      </c>
      <c r="K35" s="226" t="str">
        <f t="shared" si="9"/>
        <v>Gs</v>
      </c>
      <c r="L35" s="227">
        <f t="shared" si="10"/>
        <v>1</v>
      </c>
      <c r="M35" s="228">
        <f t="shared" si="11"/>
        <v>0</v>
      </c>
      <c r="N35" s="228">
        <f t="shared" si="12"/>
        <v>2</v>
      </c>
      <c r="O35" s="228">
        <f t="shared" si="13"/>
        <v>0</v>
      </c>
      <c r="P35" s="20">
        <f t="shared" si="14"/>
        <v>100</v>
      </c>
      <c r="Q35" s="19">
        <f t="shared" si="15"/>
        <v>0</v>
      </c>
      <c r="R35" s="19">
        <f t="shared" si="16"/>
        <v>2.4062713019768234</v>
      </c>
      <c r="S35" s="19">
        <f t="shared" si="17"/>
        <v>0</v>
      </c>
      <c r="T35" s="20">
        <f t="shared" si="18"/>
        <v>1.4670000000000001</v>
      </c>
      <c r="U35" s="19">
        <f t="shared" si="19"/>
        <v>0</v>
      </c>
      <c r="V35" s="19">
        <f t="shared" si="20"/>
        <v>3.5299999999999998E-2</v>
      </c>
      <c r="W35" s="19">
        <f t="shared" si="21"/>
        <v>0</v>
      </c>
      <c r="X35" s="147" t="str">
        <f t="shared" si="22"/>
        <v>GsL</v>
      </c>
      <c r="Y35" s="32">
        <f t="shared" si="23"/>
        <v>100</v>
      </c>
      <c r="Z35" s="31">
        <f t="shared" si="24"/>
        <v>0</v>
      </c>
      <c r="AA35" s="31">
        <f t="shared" si="25"/>
        <v>0</v>
      </c>
      <c r="AB35" s="31">
        <f t="shared" si="26"/>
        <v>2.4062713019768234</v>
      </c>
      <c r="AC35" s="31">
        <f t="shared" si="27"/>
        <v>0</v>
      </c>
      <c r="AD35" s="322">
        <f t="shared" si="28"/>
        <v>1.4670000000000001</v>
      </c>
      <c r="AE35" s="309">
        <f t="shared" si="29"/>
        <v>0</v>
      </c>
      <c r="AF35" s="309">
        <f t="shared" si="30"/>
        <v>0</v>
      </c>
      <c r="AG35" s="309">
        <f t="shared" si="31"/>
        <v>3.5299999999999998E-2</v>
      </c>
      <c r="AH35" s="309">
        <f t="shared" si="32"/>
        <v>0</v>
      </c>
      <c r="AI35" s="322">
        <v>1.4670000000000001</v>
      </c>
      <c r="AJ35" s="309">
        <v>0</v>
      </c>
      <c r="AK35" s="309">
        <v>0</v>
      </c>
      <c r="AL35" s="309">
        <v>3.5299999999999998E-2</v>
      </c>
      <c r="AM35" s="309">
        <v>0</v>
      </c>
      <c r="AN35" s="140">
        <v>2.8400000000000002E-2</v>
      </c>
      <c r="AO35" s="141">
        <v>0</v>
      </c>
      <c r="AP35" s="141">
        <v>0</v>
      </c>
      <c r="AQ35" s="141">
        <v>2.1999999999999999E-2</v>
      </c>
      <c r="AR35" s="141">
        <v>0</v>
      </c>
      <c r="AS35" s="142">
        <v>4.8399999999999999E-2</v>
      </c>
      <c r="AT35" s="143">
        <v>0</v>
      </c>
      <c r="AU35" s="143">
        <v>0</v>
      </c>
      <c r="AV35" s="143">
        <v>3.4675000000000001E-3</v>
      </c>
      <c r="AW35" s="143">
        <v>0</v>
      </c>
      <c r="AX35" s="142">
        <v>2.3383000000000002E-3</v>
      </c>
      <c r="AY35" s="143">
        <v>0</v>
      </c>
      <c r="AZ35" s="143">
        <v>0</v>
      </c>
      <c r="BA35" s="143">
        <v>2.4420000000000002E-3</v>
      </c>
      <c r="BB35" s="143">
        <v>0</v>
      </c>
      <c r="BD35" s="50"/>
      <c r="BE35" s="179" t="s">
        <v>5264</v>
      </c>
      <c r="BF35" s="179" t="s">
        <v>2983</v>
      </c>
      <c r="BG35" s="53" t="s">
        <v>15</v>
      </c>
      <c r="BI35" s="52" t="s">
        <v>2721</v>
      </c>
      <c r="BJ35" s="52" t="s">
        <v>2964</v>
      </c>
      <c r="BK35" s="179">
        <v>100</v>
      </c>
      <c r="BL35" s="179" t="s">
        <v>5265</v>
      </c>
      <c r="BM35" s="179" t="s">
        <v>2851</v>
      </c>
      <c r="BN35" s="179">
        <v>2296</v>
      </c>
      <c r="BO35" s="52" t="s">
        <v>2866</v>
      </c>
      <c r="BP35" s="179" t="s">
        <v>2982</v>
      </c>
      <c r="BQ35" s="52" t="s">
        <v>2981</v>
      </c>
      <c r="BR35" s="179">
        <v>12</v>
      </c>
      <c r="BS35" s="179" t="s">
        <v>2848</v>
      </c>
    </row>
    <row r="36" spans="1:72" ht="18.75" customHeight="1">
      <c r="A36" s="88" t="s">
        <v>205</v>
      </c>
      <c r="B36" s="205" t="s">
        <v>5558</v>
      </c>
      <c r="C36" t="s">
        <v>2678</v>
      </c>
      <c r="D36" s="19">
        <v>1883</v>
      </c>
      <c r="E36" s="9" t="s">
        <v>5200</v>
      </c>
      <c r="F36" s="20" t="str">
        <f t="shared" si="33"/>
        <v/>
      </c>
      <c r="G36" s="19">
        <f t="shared" si="34"/>
        <v>1</v>
      </c>
      <c r="H36" s="19">
        <f t="shared" si="35"/>
        <v>1</v>
      </c>
      <c r="I36" s="19">
        <f t="shared" si="36"/>
        <v>1</v>
      </c>
      <c r="J36" s="225">
        <f t="shared" si="8"/>
        <v>3</v>
      </c>
      <c r="K36" s="226" t="str">
        <f t="shared" si="9"/>
        <v>Gi/o</v>
      </c>
      <c r="L36" s="227">
        <f t="shared" si="10"/>
        <v>0</v>
      </c>
      <c r="M36" s="228">
        <f t="shared" si="11"/>
        <v>1</v>
      </c>
      <c r="N36" s="228">
        <f t="shared" si="12"/>
        <v>3</v>
      </c>
      <c r="O36" s="228">
        <f t="shared" si="13"/>
        <v>2</v>
      </c>
      <c r="P36" s="20">
        <f t="shared" si="14"/>
        <v>0</v>
      </c>
      <c r="Q36" s="19">
        <f t="shared" si="15"/>
        <v>100</v>
      </c>
      <c r="R36" s="19">
        <f t="shared" si="16"/>
        <v>1.7060652063905155</v>
      </c>
      <c r="S36" s="19">
        <f t="shared" si="17"/>
        <v>4.3880575435552664</v>
      </c>
      <c r="T36" s="20">
        <f t="shared" si="18"/>
        <v>0</v>
      </c>
      <c r="U36" s="19">
        <f t="shared" si="19"/>
        <v>1.3833</v>
      </c>
      <c r="V36" s="19">
        <f t="shared" si="20"/>
        <v>2.3599999999999999E-2</v>
      </c>
      <c r="W36" s="19">
        <f t="shared" si="21"/>
        <v>6.0699999999999997E-2</v>
      </c>
      <c r="X36" s="147" t="str">
        <f t="shared" si="22"/>
        <v>GoA</v>
      </c>
      <c r="Y36" s="32">
        <f t="shared" si="23"/>
        <v>0</v>
      </c>
      <c r="Z36" s="31">
        <f t="shared" si="24"/>
        <v>100</v>
      </c>
      <c r="AA36" s="31">
        <f t="shared" si="25"/>
        <v>0</v>
      </c>
      <c r="AB36" s="31">
        <f t="shared" si="26"/>
        <v>1.7060652063905155</v>
      </c>
      <c r="AC36" s="31">
        <f t="shared" si="27"/>
        <v>4.3880575435552664</v>
      </c>
      <c r="AD36" s="322">
        <f t="shared" si="28"/>
        <v>0</v>
      </c>
      <c r="AE36" s="309">
        <f t="shared" si="29"/>
        <v>1.3833</v>
      </c>
      <c r="AF36" s="309">
        <f t="shared" si="30"/>
        <v>0</v>
      </c>
      <c r="AG36" s="309">
        <f t="shared" si="31"/>
        <v>2.3599999999999999E-2</v>
      </c>
      <c r="AH36" s="309">
        <f t="shared" si="32"/>
        <v>6.0699999999999997E-2</v>
      </c>
      <c r="AI36" s="322">
        <v>0</v>
      </c>
      <c r="AJ36" s="309">
        <v>1.3833</v>
      </c>
      <c r="AK36" s="309">
        <v>0</v>
      </c>
      <c r="AL36" s="309">
        <v>2.3599999999999999E-2</v>
      </c>
      <c r="AM36" s="309">
        <v>6.0699999999999997E-2</v>
      </c>
      <c r="AN36" s="140">
        <v>0</v>
      </c>
      <c r="AO36" s="141">
        <v>7.85E-2</v>
      </c>
      <c r="AP36" s="141">
        <v>0</v>
      </c>
      <c r="AQ36" s="141">
        <v>3.5900000000000001E-2</v>
      </c>
      <c r="AR36" s="141">
        <v>3.3700000000000001E-2</v>
      </c>
      <c r="AS36" s="142">
        <v>0</v>
      </c>
      <c r="AT36" s="143">
        <v>6.4500000000000002E-2</v>
      </c>
      <c r="AU36" s="143">
        <v>0</v>
      </c>
      <c r="AV36" s="143">
        <v>1.1358E-3</v>
      </c>
      <c r="AW36" s="143">
        <v>2.5458E-3</v>
      </c>
      <c r="AX36" s="142">
        <v>0</v>
      </c>
      <c r="AY36" s="143">
        <v>6.5526999999999998E-3</v>
      </c>
      <c r="AZ36" s="143">
        <v>0</v>
      </c>
      <c r="BA36" s="143">
        <v>2.0999999999999999E-3</v>
      </c>
      <c r="BB36" s="143">
        <v>3.1248000000000001E-3</v>
      </c>
      <c r="BD36" s="50"/>
      <c r="BE36" s="179" t="s">
        <v>5266</v>
      </c>
      <c r="BF36" s="179" t="s">
        <v>2980</v>
      </c>
      <c r="BG36" s="53" t="s">
        <v>15</v>
      </c>
      <c r="BI36" s="52" t="s">
        <v>2721</v>
      </c>
      <c r="BJ36" s="52" t="s">
        <v>2964</v>
      </c>
      <c r="BK36" s="179">
        <v>100</v>
      </c>
      <c r="BL36" s="179" t="s">
        <v>5267</v>
      </c>
      <c r="BM36" s="179" t="s">
        <v>2851</v>
      </c>
      <c r="BN36" s="179">
        <v>2296</v>
      </c>
      <c r="BO36" s="52" t="s">
        <v>2850</v>
      </c>
      <c r="BP36" s="179" t="s">
        <v>2849</v>
      </c>
      <c r="BQ36" s="52" t="s">
        <v>2979</v>
      </c>
      <c r="BR36" s="179">
        <v>1</v>
      </c>
      <c r="BS36" s="179" t="s">
        <v>2848</v>
      </c>
    </row>
    <row r="37" spans="1:72" ht="18.75" customHeight="1">
      <c r="A37" s="88" t="s">
        <v>206</v>
      </c>
      <c r="B37" s="205" t="s">
        <v>5558</v>
      </c>
      <c r="C37" t="s">
        <v>2678</v>
      </c>
      <c r="D37" s="19">
        <v>1883</v>
      </c>
      <c r="E37" s="9" t="s">
        <v>5200</v>
      </c>
      <c r="F37" s="20">
        <f t="shared" si="33"/>
        <v>1</v>
      </c>
      <c r="G37" s="19">
        <f t="shared" si="34"/>
        <v>1</v>
      </c>
      <c r="H37" s="19">
        <f t="shared" si="35"/>
        <v>1</v>
      </c>
      <c r="I37" s="19">
        <f t="shared" si="36"/>
        <v>1</v>
      </c>
      <c r="J37" s="225">
        <f t="shared" si="8"/>
        <v>4</v>
      </c>
      <c r="K37" s="226" t="str">
        <f t="shared" si="9"/>
        <v>Gs</v>
      </c>
      <c r="L37" s="227">
        <f t="shared" si="10"/>
        <v>1</v>
      </c>
      <c r="M37" s="228">
        <f t="shared" si="11"/>
        <v>3</v>
      </c>
      <c r="N37" s="228">
        <f t="shared" si="12"/>
        <v>2</v>
      </c>
      <c r="O37" s="228">
        <f t="shared" si="13"/>
        <v>4</v>
      </c>
      <c r="P37" s="20">
        <f t="shared" si="14"/>
        <v>100</v>
      </c>
      <c r="Q37" s="19">
        <f t="shared" si="15"/>
        <v>5.5228191796649329</v>
      </c>
      <c r="R37" s="19">
        <f t="shared" si="16"/>
        <v>10.589254766031194</v>
      </c>
      <c r="S37" s="19">
        <f t="shared" si="17"/>
        <v>4.176776429809359</v>
      </c>
      <c r="T37" s="20">
        <f t="shared" si="18"/>
        <v>1.7310000000000001</v>
      </c>
      <c r="U37" s="19">
        <f t="shared" si="19"/>
        <v>9.5600000000000004E-2</v>
      </c>
      <c r="V37" s="19">
        <f t="shared" si="20"/>
        <v>0.18329999999999999</v>
      </c>
      <c r="W37" s="19">
        <f t="shared" si="21"/>
        <v>7.2300000000000003E-2</v>
      </c>
      <c r="X37" s="147" t="str">
        <f t="shared" si="22"/>
        <v>GsL</v>
      </c>
      <c r="Y37" s="32">
        <f t="shared" si="23"/>
        <v>100</v>
      </c>
      <c r="Z37" s="31">
        <f t="shared" si="24"/>
        <v>5.5228191796649329</v>
      </c>
      <c r="AA37" s="31">
        <f t="shared" si="25"/>
        <v>0</v>
      </c>
      <c r="AB37" s="31">
        <f t="shared" si="26"/>
        <v>10.589254766031194</v>
      </c>
      <c r="AC37" s="31">
        <f t="shared" si="27"/>
        <v>4.176776429809359</v>
      </c>
      <c r="AD37" s="322">
        <f t="shared" si="28"/>
        <v>1.7310000000000001</v>
      </c>
      <c r="AE37" s="309">
        <f t="shared" si="29"/>
        <v>9.5600000000000004E-2</v>
      </c>
      <c r="AF37" s="309">
        <f t="shared" si="30"/>
        <v>0</v>
      </c>
      <c r="AG37" s="309">
        <f t="shared" si="31"/>
        <v>0.18329999999999999</v>
      </c>
      <c r="AH37" s="309">
        <f t="shared" si="32"/>
        <v>7.2300000000000003E-2</v>
      </c>
      <c r="AI37" s="322">
        <v>1.7310000000000001</v>
      </c>
      <c r="AJ37" s="309">
        <v>9.5600000000000004E-2</v>
      </c>
      <c r="AK37" s="309">
        <v>0</v>
      </c>
      <c r="AL37" s="309">
        <v>0.18329999999999999</v>
      </c>
      <c r="AM37" s="309">
        <v>7.2300000000000003E-2</v>
      </c>
      <c r="AN37" s="140">
        <v>4.0800000000000003E-2</v>
      </c>
      <c r="AO37" s="141">
        <v>1.23E-2</v>
      </c>
      <c r="AP37" s="141">
        <v>0</v>
      </c>
      <c r="AQ37" s="141">
        <v>3.7699999999999997E-2</v>
      </c>
      <c r="AR37" s="141">
        <v>1.01E-2</v>
      </c>
      <c r="AS37" s="142">
        <v>9.1999999999999998E-2</v>
      </c>
      <c r="AT37" s="143">
        <v>1.29E-2</v>
      </c>
      <c r="AU37" s="143">
        <v>0</v>
      </c>
      <c r="AV37" s="143">
        <v>8.8673999999999992E-3</v>
      </c>
      <c r="AW37" s="143">
        <v>2.3067999999999999E-3</v>
      </c>
      <c r="AX37" s="142">
        <v>5.2735000000000004E-3</v>
      </c>
      <c r="AY37" s="143">
        <v>3.7796000000000001E-3</v>
      </c>
      <c r="AZ37" s="143">
        <v>0</v>
      </c>
      <c r="BA37" s="143">
        <v>1.2857999999999999E-3</v>
      </c>
      <c r="BB37" s="143">
        <v>1.268E-3</v>
      </c>
      <c r="BD37" s="50"/>
      <c r="BE37" s="179" t="s">
        <v>5268</v>
      </c>
      <c r="BF37" s="179" t="s">
        <v>2978</v>
      </c>
      <c r="BG37" s="53" t="s">
        <v>15</v>
      </c>
      <c r="BI37" s="52" t="s">
        <v>2721</v>
      </c>
      <c r="BJ37" s="52" t="s">
        <v>2964</v>
      </c>
      <c r="BK37" s="179">
        <v>100</v>
      </c>
      <c r="BL37" s="179" t="s">
        <v>5269</v>
      </c>
      <c r="BM37" s="179" t="s">
        <v>2851</v>
      </c>
      <c r="BN37" s="179">
        <v>2296</v>
      </c>
      <c r="BO37" s="52" t="s">
        <v>2866</v>
      </c>
      <c r="BP37" s="179" t="s">
        <v>2977</v>
      </c>
      <c r="BQ37" s="52" t="s">
        <v>2976</v>
      </c>
      <c r="BR37" s="179">
        <v>2</v>
      </c>
      <c r="BS37" s="179" t="s">
        <v>2848</v>
      </c>
    </row>
    <row r="38" spans="1:72" ht="18.75" customHeight="1">
      <c r="A38" s="51" t="s">
        <v>14</v>
      </c>
      <c r="B38" s="205" t="s">
        <v>5558</v>
      </c>
      <c r="C38" t="s">
        <v>583</v>
      </c>
      <c r="D38" s="19">
        <v>5</v>
      </c>
      <c r="E38" s="9" t="s">
        <v>5200</v>
      </c>
      <c r="F38" s="20" t="str">
        <f t="shared" si="33"/>
        <v/>
      </c>
      <c r="G38" s="19">
        <f t="shared" si="34"/>
        <v>1</v>
      </c>
      <c r="H38" s="19">
        <f t="shared" si="35"/>
        <v>1</v>
      </c>
      <c r="I38" s="19" t="str">
        <f t="shared" si="36"/>
        <v/>
      </c>
      <c r="J38" s="225">
        <f t="shared" si="8"/>
        <v>2</v>
      </c>
      <c r="K38" s="226" t="str">
        <f t="shared" si="9"/>
        <v>Gi/o</v>
      </c>
      <c r="L38" s="227">
        <f t="shared" si="10"/>
        <v>0</v>
      </c>
      <c r="M38" s="228">
        <f t="shared" si="11"/>
        <v>1</v>
      </c>
      <c r="N38" s="228">
        <f t="shared" si="12"/>
        <v>2</v>
      </c>
      <c r="O38" s="228">
        <f t="shared" si="13"/>
        <v>0</v>
      </c>
      <c r="P38" s="20">
        <f t="shared" si="14"/>
        <v>0</v>
      </c>
      <c r="Q38" s="19">
        <f t="shared" si="15"/>
        <v>100</v>
      </c>
      <c r="R38" s="19">
        <f t="shared" si="16"/>
        <v>0.68973955760594208</v>
      </c>
      <c r="S38" s="19">
        <f t="shared" si="17"/>
        <v>0</v>
      </c>
      <c r="T38" s="20">
        <f t="shared" si="18"/>
        <v>0</v>
      </c>
      <c r="U38" s="19">
        <f t="shared" si="19"/>
        <v>7.3554333333333339</v>
      </c>
      <c r="V38" s="19">
        <f t="shared" si="20"/>
        <v>5.0733333333333332E-2</v>
      </c>
      <c r="W38" s="19">
        <f t="shared" si="21"/>
        <v>0</v>
      </c>
      <c r="X38" s="147" t="str">
        <f t="shared" si="22"/>
        <v>GoA</v>
      </c>
      <c r="Y38" s="32">
        <f t="shared" si="23"/>
        <v>0</v>
      </c>
      <c r="Z38" s="31">
        <f t="shared" si="24"/>
        <v>100</v>
      </c>
      <c r="AA38" s="31">
        <f t="shared" si="25"/>
        <v>0</v>
      </c>
      <c r="AB38" s="31">
        <f t="shared" si="26"/>
        <v>0.68973955760594208</v>
      </c>
      <c r="AC38" s="31">
        <f t="shared" si="27"/>
        <v>0</v>
      </c>
      <c r="AD38" s="322">
        <f t="shared" si="28"/>
        <v>0</v>
      </c>
      <c r="AE38" s="309">
        <f t="shared" si="29"/>
        <v>7.3554333333333339</v>
      </c>
      <c r="AF38" s="309">
        <f t="shared" si="30"/>
        <v>0</v>
      </c>
      <c r="AG38" s="309">
        <f t="shared" si="31"/>
        <v>5.0733333333333332E-2</v>
      </c>
      <c r="AH38" s="309">
        <f t="shared" si="32"/>
        <v>0</v>
      </c>
      <c r="AI38" s="322">
        <v>0</v>
      </c>
      <c r="AJ38" s="309">
        <v>7.3554333333333339</v>
      </c>
      <c r="AK38" s="309">
        <v>0</v>
      </c>
      <c r="AL38" s="309">
        <v>5.0733333333333332E-2</v>
      </c>
      <c r="AM38" s="309">
        <v>0</v>
      </c>
      <c r="AN38" s="140">
        <v>0</v>
      </c>
      <c r="AO38" s="141">
        <v>8.6099999999999996E-2</v>
      </c>
      <c r="AP38" s="141">
        <v>0</v>
      </c>
      <c r="AQ38" s="141">
        <v>4.2700000000000002E-2</v>
      </c>
      <c r="AR38" s="141">
        <v>0</v>
      </c>
      <c r="AS38" s="142">
        <v>0</v>
      </c>
      <c r="AT38" s="143">
        <v>0.54259999999999997</v>
      </c>
      <c r="AU38" s="143">
        <v>0</v>
      </c>
      <c r="AV38" s="143">
        <v>1.9238E-3</v>
      </c>
      <c r="AW38" s="143">
        <v>0</v>
      </c>
      <c r="AX38" s="142">
        <v>0</v>
      </c>
      <c r="AY38" s="143">
        <v>2.8354999999999999E-3</v>
      </c>
      <c r="AZ38" s="143">
        <v>0</v>
      </c>
      <c r="BA38" s="143">
        <v>4.1860999999999999E-3</v>
      </c>
      <c r="BB38" s="143">
        <v>0</v>
      </c>
      <c r="BD38" s="50"/>
      <c r="BE38" s="179" t="s">
        <v>5270</v>
      </c>
      <c r="BF38" s="179" t="s">
        <v>3249</v>
      </c>
      <c r="BG38" s="53" t="s">
        <v>15</v>
      </c>
      <c r="BH38" s="74" t="s">
        <v>2749</v>
      </c>
      <c r="BI38" s="169" t="s">
        <v>243</v>
      </c>
      <c r="BJ38" s="52" t="s">
        <v>2854</v>
      </c>
      <c r="BK38" s="179">
        <v>100</v>
      </c>
      <c r="BL38" s="179" t="s">
        <v>5247</v>
      </c>
      <c r="BM38" s="179" t="s">
        <v>2851</v>
      </c>
      <c r="BN38" s="179">
        <v>3547</v>
      </c>
      <c r="BO38" s="52" t="s">
        <v>2866</v>
      </c>
      <c r="BP38" s="179" t="s">
        <v>3248</v>
      </c>
      <c r="BQ38" s="52" t="s">
        <v>3247</v>
      </c>
      <c r="BR38" s="179">
        <v>1</v>
      </c>
      <c r="BS38" s="179" t="s">
        <v>2848</v>
      </c>
      <c r="BT38" s="52" t="s">
        <v>3209</v>
      </c>
    </row>
    <row r="39" spans="1:72" ht="18.75" customHeight="1">
      <c r="A39" s="51" t="s">
        <v>16</v>
      </c>
      <c r="B39" s="205" t="s">
        <v>5558</v>
      </c>
      <c r="C39" t="s">
        <v>583</v>
      </c>
      <c r="D39" s="19">
        <v>5</v>
      </c>
      <c r="E39" s="9" t="s">
        <v>5200</v>
      </c>
      <c r="F39" s="20" t="str">
        <f t="shared" si="33"/>
        <v/>
      </c>
      <c r="G39" s="19">
        <f t="shared" si="34"/>
        <v>1</v>
      </c>
      <c r="H39" s="19" t="str">
        <f t="shared" si="35"/>
        <v/>
      </c>
      <c r="I39" s="19" t="str">
        <f t="shared" si="36"/>
        <v/>
      </c>
      <c r="J39" s="225">
        <f t="shared" si="8"/>
        <v>1</v>
      </c>
      <c r="K39" s="226" t="str">
        <f t="shared" si="9"/>
        <v>Gi/o</v>
      </c>
      <c r="L39" s="227">
        <f t="shared" si="10"/>
        <v>0</v>
      </c>
      <c r="M39" s="228">
        <f t="shared" si="11"/>
        <v>1</v>
      </c>
      <c r="N39" s="228">
        <f t="shared" si="12"/>
        <v>0</v>
      </c>
      <c r="O39" s="228">
        <f t="shared" si="13"/>
        <v>0</v>
      </c>
      <c r="P39" s="20">
        <f t="shared" si="14"/>
        <v>0</v>
      </c>
      <c r="Q39" s="19">
        <f t="shared" si="15"/>
        <v>100</v>
      </c>
      <c r="R39" s="19">
        <f t="shared" si="16"/>
        <v>0</v>
      </c>
      <c r="S39" s="19">
        <f t="shared" si="17"/>
        <v>0</v>
      </c>
      <c r="T39" s="20">
        <f t="shared" si="18"/>
        <v>0</v>
      </c>
      <c r="U39" s="19">
        <f t="shared" si="19"/>
        <v>0.3574</v>
      </c>
      <c r="V39" s="19">
        <f t="shared" si="20"/>
        <v>0</v>
      </c>
      <c r="W39" s="19">
        <f t="shared" si="21"/>
        <v>0</v>
      </c>
      <c r="X39" s="147" t="str">
        <f t="shared" si="22"/>
        <v>GoA</v>
      </c>
      <c r="Y39" s="32">
        <f t="shared" si="23"/>
        <v>0</v>
      </c>
      <c r="Z39" s="31">
        <f t="shared" si="24"/>
        <v>100</v>
      </c>
      <c r="AA39" s="31">
        <f t="shared" si="25"/>
        <v>0</v>
      </c>
      <c r="AB39" s="31">
        <f t="shared" si="26"/>
        <v>0</v>
      </c>
      <c r="AC39" s="31">
        <f t="shared" si="27"/>
        <v>0</v>
      </c>
      <c r="AD39" s="322">
        <f t="shared" si="28"/>
        <v>0</v>
      </c>
      <c r="AE39" s="309">
        <f t="shared" si="29"/>
        <v>0.3574</v>
      </c>
      <c r="AF39" s="309">
        <f t="shared" si="30"/>
        <v>0</v>
      </c>
      <c r="AG39" s="309">
        <f t="shared" si="31"/>
        <v>0</v>
      </c>
      <c r="AH39" s="309">
        <f t="shared" si="32"/>
        <v>0</v>
      </c>
      <c r="AI39" s="322">
        <v>0</v>
      </c>
      <c r="AJ39" s="309">
        <v>0.3574</v>
      </c>
      <c r="AK39" s="309">
        <v>0</v>
      </c>
      <c r="AL39" s="309">
        <v>0</v>
      </c>
      <c r="AM39" s="309">
        <v>0</v>
      </c>
      <c r="AN39" s="140">
        <v>0</v>
      </c>
      <c r="AO39" s="141">
        <v>0.1008</v>
      </c>
      <c r="AP39" s="141">
        <v>0</v>
      </c>
      <c r="AQ39" s="141">
        <v>0</v>
      </c>
      <c r="AR39" s="141">
        <v>0</v>
      </c>
      <c r="AS39" s="142">
        <v>0</v>
      </c>
      <c r="AT39" s="143">
        <v>9.3431E-3</v>
      </c>
      <c r="AU39" s="143">
        <v>0</v>
      </c>
      <c r="AV39" s="143">
        <v>0</v>
      </c>
      <c r="AW39" s="143">
        <v>0</v>
      </c>
      <c r="AX39" s="142">
        <v>0</v>
      </c>
      <c r="AY39" s="143">
        <v>8.7180999999999995E-3</v>
      </c>
      <c r="AZ39" s="143">
        <v>0</v>
      </c>
      <c r="BA39" s="143">
        <v>0</v>
      </c>
      <c r="BB39" s="143">
        <v>0</v>
      </c>
      <c r="BD39" s="50"/>
      <c r="BE39" s="179" t="s">
        <v>5271</v>
      </c>
      <c r="BF39" s="179" t="s">
        <v>3246</v>
      </c>
      <c r="BG39" s="53" t="s">
        <v>15</v>
      </c>
      <c r="BH39" s="74" t="s">
        <v>2749</v>
      </c>
      <c r="BI39" s="169" t="s">
        <v>243</v>
      </c>
      <c r="BJ39" s="52" t="s">
        <v>2854</v>
      </c>
      <c r="BK39" s="179">
        <v>100</v>
      </c>
      <c r="BL39" s="179" t="s">
        <v>5272</v>
      </c>
      <c r="BM39" s="179" t="s">
        <v>2851</v>
      </c>
      <c r="BN39" s="179">
        <v>3547</v>
      </c>
      <c r="BO39" s="52" t="s">
        <v>2866</v>
      </c>
      <c r="BP39" s="179" t="s">
        <v>3245</v>
      </c>
      <c r="BQ39" s="52" t="s">
        <v>3244</v>
      </c>
      <c r="BR39" s="179">
        <v>1</v>
      </c>
      <c r="BS39" s="179" t="s">
        <v>2848</v>
      </c>
      <c r="BT39" s="52" t="s">
        <v>3209</v>
      </c>
    </row>
    <row r="40" spans="1:72" ht="18.75" customHeight="1">
      <c r="A40" s="51" t="s">
        <v>17</v>
      </c>
      <c r="B40" s="205" t="s">
        <v>5558</v>
      </c>
      <c r="C40" t="s">
        <v>583</v>
      </c>
      <c r="D40" s="19">
        <v>5</v>
      </c>
      <c r="E40" s="9" t="s">
        <v>5200</v>
      </c>
      <c r="F40" s="20" t="str">
        <f t="shared" si="33"/>
        <v/>
      </c>
      <c r="G40" s="19">
        <f t="shared" si="34"/>
        <v>1</v>
      </c>
      <c r="H40" s="19" t="str">
        <f t="shared" si="35"/>
        <v/>
      </c>
      <c r="I40" s="19" t="str">
        <f t="shared" si="36"/>
        <v/>
      </c>
      <c r="J40" s="225">
        <f t="shared" si="8"/>
        <v>1</v>
      </c>
      <c r="K40" s="226" t="str">
        <f t="shared" si="9"/>
        <v>Gi/o</v>
      </c>
      <c r="L40" s="227">
        <f t="shared" si="10"/>
        <v>0</v>
      </c>
      <c r="M40" s="228">
        <f t="shared" si="11"/>
        <v>1</v>
      </c>
      <c r="N40" s="228">
        <f t="shared" si="12"/>
        <v>0</v>
      </c>
      <c r="O40" s="228">
        <f t="shared" si="13"/>
        <v>0</v>
      </c>
      <c r="P40" s="20">
        <f t="shared" si="14"/>
        <v>0</v>
      </c>
      <c r="Q40" s="19">
        <f t="shared" si="15"/>
        <v>100</v>
      </c>
      <c r="R40" s="19">
        <f t="shared" si="16"/>
        <v>0</v>
      </c>
      <c r="S40" s="19">
        <f t="shared" si="17"/>
        <v>0</v>
      </c>
      <c r="T40" s="20">
        <f t="shared" si="18"/>
        <v>0</v>
      </c>
      <c r="U40" s="19">
        <f t="shared" si="19"/>
        <v>0.21310000000000001</v>
      </c>
      <c r="V40" s="19">
        <f t="shared" si="20"/>
        <v>0</v>
      </c>
      <c r="W40" s="19">
        <f t="shared" si="21"/>
        <v>0</v>
      </c>
      <c r="X40" s="147" t="str">
        <f t="shared" si="22"/>
        <v>GoA</v>
      </c>
      <c r="Y40" s="32">
        <f t="shared" si="23"/>
        <v>0</v>
      </c>
      <c r="Z40" s="31">
        <f t="shared" si="24"/>
        <v>100</v>
      </c>
      <c r="AA40" s="31">
        <f t="shared" si="25"/>
        <v>0</v>
      </c>
      <c r="AB40" s="31">
        <f t="shared" si="26"/>
        <v>0</v>
      </c>
      <c r="AC40" s="31">
        <f t="shared" si="27"/>
        <v>0</v>
      </c>
      <c r="AD40" s="322">
        <f t="shared" si="28"/>
        <v>0</v>
      </c>
      <c r="AE40" s="309">
        <f t="shared" si="29"/>
        <v>0.21310000000000001</v>
      </c>
      <c r="AF40" s="309">
        <f t="shared" si="30"/>
        <v>0</v>
      </c>
      <c r="AG40" s="309">
        <f t="shared" si="31"/>
        <v>0</v>
      </c>
      <c r="AH40" s="309">
        <f t="shared" si="32"/>
        <v>0</v>
      </c>
      <c r="AI40" s="322">
        <v>0</v>
      </c>
      <c r="AJ40" s="309">
        <v>0.21310000000000001</v>
      </c>
      <c r="AK40" s="309">
        <v>0</v>
      </c>
      <c r="AL40" s="309">
        <v>0</v>
      </c>
      <c r="AM40" s="309">
        <v>0</v>
      </c>
      <c r="AN40" s="140">
        <v>0</v>
      </c>
      <c r="AO40" s="141">
        <v>5.8766666666666703E-2</v>
      </c>
      <c r="AP40" s="141">
        <v>0</v>
      </c>
      <c r="AQ40" s="141">
        <v>0</v>
      </c>
      <c r="AR40" s="141">
        <v>0</v>
      </c>
      <c r="AS40" s="142">
        <v>0</v>
      </c>
      <c r="AT40" s="143">
        <v>9.0127999999999996E-3</v>
      </c>
      <c r="AU40" s="143">
        <v>0</v>
      </c>
      <c r="AV40" s="143">
        <v>0</v>
      </c>
      <c r="AW40" s="143">
        <v>0</v>
      </c>
      <c r="AX40" s="142">
        <v>0</v>
      </c>
      <c r="AY40" s="143">
        <v>1.217E-3</v>
      </c>
      <c r="AZ40" s="143">
        <v>0</v>
      </c>
      <c r="BA40" s="143">
        <v>0</v>
      </c>
      <c r="BB40" s="143">
        <v>0</v>
      </c>
      <c r="BD40" s="50"/>
      <c r="BE40" s="179" t="s">
        <v>5273</v>
      </c>
      <c r="BF40" s="179" t="s">
        <v>3243</v>
      </c>
      <c r="BG40" s="53" t="s">
        <v>15</v>
      </c>
      <c r="BH40" s="74" t="s">
        <v>2749</v>
      </c>
      <c r="BI40" s="169" t="s">
        <v>243</v>
      </c>
      <c r="BJ40" s="52" t="s">
        <v>2854</v>
      </c>
      <c r="BK40" s="179">
        <v>100</v>
      </c>
      <c r="BL40" s="179" t="s">
        <v>5274</v>
      </c>
      <c r="BM40" s="179" t="s">
        <v>2851</v>
      </c>
      <c r="BN40" s="179">
        <v>3547</v>
      </c>
      <c r="BO40" s="52" t="s">
        <v>2866</v>
      </c>
      <c r="BP40" s="179" t="s">
        <v>3242</v>
      </c>
      <c r="BQ40" s="52" t="s">
        <v>3241</v>
      </c>
      <c r="BR40" s="179">
        <v>1</v>
      </c>
      <c r="BS40" s="179" t="s">
        <v>2848</v>
      </c>
      <c r="BT40" s="52" t="s">
        <v>3209</v>
      </c>
    </row>
    <row r="41" spans="1:72" ht="18.75" customHeight="1">
      <c r="A41" s="51" t="s">
        <v>18</v>
      </c>
      <c r="B41" s="205" t="s">
        <v>5558</v>
      </c>
      <c r="C41" t="s">
        <v>583</v>
      </c>
      <c r="D41" s="19">
        <v>5</v>
      </c>
      <c r="E41" s="9" t="s">
        <v>5200</v>
      </c>
      <c r="F41" s="20" t="str">
        <f t="shared" si="33"/>
        <v/>
      </c>
      <c r="G41" s="19">
        <f t="shared" si="34"/>
        <v>1</v>
      </c>
      <c r="H41" s="19">
        <f t="shared" si="35"/>
        <v>1</v>
      </c>
      <c r="I41" s="19" t="str">
        <f t="shared" si="36"/>
        <v/>
      </c>
      <c r="J41" s="225">
        <f t="shared" si="8"/>
        <v>2</v>
      </c>
      <c r="K41" s="226" t="str">
        <f t="shared" si="9"/>
        <v>Gi/o</v>
      </c>
      <c r="L41" s="227">
        <f t="shared" si="10"/>
        <v>0</v>
      </c>
      <c r="M41" s="228">
        <f t="shared" si="11"/>
        <v>1</v>
      </c>
      <c r="N41" s="228">
        <f t="shared" si="12"/>
        <v>2</v>
      </c>
      <c r="O41" s="228">
        <f t="shared" si="13"/>
        <v>0</v>
      </c>
      <c r="P41" s="20">
        <f t="shared" si="14"/>
        <v>0</v>
      </c>
      <c r="Q41" s="19">
        <f t="shared" si="15"/>
        <v>100</v>
      </c>
      <c r="R41" s="19">
        <f t="shared" si="16"/>
        <v>2.2591212018524796</v>
      </c>
      <c r="S41" s="19">
        <f t="shared" si="17"/>
        <v>0</v>
      </c>
      <c r="T41" s="20">
        <f t="shared" si="18"/>
        <v>0</v>
      </c>
      <c r="U41" s="19">
        <f t="shared" si="19"/>
        <v>0.88529999999999998</v>
      </c>
      <c r="V41" s="19">
        <f t="shared" si="20"/>
        <v>0.02</v>
      </c>
      <c r="W41" s="19">
        <f t="shared" si="21"/>
        <v>0</v>
      </c>
      <c r="X41" s="147" t="str">
        <f t="shared" si="22"/>
        <v>GoA</v>
      </c>
      <c r="Y41" s="32">
        <f t="shared" si="23"/>
        <v>0</v>
      </c>
      <c r="Z41" s="31">
        <f t="shared" si="24"/>
        <v>100</v>
      </c>
      <c r="AA41" s="31">
        <f t="shared" si="25"/>
        <v>0</v>
      </c>
      <c r="AB41" s="31">
        <f t="shared" si="26"/>
        <v>2.2591212018524796</v>
      </c>
      <c r="AC41" s="31">
        <f t="shared" si="27"/>
        <v>0</v>
      </c>
      <c r="AD41" s="322">
        <f t="shared" si="28"/>
        <v>0</v>
      </c>
      <c r="AE41" s="309">
        <f t="shared" si="29"/>
        <v>0.88529999999999998</v>
      </c>
      <c r="AF41" s="309">
        <f t="shared" si="30"/>
        <v>0</v>
      </c>
      <c r="AG41" s="309">
        <f t="shared" si="31"/>
        <v>0.02</v>
      </c>
      <c r="AH41" s="309">
        <f t="shared" si="32"/>
        <v>0</v>
      </c>
      <c r="AI41" s="322">
        <v>0</v>
      </c>
      <c r="AJ41" s="309">
        <v>0.88529999999999998</v>
      </c>
      <c r="AK41" s="309">
        <v>0</v>
      </c>
      <c r="AL41" s="309">
        <v>0.02</v>
      </c>
      <c r="AM41" s="309">
        <v>0</v>
      </c>
      <c r="AN41" s="140">
        <v>0</v>
      </c>
      <c r="AO41" s="141">
        <v>8.5599999999999996E-2</v>
      </c>
      <c r="AP41" s="141">
        <v>0</v>
      </c>
      <c r="AQ41" s="141">
        <v>1.72E-2</v>
      </c>
      <c r="AR41" s="141">
        <v>0</v>
      </c>
      <c r="AS41" s="142">
        <v>0</v>
      </c>
      <c r="AT41" s="143">
        <v>4.7800000000000002E-2</v>
      </c>
      <c r="AU41" s="143">
        <v>0</v>
      </c>
      <c r="AV41" s="143">
        <v>1.0899E-3</v>
      </c>
      <c r="AW41" s="143">
        <v>0</v>
      </c>
      <c r="AX41" s="142">
        <v>0</v>
      </c>
      <c r="AY41" s="143">
        <v>4.0000000000000002E-4</v>
      </c>
      <c r="AZ41" s="143">
        <v>0</v>
      </c>
      <c r="BA41" s="143">
        <v>2.0075000000000002E-3</v>
      </c>
      <c r="BB41" s="143">
        <v>0</v>
      </c>
      <c r="BD41" s="50"/>
      <c r="BE41" s="179" t="s">
        <v>5275</v>
      </c>
      <c r="BF41" s="179" t="s">
        <v>3240</v>
      </c>
      <c r="BG41" s="53" t="s">
        <v>15</v>
      </c>
      <c r="BH41" s="74" t="s">
        <v>2749</v>
      </c>
      <c r="BI41" s="169" t="s">
        <v>243</v>
      </c>
      <c r="BJ41" s="52" t="s">
        <v>2854</v>
      </c>
      <c r="BK41" s="179">
        <v>100</v>
      </c>
      <c r="BL41" s="179" t="s">
        <v>5276</v>
      </c>
      <c r="BM41" s="179" t="s">
        <v>2851</v>
      </c>
      <c r="BN41" s="179">
        <v>3547</v>
      </c>
      <c r="BO41" s="52" t="s">
        <v>2866</v>
      </c>
      <c r="BP41" s="179" t="s">
        <v>3239</v>
      </c>
      <c r="BQ41" s="52" t="s">
        <v>3238</v>
      </c>
      <c r="BR41" s="179">
        <v>1</v>
      </c>
      <c r="BS41" s="179" t="s">
        <v>2848</v>
      </c>
      <c r="BT41" s="52" t="s">
        <v>3209</v>
      </c>
    </row>
    <row r="42" spans="1:72" ht="18.75" customHeight="1">
      <c r="A42" s="51" t="s">
        <v>19</v>
      </c>
      <c r="B42" s="205" t="s">
        <v>5558</v>
      </c>
      <c r="C42" t="s">
        <v>583</v>
      </c>
      <c r="D42" s="19">
        <v>5</v>
      </c>
      <c r="E42" s="9" t="s">
        <v>5200</v>
      </c>
      <c r="F42" s="20" t="str">
        <f t="shared" si="33"/>
        <v/>
      </c>
      <c r="G42" s="19">
        <f t="shared" si="34"/>
        <v>1</v>
      </c>
      <c r="H42" s="19" t="str">
        <f t="shared" si="35"/>
        <v/>
      </c>
      <c r="I42" s="19" t="str">
        <f t="shared" si="36"/>
        <v/>
      </c>
      <c r="J42" s="225">
        <f t="shared" si="8"/>
        <v>1</v>
      </c>
      <c r="K42" s="226" t="str">
        <f t="shared" si="9"/>
        <v>Gi/o</v>
      </c>
      <c r="L42" s="227">
        <f t="shared" si="10"/>
        <v>0</v>
      </c>
      <c r="M42" s="228">
        <f t="shared" si="11"/>
        <v>1</v>
      </c>
      <c r="N42" s="228">
        <f t="shared" si="12"/>
        <v>0</v>
      </c>
      <c r="O42" s="228">
        <f t="shared" si="13"/>
        <v>0</v>
      </c>
      <c r="P42" s="20">
        <f t="shared" si="14"/>
        <v>0</v>
      </c>
      <c r="Q42" s="19">
        <f t="shared" si="15"/>
        <v>100</v>
      </c>
      <c r="R42" s="19">
        <f t="shared" si="16"/>
        <v>0</v>
      </c>
      <c r="S42" s="19">
        <f t="shared" si="17"/>
        <v>0</v>
      </c>
      <c r="T42" s="20">
        <f t="shared" si="18"/>
        <v>0</v>
      </c>
      <c r="U42" s="19">
        <f t="shared" si="19"/>
        <v>0.39429999999999998</v>
      </c>
      <c r="V42" s="19">
        <f t="shared" si="20"/>
        <v>0</v>
      </c>
      <c r="W42" s="19">
        <f t="shared" si="21"/>
        <v>0</v>
      </c>
      <c r="X42" s="147" t="str">
        <f t="shared" si="22"/>
        <v>GoA</v>
      </c>
      <c r="Y42" s="32">
        <f t="shared" si="23"/>
        <v>0</v>
      </c>
      <c r="Z42" s="31">
        <f t="shared" si="24"/>
        <v>100</v>
      </c>
      <c r="AA42" s="31">
        <f t="shared" si="25"/>
        <v>0</v>
      </c>
      <c r="AB42" s="31">
        <f t="shared" si="26"/>
        <v>0</v>
      </c>
      <c r="AC42" s="31">
        <f t="shared" si="27"/>
        <v>0</v>
      </c>
      <c r="AD42" s="322">
        <f t="shared" si="28"/>
        <v>0</v>
      </c>
      <c r="AE42" s="309">
        <f t="shared" si="29"/>
        <v>0.39429999999999998</v>
      </c>
      <c r="AF42" s="309">
        <f t="shared" si="30"/>
        <v>0</v>
      </c>
      <c r="AG42" s="309">
        <f t="shared" si="31"/>
        <v>0</v>
      </c>
      <c r="AH42" s="309">
        <f t="shared" si="32"/>
        <v>0</v>
      </c>
      <c r="AI42" s="322">
        <v>0</v>
      </c>
      <c r="AJ42" s="309">
        <v>0.39429999999999998</v>
      </c>
      <c r="AK42" s="309">
        <v>0</v>
      </c>
      <c r="AL42" s="309">
        <v>0</v>
      </c>
      <c r="AM42" s="309">
        <v>0</v>
      </c>
      <c r="AN42" s="140">
        <v>0</v>
      </c>
      <c r="AO42" s="141">
        <v>3.5000000000000003E-2</v>
      </c>
      <c r="AP42" s="141">
        <v>0</v>
      </c>
      <c r="AQ42" s="141">
        <v>0</v>
      </c>
      <c r="AR42" s="141">
        <v>0</v>
      </c>
      <c r="AS42" s="142">
        <v>0</v>
      </c>
      <c r="AT42" s="143">
        <v>1.3599999999999999E-2</v>
      </c>
      <c r="AU42" s="143">
        <v>0</v>
      </c>
      <c r="AV42" s="143">
        <v>0</v>
      </c>
      <c r="AW42" s="143">
        <v>0</v>
      </c>
      <c r="AX42" s="142">
        <v>0</v>
      </c>
      <c r="AY42" s="143">
        <v>1.4723E-3</v>
      </c>
      <c r="AZ42" s="143">
        <v>0</v>
      </c>
      <c r="BA42" s="143">
        <v>0</v>
      </c>
      <c r="BB42" s="143">
        <v>0</v>
      </c>
      <c r="BD42" s="50"/>
      <c r="BE42" s="179" t="s">
        <v>5277</v>
      </c>
      <c r="BF42" s="179" t="s">
        <v>3237</v>
      </c>
      <c r="BG42" s="53" t="s">
        <v>15</v>
      </c>
      <c r="BH42" s="74" t="s">
        <v>2749</v>
      </c>
      <c r="BI42" s="169" t="s">
        <v>243</v>
      </c>
      <c r="BJ42" s="52" t="s">
        <v>2854</v>
      </c>
      <c r="BK42" s="179">
        <v>100</v>
      </c>
      <c r="BL42" s="179" t="s">
        <v>5278</v>
      </c>
      <c r="BM42" s="179" t="s">
        <v>2851</v>
      </c>
      <c r="BN42" s="179">
        <v>3547</v>
      </c>
      <c r="BO42" s="52" t="s">
        <v>2866</v>
      </c>
      <c r="BP42" s="179" t="s">
        <v>3236</v>
      </c>
      <c r="BQ42" s="52" t="s">
        <v>3235</v>
      </c>
      <c r="BR42" s="179">
        <v>1</v>
      </c>
      <c r="BS42" s="179" t="s">
        <v>2848</v>
      </c>
      <c r="BT42" s="52" t="s">
        <v>3209</v>
      </c>
    </row>
    <row r="43" spans="1:72" ht="18.75" customHeight="1">
      <c r="A43" s="51" t="s">
        <v>20</v>
      </c>
      <c r="B43" s="205" t="s">
        <v>5558</v>
      </c>
      <c r="C43" t="s">
        <v>583</v>
      </c>
      <c r="D43" s="19">
        <v>5</v>
      </c>
      <c r="E43" s="9" t="s">
        <v>5200</v>
      </c>
      <c r="F43" s="20" t="str">
        <f t="shared" si="33"/>
        <v/>
      </c>
      <c r="G43" s="19">
        <f t="shared" si="34"/>
        <v>1</v>
      </c>
      <c r="H43" s="19">
        <f t="shared" si="35"/>
        <v>1</v>
      </c>
      <c r="I43" s="19" t="str">
        <f t="shared" si="36"/>
        <v/>
      </c>
      <c r="J43" s="225">
        <f t="shared" si="8"/>
        <v>2</v>
      </c>
      <c r="K43" s="226" t="str">
        <f t="shared" si="9"/>
        <v>Gq/11</v>
      </c>
      <c r="L43" s="227">
        <f t="shared" si="10"/>
        <v>0</v>
      </c>
      <c r="M43" s="228">
        <f t="shared" si="11"/>
        <v>2</v>
      </c>
      <c r="N43" s="228">
        <f t="shared" si="12"/>
        <v>1</v>
      </c>
      <c r="O43" s="228">
        <f t="shared" si="13"/>
        <v>0</v>
      </c>
      <c r="P43" s="20">
        <f t="shared" si="14"/>
        <v>0</v>
      </c>
      <c r="Q43" s="19">
        <f t="shared" si="15"/>
        <v>12.269462240341682</v>
      </c>
      <c r="R43" s="19">
        <f t="shared" si="16"/>
        <v>100</v>
      </c>
      <c r="S43" s="19">
        <f t="shared" si="17"/>
        <v>0</v>
      </c>
      <c r="T43" s="20">
        <f t="shared" si="18"/>
        <v>0</v>
      </c>
      <c r="U43" s="19">
        <f t="shared" si="19"/>
        <v>6.3200000000000006E-2</v>
      </c>
      <c r="V43" s="19">
        <f t="shared" si="20"/>
        <v>0.5151</v>
      </c>
      <c r="W43" s="19">
        <f t="shared" si="21"/>
        <v>0</v>
      </c>
      <c r="X43" s="147" t="str">
        <f t="shared" si="22"/>
        <v>Gq</v>
      </c>
      <c r="Y43" s="32">
        <f t="shared" si="23"/>
        <v>0</v>
      </c>
      <c r="Z43" s="31">
        <f t="shared" si="24"/>
        <v>12.269462240341682</v>
      </c>
      <c r="AA43" s="31">
        <f t="shared" si="25"/>
        <v>100</v>
      </c>
      <c r="AB43" s="31">
        <f t="shared" si="26"/>
        <v>17.142302465540673</v>
      </c>
      <c r="AC43" s="31">
        <f t="shared" si="27"/>
        <v>0</v>
      </c>
      <c r="AD43" s="322">
        <f t="shared" si="28"/>
        <v>0</v>
      </c>
      <c r="AE43" s="309">
        <f t="shared" si="29"/>
        <v>6.3200000000000006E-2</v>
      </c>
      <c r="AF43" s="309">
        <f t="shared" si="30"/>
        <v>0.5151</v>
      </c>
      <c r="AG43" s="309">
        <f t="shared" si="31"/>
        <v>8.8300000000000003E-2</v>
      </c>
      <c r="AH43" s="309">
        <f t="shared" si="32"/>
        <v>0</v>
      </c>
      <c r="AI43" s="322">
        <v>0</v>
      </c>
      <c r="AJ43" s="309">
        <v>6.3200000000000006E-2</v>
      </c>
      <c r="AK43" s="309">
        <v>0.5151</v>
      </c>
      <c r="AL43" s="309">
        <v>8.8300000000000003E-2</v>
      </c>
      <c r="AM43" s="309">
        <v>0</v>
      </c>
      <c r="AN43" s="140">
        <v>0</v>
      </c>
      <c r="AO43" s="141">
        <v>5.5217333333333297E-3</v>
      </c>
      <c r="AP43" s="141">
        <v>3.7100000000000001E-2</v>
      </c>
      <c r="AQ43" s="141">
        <v>4.84333333333333E-2</v>
      </c>
      <c r="AR43" s="141">
        <v>0</v>
      </c>
      <c r="AS43" s="142">
        <v>0</v>
      </c>
      <c r="AT43" s="143">
        <v>1.7457885833564652E-3</v>
      </c>
      <c r="AU43" s="143">
        <v>2.9233561382614882E-2</v>
      </c>
      <c r="AV43" s="143">
        <v>7.2188026092359105E-4</v>
      </c>
      <c r="AW43" s="143">
        <v>0</v>
      </c>
      <c r="AX43" s="142">
        <v>0</v>
      </c>
      <c r="AY43" s="143">
        <v>3.76561647601617E-4</v>
      </c>
      <c r="AZ43" s="143">
        <v>1.1718930554164601E-3</v>
      </c>
      <c r="BA43" s="143">
        <v>1.7333333333333343E-3</v>
      </c>
      <c r="BB43" s="143">
        <v>0</v>
      </c>
      <c r="BD43" s="50"/>
      <c r="BE43" s="179" t="s">
        <v>5279</v>
      </c>
      <c r="BF43" s="179" t="s">
        <v>3234</v>
      </c>
      <c r="BG43" s="53" t="s">
        <v>15</v>
      </c>
      <c r="BH43" s="74" t="s">
        <v>2749</v>
      </c>
      <c r="BI43" s="169" t="s">
        <v>243</v>
      </c>
      <c r="BJ43" s="52" t="s">
        <v>2854</v>
      </c>
      <c r="BK43" s="179">
        <v>100</v>
      </c>
      <c r="BL43" s="179" t="s">
        <v>5280</v>
      </c>
      <c r="BM43" s="179" t="s">
        <v>2851</v>
      </c>
      <c r="BN43" s="179">
        <v>3547</v>
      </c>
      <c r="BO43" s="52" t="s">
        <v>2866</v>
      </c>
      <c r="BP43" s="179" t="s">
        <v>3233</v>
      </c>
      <c r="BQ43" s="52" t="s">
        <v>3232</v>
      </c>
      <c r="BR43" s="179">
        <v>1</v>
      </c>
      <c r="BS43" s="179" t="s">
        <v>2848</v>
      </c>
      <c r="BT43" s="52" t="s">
        <v>3209</v>
      </c>
    </row>
    <row r="44" spans="1:72" ht="18.75" customHeight="1">
      <c r="A44" s="51" t="s">
        <v>21</v>
      </c>
      <c r="B44" s="205" t="s">
        <v>5558</v>
      </c>
      <c r="C44" t="s">
        <v>583</v>
      </c>
      <c r="D44" s="19">
        <v>5</v>
      </c>
      <c r="E44" s="9" t="s">
        <v>5200</v>
      </c>
      <c r="F44" s="20" t="str">
        <f t="shared" si="33"/>
        <v/>
      </c>
      <c r="G44" s="19" t="str">
        <f t="shared" si="34"/>
        <v/>
      </c>
      <c r="H44" s="19">
        <f t="shared" si="35"/>
        <v>1</v>
      </c>
      <c r="I44" s="19" t="str">
        <f t="shared" si="36"/>
        <v/>
      </c>
      <c r="J44" s="225">
        <f t="shared" si="8"/>
        <v>1</v>
      </c>
      <c r="K44" s="226" t="str">
        <f t="shared" si="9"/>
        <v>Gq/11</v>
      </c>
      <c r="L44" s="227">
        <f t="shared" si="10"/>
        <v>0</v>
      </c>
      <c r="M44" s="228">
        <f t="shared" si="11"/>
        <v>0</v>
      </c>
      <c r="N44" s="228">
        <f t="shared" si="12"/>
        <v>1</v>
      </c>
      <c r="O44" s="228">
        <f t="shared" si="13"/>
        <v>0</v>
      </c>
      <c r="P44" s="20">
        <f t="shared" si="14"/>
        <v>0</v>
      </c>
      <c r="Q44" s="19">
        <f t="shared" si="15"/>
        <v>0</v>
      </c>
      <c r="R44" s="19">
        <f t="shared" si="16"/>
        <v>100</v>
      </c>
      <c r="S44" s="19">
        <f t="shared" si="17"/>
        <v>0</v>
      </c>
      <c r="T44" s="20">
        <f t="shared" si="18"/>
        <v>0</v>
      </c>
      <c r="U44" s="19">
        <f t="shared" si="19"/>
        <v>0</v>
      </c>
      <c r="V44" s="19">
        <f t="shared" si="20"/>
        <v>0.1386</v>
      </c>
      <c r="W44" s="19">
        <f t="shared" si="21"/>
        <v>0</v>
      </c>
      <c r="X44" s="147" t="str">
        <f t="shared" si="22"/>
        <v>Gq</v>
      </c>
      <c r="Y44" s="32">
        <f t="shared" si="23"/>
        <v>0</v>
      </c>
      <c r="Z44" s="31">
        <f t="shared" si="24"/>
        <v>0</v>
      </c>
      <c r="AA44" s="31">
        <f t="shared" si="25"/>
        <v>100</v>
      </c>
      <c r="AB44" s="31">
        <f t="shared" si="26"/>
        <v>0</v>
      </c>
      <c r="AC44" s="31">
        <f t="shared" si="27"/>
        <v>0</v>
      </c>
      <c r="AD44" s="322">
        <f t="shared" si="28"/>
        <v>0</v>
      </c>
      <c r="AE44" s="309">
        <f t="shared" si="29"/>
        <v>0</v>
      </c>
      <c r="AF44" s="309">
        <f t="shared" si="30"/>
        <v>0.1386</v>
      </c>
      <c r="AG44" s="309">
        <f t="shared" si="31"/>
        <v>0</v>
      </c>
      <c r="AH44" s="309">
        <f t="shared" si="32"/>
        <v>0</v>
      </c>
      <c r="AI44" s="322">
        <v>0</v>
      </c>
      <c r="AJ44" s="309">
        <v>0</v>
      </c>
      <c r="AK44" s="309">
        <v>0.1386</v>
      </c>
      <c r="AL44" s="309">
        <v>0</v>
      </c>
      <c r="AM44" s="309">
        <v>0</v>
      </c>
      <c r="AN44" s="140">
        <v>0</v>
      </c>
      <c r="AO44" s="141">
        <v>0</v>
      </c>
      <c r="AP44" s="141">
        <v>1.7299999999999999E-2</v>
      </c>
      <c r="AQ44" s="141">
        <v>0</v>
      </c>
      <c r="AR44" s="141">
        <v>0</v>
      </c>
      <c r="AS44" s="142">
        <v>0</v>
      </c>
      <c r="AT44" s="143">
        <v>0</v>
      </c>
      <c r="AU44" s="143">
        <v>2.6667000000000001E-3</v>
      </c>
      <c r="AV44" s="143">
        <v>0</v>
      </c>
      <c r="AW44" s="143">
        <v>0</v>
      </c>
      <c r="AX44" s="142">
        <v>0</v>
      </c>
      <c r="AY44" s="143">
        <v>0</v>
      </c>
      <c r="AZ44" s="143">
        <v>2.0033E-3</v>
      </c>
      <c r="BA44" s="143">
        <v>0</v>
      </c>
      <c r="BB44" s="143">
        <v>0</v>
      </c>
      <c r="BD44" s="50"/>
      <c r="BE44" s="179" t="s">
        <v>5281</v>
      </c>
      <c r="BF44" s="179" t="s">
        <v>3231</v>
      </c>
      <c r="BG44" s="53" t="s">
        <v>15</v>
      </c>
      <c r="BH44" s="74" t="s">
        <v>2749</v>
      </c>
      <c r="BI44" s="169" t="s">
        <v>243</v>
      </c>
      <c r="BJ44" s="52" t="s">
        <v>2854</v>
      </c>
      <c r="BK44" s="179">
        <v>100</v>
      </c>
      <c r="BL44" s="179" t="s">
        <v>5282</v>
      </c>
      <c r="BM44" s="179" t="s">
        <v>2851</v>
      </c>
      <c r="BN44" s="179">
        <v>3547</v>
      </c>
      <c r="BO44" s="52" t="s">
        <v>2866</v>
      </c>
      <c r="BP44" s="179" t="s">
        <v>3230</v>
      </c>
      <c r="BQ44" s="52" t="s">
        <v>3229</v>
      </c>
      <c r="BR44" s="179">
        <v>12</v>
      </c>
      <c r="BS44" s="179" t="s">
        <v>2848</v>
      </c>
      <c r="BT44" s="52" t="s">
        <v>3214</v>
      </c>
    </row>
    <row r="45" spans="1:72" ht="18.75" customHeight="1">
      <c r="A45" s="51" t="s">
        <v>22</v>
      </c>
      <c r="B45" s="205" t="s">
        <v>5558</v>
      </c>
      <c r="C45" t="s">
        <v>583</v>
      </c>
      <c r="D45" s="19">
        <v>5</v>
      </c>
      <c r="E45" s="9" t="s">
        <v>5200</v>
      </c>
      <c r="F45" s="20" t="str">
        <f t="shared" si="33"/>
        <v/>
      </c>
      <c r="G45" s="19">
        <f t="shared" si="34"/>
        <v>1</v>
      </c>
      <c r="H45" s="19">
        <f t="shared" si="35"/>
        <v>1</v>
      </c>
      <c r="I45" s="19">
        <f t="shared" si="36"/>
        <v>1</v>
      </c>
      <c r="J45" s="225">
        <f t="shared" si="8"/>
        <v>3</v>
      </c>
      <c r="K45" s="226" t="str">
        <f t="shared" si="9"/>
        <v>Gq/11</v>
      </c>
      <c r="L45" s="227">
        <f t="shared" si="10"/>
        <v>0</v>
      </c>
      <c r="M45" s="228">
        <f t="shared" si="11"/>
        <v>2</v>
      </c>
      <c r="N45" s="228">
        <f t="shared" si="12"/>
        <v>1</v>
      </c>
      <c r="O45" s="228">
        <f t="shared" si="13"/>
        <v>3</v>
      </c>
      <c r="P45" s="20">
        <f t="shared" si="14"/>
        <v>0</v>
      </c>
      <c r="Q45" s="19">
        <f t="shared" si="15"/>
        <v>0.56905209686488167</v>
      </c>
      <c r="R45" s="19">
        <f t="shared" si="16"/>
        <v>100</v>
      </c>
      <c r="S45" s="19">
        <f t="shared" si="17"/>
        <v>0.34511507067103553</v>
      </c>
      <c r="T45" s="20">
        <f t="shared" si="18"/>
        <v>0</v>
      </c>
      <c r="U45" s="19">
        <f t="shared" si="19"/>
        <v>5.8700000000000002E-2</v>
      </c>
      <c r="V45" s="19">
        <f t="shared" si="20"/>
        <v>10.3154</v>
      </c>
      <c r="W45" s="19">
        <f t="shared" si="21"/>
        <v>3.56E-2</v>
      </c>
      <c r="X45" s="147" t="str">
        <f t="shared" si="22"/>
        <v>Gq</v>
      </c>
      <c r="Y45" s="32">
        <f t="shared" si="23"/>
        <v>0</v>
      </c>
      <c r="Z45" s="31">
        <f t="shared" si="24"/>
        <v>0.56905209686488167</v>
      </c>
      <c r="AA45" s="31">
        <f t="shared" si="25"/>
        <v>100</v>
      </c>
      <c r="AB45" s="31">
        <f t="shared" si="26"/>
        <v>0.51088663551583069</v>
      </c>
      <c r="AC45" s="31">
        <f t="shared" si="27"/>
        <v>0.34511507067103553</v>
      </c>
      <c r="AD45" s="322">
        <f t="shared" si="28"/>
        <v>0</v>
      </c>
      <c r="AE45" s="309">
        <f t="shared" si="29"/>
        <v>5.8700000000000002E-2</v>
      </c>
      <c r="AF45" s="309">
        <f t="shared" si="30"/>
        <v>10.3154</v>
      </c>
      <c r="AG45" s="309">
        <f t="shared" si="31"/>
        <v>5.2699999999999997E-2</v>
      </c>
      <c r="AH45" s="309">
        <f t="shared" si="32"/>
        <v>3.56E-2</v>
      </c>
      <c r="AI45" s="322">
        <v>0</v>
      </c>
      <c r="AJ45" s="309">
        <v>5.8700000000000002E-2</v>
      </c>
      <c r="AK45" s="309">
        <v>10.3154</v>
      </c>
      <c r="AL45" s="309">
        <v>5.2699999999999997E-2</v>
      </c>
      <c r="AM45" s="309">
        <v>3.56E-2</v>
      </c>
      <c r="AN45" s="140">
        <v>0</v>
      </c>
      <c r="AO45" s="141">
        <v>4.6100000000000002E-2</v>
      </c>
      <c r="AP45" s="141">
        <v>1.37E-2</v>
      </c>
      <c r="AQ45" s="141">
        <v>3.1E-2</v>
      </c>
      <c r="AR45" s="141">
        <v>6.9220999999999996E-3</v>
      </c>
      <c r="AS45" s="142">
        <v>0</v>
      </c>
      <c r="AT45" s="143">
        <v>5.6189999999999999E-3</v>
      </c>
      <c r="AU45" s="143">
        <v>0.17480000000000001</v>
      </c>
      <c r="AV45" s="143">
        <v>3.9006000000000002E-3</v>
      </c>
      <c r="AW45" s="143">
        <v>3.9620000000000002E-3</v>
      </c>
      <c r="AX45" s="142">
        <v>0</v>
      </c>
      <c r="AY45" s="143">
        <v>9.3857999999999997E-3</v>
      </c>
      <c r="AZ45" s="143">
        <v>5.6862000000000004E-4</v>
      </c>
      <c r="BA45" s="143">
        <v>3.3766E-3</v>
      </c>
      <c r="BB45" s="143">
        <v>2.0306999999999999E-3</v>
      </c>
      <c r="BD45" s="50"/>
      <c r="BE45" s="179" t="s">
        <v>5283</v>
      </c>
      <c r="BF45" s="179" t="s">
        <v>3228</v>
      </c>
      <c r="BG45" s="53" t="s">
        <v>15</v>
      </c>
      <c r="BH45" s="74" t="s">
        <v>2749</v>
      </c>
      <c r="BI45" s="169" t="s">
        <v>243</v>
      </c>
      <c r="BJ45" s="52" t="s">
        <v>2854</v>
      </c>
      <c r="BK45" s="179">
        <v>100</v>
      </c>
      <c r="BL45" s="179" t="s">
        <v>5284</v>
      </c>
      <c r="BM45" s="179" t="s">
        <v>2851</v>
      </c>
      <c r="BN45" s="179">
        <v>3547</v>
      </c>
      <c r="BO45" s="52" t="s">
        <v>2866</v>
      </c>
      <c r="BP45" s="179" t="s">
        <v>3227</v>
      </c>
      <c r="BQ45" s="52" t="s">
        <v>3226</v>
      </c>
      <c r="BR45" s="179">
        <v>12</v>
      </c>
      <c r="BS45" s="179" t="s">
        <v>2848</v>
      </c>
      <c r="BT45" s="52" t="s">
        <v>3209</v>
      </c>
    </row>
    <row r="46" spans="1:72" ht="18.75" customHeight="1">
      <c r="A46" s="51" t="s">
        <v>23</v>
      </c>
      <c r="B46" s="205" t="s">
        <v>5558</v>
      </c>
      <c r="C46" t="s">
        <v>583</v>
      </c>
      <c r="D46" s="19">
        <v>5</v>
      </c>
      <c r="E46" s="9" t="s">
        <v>5200</v>
      </c>
      <c r="F46" s="20">
        <f t="shared" si="33"/>
        <v>1</v>
      </c>
      <c r="G46" s="19">
        <f t="shared" si="34"/>
        <v>1</v>
      </c>
      <c r="H46" s="19">
        <f t="shared" si="35"/>
        <v>1</v>
      </c>
      <c r="I46" s="19">
        <f t="shared" si="36"/>
        <v>1</v>
      </c>
      <c r="J46" s="225">
        <f t="shared" si="8"/>
        <v>4</v>
      </c>
      <c r="K46" s="226" t="str">
        <f t="shared" si="9"/>
        <v>Gs</v>
      </c>
      <c r="L46" s="227">
        <f t="shared" si="10"/>
        <v>1</v>
      </c>
      <c r="M46" s="228">
        <f t="shared" si="11"/>
        <v>3</v>
      </c>
      <c r="N46" s="228">
        <f t="shared" si="12"/>
        <v>2</v>
      </c>
      <c r="O46" s="228">
        <f t="shared" si="13"/>
        <v>4</v>
      </c>
      <c r="P46" s="20">
        <f t="shared" si="14"/>
        <v>100</v>
      </c>
      <c r="Q46" s="19">
        <f t="shared" si="15"/>
        <v>4.2476824340385066</v>
      </c>
      <c r="R46" s="19">
        <f t="shared" si="16"/>
        <v>9.3439505585928213</v>
      </c>
      <c r="S46" s="19">
        <f t="shared" si="17"/>
        <v>1.6353696220584739</v>
      </c>
      <c r="T46" s="20">
        <f t="shared" si="18"/>
        <v>4.2069999999999999</v>
      </c>
      <c r="U46" s="19">
        <f t="shared" si="19"/>
        <v>0.1787</v>
      </c>
      <c r="V46" s="19">
        <f t="shared" si="20"/>
        <v>0.3931</v>
      </c>
      <c r="W46" s="19">
        <f t="shared" si="21"/>
        <v>6.88E-2</v>
      </c>
      <c r="X46" s="147" t="str">
        <f t="shared" si="22"/>
        <v>GsL</v>
      </c>
      <c r="Y46" s="32">
        <f t="shared" si="23"/>
        <v>100</v>
      </c>
      <c r="Z46" s="31">
        <f t="shared" si="24"/>
        <v>4.2476824340385066</v>
      </c>
      <c r="AA46" s="31">
        <f t="shared" si="25"/>
        <v>0</v>
      </c>
      <c r="AB46" s="31">
        <f t="shared" si="26"/>
        <v>9.3439505585928213</v>
      </c>
      <c r="AC46" s="31">
        <f t="shared" si="27"/>
        <v>1.6353696220584739</v>
      </c>
      <c r="AD46" s="322">
        <f t="shared" si="28"/>
        <v>4.2069999999999999</v>
      </c>
      <c r="AE46" s="309">
        <f t="shared" si="29"/>
        <v>0.1787</v>
      </c>
      <c r="AF46" s="309">
        <f t="shared" si="30"/>
        <v>0</v>
      </c>
      <c r="AG46" s="309">
        <f t="shared" si="31"/>
        <v>0.3931</v>
      </c>
      <c r="AH46" s="309">
        <f t="shared" si="32"/>
        <v>6.88E-2</v>
      </c>
      <c r="AI46" s="322">
        <v>4.2069999999999999</v>
      </c>
      <c r="AJ46" s="309">
        <v>0.1787</v>
      </c>
      <c r="AK46" s="309">
        <v>0</v>
      </c>
      <c r="AL46" s="309">
        <v>0.3931</v>
      </c>
      <c r="AM46" s="309">
        <v>6.88E-2</v>
      </c>
      <c r="AN46" s="140">
        <v>4.8800000000000003E-2</v>
      </c>
      <c r="AO46" s="141">
        <v>3.9300000000000002E-2</v>
      </c>
      <c r="AP46" s="141">
        <v>0</v>
      </c>
      <c r="AQ46" s="141">
        <v>3.3399999999999999E-2</v>
      </c>
      <c r="AR46" s="141">
        <v>8.0900999999999994E-3</v>
      </c>
      <c r="AS46" s="142">
        <v>0.34889999999999999</v>
      </c>
      <c r="AT46" s="143">
        <v>2.6851000000000002E-3</v>
      </c>
      <c r="AU46" s="143">
        <v>0</v>
      </c>
      <c r="AV46" s="143">
        <v>1.4200000000000001E-2</v>
      </c>
      <c r="AW46" s="143">
        <v>7.7292000000000003E-3</v>
      </c>
      <c r="AX46" s="142">
        <v>2.2430000000000002E-3</v>
      </c>
      <c r="AY46" s="143">
        <v>4.1834000000000003E-3</v>
      </c>
      <c r="AZ46" s="143">
        <v>0</v>
      </c>
      <c r="BA46" s="143">
        <v>2.9537000000000001E-3</v>
      </c>
      <c r="BB46" s="143">
        <v>5.7478E-4</v>
      </c>
      <c r="BD46" s="50"/>
      <c r="BE46" s="179" t="s">
        <v>5285</v>
      </c>
      <c r="BF46" s="179" t="s">
        <v>3225</v>
      </c>
      <c r="BG46" s="53" t="s">
        <v>15</v>
      </c>
      <c r="BH46" s="74" t="s">
        <v>2749</v>
      </c>
      <c r="BI46" s="169" t="s">
        <v>243</v>
      </c>
      <c r="BJ46" s="52" t="s">
        <v>2854</v>
      </c>
      <c r="BK46" s="179">
        <v>100</v>
      </c>
      <c r="BL46" s="179" t="s">
        <v>5286</v>
      </c>
      <c r="BM46" s="179" t="s">
        <v>2851</v>
      </c>
      <c r="BN46" s="179">
        <v>3547</v>
      </c>
      <c r="BO46" s="52" t="s">
        <v>3136</v>
      </c>
      <c r="BP46" s="179" t="s">
        <v>3224</v>
      </c>
      <c r="BQ46" s="52" t="s">
        <v>3223</v>
      </c>
      <c r="BR46" s="179">
        <v>1</v>
      </c>
      <c r="BS46" s="179" t="s">
        <v>2848</v>
      </c>
      <c r="BT46" s="52" t="s">
        <v>3209</v>
      </c>
    </row>
    <row r="47" spans="1:72" ht="18.75" customHeight="1">
      <c r="A47" s="51" t="s">
        <v>3924</v>
      </c>
      <c r="B47" s="205" t="s">
        <v>5558</v>
      </c>
      <c r="C47" t="s">
        <v>583</v>
      </c>
      <c r="D47" s="19">
        <v>5</v>
      </c>
      <c r="E47" s="9" t="s">
        <v>5200</v>
      </c>
      <c r="F47" s="20" t="str">
        <f t="shared" si="33"/>
        <v/>
      </c>
      <c r="G47" s="19">
        <f t="shared" si="34"/>
        <v>1</v>
      </c>
      <c r="H47" s="19" t="str">
        <f t="shared" si="35"/>
        <v/>
      </c>
      <c r="I47" s="19" t="str">
        <f t="shared" si="36"/>
        <v/>
      </c>
      <c r="J47" s="225">
        <f t="shared" si="8"/>
        <v>1</v>
      </c>
      <c r="K47" s="226" t="str">
        <f t="shared" si="9"/>
        <v>Gi/o</v>
      </c>
      <c r="L47" s="227">
        <f t="shared" si="10"/>
        <v>0</v>
      </c>
      <c r="M47" s="228">
        <f t="shared" si="11"/>
        <v>1</v>
      </c>
      <c r="N47" s="228">
        <f t="shared" si="12"/>
        <v>0</v>
      </c>
      <c r="O47" s="228">
        <f t="shared" si="13"/>
        <v>0</v>
      </c>
      <c r="P47" s="20">
        <f t="shared" si="14"/>
        <v>0</v>
      </c>
      <c r="Q47" s="19">
        <f t="shared" si="15"/>
        <v>100</v>
      </c>
      <c r="R47" s="19">
        <f t="shared" si="16"/>
        <v>0</v>
      </c>
      <c r="S47" s="19">
        <f t="shared" si="17"/>
        <v>0</v>
      </c>
      <c r="T47" s="20">
        <f t="shared" si="18"/>
        <v>0</v>
      </c>
      <c r="U47" s="19">
        <f t="shared" si="19"/>
        <v>0.12039999999999999</v>
      </c>
      <c r="V47" s="19">
        <f t="shared" si="20"/>
        <v>0</v>
      </c>
      <c r="W47" s="19">
        <f t="shared" si="21"/>
        <v>0</v>
      </c>
      <c r="X47" s="147" t="str">
        <f t="shared" si="22"/>
        <v>GoA</v>
      </c>
      <c r="Y47" s="32">
        <f t="shared" si="23"/>
        <v>0</v>
      </c>
      <c r="Z47" s="31">
        <f t="shared" si="24"/>
        <v>100</v>
      </c>
      <c r="AA47" s="31">
        <f t="shared" si="25"/>
        <v>0</v>
      </c>
      <c r="AB47" s="31">
        <f t="shared" si="26"/>
        <v>0</v>
      </c>
      <c r="AC47" s="31">
        <f t="shared" si="27"/>
        <v>0</v>
      </c>
      <c r="AD47" s="322">
        <f t="shared" si="28"/>
        <v>0</v>
      </c>
      <c r="AE47" s="309">
        <f t="shared" si="29"/>
        <v>0.12039999999999999</v>
      </c>
      <c r="AF47" s="309">
        <f t="shared" si="30"/>
        <v>0</v>
      </c>
      <c r="AG47" s="309">
        <f t="shared" si="31"/>
        <v>0</v>
      </c>
      <c r="AH47" s="309">
        <f t="shared" si="32"/>
        <v>0</v>
      </c>
      <c r="AI47" s="322">
        <v>0</v>
      </c>
      <c r="AJ47" s="309">
        <v>0.12039999999999999</v>
      </c>
      <c r="AK47" s="309">
        <v>0</v>
      </c>
      <c r="AL47" s="309">
        <v>0</v>
      </c>
      <c r="AM47" s="309">
        <v>0</v>
      </c>
      <c r="AN47" s="140">
        <v>0</v>
      </c>
      <c r="AO47" s="141">
        <v>8.5903000000000004E-3</v>
      </c>
      <c r="AP47" s="141">
        <v>0</v>
      </c>
      <c r="AQ47" s="141">
        <v>0</v>
      </c>
      <c r="AR47" s="141">
        <v>0</v>
      </c>
      <c r="AS47" s="142">
        <v>0</v>
      </c>
      <c r="AT47" s="143">
        <v>5.7568000000000003E-3</v>
      </c>
      <c r="AU47" s="143">
        <v>0</v>
      </c>
      <c r="AV47" s="143">
        <v>0</v>
      </c>
      <c r="AW47" s="143">
        <v>0</v>
      </c>
      <c r="AX47" s="142">
        <v>0</v>
      </c>
      <c r="AY47" s="143">
        <v>9.2400999999999996E-4</v>
      </c>
      <c r="AZ47" s="143">
        <v>0</v>
      </c>
      <c r="BA47" s="143">
        <v>0</v>
      </c>
      <c r="BB47" s="143">
        <v>0</v>
      </c>
      <c r="BD47" s="50"/>
      <c r="BE47" s="179" t="s">
        <v>5287</v>
      </c>
      <c r="BF47" s="179" t="s">
        <v>3222</v>
      </c>
      <c r="BG47" s="53" t="s">
        <v>15</v>
      </c>
      <c r="BH47" s="74" t="s">
        <v>2749</v>
      </c>
      <c r="BI47" s="169" t="s">
        <v>243</v>
      </c>
      <c r="BJ47" s="52" t="s">
        <v>2854</v>
      </c>
      <c r="BK47" s="179">
        <v>100</v>
      </c>
      <c r="BL47" s="179" t="s">
        <v>5288</v>
      </c>
      <c r="BM47" s="179" t="s">
        <v>2851</v>
      </c>
      <c r="BN47" s="179">
        <v>3547</v>
      </c>
      <c r="BO47" s="52" t="s">
        <v>3136</v>
      </c>
      <c r="BP47" s="179" t="s">
        <v>3221</v>
      </c>
      <c r="BQ47" s="52" t="s">
        <v>3220</v>
      </c>
      <c r="BR47" s="179">
        <v>6</v>
      </c>
      <c r="BS47" s="179" t="s">
        <v>2848</v>
      </c>
      <c r="BT47" s="52" t="s">
        <v>3209</v>
      </c>
    </row>
    <row r="48" spans="1:72" ht="18.75" customHeight="1">
      <c r="A48" s="51" t="s">
        <v>24</v>
      </c>
      <c r="B48" s="205" t="s">
        <v>5558</v>
      </c>
      <c r="C48" t="s">
        <v>583</v>
      </c>
      <c r="D48" s="19">
        <v>5</v>
      </c>
      <c r="E48" s="9" t="s">
        <v>5200</v>
      </c>
      <c r="F48" s="20">
        <f t="shared" si="33"/>
        <v>1</v>
      </c>
      <c r="G48" s="19" t="str">
        <f t="shared" si="34"/>
        <v/>
      </c>
      <c r="H48" s="19">
        <f t="shared" si="35"/>
        <v>1</v>
      </c>
      <c r="I48" s="19">
        <f t="shared" si="36"/>
        <v>1</v>
      </c>
      <c r="J48" s="225">
        <f t="shared" si="8"/>
        <v>3</v>
      </c>
      <c r="K48" s="226" t="str">
        <f t="shared" si="9"/>
        <v>Gs</v>
      </c>
      <c r="L48" s="227">
        <f t="shared" si="10"/>
        <v>1</v>
      </c>
      <c r="M48" s="228">
        <f t="shared" si="11"/>
        <v>0</v>
      </c>
      <c r="N48" s="228">
        <f t="shared" si="12"/>
        <v>2</v>
      </c>
      <c r="O48" s="228">
        <f t="shared" si="13"/>
        <v>3</v>
      </c>
      <c r="P48" s="20">
        <f t="shared" si="14"/>
        <v>100</v>
      </c>
      <c r="Q48" s="19">
        <f t="shared" si="15"/>
        <v>0</v>
      </c>
      <c r="R48" s="19">
        <f t="shared" si="16"/>
        <v>26.004514672686231</v>
      </c>
      <c r="S48" s="19">
        <f t="shared" si="17"/>
        <v>11.309255079006771</v>
      </c>
      <c r="T48" s="20">
        <f t="shared" si="18"/>
        <v>0.88600000000000001</v>
      </c>
      <c r="U48" s="19">
        <f t="shared" si="19"/>
        <v>0</v>
      </c>
      <c r="V48" s="19">
        <f t="shared" si="20"/>
        <v>0.23039999999999999</v>
      </c>
      <c r="W48" s="19">
        <f t="shared" si="21"/>
        <v>0.1002</v>
      </c>
      <c r="X48" s="147" t="str">
        <f t="shared" si="22"/>
        <v>GsL</v>
      </c>
      <c r="Y48" s="32">
        <f t="shared" si="23"/>
        <v>100</v>
      </c>
      <c r="Z48" s="31">
        <f t="shared" si="24"/>
        <v>0</v>
      </c>
      <c r="AA48" s="31">
        <f t="shared" si="25"/>
        <v>0</v>
      </c>
      <c r="AB48" s="31">
        <f t="shared" si="26"/>
        <v>26.004514672686231</v>
      </c>
      <c r="AC48" s="31">
        <f t="shared" si="27"/>
        <v>11.309255079006771</v>
      </c>
      <c r="AD48" s="322">
        <f t="shared" si="28"/>
        <v>0.88600000000000001</v>
      </c>
      <c r="AE48" s="309">
        <f t="shared" si="29"/>
        <v>0</v>
      </c>
      <c r="AF48" s="309">
        <f t="shared" si="30"/>
        <v>0</v>
      </c>
      <c r="AG48" s="309">
        <f t="shared" si="31"/>
        <v>0.23039999999999999</v>
      </c>
      <c r="AH48" s="309">
        <f t="shared" si="32"/>
        <v>0.1002</v>
      </c>
      <c r="AI48" s="322">
        <v>0.88600000000000001</v>
      </c>
      <c r="AJ48" s="309">
        <v>0</v>
      </c>
      <c r="AK48" s="309">
        <v>0</v>
      </c>
      <c r="AL48" s="309">
        <v>0.23039999999999999</v>
      </c>
      <c r="AM48" s="309">
        <v>0.1002</v>
      </c>
      <c r="AN48" s="140">
        <v>3.6200000000000003E-2</v>
      </c>
      <c r="AO48" s="141">
        <v>0</v>
      </c>
      <c r="AP48" s="141">
        <v>0</v>
      </c>
      <c r="AQ48" s="141">
        <v>3.2899999999999999E-2</v>
      </c>
      <c r="AR48" s="141">
        <v>1.8599999999999998E-2</v>
      </c>
      <c r="AS48" s="142">
        <v>2.8400000000000002E-2</v>
      </c>
      <c r="AT48" s="143">
        <v>0</v>
      </c>
      <c r="AU48" s="143">
        <v>0</v>
      </c>
      <c r="AV48" s="143">
        <v>1.95E-2</v>
      </c>
      <c r="AW48" s="143">
        <v>1.6180000000000001E-3</v>
      </c>
      <c r="AX48" s="142">
        <v>1.7343E-3</v>
      </c>
      <c r="AY48" s="143">
        <v>0</v>
      </c>
      <c r="AZ48" s="143">
        <v>0</v>
      </c>
      <c r="BA48" s="143">
        <v>4.9328999999999996E-4</v>
      </c>
      <c r="BB48" s="143">
        <v>3.5118999999999998E-4</v>
      </c>
      <c r="BD48" s="50"/>
      <c r="BE48" s="179" t="s">
        <v>5289</v>
      </c>
      <c r="BF48" s="179" t="s">
        <v>3219</v>
      </c>
      <c r="BG48" s="53" t="s">
        <v>15</v>
      </c>
      <c r="BH48" s="74" t="s">
        <v>2749</v>
      </c>
      <c r="BI48" s="169" t="s">
        <v>243</v>
      </c>
      <c r="BJ48" s="52" t="s">
        <v>2854</v>
      </c>
      <c r="BK48" s="179">
        <v>100</v>
      </c>
      <c r="BL48" s="179" t="s">
        <v>5290</v>
      </c>
      <c r="BM48" s="179" t="s">
        <v>2851</v>
      </c>
      <c r="BN48" s="179">
        <v>3547</v>
      </c>
      <c r="BO48" s="52" t="s">
        <v>3136</v>
      </c>
      <c r="BP48" s="179" t="s">
        <v>3218</v>
      </c>
      <c r="BQ48" s="52" t="s">
        <v>3217</v>
      </c>
      <c r="BR48" s="179">
        <v>1</v>
      </c>
      <c r="BS48" s="179" t="s">
        <v>2848</v>
      </c>
      <c r="BT48" s="52" t="s">
        <v>3209</v>
      </c>
    </row>
    <row r="49" spans="1:72" ht="18.75" customHeight="1">
      <c r="A49" s="51" t="s">
        <v>25</v>
      </c>
      <c r="B49" s="205" t="s">
        <v>5558</v>
      </c>
      <c r="C49" t="s">
        <v>583</v>
      </c>
      <c r="D49" s="19">
        <v>5</v>
      </c>
      <c r="E49" s="9" t="s">
        <v>5200</v>
      </c>
      <c r="F49" s="20">
        <f t="shared" si="33"/>
        <v>1</v>
      </c>
      <c r="G49" s="19">
        <f t="shared" si="34"/>
        <v>1</v>
      </c>
      <c r="H49" s="19" t="str">
        <f t="shared" si="35"/>
        <v/>
      </c>
      <c r="I49" s="19" t="str">
        <f t="shared" si="36"/>
        <v/>
      </c>
      <c r="J49" s="225">
        <f t="shared" si="8"/>
        <v>2</v>
      </c>
      <c r="K49" s="226" t="str">
        <f t="shared" si="9"/>
        <v>Gs</v>
      </c>
      <c r="L49" s="227">
        <f t="shared" si="10"/>
        <v>1</v>
      </c>
      <c r="M49" s="228">
        <f t="shared" si="11"/>
        <v>2</v>
      </c>
      <c r="N49" s="228">
        <f t="shared" si="12"/>
        <v>0</v>
      </c>
      <c r="O49" s="228">
        <f t="shared" si="13"/>
        <v>0</v>
      </c>
      <c r="P49" s="20">
        <f t="shared" si="14"/>
        <v>100</v>
      </c>
      <c r="Q49" s="19">
        <f t="shared" si="15"/>
        <v>21.779935275080906</v>
      </c>
      <c r="R49" s="19">
        <f t="shared" si="16"/>
        <v>0</v>
      </c>
      <c r="S49" s="19">
        <f t="shared" si="17"/>
        <v>0</v>
      </c>
      <c r="T49" s="20">
        <f t="shared" si="18"/>
        <v>0.92700000000000005</v>
      </c>
      <c r="U49" s="19">
        <f t="shared" si="19"/>
        <v>0.2019</v>
      </c>
      <c r="V49" s="19">
        <f t="shared" si="20"/>
        <v>0</v>
      </c>
      <c r="W49" s="19">
        <f t="shared" si="21"/>
        <v>0</v>
      </c>
      <c r="X49" s="147" t="str">
        <f t="shared" si="22"/>
        <v>GsL</v>
      </c>
      <c r="Y49" s="32">
        <f t="shared" si="23"/>
        <v>100</v>
      </c>
      <c r="Z49" s="31">
        <f t="shared" si="24"/>
        <v>21.779935275080906</v>
      </c>
      <c r="AA49" s="31">
        <f t="shared" si="25"/>
        <v>0</v>
      </c>
      <c r="AB49" s="31">
        <f t="shared" si="26"/>
        <v>0</v>
      </c>
      <c r="AC49" s="31">
        <f t="shared" si="27"/>
        <v>0</v>
      </c>
      <c r="AD49" s="322">
        <f t="shared" si="28"/>
        <v>0.92700000000000005</v>
      </c>
      <c r="AE49" s="309">
        <f t="shared" si="29"/>
        <v>0.2019</v>
      </c>
      <c r="AF49" s="309">
        <f t="shared" si="30"/>
        <v>0</v>
      </c>
      <c r="AG49" s="309">
        <f t="shared" si="31"/>
        <v>0</v>
      </c>
      <c r="AH49" s="309">
        <f t="shared" si="32"/>
        <v>0</v>
      </c>
      <c r="AI49" s="322">
        <v>0.92700000000000005</v>
      </c>
      <c r="AJ49" s="309">
        <v>0.2019</v>
      </c>
      <c r="AK49" s="309">
        <v>0</v>
      </c>
      <c r="AL49" s="309">
        <v>0</v>
      </c>
      <c r="AM49" s="309">
        <v>0</v>
      </c>
      <c r="AN49" s="140">
        <v>2.29E-2</v>
      </c>
      <c r="AO49" s="141">
        <v>4.4745000000000002E-3</v>
      </c>
      <c r="AP49" s="141">
        <v>0</v>
      </c>
      <c r="AQ49" s="141">
        <v>0</v>
      </c>
      <c r="AR49" s="141">
        <v>0</v>
      </c>
      <c r="AS49" s="142">
        <v>2.93E-2</v>
      </c>
      <c r="AT49" s="143">
        <v>4.7892999999999998E-3</v>
      </c>
      <c r="AU49" s="143">
        <v>0</v>
      </c>
      <c r="AV49" s="143">
        <v>0</v>
      </c>
      <c r="AW49" s="143">
        <v>0</v>
      </c>
      <c r="AX49" s="142">
        <v>6.1191999999999996E-4</v>
      </c>
      <c r="AY49" s="143">
        <v>2.2635E-4</v>
      </c>
      <c r="AZ49" s="143">
        <v>0</v>
      </c>
      <c r="BA49" s="143">
        <v>0</v>
      </c>
      <c r="BB49" s="143">
        <v>0</v>
      </c>
      <c r="BD49" s="50"/>
      <c r="BE49" s="179" t="s">
        <v>5291</v>
      </c>
      <c r="BF49" s="179" t="s">
        <v>3213</v>
      </c>
      <c r="BG49" s="53" t="s">
        <v>15</v>
      </c>
      <c r="BH49" s="74" t="s">
        <v>2749</v>
      </c>
      <c r="BI49" s="169" t="s">
        <v>243</v>
      </c>
      <c r="BJ49" s="52" t="s">
        <v>2854</v>
      </c>
      <c r="BK49" s="179">
        <v>100</v>
      </c>
      <c r="BL49" s="179" t="s">
        <v>5292</v>
      </c>
      <c r="BM49" s="179" t="s">
        <v>2851</v>
      </c>
      <c r="BN49" s="179">
        <v>3547</v>
      </c>
      <c r="BO49" s="52" t="s">
        <v>3136</v>
      </c>
      <c r="BP49" s="179" t="s">
        <v>3216</v>
      </c>
      <c r="BQ49" s="52" t="s">
        <v>3215</v>
      </c>
      <c r="BR49" s="179">
        <v>2</v>
      </c>
      <c r="BS49" s="179" t="s">
        <v>2848</v>
      </c>
      <c r="BT49" s="52" t="s">
        <v>3214</v>
      </c>
    </row>
    <row r="50" spans="1:72" ht="18.75" customHeight="1">
      <c r="A50" s="88" t="s">
        <v>216</v>
      </c>
      <c r="B50" s="205" t="s">
        <v>5558</v>
      </c>
      <c r="C50" t="s">
        <v>583</v>
      </c>
      <c r="D50" s="19">
        <v>2019</v>
      </c>
      <c r="E50" s="9" t="s">
        <v>5200</v>
      </c>
      <c r="F50" s="20" t="str">
        <f t="shared" si="33"/>
        <v/>
      </c>
      <c r="G50" s="19">
        <f t="shared" si="34"/>
        <v>1</v>
      </c>
      <c r="H50" s="19" t="str">
        <f t="shared" si="35"/>
        <v/>
      </c>
      <c r="I50" s="19" t="str">
        <f t="shared" si="36"/>
        <v/>
      </c>
      <c r="J50" s="225">
        <f t="shared" si="8"/>
        <v>1</v>
      </c>
      <c r="K50" s="226" t="str">
        <f t="shared" si="9"/>
        <v>Gi/o</v>
      </c>
      <c r="L50" s="227">
        <f t="shared" si="10"/>
        <v>0</v>
      </c>
      <c r="M50" s="228">
        <f t="shared" si="11"/>
        <v>1</v>
      </c>
      <c r="N50" s="228">
        <f t="shared" si="12"/>
        <v>0</v>
      </c>
      <c r="O50" s="228">
        <f t="shared" si="13"/>
        <v>0</v>
      </c>
      <c r="P50" s="20">
        <f t="shared" si="14"/>
        <v>0</v>
      </c>
      <c r="Q50" s="19">
        <f t="shared" si="15"/>
        <v>100</v>
      </c>
      <c r="R50" s="19">
        <f t="shared" si="16"/>
        <v>0</v>
      </c>
      <c r="S50" s="19">
        <f t="shared" si="17"/>
        <v>0</v>
      </c>
      <c r="T50" s="20">
        <f t="shared" si="18"/>
        <v>0</v>
      </c>
      <c r="U50" s="19">
        <f t="shared" si="19"/>
        <v>0.2208</v>
      </c>
      <c r="V50" s="19">
        <f t="shared" si="20"/>
        <v>0</v>
      </c>
      <c r="W50" s="19">
        <f t="shared" si="21"/>
        <v>0</v>
      </c>
      <c r="X50" s="147" t="str">
        <f t="shared" si="22"/>
        <v>GoA</v>
      </c>
      <c r="Y50" s="32">
        <f t="shared" si="23"/>
        <v>0</v>
      </c>
      <c r="Z50" s="31">
        <f t="shared" si="24"/>
        <v>100</v>
      </c>
      <c r="AA50" s="31">
        <f t="shared" si="25"/>
        <v>0</v>
      </c>
      <c r="AB50" s="31">
        <f t="shared" si="26"/>
        <v>0</v>
      </c>
      <c r="AC50" s="31">
        <f t="shared" si="27"/>
        <v>0</v>
      </c>
      <c r="AD50" s="322">
        <f t="shared" si="28"/>
        <v>0</v>
      </c>
      <c r="AE50" s="309">
        <f t="shared" si="29"/>
        <v>0.2208</v>
      </c>
      <c r="AF50" s="309">
        <f t="shared" si="30"/>
        <v>0</v>
      </c>
      <c r="AG50" s="309">
        <f t="shared" si="31"/>
        <v>0</v>
      </c>
      <c r="AH50" s="309">
        <f t="shared" si="32"/>
        <v>0</v>
      </c>
      <c r="AI50" s="322">
        <v>0</v>
      </c>
      <c r="AJ50" s="309">
        <v>0.2208</v>
      </c>
      <c r="AK50" s="309">
        <v>0</v>
      </c>
      <c r="AL50" s="309">
        <v>0</v>
      </c>
      <c r="AM50" s="309">
        <v>0</v>
      </c>
      <c r="AN50" s="140">
        <v>0</v>
      </c>
      <c r="AO50" s="141">
        <v>2.9700000000000001E-2</v>
      </c>
      <c r="AP50" s="141">
        <v>0</v>
      </c>
      <c r="AQ50" s="141">
        <v>0</v>
      </c>
      <c r="AR50" s="141">
        <v>0</v>
      </c>
      <c r="AS50" s="142">
        <v>0</v>
      </c>
      <c r="AT50" s="143">
        <v>4.2000000000000003E-2</v>
      </c>
      <c r="AU50" s="143">
        <v>0</v>
      </c>
      <c r="AV50" s="143">
        <v>0</v>
      </c>
      <c r="AW50" s="143">
        <v>0</v>
      </c>
      <c r="AX50" s="142">
        <v>0</v>
      </c>
      <c r="AY50" s="143">
        <v>2.8792000000000002E-3</v>
      </c>
      <c r="AZ50" s="143">
        <v>0</v>
      </c>
      <c r="BA50" s="143">
        <v>0</v>
      </c>
      <c r="BB50" s="143">
        <v>0</v>
      </c>
      <c r="BD50" s="50"/>
      <c r="BE50" s="179" t="s">
        <v>5294</v>
      </c>
      <c r="BF50" s="179" t="s">
        <v>3012</v>
      </c>
      <c r="BG50" s="53" t="s">
        <v>15</v>
      </c>
      <c r="BI50" s="52" t="s">
        <v>217</v>
      </c>
      <c r="BJ50" s="52" t="s">
        <v>44</v>
      </c>
      <c r="BK50" s="179">
        <v>100</v>
      </c>
      <c r="BL50" s="179"/>
      <c r="BM50" s="179" t="s">
        <v>2916</v>
      </c>
      <c r="BN50" s="179" t="s">
        <v>3001</v>
      </c>
      <c r="BO50" s="52" t="s">
        <v>2866</v>
      </c>
      <c r="BP50" s="179" t="s">
        <v>3011</v>
      </c>
      <c r="BQ50" s="52" t="s">
        <v>2923</v>
      </c>
      <c r="BR50" s="179">
        <v>2</v>
      </c>
      <c r="BS50" s="179" t="s">
        <v>2848</v>
      </c>
    </row>
    <row r="51" spans="1:72" ht="18.75" customHeight="1">
      <c r="A51" s="88" t="s">
        <v>218</v>
      </c>
      <c r="B51" s="205" t="s">
        <v>5558</v>
      </c>
      <c r="C51" t="s">
        <v>583</v>
      </c>
      <c r="D51" s="19">
        <v>2019</v>
      </c>
      <c r="E51" s="9" t="s">
        <v>5200</v>
      </c>
      <c r="F51" s="20" t="str">
        <f t="shared" si="33"/>
        <v/>
      </c>
      <c r="G51" s="19">
        <f t="shared" si="34"/>
        <v>1</v>
      </c>
      <c r="H51" s="19" t="str">
        <f t="shared" si="35"/>
        <v/>
      </c>
      <c r="I51" s="19" t="str">
        <f t="shared" si="36"/>
        <v/>
      </c>
      <c r="J51" s="225">
        <f t="shared" si="8"/>
        <v>1</v>
      </c>
      <c r="K51" s="226" t="str">
        <f t="shared" si="9"/>
        <v>Gi/o</v>
      </c>
      <c r="L51" s="227">
        <f t="shared" si="10"/>
        <v>0</v>
      </c>
      <c r="M51" s="228">
        <f t="shared" si="11"/>
        <v>1</v>
      </c>
      <c r="N51" s="228">
        <f t="shared" si="12"/>
        <v>0</v>
      </c>
      <c r="O51" s="228">
        <f t="shared" si="13"/>
        <v>0</v>
      </c>
      <c r="P51" s="20">
        <f t="shared" si="14"/>
        <v>0</v>
      </c>
      <c r="Q51" s="19">
        <f t="shared" si="15"/>
        <v>100</v>
      </c>
      <c r="R51" s="19">
        <f t="shared" si="16"/>
        <v>0</v>
      </c>
      <c r="S51" s="19">
        <f t="shared" si="17"/>
        <v>0</v>
      </c>
      <c r="T51" s="20">
        <f t="shared" si="18"/>
        <v>0</v>
      </c>
      <c r="U51" s="19">
        <f t="shared" si="19"/>
        <v>1.8492999999999999</v>
      </c>
      <c r="V51" s="19">
        <f t="shared" si="20"/>
        <v>0</v>
      </c>
      <c r="W51" s="19">
        <f t="shared" si="21"/>
        <v>0</v>
      </c>
      <c r="X51" s="147" t="str">
        <f t="shared" si="22"/>
        <v>GoA</v>
      </c>
      <c r="Y51" s="32">
        <f t="shared" si="23"/>
        <v>0</v>
      </c>
      <c r="Z51" s="31">
        <f t="shared" si="24"/>
        <v>100</v>
      </c>
      <c r="AA51" s="31">
        <f t="shared" si="25"/>
        <v>0</v>
      </c>
      <c r="AB51" s="31">
        <f t="shared" si="26"/>
        <v>0</v>
      </c>
      <c r="AC51" s="31">
        <f t="shared" si="27"/>
        <v>0</v>
      </c>
      <c r="AD51" s="322">
        <f t="shared" si="28"/>
        <v>0</v>
      </c>
      <c r="AE51" s="309">
        <f t="shared" si="29"/>
        <v>1.8492999999999999</v>
      </c>
      <c r="AF51" s="309">
        <f t="shared" si="30"/>
        <v>0</v>
      </c>
      <c r="AG51" s="309">
        <f t="shared" si="31"/>
        <v>0</v>
      </c>
      <c r="AH51" s="309">
        <f t="shared" si="32"/>
        <v>0</v>
      </c>
      <c r="AI51" s="322">
        <v>0</v>
      </c>
      <c r="AJ51" s="309">
        <v>1.8492999999999999</v>
      </c>
      <c r="AK51" s="309">
        <v>0</v>
      </c>
      <c r="AL51" s="309">
        <v>0</v>
      </c>
      <c r="AM51" s="309">
        <v>0</v>
      </c>
      <c r="AN51" s="140">
        <v>0</v>
      </c>
      <c r="AO51" s="141">
        <v>6.88E-2</v>
      </c>
      <c r="AP51" s="141">
        <v>0</v>
      </c>
      <c r="AQ51" s="141">
        <v>0</v>
      </c>
      <c r="AR51" s="141">
        <v>0</v>
      </c>
      <c r="AS51" s="142">
        <v>0</v>
      </c>
      <c r="AT51" s="143">
        <v>0.43169999999999997</v>
      </c>
      <c r="AU51" s="143">
        <v>0</v>
      </c>
      <c r="AV51" s="143">
        <v>0</v>
      </c>
      <c r="AW51" s="143">
        <v>0</v>
      </c>
      <c r="AX51" s="142">
        <v>0</v>
      </c>
      <c r="AY51" s="143">
        <v>1.7299999999999999E-2</v>
      </c>
      <c r="AZ51" s="143">
        <v>0</v>
      </c>
      <c r="BA51" s="143">
        <v>0</v>
      </c>
      <c r="BB51" s="143">
        <v>0</v>
      </c>
      <c r="BD51" s="50"/>
      <c r="BE51" s="179" t="s">
        <v>5295</v>
      </c>
      <c r="BF51" s="179" t="s">
        <v>3010</v>
      </c>
      <c r="BG51" s="53" t="s">
        <v>15</v>
      </c>
      <c r="BI51" s="52" t="s">
        <v>217</v>
      </c>
      <c r="BJ51" s="52" t="s">
        <v>44</v>
      </c>
      <c r="BK51" s="179">
        <v>100</v>
      </c>
      <c r="BL51" s="179"/>
      <c r="BM51" s="179" t="s">
        <v>2916</v>
      </c>
      <c r="BN51" s="179" t="s">
        <v>3001</v>
      </c>
      <c r="BO51" s="52" t="s">
        <v>2866</v>
      </c>
      <c r="BP51" s="179" t="s">
        <v>3009</v>
      </c>
      <c r="BQ51" s="52" t="s">
        <v>3008</v>
      </c>
      <c r="BR51" s="179">
        <v>2</v>
      </c>
      <c r="BS51" s="179" t="s">
        <v>2848</v>
      </c>
    </row>
    <row r="52" spans="1:72" ht="18.75" customHeight="1">
      <c r="A52" s="88" t="s">
        <v>219</v>
      </c>
      <c r="B52" s="205" t="s">
        <v>5558</v>
      </c>
      <c r="C52" t="s">
        <v>583</v>
      </c>
      <c r="D52" s="19">
        <v>2019</v>
      </c>
      <c r="E52" s="9" t="s">
        <v>5200</v>
      </c>
      <c r="F52" s="20" t="str">
        <f t="shared" si="33"/>
        <v/>
      </c>
      <c r="G52" s="19">
        <f t="shared" si="34"/>
        <v>1</v>
      </c>
      <c r="H52" s="19">
        <f t="shared" si="35"/>
        <v>1</v>
      </c>
      <c r="I52" s="19" t="str">
        <f t="shared" si="36"/>
        <v/>
      </c>
      <c r="J52" s="225">
        <f t="shared" si="8"/>
        <v>2</v>
      </c>
      <c r="K52" s="226" t="str">
        <f t="shared" si="9"/>
        <v>Gi/o</v>
      </c>
      <c r="L52" s="227">
        <f t="shared" si="10"/>
        <v>0</v>
      </c>
      <c r="M52" s="228">
        <f t="shared" si="11"/>
        <v>1</v>
      </c>
      <c r="N52" s="228">
        <f t="shared" si="12"/>
        <v>2</v>
      </c>
      <c r="O52" s="228">
        <f t="shared" si="13"/>
        <v>0</v>
      </c>
      <c r="P52" s="20">
        <f t="shared" si="14"/>
        <v>0</v>
      </c>
      <c r="Q52" s="19">
        <f t="shared" si="15"/>
        <v>100</v>
      </c>
      <c r="R52" s="19">
        <f t="shared" si="16"/>
        <v>1.7036071273359408</v>
      </c>
      <c r="S52" s="19">
        <f t="shared" si="17"/>
        <v>0</v>
      </c>
      <c r="T52" s="20">
        <f t="shared" si="18"/>
        <v>0</v>
      </c>
      <c r="U52" s="19">
        <f t="shared" si="19"/>
        <v>2.3010000000000002</v>
      </c>
      <c r="V52" s="19">
        <f t="shared" si="20"/>
        <v>3.9199999999999999E-2</v>
      </c>
      <c r="W52" s="19">
        <f t="shared" si="21"/>
        <v>0</v>
      </c>
      <c r="X52" s="147" t="str">
        <f t="shared" si="22"/>
        <v>GoA</v>
      </c>
      <c r="Y52" s="32">
        <f t="shared" si="23"/>
        <v>0</v>
      </c>
      <c r="Z52" s="31">
        <f t="shared" si="24"/>
        <v>100</v>
      </c>
      <c r="AA52" s="31">
        <f t="shared" si="25"/>
        <v>0</v>
      </c>
      <c r="AB52" s="31">
        <f t="shared" si="26"/>
        <v>1.7036071273359408</v>
      </c>
      <c r="AC52" s="31">
        <f t="shared" si="27"/>
        <v>0</v>
      </c>
      <c r="AD52" s="322">
        <f t="shared" si="28"/>
        <v>0</v>
      </c>
      <c r="AE52" s="309">
        <f t="shared" si="29"/>
        <v>2.3010000000000002</v>
      </c>
      <c r="AF52" s="309">
        <f t="shared" si="30"/>
        <v>0</v>
      </c>
      <c r="AG52" s="309">
        <f t="shared" si="31"/>
        <v>3.9199999999999999E-2</v>
      </c>
      <c r="AH52" s="309">
        <f t="shared" si="32"/>
        <v>0</v>
      </c>
      <c r="AI52" s="322">
        <v>0</v>
      </c>
      <c r="AJ52" s="309">
        <v>2.3010000000000002</v>
      </c>
      <c r="AK52" s="309">
        <v>0</v>
      </c>
      <c r="AL52" s="309">
        <v>3.9199999999999999E-2</v>
      </c>
      <c r="AM52" s="309">
        <v>0</v>
      </c>
      <c r="AN52" s="140">
        <v>0</v>
      </c>
      <c r="AO52" s="141">
        <v>5.74E-2</v>
      </c>
      <c r="AP52" s="141">
        <v>0</v>
      </c>
      <c r="AQ52" s="141">
        <v>2.5999999999999999E-2</v>
      </c>
      <c r="AR52" s="141">
        <v>0</v>
      </c>
      <c r="AS52" s="142">
        <v>0</v>
      </c>
      <c r="AT52" s="143">
        <v>0.28999999999999998</v>
      </c>
      <c r="AU52" s="143">
        <v>0</v>
      </c>
      <c r="AV52" s="143">
        <v>1.7038999999999999E-3</v>
      </c>
      <c r="AW52" s="143">
        <v>0</v>
      </c>
      <c r="AX52" s="142">
        <v>0</v>
      </c>
      <c r="AY52" s="143">
        <v>5.6007000000000001E-3</v>
      </c>
      <c r="AZ52" s="143">
        <v>0</v>
      </c>
      <c r="BA52" s="143">
        <v>2.5035999999999999E-3</v>
      </c>
      <c r="BB52" s="143">
        <v>0</v>
      </c>
      <c r="BD52" s="50"/>
      <c r="BE52" s="179" t="s">
        <v>5296</v>
      </c>
      <c r="BF52" s="179" t="s">
        <v>3007</v>
      </c>
      <c r="BG52" s="53" t="s">
        <v>15</v>
      </c>
      <c r="BI52" s="52" t="s">
        <v>217</v>
      </c>
      <c r="BJ52" s="52" t="s">
        <v>44</v>
      </c>
      <c r="BK52" s="179">
        <v>100</v>
      </c>
      <c r="BL52" s="179"/>
      <c r="BM52" s="179" t="s">
        <v>2916</v>
      </c>
      <c r="BN52" s="179" t="s">
        <v>3001</v>
      </c>
      <c r="BO52" s="52" t="s">
        <v>2866</v>
      </c>
      <c r="BP52" s="179" t="s">
        <v>3006</v>
      </c>
      <c r="BQ52" s="52" t="s">
        <v>3005</v>
      </c>
      <c r="BR52" s="179">
        <v>2</v>
      </c>
      <c r="BS52" s="179" t="s">
        <v>2848</v>
      </c>
    </row>
    <row r="53" spans="1:72" ht="18.75" customHeight="1">
      <c r="A53" s="88" t="s">
        <v>220</v>
      </c>
      <c r="B53" s="205" t="s">
        <v>5558</v>
      </c>
      <c r="C53" t="s">
        <v>583</v>
      </c>
      <c r="D53" s="19">
        <v>2019</v>
      </c>
      <c r="E53" s="9" t="s">
        <v>5200</v>
      </c>
      <c r="F53" s="20" t="str">
        <f t="shared" si="33"/>
        <v/>
      </c>
      <c r="G53" s="19">
        <f t="shared" si="34"/>
        <v>1</v>
      </c>
      <c r="H53" s="19" t="str">
        <f t="shared" si="35"/>
        <v/>
      </c>
      <c r="I53" s="19" t="str">
        <f t="shared" si="36"/>
        <v/>
      </c>
      <c r="J53" s="225">
        <f t="shared" si="8"/>
        <v>1</v>
      </c>
      <c r="K53" s="226" t="str">
        <f t="shared" si="9"/>
        <v>Gi/o</v>
      </c>
      <c r="L53" s="227">
        <f t="shared" si="10"/>
        <v>0</v>
      </c>
      <c r="M53" s="228">
        <f t="shared" si="11"/>
        <v>1</v>
      </c>
      <c r="N53" s="228">
        <f t="shared" si="12"/>
        <v>0</v>
      </c>
      <c r="O53" s="228">
        <f t="shared" si="13"/>
        <v>0</v>
      </c>
      <c r="P53" s="20">
        <f t="shared" si="14"/>
        <v>0</v>
      </c>
      <c r="Q53" s="19">
        <f t="shared" si="15"/>
        <v>100</v>
      </c>
      <c r="R53" s="19">
        <f t="shared" si="16"/>
        <v>0</v>
      </c>
      <c r="S53" s="19">
        <f t="shared" si="17"/>
        <v>0</v>
      </c>
      <c r="T53" s="20">
        <f t="shared" si="18"/>
        <v>0</v>
      </c>
      <c r="U53" s="19">
        <f t="shared" si="19"/>
        <v>0.161</v>
      </c>
      <c r="V53" s="19">
        <f t="shared" si="20"/>
        <v>0</v>
      </c>
      <c r="W53" s="19">
        <f t="shared" si="21"/>
        <v>0</v>
      </c>
      <c r="X53" s="147" t="str">
        <f t="shared" si="22"/>
        <v>GoA</v>
      </c>
      <c r="Y53" s="32">
        <f t="shared" si="23"/>
        <v>0</v>
      </c>
      <c r="Z53" s="31">
        <f t="shared" si="24"/>
        <v>100</v>
      </c>
      <c r="AA53" s="31">
        <f t="shared" si="25"/>
        <v>0</v>
      </c>
      <c r="AB53" s="31">
        <f t="shared" si="26"/>
        <v>0</v>
      </c>
      <c r="AC53" s="31">
        <f t="shared" si="27"/>
        <v>0</v>
      </c>
      <c r="AD53" s="322">
        <f t="shared" si="28"/>
        <v>0</v>
      </c>
      <c r="AE53" s="309">
        <f t="shared" si="29"/>
        <v>0.161</v>
      </c>
      <c r="AF53" s="309">
        <f t="shared" si="30"/>
        <v>0</v>
      </c>
      <c r="AG53" s="309">
        <f t="shared" si="31"/>
        <v>0</v>
      </c>
      <c r="AH53" s="309">
        <f t="shared" si="32"/>
        <v>0</v>
      </c>
      <c r="AI53" s="322">
        <v>0</v>
      </c>
      <c r="AJ53" s="309">
        <v>0.161</v>
      </c>
      <c r="AK53" s="309">
        <v>0</v>
      </c>
      <c r="AL53" s="309">
        <v>0</v>
      </c>
      <c r="AM53" s="309">
        <v>0</v>
      </c>
      <c r="AN53" s="140">
        <v>0</v>
      </c>
      <c r="AO53" s="141">
        <v>3.0300000000000001E-2</v>
      </c>
      <c r="AP53" s="141">
        <v>0</v>
      </c>
      <c r="AQ53" s="141">
        <v>0</v>
      </c>
      <c r="AR53" s="141">
        <v>0</v>
      </c>
      <c r="AS53" s="142">
        <v>0</v>
      </c>
      <c r="AT53" s="143">
        <v>2.1899999999999999E-2</v>
      </c>
      <c r="AU53" s="143">
        <v>0</v>
      </c>
      <c r="AV53" s="143">
        <v>0</v>
      </c>
      <c r="AW53" s="143">
        <v>0</v>
      </c>
      <c r="AX53" s="142">
        <v>0</v>
      </c>
      <c r="AY53" s="143">
        <v>3.1532999999999999E-3</v>
      </c>
      <c r="AZ53" s="143">
        <v>0</v>
      </c>
      <c r="BA53" s="143">
        <v>0</v>
      </c>
      <c r="BB53" s="143">
        <v>0</v>
      </c>
      <c r="BD53" s="50"/>
      <c r="BE53" s="179" t="s">
        <v>5297</v>
      </c>
      <c r="BF53" s="179" t="s">
        <v>3004</v>
      </c>
      <c r="BG53" s="53" t="s">
        <v>15</v>
      </c>
      <c r="BI53" s="52" t="s">
        <v>217</v>
      </c>
      <c r="BJ53" s="52" t="s">
        <v>44</v>
      </c>
      <c r="BK53" s="179">
        <v>100</v>
      </c>
      <c r="BL53" s="179"/>
      <c r="BM53" s="179" t="s">
        <v>2916</v>
      </c>
      <c r="BN53" s="179" t="s">
        <v>3001</v>
      </c>
      <c r="BO53" s="52" t="s">
        <v>2866</v>
      </c>
      <c r="BP53" s="179" t="s">
        <v>3003</v>
      </c>
      <c r="BR53" s="179">
        <v>2</v>
      </c>
      <c r="BS53" s="179" t="s">
        <v>2848</v>
      </c>
    </row>
    <row r="54" spans="1:72" ht="18.75" customHeight="1">
      <c r="A54" s="88" t="s">
        <v>221</v>
      </c>
      <c r="B54" s="205" t="s">
        <v>5558</v>
      </c>
      <c r="C54" t="s">
        <v>583</v>
      </c>
      <c r="D54" s="19">
        <v>2019</v>
      </c>
      <c r="E54" s="9" t="s">
        <v>5200</v>
      </c>
      <c r="F54" s="20" t="str">
        <f t="shared" si="33"/>
        <v/>
      </c>
      <c r="G54" s="19">
        <f t="shared" si="34"/>
        <v>1</v>
      </c>
      <c r="H54" s="19">
        <f t="shared" si="35"/>
        <v>1</v>
      </c>
      <c r="I54" s="19" t="str">
        <f t="shared" si="36"/>
        <v/>
      </c>
      <c r="J54" s="225">
        <f t="shared" si="8"/>
        <v>2</v>
      </c>
      <c r="K54" s="226" t="str">
        <f t="shared" si="9"/>
        <v>Gi/o</v>
      </c>
      <c r="L54" s="227">
        <f t="shared" si="10"/>
        <v>0</v>
      </c>
      <c r="M54" s="228">
        <f t="shared" si="11"/>
        <v>1</v>
      </c>
      <c r="N54" s="228">
        <f t="shared" si="12"/>
        <v>2</v>
      </c>
      <c r="O54" s="228">
        <f t="shared" si="13"/>
        <v>0</v>
      </c>
      <c r="P54" s="20">
        <f t="shared" si="14"/>
        <v>0</v>
      </c>
      <c r="Q54" s="19">
        <f t="shared" si="15"/>
        <v>100</v>
      </c>
      <c r="R54" s="19">
        <f t="shared" si="16"/>
        <v>0.99717390804861805</v>
      </c>
      <c r="S54" s="19">
        <f t="shared" si="17"/>
        <v>0</v>
      </c>
      <c r="T54" s="20">
        <f t="shared" si="18"/>
        <v>0</v>
      </c>
      <c r="U54" s="19">
        <f t="shared" si="19"/>
        <v>4.3522999999999996</v>
      </c>
      <c r="V54" s="19">
        <f t="shared" si="20"/>
        <v>4.3400000000000001E-2</v>
      </c>
      <c r="W54" s="19">
        <f t="shared" si="21"/>
        <v>0</v>
      </c>
      <c r="X54" s="147" t="str">
        <f t="shared" si="22"/>
        <v>GoA</v>
      </c>
      <c r="Y54" s="32">
        <f t="shared" si="23"/>
        <v>0</v>
      </c>
      <c r="Z54" s="31">
        <f t="shared" si="24"/>
        <v>100</v>
      </c>
      <c r="AA54" s="31">
        <f t="shared" si="25"/>
        <v>0</v>
      </c>
      <c r="AB54" s="31">
        <f t="shared" si="26"/>
        <v>0.99717390804861805</v>
      </c>
      <c r="AC54" s="31">
        <f t="shared" si="27"/>
        <v>0</v>
      </c>
      <c r="AD54" s="322">
        <f t="shared" si="28"/>
        <v>0</v>
      </c>
      <c r="AE54" s="309">
        <f t="shared" si="29"/>
        <v>4.3522999999999996</v>
      </c>
      <c r="AF54" s="309">
        <f t="shared" si="30"/>
        <v>0</v>
      </c>
      <c r="AG54" s="309">
        <f t="shared" si="31"/>
        <v>4.3400000000000001E-2</v>
      </c>
      <c r="AH54" s="309">
        <f t="shared" si="32"/>
        <v>0</v>
      </c>
      <c r="AI54" s="322">
        <v>0</v>
      </c>
      <c r="AJ54" s="309">
        <v>4.3522999999999996</v>
      </c>
      <c r="AK54" s="309">
        <v>0</v>
      </c>
      <c r="AL54" s="309">
        <v>4.3400000000000001E-2</v>
      </c>
      <c r="AM54" s="309">
        <v>0</v>
      </c>
      <c r="AN54" s="140">
        <v>0</v>
      </c>
      <c r="AO54" s="141">
        <v>6.3500000000000001E-2</v>
      </c>
      <c r="AP54" s="141">
        <v>0</v>
      </c>
      <c r="AQ54" s="141">
        <v>3.1800000000000002E-2</v>
      </c>
      <c r="AR54" s="141">
        <v>0</v>
      </c>
      <c r="AS54" s="142">
        <v>0</v>
      </c>
      <c r="AT54" s="143">
        <v>0.30880000000000002</v>
      </c>
      <c r="AU54" s="143">
        <v>0</v>
      </c>
      <c r="AV54" s="143">
        <v>1.322E-3</v>
      </c>
      <c r="AW54" s="143">
        <v>0</v>
      </c>
      <c r="AX54" s="142">
        <v>0</v>
      </c>
      <c r="AY54" s="143">
        <v>5.7143000000000003E-3</v>
      </c>
      <c r="AZ54" s="143">
        <v>0</v>
      </c>
      <c r="BA54" s="143">
        <v>1.2741E-3</v>
      </c>
      <c r="BB54" s="143">
        <v>0</v>
      </c>
      <c r="BD54" s="50"/>
      <c r="BE54" s="179" t="s">
        <v>5298</v>
      </c>
      <c r="BF54" s="179" t="s">
        <v>3002</v>
      </c>
      <c r="BG54" s="53" t="s">
        <v>15</v>
      </c>
      <c r="BI54" s="52" t="s">
        <v>217</v>
      </c>
      <c r="BJ54" s="52" t="s">
        <v>44</v>
      </c>
      <c r="BK54" s="179">
        <v>100</v>
      </c>
      <c r="BL54" s="179" t="s">
        <v>5299</v>
      </c>
      <c r="BM54" s="179" t="s">
        <v>2916</v>
      </c>
      <c r="BN54" s="179" t="s">
        <v>3001</v>
      </c>
      <c r="BO54" s="52" t="s">
        <v>2866</v>
      </c>
      <c r="BP54" s="179" t="s">
        <v>3000</v>
      </c>
      <c r="BQ54" s="52" t="s">
        <v>2999</v>
      </c>
      <c r="BR54" s="179">
        <v>2</v>
      </c>
      <c r="BS54" s="179" t="s">
        <v>2848</v>
      </c>
    </row>
    <row r="55" spans="1:72" ht="18.75" customHeight="1">
      <c r="A55" s="88" t="s">
        <v>222</v>
      </c>
      <c r="B55" s="205" t="s">
        <v>5558</v>
      </c>
      <c r="C55" t="s">
        <v>583</v>
      </c>
      <c r="D55" s="19">
        <v>2098</v>
      </c>
      <c r="E55" s="9" t="s">
        <v>5200</v>
      </c>
      <c r="F55" s="20" t="str">
        <f t="shared" si="33"/>
        <v/>
      </c>
      <c r="G55" s="19">
        <f t="shared" si="34"/>
        <v>1</v>
      </c>
      <c r="H55" s="19">
        <f t="shared" si="35"/>
        <v>1</v>
      </c>
      <c r="I55" s="19">
        <f t="shared" si="36"/>
        <v>1</v>
      </c>
      <c r="J55" s="225">
        <f t="shared" si="8"/>
        <v>3</v>
      </c>
      <c r="K55" s="226" t="str">
        <f t="shared" si="9"/>
        <v>Gq/11</v>
      </c>
      <c r="L55" s="227">
        <f t="shared" si="10"/>
        <v>0</v>
      </c>
      <c r="M55" s="228">
        <f t="shared" si="11"/>
        <v>3</v>
      </c>
      <c r="N55" s="228">
        <f t="shared" si="12"/>
        <v>1</v>
      </c>
      <c r="O55" s="228">
        <f t="shared" si="13"/>
        <v>2</v>
      </c>
      <c r="P55" s="20">
        <f t="shared" si="14"/>
        <v>0</v>
      </c>
      <c r="Q55" s="19">
        <f t="shared" si="15"/>
        <v>6.4914517804855008</v>
      </c>
      <c r="R55" s="19">
        <f t="shared" si="16"/>
        <v>100</v>
      </c>
      <c r="S55" s="19">
        <f t="shared" si="17"/>
        <v>47.796826296401242</v>
      </c>
      <c r="T55" s="20">
        <f t="shared" si="18"/>
        <v>0</v>
      </c>
      <c r="U55" s="19">
        <f t="shared" si="19"/>
        <v>0.27489999999999998</v>
      </c>
      <c r="V55" s="19">
        <f t="shared" si="20"/>
        <v>4.2347999999999999</v>
      </c>
      <c r="W55" s="19">
        <f t="shared" si="21"/>
        <v>2.0240999999999998</v>
      </c>
      <c r="X55" s="147" t="str">
        <f t="shared" si="22"/>
        <v>Gq</v>
      </c>
      <c r="Y55" s="32">
        <f t="shared" si="23"/>
        <v>0</v>
      </c>
      <c r="Z55" s="31">
        <f t="shared" si="24"/>
        <v>6.4914517804855008</v>
      </c>
      <c r="AA55" s="31">
        <f t="shared" si="25"/>
        <v>100</v>
      </c>
      <c r="AB55" s="31">
        <f t="shared" si="26"/>
        <v>3.5963918012657032</v>
      </c>
      <c r="AC55" s="31">
        <f t="shared" si="27"/>
        <v>47.796826296401242</v>
      </c>
      <c r="AD55" s="322">
        <f t="shared" si="28"/>
        <v>0</v>
      </c>
      <c r="AE55" s="309">
        <f t="shared" si="29"/>
        <v>0.27489999999999998</v>
      </c>
      <c r="AF55" s="309">
        <f t="shared" si="30"/>
        <v>4.2347999999999999</v>
      </c>
      <c r="AG55" s="309">
        <f t="shared" si="31"/>
        <v>0.15229999999999999</v>
      </c>
      <c r="AH55" s="309">
        <f t="shared" si="32"/>
        <v>2.0240999999999998</v>
      </c>
      <c r="AI55" s="322">
        <v>0</v>
      </c>
      <c r="AJ55" s="309">
        <v>0.27489999999999998</v>
      </c>
      <c r="AK55" s="309">
        <v>4.2347999999999999</v>
      </c>
      <c r="AL55" s="309">
        <v>0.15229999999999999</v>
      </c>
      <c r="AM55" s="309">
        <v>2.0240999999999998</v>
      </c>
      <c r="AN55" s="140">
        <v>0</v>
      </c>
      <c r="AO55" s="141">
        <v>8.7400000000000005E-2</v>
      </c>
      <c r="AP55" s="141">
        <v>9.1700000000000004E-2</v>
      </c>
      <c r="AQ55" s="141">
        <v>8.6300000000000002E-2</v>
      </c>
      <c r="AR55" s="141">
        <v>8.7900000000000006E-2</v>
      </c>
      <c r="AS55" s="142">
        <v>0</v>
      </c>
      <c r="AT55" s="143">
        <v>1.2E-2</v>
      </c>
      <c r="AU55" s="143">
        <v>0.56579999999999997</v>
      </c>
      <c r="AV55" s="143">
        <v>1.2999999999999999E-2</v>
      </c>
      <c r="AW55" s="143">
        <v>0.43099999999999999</v>
      </c>
      <c r="AX55" s="142">
        <v>0</v>
      </c>
      <c r="AY55" s="143">
        <v>1.0800000000000001E-2</v>
      </c>
      <c r="AZ55" s="143">
        <v>1.6475999999999999E-3</v>
      </c>
      <c r="BA55" s="143">
        <v>1.6623E-3</v>
      </c>
      <c r="BB55" s="143">
        <v>1.0200000000000001E-2</v>
      </c>
      <c r="BD55" s="50"/>
      <c r="BE55" s="179" t="s">
        <v>5300</v>
      </c>
      <c r="BF55" s="179" t="s">
        <v>3054</v>
      </c>
      <c r="BG55" s="53" t="s">
        <v>15</v>
      </c>
      <c r="BI55" s="52" t="s">
        <v>3053</v>
      </c>
      <c r="BJ55" s="52" t="s">
        <v>44</v>
      </c>
      <c r="BK55" s="179">
        <v>100</v>
      </c>
      <c r="BL55" s="179" t="s">
        <v>5301</v>
      </c>
      <c r="BM55" s="179" t="s">
        <v>3028</v>
      </c>
      <c r="BN55" s="179" t="s">
        <v>3052</v>
      </c>
      <c r="BO55" s="52" t="s">
        <v>2866</v>
      </c>
      <c r="BP55" s="179" t="s">
        <v>3051</v>
      </c>
      <c r="BQ55" s="52" t="s">
        <v>3050</v>
      </c>
      <c r="BR55" s="179">
        <v>6</v>
      </c>
      <c r="BS55" s="179" t="s">
        <v>2848</v>
      </c>
    </row>
    <row r="56" spans="1:72" ht="18.75" customHeight="1">
      <c r="A56" s="88" t="s">
        <v>228</v>
      </c>
      <c r="B56" s="205" t="s">
        <v>5558</v>
      </c>
      <c r="C56" t="s">
        <v>583</v>
      </c>
      <c r="D56" s="19">
        <v>2168</v>
      </c>
      <c r="E56" s="9" t="s">
        <v>5200</v>
      </c>
      <c r="F56" s="20" t="str">
        <f t="shared" si="33"/>
        <v/>
      </c>
      <c r="G56" s="19">
        <f t="shared" si="34"/>
        <v>1</v>
      </c>
      <c r="H56" s="19">
        <f t="shared" si="35"/>
        <v>1</v>
      </c>
      <c r="I56" s="19" t="str">
        <f t="shared" si="36"/>
        <v/>
      </c>
      <c r="J56" s="225">
        <f t="shared" si="8"/>
        <v>2</v>
      </c>
      <c r="K56" s="226" t="str">
        <f t="shared" si="9"/>
        <v>Gq/11</v>
      </c>
      <c r="L56" s="227">
        <f t="shared" si="10"/>
        <v>0</v>
      </c>
      <c r="M56" s="228">
        <f t="shared" si="11"/>
        <v>2</v>
      </c>
      <c r="N56" s="228">
        <f t="shared" si="12"/>
        <v>1</v>
      </c>
      <c r="O56" s="228">
        <f t="shared" si="13"/>
        <v>0</v>
      </c>
      <c r="P56" s="20">
        <f t="shared" si="14"/>
        <v>0</v>
      </c>
      <c r="Q56" s="19">
        <f t="shared" si="15"/>
        <v>17.217116599655373</v>
      </c>
      <c r="R56" s="19">
        <f t="shared" si="16"/>
        <v>100</v>
      </c>
      <c r="S56" s="19">
        <f t="shared" si="17"/>
        <v>0</v>
      </c>
      <c r="T56" s="20">
        <f t="shared" si="18"/>
        <v>0</v>
      </c>
      <c r="U56" s="19">
        <f t="shared" si="19"/>
        <v>0.11990000000000001</v>
      </c>
      <c r="V56" s="19">
        <f t="shared" si="20"/>
        <v>0.69640000000000002</v>
      </c>
      <c r="W56" s="19">
        <f t="shared" si="21"/>
        <v>0</v>
      </c>
      <c r="X56" s="147" t="str">
        <f t="shared" si="22"/>
        <v>Gq</v>
      </c>
      <c r="Y56" s="32">
        <f t="shared" si="23"/>
        <v>0</v>
      </c>
      <c r="Z56" s="31">
        <f t="shared" si="24"/>
        <v>17.217116599655373</v>
      </c>
      <c r="AA56" s="31">
        <f t="shared" si="25"/>
        <v>100</v>
      </c>
      <c r="AB56" s="31">
        <f t="shared" si="26"/>
        <v>7.7972429638138996</v>
      </c>
      <c r="AC56" s="31">
        <f t="shared" si="27"/>
        <v>0</v>
      </c>
      <c r="AD56" s="322">
        <f t="shared" si="28"/>
        <v>0</v>
      </c>
      <c r="AE56" s="309">
        <f t="shared" si="29"/>
        <v>0.11990000000000001</v>
      </c>
      <c r="AF56" s="309">
        <f t="shared" si="30"/>
        <v>0.69640000000000002</v>
      </c>
      <c r="AG56" s="309">
        <f t="shared" si="31"/>
        <v>5.4300000000000001E-2</v>
      </c>
      <c r="AH56" s="309">
        <f t="shared" si="32"/>
        <v>0</v>
      </c>
      <c r="AI56" s="322">
        <v>0</v>
      </c>
      <c r="AJ56" s="309">
        <v>0.11990000000000001</v>
      </c>
      <c r="AK56" s="309">
        <v>0.69640000000000002</v>
      </c>
      <c r="AL56" s="309">
        <v>5.4300000000000001E-2</v>
      </c>
      <c r="AM56" s="309">
        <v>0</v>
      </c>
      <c r="AN56" s="140">
        <v>0</v>
      </c>
      <c r="AO56" s="141">
        <v>3.6799999999999999E-2</v>
      </c>
      <c r="AP56" s="141">
        <v>6.6100000000000006E-2</v>
      </c>
      <c r="AQ56" s="141">
        <v>3.5999999999999997E-2</v>
      </c>
      <c r="AR56" s="141">
        <v>0</v>
      </c>
      <c r="AS56" s="142">
        <v>0</v>
      </c>
      <c r="AT56" s="143">
        <v>5.0000000000000001E-4</v>
      </c>
      <c r="AU56" s="143">
        <v>0.03</v>
      </c>
      <c r="AV56" s="143">
        <v>2.6666999999999999E-4</v>
      </c>
      <c r="AW56" s="143">
        <v>0</v>
      </c>
      <c r="AX56" s="142">
        <v>0</v>
      </c>
      <c r="AY56" s="143">
        <v>2.0000000000000001E-4</v>
      </c>
      <c r="AZ56" s="143">
        <v>7.2332999999999998E-3</v>
      </c>
      <c r="BA56" s="143">
        <v>2.9332999999999998E-3</v>
      </c>
      <c r="BB56" s="143">
        <v>0</v>
      </c>
      <c r="BD56" s="50"/>
      <c r="BE56" s="179" t="s">
        <v>5302</v>
      </c>
      <c r="BF56" s="179" t="s">
        <v>3088</v>
      </c>
      <c r="BG56" s="53" t="s">
        <v>15</v>
      </c>
      <c r="BI56" s="52" t="s">
        <v>234</v>
      </c>
      <c r="BJ56" s="52" t="s">
        <v>44</v>
      </c>
      <c r="BK56" s="179">
        <v>100</v>
      </c>
      <c r="BL56" s="179" t="s">
        <v>5303</v>
      </c>
      <c r="BM56" s="179" t="s">
        <v>2851</v>
      </c>
      <c r="BN56" s="179">
        <v>2935</v>
      </c>
      <c r="BO56" s="52" t="s">
        <v>2866</v>
      </c>
      <c r="BP56" s="179" t="s">
        <v>3087</v>
      </c>
      <c r="BQ56" s="52" t="s">
        <v>3086</v>
      </c>
      <c r="BR56" s="179">
        <v>6</v>
      </c>
      <c r="BS56" s="179" t="s">
        <v>2848</v>
      </c>
    </row>
    <row r="57" spans="1:72" ht="18.75" customHeight="1">
      <c r="A57" s="88" t="s">
        <v>229</v>
      </c>
      <c r="B57" s="205" t="s">
        <v>5558</v>
      </c>
      <c r="C57" t="s">
        <v>583</v>
      </c>
      <c r="D57" s="19">
        <v>2168</v>
      </c>
      <c r="E57" s="9" t="s">
        <v>5200</v>
      </c>
      <c r="F57" s="20" t="str">
        <f t="shared" si="33"/>
        <v/>
      </c>
      <c r="G57" s="19">
        <f t="shared" si="34"/>
        <v>1</v>
      </c>
      <c r="H57" s="19">
        <f t="shared" si="35"/>
        <v>1</v>
      </c>
      <c r="I57" s="19" t="str">
        <f t="shared" si="36"/>
        <v/>
      </c>
      <c r="J57" s="225">
        <f t="shared" si="8"/>
        <v>2</v>
      </c>
      <c r="K57" s="226" t="str">
        <f t="shared" si="9"/>
        <v>Gq/11</v>
      </c>
      <c r="L57" s="227">
        <f t="shared" si="10"/>
        <v>0</v>
      </c>
      <c r="M57" s="228">
        <f t="shared" si="11"/>
        <v>2</v>
      </c>
      <c r="N57" s="228">
        <f t="shared" si="12"/>
        <v>1</v>
      </c>
      <c r="O57" s="228">
        <f t="shared" si="13"/>
        <v>0</v>
      </c>
      <c r="P57" s="20">
        <f t="shared" si="14"/>
        <v>0</v>
      </c>
      <c r="Q57" s="19">
        <f t="shared" si="15"/>
        <v>20.627732667083073</v>
      </c>
      <c r="R57" s="19">
        <f t="shared" si="16"/>
        <v>100</v>
      </c>
      <c r="S57" s="19">
        <f t="shared" si="17"/>
        <v>0</v>
      </c>
      <c r="T57" s="20">
        <f t="shared" si="18"/>
        <v>0</v>
      </c>
      <c r="U57" s="19">
        <f t="shared" si="19"/>
        <v>0.1321</v>
      </c>
      <c r="V57" s="19">
        <f t="shared" si="20"/>
        <v>0.64039999999999997</v>
      </c>
      <c r="W57" s="19">
        <f t="shared" si="21"/>
        <v>0</v>
      </c>
      <c r="X57" s="147" t="str">
        <f t="shared" si="22"/>
        <v>Gq</v>
      </c>
      <c r="Y57" s="32">
        <f t="shared" si="23"/>
        <v>0</v>
      </c>
      <c r="Z57" s="31">
        <f t="shared" si="24"/>
        <v>20.627732667083073</v>
      </c>
      <c r="AA57" s="31">
        <f t="shared" si="25"/>
        <v>100</v>
      </c>
      <c r="AB57" s="31">
        <f t="shared" si="26"/>
        <v>8.9006870705808865</v>
      </c>
      <c r="AC57" s="31">
        <f t="shared" si="27"/>
        <v>0</v>
      </c>
      <c r="AD57" s="322">
        <f t="shared" si="28"/>
        <v>0</v>
      </c>
      <c r="AE57" s="309">
        <f t="shared" si="29"/>
        <v>0.1321</v>
      </c>
      <c r="AF57" s="309">
        <f t="shared" si="30"/>
        <v>0.64039999999999997</v>
      </c>
      <c r="AG57" s="309">
        <f t="shared" si="31"/>
        <v>5.7000000000000002E-2</v>
      </c>
      <c r="AH57" s="309">
        <f t="shared" si="32"/>
        <v>0</v>
      </c>
      <c r="AI57" s="322">
        <v>0</v>
      </c>
      <c r="AJ57" s="309">
        <v>0.1321</v>
      </c>
      <c r="AK57" s="309">
        <v>0.64039999999999997</v>
      </c>
      <c r="AL57" s="309">
        <v>5.7000000000000002E-2</v>
      </c>
      <c r="AM57" s="309">
        <v>0</v>
      </c>
      <c r="AN57" s="140">
        <v>0</v>
      </c>
      <c r="AO57" s="141">
        <v>8.7999999999999995E-2</v>
      </c>
      <c r="AP57" s="141">
        <v>0.1096</v>
      </c>
      <c r="AQ57" s="141">
        <v>9.0700000000000003E-2</v>
      </c>
      <c r="AR57" s="141">
        <v>0</v>
      </c>
      <c r="AS57" s="142">
        <v>0</v>
      </c>
      <c r="AT57" s="143">
        <v>4.8332999999999996E-3</v>
      </c>
      <c r="AU57" s="143">
        <v>1.8E-3</v>
      </c>
      <c r="AV57" s="143">
        <v>2.4332999999999998E-3</v>
      </c>
      <c r="AW57" s="143">
        <v>0</v>
      </c>
      <c r="AX57" s="142">
        <v>0</v>
      </c>
      <c r="AY57" s="143">
        <v>6.6667000000000004E-5</v>
      </c>
      <c r="AZ57" s="143">
        <v>2.8E-3</v>
      </c>
      <c r="BA57" s="143">
        <v>1.3667E-3</v>
      </c>
      <c r="BB57" s="143">
        <v>0</v>
      </c>
      <c r="BD57" s="50"/>
      <c r="BE57" s="179" t="s">
        <v>5304</v>
      </c>
      <c r="BF57" s="179" t="s">
        <v>3085</v>
      </c>
      <c r="BG57" s="53" t="s">
        <v>15</v>
      </c>
      <c r="BI57" s="52" t="s">
        <v>234</v>
      </c>
      <c r="BJ57" s="52" t="s">
        <v>44</v>
      </c>
      <c r="BK57" s="179">
        <v>100</v>
      </c>
      <c r="BL57" s="179" t="s">
        <v>5305</v>
      </c>
      <c r="BM57" s="179" t="s">
        <v>2851</v>
      </c>
      <c r="BN57" s="179">
        <v>2935</v>
      </c>
      <c r="BO57" s="52" t="s">
        <v>2866</v>
      </c>
      <c r="BP57" s="179" t="s">
        <v>3084</v>
      </c>
      <c r="BQ57" s="52" t="s">
        <v>3083</v>
      </c>
      <c r="BR57" s="179">
        <v>6</v>
      </c>
      <c r="BS57" s="179" t="s">
        <v>2848</v>
      </c>
    </row>
    <row r="58" spans="1:72" ht="18.75" customHeight="1">
      <c r="A58" s="88" t="s">
        <v>230</v>
      </c>
      <c r="B58" s="205" t="s">
        <v>5558</v>
      </c>
      <c r="C58" t="s">
        <v>583</v>
      </c>
      <c r="D58" s="19">
        <v>2168</v>
      </c>
      <c r="E58" s="9" t="s">
        <v>5200</v>
      </c>
      <c r="F58" s="20">
        <f t="shared" si="33"/>
        <v>1</v>
      </c>
      <c r="G58" s="19">
        <f t="shared" si="34"/>
        <v>1</v>
      </c>
      <c r="H58" s="19">
        <f t="shared" si="35"/>
        <v>1</v>
      </c>
      <c r="I58" s="19">
        <f t="shared" si="36"/>
        <v>1</v>
      </c>
      <c r="J58" s="225">
        <f t="shared" si="8"/>
        <v>4</v>
      </c>
      <c r="K58" s="226" t="str">
        <f t="shared" si="9"/>
        <v>Gs</v>
      </c>
      <c r="L58" s="227">
        <f t="shared" si="10"/>
        <v>1</v>
      </c>
      <c r="M58" s="228">
        <f t="shared" si="11"/>
        <v>3</v>
      </c>
      <c r="N58" s="228">
        <f t="shared" si="12"/>
        <v>2</v>
      </c>
      <c r="O58" s="228">
        <f t="shared" si="13"/>
        <v>4</v>
      </c>
      <c r="P58" s="20">
        <f t="shared" si="14"/>
        <v>100</v>
      </c>
      <c r="Q58" s="19">
        <f t="shared" si="15"/>
        <v>6.064425770308123</v>
      </c>
      <c r="R58" s="19">
        <f t="shared" si="16"/>
        <v>40.602240896358545</v>
      </c>
      <c r="S58" s="19">
        <f t="shared" si="17"/>
        <v>4.5098039215686274</v>
      </c>
      <c r="T58" s="20">
        <f t="shared" si="18"/>
        <v>1.4279999999999999</v>
      </c>
      <c r="U58" s="19">
        <f t="shared" si="19"/>
        <v>8.6599999999999996E-2</v>
      </c>
      <c r="V58" s="19">
        <f t="shared" si="20"/>
        <v>0.57979999999999998</v>
      </c>
      <c r="W58" s="19">
        <f t="shared" si="21"/>
        <v>6.4399999999999999E-2</v>
      </c>
      <c r="X58" s="147" t="str">
        <f t="shared" si="22"/>
        <v>GsL</v>
      </c>
      <c r="Y58" s="32">
        <f t="shared" si="23"/>
        <v>100</v>
      </c>
      <c r="Z58" s="31">
        <f t="shared" si="24"/>
        <v>6.064425770308123</v>
      </c>
      <c r="AA58" s="31">
        <f t="shared" si="25"/>
        <v>11.484593837535014</v>
      </c>
      <c r="AB58" s="31">
        <f t="shared" si="26"/>
        <v>40.602240896358545</v>
      </c>
      <c r="AC58" s="31">
        <f t="shared" si="27"/>
        <v>4.5098039215686274</v>
      </c>
      <c r="AD58" s="322">
        <f t="shared" si="28"/>
        <v>1.4279999999999999</v>
      </c>
      <c r="AE58" s="309">
        <f t="shared" si="29"/>
        <v>8.6599999999999996E-2</v>
      </c>
      <c r="AF58" s="309">
        <f t="shared" si="30"/>
        <v>0.16400000000000001</v>
      </c>
      <c r="AG58" s="309">
        <f t="shared" si="31"/>
        <v>0.57979999999999998</v>
      </c>
      <c r="AH58" s="309">
        <f t="shared" si="32"/>
        <v>6.4399999999999999E-2</v>
      </c>
      <c r="AI58" s="322">
        <v>1.4279999999999999</v>
      </c>
      <c r="AJ58" s="309">
        <v>8.6599999999999996E-2</v>
      </c>
      <c r="AK58" s="309">
        <v>0.16400000000000001</v>
      </c>
      <c r="AL58" s="309">
        <v>0.57979999999999998</v>
      </c>
      <c r="AM58" s="309">
        <v>6.4399999999999999E-2</v>
      </c>
      <c r="AN58" s="140">
        <v>5.0700000000000002E-2</v>
      </c>
      <c r="AO58" s="141">
        <v>7.1999999999999995E-2</v>
      </c>
      <c r="AP58" s="141">
        <v>8.5099999999999995E-2</v>
      </c>
      <c r="AQ58" s="141">
        <v>0.15770000000000001</v>
      </c>
      <c r="AR58" s="141">
        <v>3.1199999999999999E-2</v>
      </c>
      <c r="AS58" s="142">
        <v>5.3667000000000003E-3</v>
      </c>
      <c r="AT58" s="143">
        <v>6.6666999999999996E-4</v>
      </c>
      <c r="AU58" s="143">
        <v>1.66E-2</v>
      </c>
      <c r="AV58" s="143">
        <v>3.7999999999999999E-2</v>
      </c>
      <c r="AW58" s="143">
        <v>1.3333E-4</v>
      </c>
      <c r="AX58" s="142">
        <v>8.6667000000000005E-4</v>
      </c>
      <c r="AY58" s="143">
        <v>2.0999999999999999E-3</v>
      </c>
      <c r="AZ58" s="143">
        <v>1.2666999999999999E-3</v>
      </c>
      <c r="BA58" s="143">
        <v>1.6999999999999999E-3</v>
      </c>
      <c r="BB58" s="143">
        <v>2.9999999999999997E-4</v>
      </c>
      <c r="BD58" s="50"/>
      <c r="BE58" s="179" t="s">
        <v>5306</v>
      </c>
      <c r="BF58" s="179" t="s">
        <v>3082</v>
      </c>
      <c r="BG58" s="53" t="s">
        <v>15</v>
      </c>
      <c r="BI58" s="52" t="s">
        <v>234</v>
      </c>
      <c r="BJ58" s="52" t="s">
        <v>44</v>
      </c>
      <c r="BK58" s="179">
        <v>100</v>
      </c>
      <c r="BL58" s="179" t="s">
        <v>5307</v>
      </c>
      <c r="BM58" s="179" t="s">
        <v>2851</v>
      </c>
      <c r="BN58" s="179">
        <v>2935</v>
      </c>
      <c r="BO58" s="52" t="s">
        <v>2866</v>
      </c>
      <c r="BP58" s="179" t="s">
        <v>3081</v>
      </c>
      <c r="BQ58" s="52" t="s">
        <v>3080</v>
      </c>
      <c r="BR58" s="179">
        <v>6</v>
      </c>
      <c r="BS58" s="179" t="s">
        <v>2848</v>
      </c>
    </row>
    <row r="59" spans="1:72" ht="18.75" customHeight="1">
      <c r="A59" s="88" t="s">
        <v>231</v>
      </c>
      <c r="B59" s="205" t="s">
        <v>5558</v>
      </c>
      <c r="C59" t="s">
        <v>2678</v>
      </c>
      <c r="D59" s="19">
        <v>1152</v>
      </c>
      <c r="E59" s="9" t="s">
        <v>5200</v>
      </c>
      <c r="F59" s="20">
        <f t="shared" si="33"/>
        <v>1</v>
      </c>
      <c r="G59" s="19">
        <f t="shared" si="34"/>
        <v>1</v>
      </c>
      <c r="H59" s="19">
        <f t="shared" si="35"/>
        <v>1</v>
      </c>
      <c r="I59" s="19">
        <f t="shared" si="36"/>
        <v>1</v>
      </c>
      <c r="J59" s="225">
        <f t="shared" si="8"/>
        <v>4</v>
      </c>
      <c r="K59" s="226" t="str">
        <f t="shared" si="9"/>
        <v>Gs</v>
      </c>
      <c r="L59" s="227">
        <f t="shared" si="10"/>
        <v>1</v>
      </c>
      <c r="M59" s="228">
        <f t="shared" si="11"/>
        <v>4</v>
      </c>
      <c r="N59" s="228">
        <f t="shared" si="12"/>
        <v>2</v>
      </c>
      <c r="O59" s="228">
        <f t="shared" si="13"/>
        <v>3</v>
      </c>
      <c r="P59" s="20">
        <f t="shared" si="14"/>
        <v>100</v>
      </c>
      <c r="Q59" s="19">
        <f t="shared" si="15"/>
        <v>3.9212678936605321</v>
      </c>
      <c r="R59" s="19">
        <f t="shared" si="16"/>
        <v>68.701431492842545</v>
      </c>
      <c r="S59" s="19">
        <f t="shared" si="17"/>
        <v>7.7658486707566459</v>
      </c>
      <c r="T59" s="20">
        <f t="shared" si="18"/>
        <v>1.956</v>
      </c>
      <c r="U59" s="19">
        <f t="shared" si="19"/>
        <v>7.6700000000000004E-2</v>
      </c>
      <c r="V59" s="19">
        <f t="shared" si="20"/>
        <v>1.3438000000000001</v>
      </c>
      <c r="W59" s="19">
        <f t="shared" si="21"/>
        <v>0.15190000000000001</v>
      </c>
      <c r="X59" s="147" t="str">
        <f t="shared" si="22"/>
        <v>GsL</v>
      </c>
      <c r="Y59" s="32">
        <f t="shared" si="23"/>
        <v>100</v>
      </c>
      <c r="Z59" s="31">
        <f t="shared" si="24"/>
        <v>3.9212678936605321</v>
      </c>
      <c r="AA59" s="31">
        <f t="shared" si="25"/>
        <v>19.330265848670759</v>
      </c>
      <c r="AB59" s="31">
        <f t="shared" si="26"/>
        <v>68.701431492842545</v>
      </c>
      <c r="AC59" s="31">
        <f t="shared" si="27"/>
        <v>7.7658486707566459</v>
      </c>
      <c r="AD59" s="322">
        <f t="shared" si="28"/>
        <v>1.956</v>
      </c>
      <c r="AE59" s="309">
        <f t="shared" si="29"/>
        <v>7.6700000000000004E-2</v>
      </c>
      <c r="AF59" s="309">
        <f t="shared" si="30"/>
        <v>0.37809999999999999</v>
      </c>
      <c r="AG59" s="309">
        <f t="shared" si="31"/>
        <v>1.3438000000000001</v>
      </c>
      <c r="AH59" s="309">
        <f t="shared" si="32"/>
        <v>0.15190000000000001</v>
      </c>
      <c r="AI59" s="322">
        <v>1.956</v>
      </c>
      <c r="AJ59" s="309">
        <v>7.6700000000000004E-2</v>
      </c>
      <c r="AK59" s="309">
        <v>0.37809999999999999</v>
      </c>
      <c r="AL59" s="309">
        <v>1.3438000000000001</v>
      </c>
      <c r="AM59" s="309">
        <v>0.15190000000000001</v>
      </c>
      <c r="AN59" s="140">
        <v>4.4200000000000003E-2</v>
      </c>
      <c r="AO59" s="141">
        <v>3.8899999999999997E-2</v>
      </c>
      <c r="AP59" s="141">
        <v>5.8099999999999999E-2</v>
      </c>
      <c r="AQ59" s="141">
        <v>8.6099999999999996E-2</v>
      </c>
      <c r="AR59" s="141">
        <v>8.0799999999999997E-2</v>
      </c>
      <c r="AS59" s="142">
        <v>0.10680000000000001</v>
      </c>
      <c r="AT59" s="143">
        <v>3.7212999999999999E-3</v>
      </c>
      <c r="AU59" s="143">
        <v>1.66E-2</v>
      </c>
      <c r="AV59" s="143">
        <v>3.8199999999999998E-2</v>
      </c>
      <c r="AW59" s="143">
        <v>1.8224000000000001E-3</v>
      </c>
      <c r="AX59" s="142">
        <v>1.34E-2</v>
      </c>
      <c r="AY59" s="143">
        <v>8.6163000000000003E-3</v>
      </c>
      <c r="AZ59" s="143">
        <v>1.14E-2</v>
      </c>
      <c r="BA59" s="143">
        <v>1.8200000000000001E-2</v>
      </c>
      <c r="BB59" s="143">
        <v>1.52E-2</v>
      </c>
      <c r="BD59" s="50"/>
      <c r="BE59" s="179" t="s">
        <v>5308</v>
      </c>
      <c r="BF59" s="179" t="s">
        <v>2901</v>
      </c>
      <c r="BG59" s="53" t="s">
        <v>2892</v>
      </c>
      <c r="BI59" s="52" t="s">
        <v>2023</v>
      </c>
      <c r="BJ59" s="52" t="s">
        <v>44</v>
      </c>
      <c r="BK59" s="179">
        <v>10</v>
      </c>
      <c r="BL59" s="179" t="s">
        <v>5309</v>
      </c>
      <c r="BM59" s="179" t="s">
        <v>2900</v>
      </c>
      <c r="BN59" s="179" t="s">
        <v>2899</v>
      </c>
      <c r="BO59" s="52" t="s">
        <v>2866</v>
      </c>
      <c r="BP59" s="179" t="s">
        <v>2898</v>
      </c>
      <c r="BQ59" s="52" t="s">
        <v>2897</v>
      </c>
      <c r="BR59" s="179">
        <v>6</v>
      </c>
      <c r="BS59" s="179" t="s">
        <v>2848</v>
      </c>
    </row>
    <row r="60" spans="1:72" ht="18.75" customHeight="1">
      <c r="A60" s="51" t="s">
        <v>232</v>
      </c>
      <c r="B60" s="205" t="s">
        <v>5558</v>
      </c>
      <c r="C60" t="s">
        <v>2678</v>
      </c>
      <c r="D60" s="19">
        <v>1152</v>
      </c>
      <c r="E60" s="9" t="s">
        <v>5200</v>
      </c>
      <c r="F60" s="20">
        <f t="shared" si="33"/>
        <v>1</v>
      </c>
      <c r="G60" s="19">
        <f t="shared" si="34"/>
        <v>1</v>
      </c>
      <c r="H60" s="19">
        <f t="shared" si="35"/>
        <v>1</v>
      </c>
      <c r="I60" s="19">
        <f t="shared" si="36"/>
        <v>1</v>
      </c>
      <c r="J60" s="225">
        <f t="shared" si="8"/>
        <v>4</v>
      </c>
      <c r="K60" s="226" t="str">
        <f t="shared" si="9"/>
        <v>Gs</v>
      </c>
      <c r="L60" s="227">
        <f t="shared" si="10"/>
        <v>1</v>
      </c>
      <c r="M60" s="228">
        <f t="shared" si="11"/>
        <v>3</v>
      </c>
      <c r="N60" s="228">
        <f t="shared" si="12"/>
        <v>2</v>
      </c>
      <c r="O60" s="228">
        <f t="shared" si="13"/>
        <v>4</v>
      </c>
      <c r="P60" s="20">
        <f t="shared" si="14"/>
        <v>100</v>
      </c>
      <c r="Q60" s="19">
        <f t="shared" si="15"/>
        <v>5.0113207547169809</v>
      </c>
      <c r="R60" s="19">
        <f t="shared" si="16"/>
        <v>10.915723270440251</v>
      </c>
      <c r="S60" s="19">
        <f t="shared" si="17"/>
        <v>1.9018867924528302</v>
      </c>
      <c r="T60" s="20">
        <f t="shared" si="18"/>
        <v>3.9750000000000001</v>
      </c>
      <c r="U60" s="19">
        <f t="shared" si="19"/>
        <v>0.19919999999999999</v>
      </c>
      <c r="V60" s="19">
        <f t="shared" si="20"/>
        <v>0.43390000000000001</v>
      </c>
      <c r="W60" s="19">
        <f t="shared" si="21"/>
        <v>7.5600000000000001E-2</v>
      </c>
      <c r="X60" s="147" t="str">
        <f t="shared" si="22"/>
        <v>GsL</v>
      </c>
      <c r="Y60" s="32">
        <f t="shared" si="23"/>
        <v>100</v>
      </c>
      <c r="Z60" s="31">
        <f t="shared" si="24"/>
        <v>5.0113207547169809</v>
      </c>
      <c r="AA60" s="31">
        <f t="shared" si="25"/>
        <v>1.8842767295597485</v>
      </c>
      <c r="AB60" s="31">
        <f t="shared" si="26"/>
        <v>10.915723270440251</v>
      </c>
      <c r="AC60" s="31">
        <f t="shared" si="27"/>
        <v>1.9018867924528302</v>
      </c>
      <c r="AD60" s="322">
        <f t="shared" si="28"/>
        <v>3.9750000000000001</v>
      </c>
      <c r="AE60" s="309">
        <f t="shared" si="29"/>
        <v>0.19919999999999999</v>
      </c>
      <c r="AF60" s="309">
        <f t="shared" si="30"/>
        <v>7.4899999999999994E-2</v>
      </c>
      <c r="AG60" s="309">
        <f t="shared" si="31"/>
        <v>0.43390000000000001</v>
      </c>
      <c r="AH60" s="309">
        <f t="shared" si="32"/>
        <v>7.5600000000000001E-2</v>
      </c>
      <c r="AI60" s="322">
        <v>3.9750000000000001</v>
      </c>
      <c r="AJ60" s="309">
        <v>0.19919999999999999</v>
      </c>
      <c r="AK60" s="309">
        <v>7.4899999999999994E-2</v>
      </c>
      <c r="AL60" s="309">
        <v>0.43390000000000001</v>
      </c>
      <c r="AM60" s="309">
        <v>7.5600000000000001E-2</v>
      </c>
      <c r="AN60" s="140">
        <v>4.4900000000000002E-2</v>
      </c>
      <c r="AO60" s="141">
        <v>5.57E-2</v>
      </c>
      <c r="AP60" s="141">
        <v>2.3199999999999998E-2</v>
      </c>
      <c r="AQ60" s="141">
        <v>5.79E-2</v>
      </c>
      <c r="AR60" s="141">
        <v>5.4121000000000004E-3</v>
      </c>
      <c r="AS60" s="142">
        <v>9.8599999999999993E-2</v>
      </c>
      <c r="AT60" s="143">
        <v>3.7667E-3</v>
      </c>
      <c r="AU60" s="143">
        <v>4.0134000000000003E-3</v>
      </c>
      <c r="AV60" s="143">
        <v>6.4108000000000004E-3</v>
      </c>
      <c r="AW60" s="143">
        <v>3.8836999999999999E-3</v>
      </c>
      <c r="AX60" s="142">
        <v>2.0341999999999999E-3</v>
      </c>
      <c r="AY60" s="143">
        <v>4.2148000000000003E-3</v>
      </c>
      <c r="AZ60" s="143">
        <v>1.3531999999999999E-3</v>
      </c>
      <c r="BA60" s="143">
        <v>6.4053000000000001E-3</v>
      </c>
      <c r="BB60" s="143">
        <v>2.1442E-4</v>
      </c>
      <c r="BD60" s="50"/>
      <c r="BE60" s="179" t="s">
        <v>5310</v>
      </c>
      <c r="BF60" s="179" t="s">
        <v>232</v>
      </c>
      <c r="BG60" s="53" t="s">
        <v>2892</v>
      </c>
      <c r="BI60" s="52" t="s">
        <v>2023</v>
      </c>
      <c r="BJ60" s="52" t="s">
        <v>44</v>
      </c>
      <c r="BK60" s="179">
        <v>10</v>
      </c>
      <c r="BL60" s="179" t="s">
        <v>5311</v>
      </c>
      <c r="BM60" s="179" t="s">
        <v>2900</v>
      </c>
      <c r="BN60" s="179" t="s">
        <v>2899</v>
      </c>
      <c r="BO60" s="52" t="s">
        <v>2866</v>
      </c>
      <c r="BP60" s="179" t="s">
        <v>2906</v>
      </c>
      <c r="BQ60" s="52" t="s">
        <v>2905</v>
      </c>
      <c r="BR60" s="179">
        <v>1</v>
      </c>
      <c r="BS60" s="179" t="s">
        <v>2848</v>
      </c>
    </row>
    <row r="61" spans="1:72" ht="18.75" customHeight="1">
      <c r="A61" s="51" t="s">
        <v>2904</v>
      </c>
      <c r="B61" s="205" t="s">
        <v>5558</v>
      </c>
      <c r="C61" t="s">
        <v>2678</v>
      </c>
      <c r="D61" s="19">
        <v>1152</v>
      </c>
      <c r="E61" s="9" t="s">
        <v>5200</v>
      </c>
      <c r="F61" s="20">
        <f t="shared" si="33"/>
        <v>1</v>
      </c>
      <c r="G61" s="19" t="str">
        <f t="shared" si="34"/>
        <v/>
      </c>
      <c r="H61" s="19">
        <f t="shared" si="35"/>
        <v>1</v>
      </c>
      <c r="I61" s="19" t="str">
        <f t="shared" si="36"/>
        <v/>
      </c>
      <c r="J61" s="225">
        <f t="shared" si="8"/>
        <v>2</v>
      </c>
      <c r="K61" s="226" t="str">
        <f t="shared" si="9"/>
        <v>Gs</v>
      </c>
      <c r="L61" s="227">
        <f t="shared" si="10"/>
        <v>1</v>
      </c>
      <c r="M61" s="228">
        <f t="shared" si="11"/>
        <v>0</v>
      </c>
      <c r="N61" s="228">
        <f t="shared" si="12"/>
        <v>2</v>
      </c>
      <c r="O61" s="228">
        <f t="shared" si="13"/>
        <v>0</v>
      </c>
      <c r="P61" s="20">
        <f t="shared" si="14"/>
        <v>100</v>
      </c>
      <c r="Q61" s="19">
        <f t="shared" si="15"/>
        <v>0</v>
      </c>
      <c r="R61" s="19">
        <f t="shared" si="16"/>
        <v>9.5278450363196132</v>
      </c>
      <c r="S61" s="19">
        <f t="shared" si="17"/>
        <v>0</v>
      </c>
      <c r="T61" s="20">
        <f t="shared" si="18"/>
        <v>3.3039999999999998</v>
      </c>
      <c r="U61" s="19">
        <f t="shared" si="19"/>
        <v>0</v>
      </c>
      <c r="V61" s="19">
        <f t="shared" si="20"/>
        <v>0.31480000000000002</v>
      </c>
      <c r="W61" s="19">
        <f t="shared" si="21"/>
        <v>0</v>
      </c>
      <c r="X61" s="147" t="str">
        <f t="shared" si="22"/>
        <v>GsL</v>
      </c>
      <c r="Y61" s="32">
        <f t="shared" si="23"/>
        <v>100</v>
      </c>
      <c r="Z61" s="31">
        <f t="shared" si="24"/>
        <v>0</v>
      </c>
      <c r="AA61" s="31">
        <f t="shared" si="25"/>
        <v>9.5278450363196132</v>
      </c>
      <c r="AB61" s="31">
        <f t="shared" si="26"/>
        <v>3.1144067796610173</v>
      </c>
      <c r="AC61" s="31">
        <f t="shared" si="27"/>
        <v>0</v>
      </c>
      <c r="AD61" s="322">
        <f t="shared" si="28"/>
        <v>3.3039999999999998</v>
      </c>
      <c r="AE61" s="309">
        <f t="shared" si="29"/>
        <v>0</v>
      </c>
      <c r="AF61" s="309">
        <f t="shared" si="30"/>
        <v>0.31480000000000002</v>
      </c>
      <c r="AG61" s="309">
        <f t="shared" si="31"/>
        <v>0.10290000000000001</v>
      </c>
      <c r="AH61" s="309">
        <f t="shared" si="32"/>
        <v>0</v>
      </c>
      <c r="AI61" s="322">
        <v>3.3039999999999998</v>
      </c>
      <c r="AJ61" s="309">
        <v>0</v>
      </c>
      <c r="AK61" s="309">
        <v>0.31480000000000002</v>
      </c>
      <c r="AL61" s="309">
        <v>0.10290000000000001</v>
      </c>
      <c r="AM61" s="309">
        <v>0</v>
      </c>
      <c r="AN61" s="140">
        <v>4.4600000000000001E-2</v>
      </c>
      <c r="AO61" s="141">
        <v>0</v>
      </c>
      <c r="AP61" s="141">
        <v>1.6E-2</v>
      </c>
      <c r="AQ61" s="141">
        <v>4.9399999999999999E-2</v>
      </c>
      <c r="AR61" s="141">
        <v>0</v>
      </c>
      <c r="AS61" s="142">
        <v>0.21629999999999999</v>
      </c>
      <c r="AT61" s="143">
        <v>0</v>
      </c>
      <c r="AU61" s="143">
        <v>5.4699999999999999E-2</v>
      </c>
      <c r="AV61" s="143">
        <v>5.0667000000000004E-3</v>
      </c>
      <c r="AW61" s="143">
        <v>0</v>
      </c>
      <c r="AX61" s="142">
        <v>2.8286000000000001E-3</v>
      </c>
      <c r="AY61" s="143">
        <v>0</v>
      </c>
      <c r="AZ61" s="143">
        <v>2.2747000000000002E-3</v>
      </c>
      <c r="BA61" s="143">
        <v>5.8495999999999999E-3</v>
      </c>
      <c r="BB61" s="143">
        <v>0</v>
      </c>
      <c r="BD61" s="50"/>
      <c r="BE61" s="179" t="s">
        <v>5312</v>
      </c>
      <c r="BF61" s="179" t="s">
        <v>2904</v>
      </c>
      <c r="BG61" s="53" t="s">
        <v>2892</v>
      </c>
      <c r="BI61" s="52" t="s">
        <v>2023</v>
      </c>
      <c r="BJ61" s="52" t="s">
        <v>44</v>
      </c>
      <c r="BK61" s="179">
        <v>10</v>
      </c>
      <c r="BL61" s="179" t="s">
        <v>5313</v>
      </c>
      <c r="BM61" s="179" t="s">
        <v>2900</v>
      </c>
      <c r="BN61" s="179" t="s">
        <v>2899</v>
      </c>
      <c r="BO61" s="52" t="s">
        <v>2866</v>
      </c>
      <c r="BP61" s="179" t="s">
        <v>2903</v>
      </c>
      <c r="BQ61" s="52" t="s">
        <v>2902</v>
      </c>
      <c r="BR61" s="179">
        <v>1</v>
      </c>
      <c r="BS61" s="179" t="s">
        <v>2848</v>
      </c>
    </row>
    <row r="62" spans="1:72" ht="18.75" customHeight="1">
      <c r="A62" s="51" t="s">
        <v>160</v>
      </c>
      <c r="B62" s="205" t="s">
        <v>5558</v>
      </c>
      <c r="C62" t="s">
        <v>583</v>
      </c>
      <c r="D62" s="19">
        <v>1320</v>
      </c>
      <c r="E62" s="9" t="s">
        <v>5200</v>
      </c>
      <c r="F62" s="20">
        <f t="shared" si="33"/>
        <v>1</v>
      </c>
      <c r="G62" s="19" t="str">
        <f t="shared" si="34"/>
        <v/>
      </c>
      <c r="H62" s="19">
        <f t="shared" si="35"/>
        <v>1</v>
      </c>
      <c r="I62" s="19" t="str">
        <f t="shared" si="36"/>
        <v/>
      </c>
      <c r="J62" s="225">
        <f t="shared" si="8"/>
        <v>2</v>
      </c>
      <c r="K62" s="226" t="str">
        <f t="shared" si="9"/>
        <v>Gs</v>
      </c>
      <c r="L62" s="227">
        <f t="shared" si="10"/>
        <v>1</v>
      </c>
      <c r="M62" s="228">
        <f t="shared" si="11"/>
        <v>0</v>
      </c>
      <c r="N62" s="228">
        <f t="shared" si="12"/>
        <v>2</v>
      </c>
      <c r="O62" s="228">
        <f t="shared" si="13"/>
        <v>0</v>
      </c>
      <c r="P62" s="20">
        <f t="shared" si="14"/>
        <v>100</v>
      </c>
      <c r="Q62" s="19">
        <f t="shared" si="15"/>
        <v>0</v>
      </c>
      <c r="R62" s="19">
        <f t="shared" si="16"/>
        <v>94.388489208633104</v>
      </c>
      <c r="S62" s="19">
        <f t="shared" si="17"/>
        <v>0</v>
      </c>
      <c r="T62" s="20">
        <f t="shared" si="18"/>
        <v>0.13900000000000001</v>
      </c>
      <c r="U62" s="19">
        <f t="shared" si="19"/>
        <v>0</v>
      </c>
      <c r="V62" s="19">
        <f t="shared" si="20"/>
        <v>0.13120000000000001</v>
      </c>
      <c r="W62" s="19">
        <f t="shared" si="21"/>
        <v>0</v>
      </c>
      <c r="X62" s="147" t="str">
        <f t="shared" si="22"/>
        <v>GsL</v>
      </c>
      <c r="Y62" s="32">
        <f t="shared" si="23"/>
        <v>100</v>
      </c>
      <c r="Z62" s="31">
        <f t="shared" si="24"/>
        <v>0</v>
      </c>
      <c r="AA62" s="31">
        <f t="shared" si="25"/>
        <v>0</v>
      </c>
      <c r="AB62" s="31">
        <f t="shared" si="26"/>
        <v>94.388489208633104</v>
      </c>
      <c r="AC62" s="31">
        <f t="shared" si="27"/>
        <v>0</v>
      </c>
      <c r="AD62" s="322">
        <f t="shared" si="28"/>
        <v>0.13900000000000001</v>
      </c>
      <c r="AE62" s="309">
        <f t="shared" si="29"/>
        <v>0</v>
      </c>
      <c r="AF62" s="309">
        <f t="shared" si="30"/>
        <v>0</v>
      </c>
      <c r="AG62" s="309">
        <f t="shared" si="31"/>
        <v>0.13120000000000001</v>
      </c>
      <c r="AH62" s="309">
        <f t="shared" si="32"/>
        <v>0</v>
      </c>
      <c r="AI62" s="322">
        <v>0.13900000000000001</v>
      </c>
      <c r="AJ62" s="309">
        <v>0</v>
      </c>
      <c r="AK62" s="309">
        <v>0</v>
      </c>
      <c r="AL62" s="309">
        <v>0.13120000000000001</v>
      </c>
      <c r="AM62" s="309">
        <v>0</v>
      </c>
      <c r="AN62" s="140">
        <v>1.9900000000000001E-2</v>
      </c>
      <c r="AO62" s="141">
        <v>0</v>
      </c>
      <c r="AP62" s="141">
        <v>0</v>
      </c>
      <c r="AQ62" s="141">
        <v>4.4400000000000002E-2</v>
      </c>
      <c r="AR62" s="141">
        <v>0</v>
      </c>
      <c r="AS62" s="142">
        <v>1.17E-2</v>
      </c>
      <c r="AT62" s="143">
        <v>0</v>
      </c>
      <c r="AU62" s="143">
        <v>0</v>
      </c>
      <c r="AV62" s="143">
        <v>6.5833999999999997E-3</v>
      </c>
      <c r="AW62" s="143">
        <v>0</v>
      </c>
      <c r="AX62" s="142">
        <v>7.8386999999999999E-4</v>
      </c>
      <c r="AY62" s="143">
        <v>0</v>
      </c>
      <c r="AZ62" s="143">
        <v>0</v>
      </c>
      <c r="BA62" s="143">
        <v>3.8920000000000001E-3</v>
      </c>
      <c r="BB62" s="143">
        <v>0</v>
      </c>
      <c r="BD62" s="50"/>
      <c r="BE62" s="179" t="s">
        <v>5314</v>
      </c>
      <c r="BF62" s="179" t="s">
        <v>160</v>
      </c>
      <c r="BG62" s="53" t="s">
        <v>15</v>
      </c>
      <c r="BI62" s="52" t="s">
        <v>248</v>
      </c>
      <c r="BJ62" s="52" t="s">
        <v>44</v>
      </c>
      <c r="BK62" s="179">
        <v>100</v>
      </c>
      <c r="BL62" s="179" t="s">
        <v>5315</v>
      </c>
      <c r="BM62" s="179" t="s">
        <v>2851</v>
      </c>
      <c r="BN62" s="179">
        <v>2584</v>
      </c>
      <c r="BO62" s="52" t="s">
        <v>2866</v>
      </c>
      <c r="BP62" s="179" t="s">
        <v>3072</v>
      </c>
      <c r="BQ62" s="52" t="s">
        <v>3071</v>
      </c>
      <c r="BR62" s="179">
        <v>1</v>
      </c>
      <c r="BS62" s="179" t="s">
        <v>2848</v>
      </c>
    </row>
    <row r="63" spans="1:72" ht="18.75" customHeight="1">
      <c r="A63" s="51" t="s">
        <v>161</v>
      </c>
      <c r="B63" s="205" t="s">
        <v>5558</v>
      </c>
      <c r="C63" t="s">
        <v>583</v>
      </c>
      <c r="D63" s="19">
        <v>1320</v>
      </c>
      <c r="E63" s="9" t="s">
        <v>5200</v>
      </c>
      <c r="F63" s="20">
        <f t="shared" si="33"/>
        <v>1</v>
      </c>
      <c r="G63" s="19">
        <f t="shared" si="34"/>
        <v>1</v>
      </c>
      <c r="H63" s="19">
        <f t="shared" si="35"/>
        <v>1</v>
      </c>
      <c r="I63" s="19" t="str">
        <f t="shared" si="36"/>
        <v/>
      </c>
      <c r="J63" s="225">
        <f t="shared" si="8"/>
        <v>3</v>
      </c>
      <c r="K63" s="226" t="str">
        <f t="shared" si="9"/>
        <v>Gs</v>
      </c>
      <c r="L63" s="227">
        <f t="shared" si="10"/>
        <v>1</v>
      </c>
      <c r="M63" s="228">
        <f t="shared" si="11"/>
        <v>2</v>
      </c>
      <c r="N63" s="228">
        <f t="shared" si="12"/>
        <v>3</v>
      </c>
      <c r="O63" s="228">
        <f t="shared" si="13"/>
        <v>0</v>
      </c>
      <c r="P63" s="20">
        <f t="shared" si="14"/>
        <v>100</v>
      </c>
      <c r="Q63" s="19">
        <f t="shared" si="15"/>
        <v>42.962264150943398</v>
      </c>
      <c r="R63" s="19">
        <f t="shared" si="16"/>
        <v>24.924528301886788</v>
      </c>
      <c r="S63" s="19">
        <f t="shared" si="17"/>
        <v>0</v>
      </c>
      <c r="T63" s="20">
        <f t="shared" si="18"/>
        <v>0.53</v>
      </c>
      <c r="U63" s="19">
        <f t="shared" si="19"/>
        <v>0.22770000000000001</v>
      </c>
      <c r="V63" s="19">
        <f t="shared" si="20"/>
        <v>0.1321</v>
      </c>
      <c r="W63" s="19">
        <f t="shared" si="21"/>
        <v>0</v>
      </c>
      <c r="X63" s="147" t="str">
        <f t="shared" si="22"/>
        <v>GsL</v>
      </c>
      <c r="Y63" s="32">
        <f t="shared" si="23"/>
        <v>100</v>
      </c>
      <c r="Z63" s="31">
        <f t="shared" si="24"/>
        <v>42.962264150943398</v>
      </c>
      <c r="AA63" s="31">
        <f t="shared" si="25"/>
        <v>0</v>
      </c>
      <c r="AB63" s="31">
        <f t="shared" si="26"/>
        <v>24.924528301886788</v>
      </c>
      <c r="AC63" s="31">
        <f t="shared" si="27"/>
        <v>0</v>
      </c>
      <c r="AD63" s="322">
        <f t="shared" si="28"/>
        <v>0.53</v>
      </c>
      <c r="AE63" s="309">
        <f t="shared" si="29"/>
        <v>0.22770000000000001</v>
      </c>
      <c r="AF63" s="309">
        <f t="shared" si="30"/>
        <v>0</v>
      </c>
      <c r="AG63" s="309">
        <f t="shared" si="31"/>
        <v>0.1321</v>
      </c>
      <c r="AH63" s="309">
        <f t="shared" si="32"/>
        <v>0</v>
      </c>
      <c r="AI63" s="322">
        <v>0.53</v>
      </c>
      <c r="AJ63" s="309">
        <v>0.22770000000000001</v>
      </c>
      <c r="AK63" s="309">
        <v>0</v>
      </c>
      <c r="AL63" s="309">
        <v>0.1321</v>
      </c>
      <c r="AM63" s="309">
        <v>0</v>
      </c>
      <c r="AN63" s="140">
        <v>4.3499999999999997E-2</v>
      </c>
      <c r="AO63" s="141">
        <v>4.1599999999999998E-2</v>
      </c>
      <c r="AP63" s="141">
        <v>0</v>
      </c>
      <c r="AQ63" s="141">
        <v>3.44E-2</v>
      </c>
      <c r="AR63" s="141">
        <v>0</v>
      </c>
      <c r="AS63" s="142">
        <v>3.9399999999999998E-2</v>
      </c>
      <c r="AT63" s="143">
        <v>3.1300000000000001E-2</v>
      </c>
      <c r="AU63" s="143">
        <v>0</v>
      </c>
      <c r="AV63" s="143">
        <v>3.0024000000000001E-3</v>
      </c>
      <c r="AW63" s="143">
        <v>0</v>
      </c>
      <c r="AX63" s="142">
        <v>9.6666999999999999E-4</v>
      </c>
      <c r="AY63" s="143">
        <v>2.2101E-3</v>
      </c>
      <c r="AZ63" s="143">
        <v>0</v>
      </c>
      <c r="BA63" s="143">
        <v>2.7763000000000002E-3</v>
      </c>
      <c r="BB63" s="143">
        <v>0</v>
      </c>
      <c r="BD63" s="50"/>
      <c r="BE63" s="179" t="s">
        <v>5316</v>
      </c>
      <c r="BF63" s="179" t="s">
        <v>161</v>
      </c>
      <c r="BG63" s="53" t="s">
        <v>15</v>
      </c>
      <c r="BI63" s="52" t="s">
        <v>248</v>
      </c>
      <c r="BJ63" s="52" t="s">
        <v>44</v>
      </c>
      <c r="BK63" s="179">
        <v>100</v>
      </c>
      <c r="BL63" s="179" t="s">
        <v>5317</v>
      </c>
      <c r="BM63" s="179" t="s">
        <v>2851</v>
      </c>
      <c r="BN63" s="179">
        <v>2584</v>
      </c>
      <c r="BO63" s="52" t="s">
        <v>2866</v>
      </c>
      <c r="BP63" s="179" t="s">
        <v>3070</v>
      </c>
      <c r="BQ63" s="52" t="s">
        <v>3069</v>
      </c>
      <c r="BR63" s="179">
        <v>11</v>
      </c>
      <c r="BS63" s="179" t="s">
        <v>2848</v>
      </c>
      <c r="BT63" s="52" t="s">
        <v>3066</v>
      </c>
    </row>
    <row r="64" spans="1:72" ht="18.75" customHeight="1">
      <c r="A64" s="51" t="s">
        <v>162</v>
      </c>
      <c r="B64" s="205" t="s">
        <v>5558</v>
      </c>
      <c r="C64" t="s">
        <v>583</v>
      </c>
      <c r="D64" s="19">
        <v>1320</v>
      </c>
      <c r="E64" s="9" t="s">
        <v>5200</v>
      </c>
      <c r="F64" s="20">
        <f t="shared" si="33"/>
        <v>1</v>
      </c>
      <c r="G64" s="19" t="str">
        <f t="shared" si="34"/>
        <v/>
      </c>
      <c r="H64" s="19">
        <f t="shared" si="35"/>
        <v>1</v>
      </c>
      <c r="I64" s="19" t="str">
        <f t="shared" si="36"/>
        <v/>
      </c>
      <c r="J64" s="225">
        <f t="shared" si="8"/>
        <v>2</v>
      </c>
      <c r="K64" s="226" t="str">
        <f t="shared" si="9"/>
        <v>Gq/11</v>
      </c>
      <c r="L64" s="227">
        <f t="shared" si="10"/>
        <v>2</v>
      </c>
      <c r="M64" s="228">
        <f t="shared" si="11"/>
        <v>0</v>
      </c>
      <c r="N64" s="228">
        <f t="shared" si="12"/>
        <v>1</v>
      </c>
      <c r="O64" s="228">
        <f t="shared" si="13"/>
        <v>0</v>
      </c>
      <c r="P64" s="20">
        <f t="shared" si="14"/>
        <v>96.899224806201559</v>
      </c>
      <c r="Q64" s="19">
        <f t="shared" si="15"/>
        <v>0</v>
      </c>
      <c r="R64" s="19">
        <f t="shared" si="16"/>
        <v>100</v>
      </c>
      <c r="S64" s="19">
        <f t="shared" si="17"/>
        <v>0</v>
      </c>
      <c r="T64" s="20">
        <f t="shared" si="18"/>
        <v>0.15</v>
      </c>
      <c r="U64" s="19">
        <f t="shared" si="19"/>
        <v>0</v>
      </c>
      <c r="V64" s="19">
        <f t="shared" si="20"/>
        <v>0.15479999999999999</v>
      </c>
      <c r="W64" s="19">
        <f t="shared" si="21"/>
        <v>0</v>
      </c>
      <c r="X64" s="147" t="str">
        <f t="shared" si="22"/>
        <v>G15</v>
      </c>
      <c r="Y64" s="32">
        <f t="shared" si="23"/>
        <v>96.899224806201559</v>
      </c>
      <c r="Z64" s="31">
        <f t="shared" si="24"/>
        <v>0</v>
      </c>
      <c r="AA64" s="31">
        <f t="shared" si="25"/>
        <v>62.403100775193806</v>
      </c>
      <c r="AB64" s="31">
        <f t="shared" si="26"/>
        <v>100</v>
      </c>
      <c r="AC64" s="31">
        <f t="shared" si="27"/>
        <v>0</v>
      </c>
      <c r="AD64" s="322">
        <f t="shared" si="28"/>
        <v>0.15</v>
      </c>
      <c r="AE64" s="309">
        <f t="shared" si="29"/>
        <v>0</v>
      </c>
      <c r="AF64" s="309">
        <f t="shared" si="30"/>
        <v>9.6600000000000005E-2</v>
      </c>
      <c r="AG64" s="309">
        <f t="shared" si="31"/>
        <v>0.15479999999999999</v>
      </c>
      <c r="AH64" s="309">
        <f t="shared" si="32"/>
        <v>0</v>
      </c>
      <c r="AI64" s="322">
        <v>0.15</v>
      </c>
      <c r="AJ64" s="309">
        <v>0</v>
      </c>
      <c r="AK64" s="309">
        <v>9.6600000000000005E-2</v>
      </c>
      <c r="AL64" s="309">
        <v>0.15479999999999999</v>
      </c>
      <c r="AM64" s="309">
        <v>0</v>
      </c>
      <c r="AN64" s="140">
        <v>0</v>
      </c>
      <c r="AO64" s="141">
        <v>0</v>
      </c>
      <c r="AP64" s="141">
        <v>3.2000000000000002E-3</v>
      </c>
      <c r="AQ64" s="141">
        <v>2.2800000000000001E-2</v>
      </c>
      <c r="AR64" s="141">
        <v>0</v>
      </c>
      <c r="AS64" s="142">
        <v>2.5000000000000001E-3</v>
      </c>
      <c r="AT64" s="143">
        <v>0</v>
      </c>
      <c r="AU64" s="143">
        <v>2.1600000000000001E-2</v>
      </c>
      <c r="AV64" s="143">
        <v>2.07E-2</v>
      </c>
      <c r="AW64" s="143">
        <v>0</v>
      </c>
      <c r="AX64" s="142">
        <v>0</v>
      </c>
      <c r="AY64" s="143">
        <v>0</v>
      </c>
      <c r="AZ64" s="143">
        <v>5.9999999999999897E-4</v>
      </c>
      <c r="BA64" s="143">
        <v>1.4E-3</v>
      </c>
      <c r="BB64" s="143">
        <v>0</v>
      </c>
      <c r="BD64" s="50"/>
      <c r="BE64" s="179" t="s">
        <v>5318</v>
      </c>
      <c r="BF64" s="179" t="s">
        <v>162</v>
      </c>
      <c r="BG64" s="53" t="s">
        <v>15</v>
      </c>
      <c r="BI64" s="52" t="s">
        <v>248</v>
      </c>
      <c r="BJ64" s="52" t="s">
        <v>44</v>
      </c>
      <c r="BK64" s="179">
        <v>100</v>
      </c>
      <c r="BL64" s="179" t="s">
        <v>5319</v>
      </c>
      <c r="BM64" s="179" t="s">
        <v>2851</v>
      </c>
      <c r="BN64" s="179">
        <v>2584</v>
      </c>
      <c r="BO64" s="52" t="s">
        <v>2866</v>
      </c>
      <c r="BP64" s="179" t="s">
        <v>3068</v>
      </c>
      <c r="BQ64" s="52" t="s">
        <v>3067</v>
      </c>
      <c r="BR64" s="179">
        <v>6</v>
      </c>
      <c r="BS64" s="179" t="s">
        <v>2848</v>
      </c>
      <c r="BT64" s="52" t="s">
        <v>3066</v>
      </c>
    </row>
    <row r="65" spans="1:72" ht="18.75" customHeight="1">
      <c r="A65" s="88" t="s">
        <v>163</v>
      </c>
      <c r="B65" s="205" t="s">
        <v>5558</v>
      </c>
      <c r="C65" t="s">
        <v>583</v>
      </c>
      <c r="D65" s="19">
        <v>1320</v>
      </c>
      <c r="E65" s="9" t="s">
        <v>5200</v>
      </c>
      <c r="F65" s="20">
        <f t="shared" si="33"/>
        <v>1</v>
      </c>
      <c r="G65" s="19" t="str">
        <f t="shared" si="34"/>
        <v/>
      </c>
      <c r="H65" s="19">
        <f t="shared" si="35"/>
        <v>1</v>
      </c>
      <c r="I65" s="19" t="str">
        <f t="shared" si="36"/>
        <v/>
      </c>
      <c r="J65" s="225">
        <f t="shared" si="8"/>
        <v>2</v>
      </c>
      <c r="K65" s="226" t="str">
        <f t="shared" si="9"/>
        <v>Gs</v>
      </c>
      <c r="L65" s="227">
        <f t="shared" si="10"/>
        <v>1</v>
      </c>
      <c r="M65" s="228">
        <f t="shared" si="11"/>
        <v>0</v>
      </c>
      <c r="N65" s="228">
        <f t="shared" si="12"/>
        <v>2</v>
      </c>
      <c r="O65" s="228">
        <f t="shared" si="13"/>
        <v>0</v>
      </c>
      <c r="P65" s="20">
        <f t="shared" si="14"/>
        <v>100</v>
      </c>
      <c r="Q65" s="19">
        <f t="shared" si="15"/>
        <v>0</v>
      </c>
      <c r="R65" s="19">
        <f t="shared" si="16"/>
        <v>4.5670995670995671</v>
      </c>
      <c r="S65" s="19">
        <f t="shared" si="17"/>
        <v>0</v>
      </c>
      <c r="T65" s="20">
        <f t="shared" si="18"/>
        <v>0.46200000000000002</v>
      </c>
      <c r="U65" s="19">
        <f t="shared" si="19"/>
        <v>0</v>
      </c>
      <c r="V65" s="19">
        <f t="shared" si="20"/>
        <v>2.1100000000000001E-2</v>
      </c>
      <c r="W65" s="19">
        <f t="shared" si="21"/>
        <v>0</v>
      </c>
      <c r="X65" s="147" t="str">
        <f t="shared" si="22"/>
        <v>GsL</v>
      </c>
      <c r="Y65" s="32">
        <f t="shared" si="23"/>
        <v>100</v>
      </c>
      <c r="Z65" s="31">
        <f t="shared" si="24"/>
        <v>0</v>
      </c>
      <c r="AA65" s="31">
        <f t="shared" si="25"/>
        <v>0</v>
      </c>
      <c r="AB65" s="31">
        <f t="shared" si="26"/>
        <v>4.5670995670995671</v>
      </c>
      <c r="AC65" s="31">
        <f t="shared" si="27"/>
        <v>0</v>
      </c>
      <c r="AD65" s="322">
        <f t="shared" si="28"/>
        <v>0.46200000000000002</v>
      </c>
      <c r="AE65" s="309">
        <f t="shared" si="29"/>
        <v>0</v>
      </c>
      <c r="AF65" s="309">
        <f t="shared" si="30"/>
        <v>0</v>
      </c>
      <c r="AG65" s="309">
        <f t="shared" si="31"/>
        <v>2.1100000000000001E-2</v>
      </c>
      <c r="AH65" s="309">
        <f t="shared" si="32"/>
        <v>0</v>
      </c>
      <c r="AI65" s="322">
        <v>0.46200000000000002</v>
      </c>
      <c r="AJ65" s="309">
        <v>0</v>
      </c>
      <c r="AK65" s="309">
        <v>0</v>
      </c>
      <c r="AL65" s="309">
        <v>2.1100000000000001E-2</v>
      </c>
      <c r="AM65" s="309">
        <v>0</v>
      </c>
      <c r="AN65" s="140">
        <v>8.6E-3</v>
      </c>
      <c r="AO65" s="141">
        <v>0</v>
      </c>
      <c r="AP65" s="141">
        <v>0</v>
      </c>
      <c r="AQ65" s="141">
        <v>3.8E-3</v>
      </c>
      <c r="AR65" s="141">
        <v>0</v>
      </c>
      <c r="AS65" s="142">
        <v>1.49E-2</v>
      </c>
      <c r="AT65" s="143">
        <v>0</v>
      </c>
      <c r="AU65" s="143">
        <v>0</v>
      </c>
      <c r="AV65" s="143">
        <v>1.8E-3</v>
      </c>
      <c r="AW65" s="143">
        <v>0</v>
      </c>
      <c r="AX65" s="142">
        <v>1.4E-3</v>
      </c>
      <c r="AY65" s="143">
        <v>0</v>
      </c>
      <c r="AZ65" s="143">
        <v>0</v>
      </c>
      <c r="BA65" s="143">
        <v>5.9999999999999897E-4</v>
      </c>
      <c r="BB65" s="143">
        <v>0</v>
      </c>
      <c r="BD65" s="50"/>
      <c r="BE65" s="179" t="s">
        <v>5320</v>
      </c>
      <c r="BF65" s="179" t="s">
        <v>3075</v>
      </c>
      <c r="BG65" s="53" t="s">
        <v>15</v>
      </c>
      <c r="BI65" s="52" t="s">
        <v>248</v>
      </c>
      <c r="BJ65" s="52" t="s">
        <v>44</v>
      </c>
      <c r="BK65" s="179">
        <v>100</v>
      </c>
      <c r="BL65" s="179"/>
      <c r="BM65" s="179" t="s">
        <v>2851</v>
      </c>
      <c r="BN65" s="179">
        <v>2584</v>
      </c>
      <c r="BO65" s="52" t="s">
        <v>2866</v>
      </c>
      <c r="BP65" s="179" t="s">
        <v>3074</v>
      </c>
      <c r="BQ65" s="52" t="s">
        <v>3073</v>
      </c>
      <c r="BR65" s="179">
        <v>12</v>
      </c>
      <c r="BS65" s="179" t="s">
        <v>2848</v>
      </c>
    </row>
    <row r="66" spans="1:72" ht="18.75" customHeight="1">
      <c r="A66" s="88" t="s">
        <v>48</v>
      </c>
      <c r="B66" s="205" t="s">
        <v>5558</v>
      </c>
      <c r="C66" t="s">
        <v>583</v>
      </c>
      <c r="D66" s="19">
        <v>610</v>
      </c>
      <c r="E66" s="9" t="s">
        <v>5200</v>
      </c>
      <c r="F66" s="20">
        <f t="shared" ref="F66:F97" si="37">IF(AI66&gt;0,1,"")</f>
        <v>1</v>
      </c>
      <c r="G66" s="19" t="str">
        <f t="shared" ref="G66:G97" si="38">IF(AJ66&gt;0,1,"")</f>
        <v/>
      </c>
      <c r="H66" s="19" t="str">
        <f t="shared" ref="H66:H97" si="39">IF(SUM(AK66:AL66)&gt;0,1,"")</f>
        <v/>
      </c>
      <c r="I66" s="19" t="str">
        <f t="shared" ref="I66:I97" si="40">IF(AM66&gt;0,1,"")</f>
        <v/>
      </c>
      <c r="J66" s="225">
        <f t="shared" si="8"/>
        <v>1</v>
      </c>
      <c r="K66" s="226" t="str">
        <f t="shared" si="9"/>
        <v>Gs</v>
      </c>
      <c r="L66" s="227">
        <f t="shared" si="10"/>
        <v>1</v>
      </c>
      <c r="M66" s="228">
        <f t="shared" si="11"/>
        <v>0</v>
      </c>
      <c r="N66" s="228">
        <f t="shared" si="12"/>
        <v>0</v>
      </c>
      <c r="O66" s="228">
        <f t="shared" si="13"/>
        <v>0</v>
      </c>
      <c r="P66" s="20">
        <f t="shared" si="14"/>
        <v>100</v>
      </c>
      <c r="Q66" s="19">
        <f t="shared" si="15"/>
        <v>0</v>
      </c>
      <c r="R66" s="19">
        <f t="shared" si="16"/>
        <v>0</v>
      </c>
      <c r="S66" s="19">
        <f t="shared" si="17"/>
        <v>0</v>
      </c>
      <c r="T66" s="20">
        <f t="shared" si="18"/>
        <v>0.312</v>
      </c>
      <c r="U66" s="19">
        <f t="shared" si="19"/>
        <v>0</v>
      </c>
      <c r="V66" s="19">
        <f t="shared" si="20"/>
        <v>0</v>
      </c>
      <c r="W66" s="19">
        <f t="shared" si="21"/>
        <v>0</v>
      </c>
      <c r="X66" s="147" t="str">
        <f t="shared" si="22"/>
        <v>GsL</v>
      </c>
      <c r="Y66" s="32">
        <f t="shared" si="23"/>
        <v>100</v>
      </c>
      <c r="Z66" s="31">
        <f t="shared" si="24"/>
        <v>0</v>
      </c>
      <c r="AA66" s="31">
        <f t="shared" si="25"/>
        <v>0</v>
      </c>
      <c r="AB66" s="31">
        <f t="shared" si="26"/>
        <v>0</v>
      </c>
      <c r="AC66" s="31">
        <f t="shared" si="27"/>
        <v>0</v>
      </c>
      <c r="AD66" s="322">
        <f t="shared" si="28"/>
        <v>0.312</v>
      </c>
      <c r="AE66" s="309">
        <f t="shared" si="29"/>
        <v>0</v>
      </c>
      <c r="AF66" s="309">
        <f t="shared" si="30"/>
        <v>0</v>
      </c>
      <c r="AG66" s="309">
        <f t="shared" si="31"/>
        <v>0</v>
      </c>
      <c r="AH66" s="309">
        <f t="shared" si="32"/>
        <v>0</v>
      </c>
      <c r="AI66" s="322">
        <v>0.312</v>
      </c>
      <c r="AJ66" s="309">
        <v>0</v>
      </c>
      <c r="AK66" s="309">
        <v>0</v>
      </c>
      <c r="AL66" s="309">
        <v>0</v>
      </c>
      <c r="AM66" s="309">
        <v>0</v>
      </c>
      <c r="AN66" s="140">
        <v>2.1999999999999999E-2</v>
      </c>
      <c r="AO66" s="141">
        <v>0</v>
      </c>
      <c r="AP66" s="141">
        <v>0</v>
      </c>
      <c r="AQ66" s="141">
        <v>0</v>
      </c>
      <c r="AR66" s="141">
        <v>0</v>
      </c>
      <c r="AS66" s="142">
        <v>2.7400000000000001E-2</v>
      </c>
      <c r="AT66" s="143">
        <v>0</v>
      </c>
      <c r="AU66" s="143">
        <v>0</v>
      </c>
      <c r="AV66" s="143">
        <v>0</v>
      </c>
      <c r="AW66" s="143">
        <v>0</v>
      </c>
      <c r="AX66" s="142">
        <v>2.5208000000000001E-3</v>
      </c>
      <c r="AY66" s="143">
        <v>0</v>
      </c>
      <c r="AZ66" s="143">
        <v>0</v>
      </c>
      <c r="BA66" s="143">
        <v>0</v>
      </c>
      <c r="BB66" s="143">
        <v>0</v>
      </c>
      <c r="BD66" s="50"/>
      <c r="BE66" s="179" t="s">
        <v>2673</v>
      </c>
      <c r="BF66" s="179" t="s">
        <v>2961</v>
      </c>
      <c r="BG66" s="53" t="s">
        <v>15</v>
      </c>
      <c r="BI66" s="52" t="s">
        <v>2960</v>
      </c>
      <c r="BJ66" s="52" t="s">
        <v>2959</v>
      </c>
      <c r="BK66" s="179">
        <v>100</v>
      </c>
      <c r="BL66" s="179" t="s">
        <v>5321</v>
      </c>
      <c r="BM66" s="179" t="s">
        <v>2900</v>
      </c>
      <c r="BN66" s="179" t="s">
        <v>2958</v>
      </c>
      <c r="BO66" s="52" t="s">
        <v>2850</v>
      </c>
      <c r="BP66" s="179" t="s">
        <v>2849</v>
      </c>
      <c r="BQ66" s="52" t="s">
        <v>2957</v>
      </c>
      <c r="BR66" s="179">
        <v>12</v>
      </c>
      <c r="BS66" s="179" t="s">
        <v>2848</v>
      </c>
    </row>
    <row r="67" spans="1:72" ht="18.75" customHeight="1">
      <c r="A67" s="51" t="s">
        <v>50</v>
      </c>
      <c r="B67" s="205" t="s">
        <v>5558</v>
      </c>
      <c r="C67" t="s">
        <v>583</v>
      </c>
      <c r="D67" s="19">
        <v>612</v>
      </c>
      <c r="E67" s="9" t="s">
        <v>5200</v>
      </c>
      <c r="F67" s="20" t="str">
        <f t="shared" si="37"/>
        <v/>
      </c>
      <c r="G67" s="19">
        <f t="shared" si="38"/>
        <v>1</v>
      </c>
      <c r="H67" s="19">
        <f t="shared" si="39"/>
        <v>1</v>
      </c>
      <c r="I67" s="19">
        <f t="shared" si="40"/>
        <v>1</v>
      </c>
      <c r="J67" s="225">
        <f t="shared" ref="J67:J101" si="41">COUNTIF(L67:O67,"&gt;0")</f>
        <v>3</v>
      </c>
      <c r="K67" s="226" t="str">
        <f t="shared" ref="K67:K117" si="42">SUBSTITUTE(INDEX(T$1:W$1,1,MATCH(MAX(T67:W67),T67:W67,0)),"-fam","")</f>
        <v>Gq/11</v>
      </c>
      <c r="L67" s="227">
        <f t="shared" ref="L67:L101" si="43">IF(T67=0,0,_xlfn.RANK.EQ(T67,$T67:$W67,0))</f>
        <v>0</v>
      </c>
      <c r="M67" s="228">
        <f t="shared" ref="M67:M117" si="44">IF(U67=0,0,_xlfn.RANK.EQ(U67,$T67:$W67,0))</f>
        <v>3</v>
      </c>
      <c r="N67" s="228">
        <f t="shared" ref="N67:N117" si="45">IF(V67=0,0,_xlfn.RANK.EQ(V67,$T67:$W67,0))</f>
        <v>1</v>
      </c>
      <c r="O67" s="228">
        <f t="shared" ref="O67:O117" si="46">IF(W67=0,0,_xlfn.RANK.EQ(W67,$T67:$W67,0))</f>
        <v>2</v>
      </c>
      <c r="P67" s="20">
        <f t="shared" ref="P67:P101" si="47">T67/MAX($T67:$W67)*100</f>
        <v>0</v>
      </c>
      <c r="Q67" s="19">
        <f t="shared" ref="Q67:Q117" si="48">U67/MAX($T67:$W67)*100</f>
        <v>1.7179874379007725</v>
      </c>
      <c r="R67" s="19">
        <f t="shared" ref="R67:R117" si="49">V67/MAX($T67:$W67)*100</f>
        <v>100</v>
      </c>
      <c r="S67" s="19">
        <f t="shared" ref="S67:S101" si="50">W67/MAX($T67:$W67)*100</f>
        <v>5.9593373164379662</v>
      </c>
      <c r="T67" s="20">
        <f t="shared" ref="T67:T117" si="51">AD67</f>
        <v>0</v>
      </c>
      <c r="U67" s="19">
        <f t="shared" ref="U67:U117" si="52">AE67</f>
        <v>7.85E-2</v>
      </c>
      <c r="V67" s="19">
        <f t="shared" ref="V67:V117" si="53">MAX(AF67:AG67)</f>
        <v>4.5693000000000001</v>
      </c>
      <c r="W67" s="19">
        <f t="shared" ref="W67:W117" si="54">AH67</f>
        <v>0.27229999999999999</v>
      </c>
      <c r="X67" s="147" t="str">
        <f t="shared" ref="X67:X117" si="55">INDEX(AD$1:AH$1,1,MATCH(MAX(AD67:AH67),AD67:AH67,0))</f>
        <v>Gq</v>
      </c>
      <c r="Y67" s="32">
        <f t="shared" ref="Y67:Y117" si="56">AD67/MAX($AD67:$AH67)*100</f>
        <v>0</v>
      </c>
      <c r="Z67" s="31">
        <f t="shared" ref="Z67:Z117" si="57">AE67/MAX($AD67:$AH67)*100</f>
        <v>1.7179874379007725</v>
      </c>
      <c r="AA67" s="31">
        <f t="shared" ref="AA67:AA117" si="58">AF67/MAX($AD67:$AH67)*100</f>
        <v>100</v>
      </c>
      <c r="AB67" s="31">
        <f t="shared" ref="AB67:AB117" si="59">AG67/MAX($AD67:$AH67)*100</f>
        <v>0</v>
      </c>
      <c r="AC67" s="31">
        <f t="shared" ref="AC67:AC117" si="60">AH67/MAX($AD67:$AH67)*100</f>
        <v>5.9593373164379662</v>
      </c>
      <c r="AD67" s="322">
        <f t="shared" ref="AD67:AD117" si="61">AI67</f>
        <v>0</v>
      </c>
      <c r="AE67" s="309">
        <f t="shared" ref="AE67:AE117" si="62">AJ67</f>
        <v>7.85E-2</v>
      </c>
      <c r="AF67" s="309">
        <f t="shared" ref="AF67:AF117" si="63">AK67</f>
        <v>4.5693000000000001</v>
      </c>
      <c r="AG67" s="309">
        <f t="shared" ref="AG67:AG117" si="64">AL67</f>
        <v>0</v>
      </c>
      <c r="AH67" s="309">
        <f t="shared" ref="AH67:AH117" si="65">AM67</f>
        <v>0.27229999999999999</v>
      </c>
      <c r="AI67" s="322">
        <v>0</v>
      </c>
      <c r="AJ67" s="309">
        <v>7.85E-2</v>
      </c>
      <c r="AK67" s="309">
        <v>4.5693000000000001</v>
      </c>
      <c r="AL67" s="309">
        <v>0</v>
      </c>
      <c r="AM67" s="309">
        <v>0.27229999999999999</v>
      </c>
      <c r="AN67" s="140">
        <v>0</v>
      </c>
      <c r="AO67" s="141">
        <v>2.76E-2</v>
      </c>
      <c r="AP67" s="141">
        <v>5.6399999999999999E-2</v>
      </c>
      <c r="AQ67" s="141">
        <v>0</v>
      </c>
      <c r="AR67" s="141">
        <v>6.9699999999999998E-2</v>
      </c>
      <c r="AS67" s="142">
        <v>0</v>
      </c>
      <c r="AT67" s="143">
        <v>3.209E-3</v>
      </c>
      <c r="AU67" s="143">
        <v>0.3654</v>
      </c>
      <c r="AV67" s="143">
        <v>0</v>
      </c>
      <c r="AW67" s="143">
        <v>2.3099999999999999E-2</v>
      </c>
      <c r="AX67" s="142">
        <v>0</v>
      </c>
      <c r="AY67" s="143">
        <v>2.2017999999999999E-3</v>
      </c>
      <c r="AZ67" s="143">
        <v>6.1904000000000004E-3</v>
      </c>
      <c r="BA67" s="143">
        <v>0</v>
      </c>
      <c r="BB67" s="143">
        <v>2.7721E-3</v>
      </c>
      <c r="BD67" s="50"/>
      <c r="BE67" s="179" t="s">
        <v>5322</v>
      </c>
      <c r="BF67" s="179" t="s">
        <v>50</v>
      </c>
      <c r="BG67" s="53" t="s">
        <v>15</v>
      </c>
      <c r="BI67" s="52" t="s">
        <v>3101</v>
      </c>
      <c r="BJ67" s="52" t="s">
        <v>44</v>
      </c>
      <c r="BK67" s="180">
        <v>10</v>
      </c>
      <c r="BL67" s="180" t="s">
        <v>5323</v>
      </c>
      <c r="BM67" s="180" t="s">
        <v>2890</v>
      </c>
      <c r="BN67" s="180" t="s">
        <v>3100</v>
      </c>
      <c r="BO67" s="52" t="s">
        <v>2866</v>
      </c>
      <c r="BP67" s="179" t="s">
        <v>3099</v>
      </c>
      <c r="BQ67" s="52" t="s">
        <v>3098</v>
      </c>
      <c r="BR67" s="179">
        <v>12</v>
      </c>
      <c r="BS67" s="179" t="s">
        <v>2848</v>
      </c>
    </row>
    <row r="68" spans="1:72" ht="18.75" customHeight="1">
      <c r="A68" s="51" t="s">
        <v>55</v>
      </c>
      <c r="B68" s="205" t="s">
        <v>5558</v>
      </c>
      <c r="C68" t="s">
        <v>583</v>
      </c>
      <c r="D68" s="19">
        <v>685</v>
      </c>
      <c r="E68" s="9" t="s">
        <v>5200</v>
      </c>
      <c r="F68" s="20">
        <f t="shared" si="37"/>
        <v>1</v>
      </c>
      <c r="G68" s="19">
        <f t="shared" si="38"/>
        <v>1</v>
      </c>
      <c r="H68" s="19">
        <f t="shared" si="39"/>
        <v>1</v>
      </c>
      <c r="I68" s="19">
        <f t="shared" si="40"/>
        <v>1</v>
      </c>
      <c r="J68" s="225">
        <f t="shared" si="41"/>
        <v>4</v>
      </c>
      <c r="K68" s="226" t="str">
        <f t="shared" si="42"/>
        <v>Gs</v>
      </c>
      <c r="L68" s="227">
        <f t="shared" si="43"/>
        <v>1</v>
      </c>
      <c r="M68" s="228">
        <f t="shared" si="44"/>
        <v>3</v>
      </c>
      <c r="N68" s="228">
        <f t="shared" si="45"/>
        <v>2</v>
      </c>
      <c r="O68" s="228">
        <f t="shared" si="46"/>
        <v>4</v>
      </c>
      <c r="P68" s="20">
        <f t="shared" si="47"/>
        <v>100</v>
      </c>
      <c r="Q68" s="19">
        <f t="shared" si="48"/>
        <v>22.239185750636135</v>
      </c>
      <c r="R68" s="19">
        <f t="shared" si="49"/>
        <v>31.297709923664119</v>
      </c>
      <c r="S68" s="19">
        <f t="shared" si="50"/>
        <v>10.737913486005089</v>
      </c>
      <c r="T68" s="20">
        <f t="shared" si="51"/>
        <v>0.39300000000000002</v>
      </c>
      <c r="U68" s="19">
        <f t="shared" si="52"/>
        <v>8.7400000000000005E-2</v>
      </c>
      <c r="V68" s="19">
        <f t="shared" si="53"/>
        <v>0.123</v>
      </c>
      <c r="W68" s="19">
        <f t="shared" si="54"/>
        <v>4.2200000000000001E-2</v>
      </c>
      <c r="X68" s="147" t="str">
        <f t="shared" si="55"/>
        <v>GsL</v>
      </c>
      <c r="Y68" s="32">
        <f t="shared" si="56"/>
        <v>100</v>
      </c>
      <c r="Z68" s="31">
        <f t="shared" si="57"/>
        <v>22.239185750636135</v>
      </c>
      <c r="AA68" s="31">
        <f t="shared" si="58"/>
        <v>0</v>
      </c>
      <c r="AB68" s="31">
        <f t="shared" si="59"/>
        <v>31.297709923664119</v>
      </c>
      <c r="AC68" s="31">
        <f t="shared" si="60"/>
        <v>10.737913486005089</v>
      </c>
      <c r="AD68" s="322">
        <f t="shared" si="61"/>
        <v>0.39300000000000002</v>
      </c>
      <c r="AE68" s="309">
        <f t="shared" si="62"/>
        <v>8.7400000000000005E-2</v>
      </c>
      <c r="AF68" s="309">
        <f t="shared" si="63"/>
        <v>0</v>
      </c>
      <c r="AG68" s="309">
        <f t="shared" si="64"/>
        <v>0.123</v>
      </c>
      <c r="AH68" s="309">
        <f t="shared" si="65"/>
        <v>4.2200000000000001E-2</v>
      </c>
      <c r="AI68" s="322">
        <v>0.39300000000000002</v>
      </c>
      <c r="AJ68" s="309">
        <v>8.7400000000000005E-2</v>
      </c>
      <c r="AK68" s="309">
        <v>0</v>
      </c>
      <c r="AL68" s="309">
        <v>0.123</v>
      </c>
      <c r="AM68" s="309">
        <v>4.2200000000000001E-2</v>
      </c>
      <c r="AN68" s="140">
        <v>6.7900000000000002E-2</v>
      </c>
      <c r="AO68" s="141">
        <v>7.22E-2</v>
      </c>
      <c r="AP68" s="141">
        <v>0</v>
      </c>
      <c r="AQ68" s="141">
        <v>6.4500000000000002E-2</v>
      </c>
      <c r="AR68" s="141">
        <v>4.0099999999999997E-2</v>
      </c>
      <c r="AS68" s="142">
        <v>1.09E-2</v>
      </c>
      <c r="AT68" s="143">
        <v>4.2686E-3</v>
      </c>
      <c r="AU68" s="143">
        <v>0</v>
      </c>
      <c r="AV68" s="143">
        <v>7.0413999999999997E-3</v>
      </c>
      <c r="AW68" s="143">
        <v>3.6167999999999999E-3</v>
      </c>
      <c r="AX68" s="142">
        <v>6.2564999999999999E-3</v>
      </c>
      <c r="AY68" s="143">
        <v>9.41E-3</v>
      </c>
      <c r="AZ68" s="143">
        <v>0</v>
      </c>
      <c r="BA68" s="143">
        <v>8.0199999999999994E-3</v>
      </c>
      <c r="BB68" s="143">
        <v>3.0089000000000001E-3</v>
      </c>
      <c r="BD68" s="50"/>
      <c r="BE68" s="179" t="s">
        <v>2677</v>
      </c>
      <c r="BF68" s="179" t="s">
        <v>55</v>
      </c>
      <c r="BG68" s="53" t="s">
        <v>2892</v>
      </c>
      <c r="BI68" s="52" t="s">
        <v>56</v>
      </c>
      <c r="BJ68" s="52" t="s">
        <v>44</v>
      </c>
      <c r="BK68" s="179">
        <v>100</v>
      </c>
      <c r="BL68" s="179" t="s">
        <v>5324</v>
      </c>
      <c r="BM68" s="179" t="s">
        <v>2890</v>
      </c>
      <c r="BN68" s="179" t="s">
        <v>2922</v>
      </c>
      <c r="BO68" s="52" t="s">
        <v>2866</v>
      </c>
      <c r="BP68" s="179" t="s">
        <v>2921</v>
      </c>
      <c r="BQ68" s="52" t="s">
        <v>2920</v>
      </c>
      <c r="BR68" s="179">
        <v>6</v>
      </c>
      <c r="BS68" s="179" t="s">
        <v>2848</v>
      </c>
    </row>
    <row r="69" spans="1:72" ht="18.75" customHeight="1">
      <c r="A69" s="51" t="s">
        <v>112</v>
      </c>
      <c r="B69" s="205" t="s">
        <v>5558</v>
      </c>
      <c r="C69" t="s">
        <v>583</v>
      </c>
      <c r="D69" s="19">
        <v>990</v>
      </c>
      <c r="E69" s="9" t="s">
        <v>5200</v>
      </c>
      <c r="F69" s="20" t="str">
        <f t="shared" si="37"/>
        <v/>
      </c>
      <c r="G69" s="19">
        <f t="shared" si="38"/>
        <v>1</v>
      </c>
      <c r="H69" s="19">
        <f t="shared" si="39"/>
        <v>1</v>
      </c>
      <c r="I69" s="19">
        <f t="shared" si="40"/>
        <v>1</v>
      </c>
      <c r="J69" s="225">
        <f t="shared" si="41"/>
        <v>3</v>
      </c>
      <c r="K69" s="226" t="str">
        <f t="shared" si="42"/>
        <v>Gi/o</v>
      </c>
      <c r="L69" s="227">
        <f t="shared" si="43"/>
        <v>0</v>
      </c>
      <c r="M69" s="228">
        <f t="shared" si="44"/>
        <v>1</v>
      </c>
      <c r="N69" s="228">
        <f t="shared" si="45"/>
        <v>2</v>
      </c>
      <c r="O69" s="228">
        <f t="shared" si="46"/>
        <v>3</v>
      </c>
      <c r="P69" s="20">
        <f t="shared" si="47"/>
        <v>0</v>
      </c>
      <c r="Q69" s="19">
        <f t="shared" si="48"/>
        <v>100</v>
      </c>
      <c r="R69" s="19">
        <f t="shared" si="49"/>
        <v>40.413272402145836</v>
      </c>
      <c r="S69" s="19">
        <f t="shared" si="50"/>
        <v>18.338962845221538</v>
      </c>
      <c r="T69" s="20">
        <f t="shared" si="51"/>
        <v>0</v>
      </c>
      <c r="U69" s="19">
        <f t="shared" si="52"/>
        <v>0.50329999999999997</v>
      </c>
      <c r="V69" s="19">
        <f t="shared" si="53"/>
        <v>0.2034</v>
      </c>
      <c r="W69" s="19">
        <f t="shared" si="54"/>
        <v>9.2299999999999993E-2</v>
      </c>
      <c r="X69" s="147" t="str">
        <f t="shared" si="55"/>
        <v>GoA</v>
      </c>
      <c r="Y69" s="32">
        <f t="shared" si="56"/>
        <v>0</v>
      </c>
      <c r="Z69" s="31">
        <f t="shared" si="57"/>
        <v>100</v>
      </c>
      <c r="AA69" s="31">
        <f t="shared" si="58"/>
        <v>40.413272402145836</v>
      </c>
      <c r="AB69" s="31">
        <f t="shared" si="59"/>
        <v>0</v>
      </c>
      <c r="AC69" s="31">
        <f t="shared" si="60"/>
        <v>18.338962845221538</v>
      </c>
      <c r="AD69" s="322">
        <f t="shared" si="61"/>
        <v>0</v>
      </c>
      <c r="AE69" s="309">
        <f t="shared" si="62"/>
        <v>0.50329999999999997</v>
      </c>
      <c r="AF69" s="309">
        <f t="shared" si="63"/>
        <v>0.2034</v>
      </c>
      <c r="AG69" s="309">
        <f t="shared" si="64"/>
        <v>0</v>
      </c>
      <c r="AH69" s="309">
        <f t="shared" si="65"/>
        <v>9.2299999999999993E-2</v>
      </c>
      <c r="AI69" s="322">
        <v>0</v>
      </c>
      <c r="AJ69" s="309">
        <v>0.50329999999999997</v>
      </c>
      <c r="AK69" s="309">
        <v>0.2034</v>
      </c>
      <c r="AL69" s="309">
        <v>0</v>
      </c>
      <c r="AM69" s="309">
        <v>9.2299999999999993E-2</v>
      </c>
      <c r="AN69" s="140">
        <v>0</v>
      </c>
      <c r="AO69" s="141">
        <v>6.3200000000000006E-2</v>
      </c>
      <c r="AP69" s="141">
        <v>2.7400000000000001E-2</v>
      </c>
      <c r="AQ69" s="141">
        <v>0</v>
      </c>
      <c r="AR69" s="141">
        <v>2.18E-2</v>
      </c>
      <c r="AS69" s="142">
        <v>0</v>
      </c>
      <c r="AT69" s="143">
        <v>6.5826000000000001E-3</v>
      </c>
      <c r="AU69" s="143">
        <v>2.1987E-3</v>
      </c>
      <c r="AV69" s="143">
        <v>0</v>
      </c>
      <c r="AW69" s="143">
        <v>1.7214000000000001E-3</v>
      </c>
      <c r="AX69" s="142">
        <v>0</v>
      </c>
      <c r="AY69" s="143">
        <v>2.2667E-3</v>
      </c>
      <c r="AZ69" s="143">
        <v>1.5322000000000001E-3</v>
      </c>
      <c r="BA69" s="143">
        <v>0</v>
      </c>
      <c r="BB69" s="143">
        <v>7.1259000000000003E-4</v>
      </c>
      <c r="BD69" s="50"/>
      <c r="BE69" s="179" t="s">
        <v>5325</v>
      </c>
      <c r="BF69" s="179" t="s">
        <v>112</v>
      </c>
      <c r="BG69" s="53" t="s">
        <v>15</v>
      </c>
      <c r="BI69" s="52" t="s">
        <v>3105</v>
      </c>
      <c r="BJ69" s="52" t="s">
        <v>44</v>
      </c>
      <c r="BK69" s="180">
        <v>10</v>
      </c>
      <c r="BL69" s="180" t="s">
        <v>5326</v>
      </c>
      <c r="BM69" s="180" t="s">
        <v>2900</v>
      </c>
      <c r="BN69" s="180" t="s">
        <v>3104</v>
      </c>
      <c r="BO69" s="52" t="s">
        <v>2866</v>
      </c>
      <c r="BP69" s="179" t="s">
        <v>3107</v>
      </c>
      <c r="BQ69" s="52" t="s">
        <v>3106</v>
      </c>
      <c r="BR69" s="179">
        <v>12</v>
      </c>
      <c r="BS69" s="179" t="s">
        <v>2848</v>
      </c>
    </row>
    <row r="70" spans="1:72" ht="18.75" customHeight="1">
      <c r="A70" s="51" t="s">
        <v>113</v>
      </c>
      <c r="B70" s="205" t="s">
        <v>5558</v>
      </c>
      <c r="C70" t="s">
        <v>583</v>
      </c>
      <c r="D70" s="19">
        <v>990</v>
      </c>
      <c r="E70" s="9" t="s">
        <v>5200</v>
      </c>
      <c r="F70" s="20" t="str">
        <f t="shared" si="37"/>
        <v/>
      </c>
      <c r="G70" s="19">
        <f t="shared" si="38"/>
        <v>1</v>
      </c>
      <c r="H70" s="19">
        <f t="shared" si="39"/>
        <v>1</v>
      </c>
      <c r="I70" s="19">
        <f t="shared" si="40"/>
        <v>1</v>
      </c>
      <c r="J70" s="225">
        <f t="shared" si="41"/>
        <v>3</v>
      </c>
      <c r="K70" s="226" t="str">
        <f t="shared" si="42"/>
        <v>Gi/o</v>
      </c>
      <c r="L70" s="227">
        <f t="shared" si="43"/>
        <v>0</v>
      </c>
      <c r="M70" s="228">
        <f t="shared" si="44"/>
        <v>1</v>
      </c>
      <c r="N70" s="228">
        <f t="shared" si="45"/>
        <v>2</v>
      </c>
      <c r="O70" s="228">
        <f t="shared" si="46"/>
        <v>3</v>
      </c>
      <c r="P70" s="20">
        <f t="shared" si="47"/>
        <v>0</v>
      </c>
      <c r="Q70" s="19">
        <f t="shared" si="48"/>
        <v>100</v>
      </c>
      <c r="R70" s="19">
        <f t="shared" si="49"/>
        <v>23.760035462739495</v>
      </c>
      <c r="S70" s="19">
        <f t="shared" si="50"/>
        <v>19.535044082155348</v>
      </c>
      <c r="T70" s="20">
        <f t="shared" si="51"/>
        <v>0</v>
      </c>
      <c r="U70" s="19">
        <f t="shared" si="52"/>
        <v>10.1515</v>
      </c>
      <c r="V70" s="19">
        <f t="shared" si="53"/>
        <v>2.4119999999999999</v>
      </c>
      <c r="W70" s="19">
        <f t="shared" si="54"/>
        <v>1.9831000000000001</v>
      </c>
      <c r="X70" s="147" t="str">
        <f t="shared" si="55"/>
        <v>GoA</v>
      </c>
      <c r="Y70" s="32">
        <f t="shared" si="56"/>
        <v>0</v>
      </c>
      <c r="Z70" s="31">
        <f t="shared" si="57"/>
        <v>100</v>
      </c>
      <c r="AA70" s="31">
        <f t="shared" si="58"/>
        <v>23.760035462739495</v>
      </c>
      <c r="AB70" s="31">
        <f t="shared" si="59"/>
        <v>0.29158252475003693</v>
      </c>
      <c r="AC70" s="31">
        <f t="shared" si="60"/>
        <v>19.535044082155348</v>
      </c>
      <c r="AD70" s="322">
        <f t="shared" si="61"/>
        <v>0</v>
      </c>
      <c r="AE70" s="309">
        <f t="shared" si="62"/>
        <v>10.1515</v>
      </c>
      <c r="AF70" s="309">
        <f t="shared" si="63"/>
        <v>2.4119999999999999</v>
      </c>
      <c r="AG70" s="309">
        <f t="shared" si="64"/>
        <v>2.9600000000000001E-2</v>
      </c>
      <c r="AH70" s="309">
        <f t="shared" si="65"/>
        <v>1.9831000000000001</v>
      </c>
      <c r="AI70" s="322">
        <v>0</v>
      </c>
      <c r="AJ70" s="309">
        <v>10.1515</v>
      </c>
      <c r="AK70" s="309">
        <v>2.4119999999999999</v>
      </c>
      <c r="AL70" s="309">
        <v>2.9600000000000001E-2</v>
      </c>
      <c r="AM70" s="309">
        <v>1.9831000000000001</v>
      </c>
      <c r="AN70" s="140">
        <v>0</v>
      </c>
      <c r="AO70" s="141">
        <v>9.2999999999999999E-2</v>
      </c>
      <c r="AP70" s="141">
        <v>4.24E-2</v>
      </c>
      <c r="AQ70" s="141">
        <v>1.32E-2</v>
      </c>
      <c r="AR70" s="141">
        <v>6.3799999999999996E-2</v>
      </c>
      <c r="AS70" s="142">
        <v>0</v>
      </c>
      <c r="AT70" s="143">
        <v>1.0105999999999999</v>
      </c>
      <c r="AU70" s="143">
        <v>0.31069999999999998</v>
      </c>
      <c r="AV70" s="143">
        <v>2.1858000000000001E-4</v>
      </c>
      <c r="AW70" s="143">
        <v>0.1045</v>
      </c>
      <c r="AX70" s="142">
        <v>0</v>
      </c>
      <c r="AY70" s="143">
        <v>3.3486000000000002E-3</v>
      </c>
      <c r="AZ70" s="143">
        <v>1.193E-3</v>
      </c>
      <c r="BA70" s="143">
        <v>5.5478000000000005E-4</v>
      </c>
      <c r="BB70" s="143">
        <v>4.3537000000000003E-3</v>
      </c>
      <c r="BD70" s="50"/>
      <c r="BE70" s="179" t="s">
        <v>5327</v>
      </c>
      <c r="BF70" s="179" t="s">
        <v>113</v>
      </c>
      <c r="BG70" s="53" t="s">
        <v>15</v>
      </c>
      <c r="BI70" s="52" t="s">
        <v>3105</v>
      </c>
      <c r="BJ70" s="52" t="s">
        <v>44</v>
      </c>
      <c r="BK70" s="180">
        <v>10</v>
      </c>
      <c r="BL70" s="180" t="s">
        <v>2861</v>
      </c>
      <c r="BM70" s="180" t="s">
        <v>2900</v>
      </c>
      <c r="BN70" s="180" t="s">
        <v>3104</v>
      </c>
      <c r="BO70" s="52" t="s">
        <v>2866</v>
      </c>
      <c r="BP70" s="179" t="s">
        <v>3103</v>
      </c>
      <c r="BQ70" s="52" t="s">
        <v>3102</v>
      </c>
      <c r="BR70" s="179">
        <v>6</v>
      </c>
      <c r="BS70" s="179" t="s">
        <v>2848</v>
      </c>
    </row>
    <row r="71" spans="1:72" ht="18.75" customHeight="1">
      <c r="A71" s="88" t="s">
        <v>130</v>
      </c>
      <c r="B71" s="205" t="s">
        <v>5558</v>
      </c>
      <c r="C71" t="s">
        <v>583</v>
      </c>
      <c r="D71" s="19">
        <v>1136</v>
      </c>
      <c r="E71" s="9" t="s">
        <v>5200</v>
      </c>
      <c r="F71" s="20">
        <f t="shared" si="37"/>
        <v>1</v>
      </c>
      <c r="G71" s="19">
        <f t="shared" si="38"/>
        <v>1</v>
      </c>
      <c r="H71" s="19">
        <f t="shared" si="39"/>
        <v>1</v>
      </c>
      <c r="I71" s="19" t="str">
        <f t="shared" si="40"/>
        <v/>
      </c>
      <c r="J71" s="225">
        <f t="shared" si="41"/>
        <v>3</v>
      </c>
      <c r="K71" s="226" t="str">
        <f t="shared" si="42"/>
        <v>Gs</v>
      </c>
      <c r="L71" s="227">
        <f t="shared" si="43"/>
        <v>1</v>
      </c>
      <c r="M71" s="228">
        <f t="shared" si="44"/>
        <v>2</v>
      </c>
      <c r="N71" s="228">
        <f t="shared" si="45"/>
        <v>3</v>
      </c>
      <c r="O71" s="228">
        <f t="shared" si="46"/>
        <v>0</v>
      </c>
      <c r="P71" s="20">
        <f t="shared" si="47"/>
        <v>100</v>
      </c>
      <c r="Q71" s="19">
        <f t="shared" si="48"/>
        <v>39.443835616438356</v>
      </c>
      <c r="R71" s="19">
        <f t="shared" si="49"/>
        <v>8.2958904109589042</v>
      </c>
      <c r="S71" s="19">
        <f t="shared" si="50"/>
        <v>0</v>
      </c>
      <c r="T71" s="20">
        <f t="shared" si="51"/>
        <v>3.65</v>
      </c>
      <c r="U71" s="19">
        <f t="shared" si="52"/>
        <v>1.4397</v>
      </c>
      <c r="V71" s="19">
        <f t="shared" si="53"/>
        <v>0.30280000000000001</v>
      </c>
      <c r="W71" s="19">
        <f t="shared" si="54"/>
        <v>0</v>
      </c>
      <c r="X71" s="147" t="str">
        <f t="shared" si="55"/>
        <v>GsL</v>
      </c>
      <c r="Y71" s="32">
        <f t="shared" si="56"/>
        <v>100</v>
      </c>
      <c r="Z71" s="31">
        <f t="shared" si="57"/>
        <v>39.443835616438356</v>
      </c>
      <c r="AA71" s="31">
        <f t="shared" si="58"/>
        <v>3.0602739726027393</v>
      </c>
      <c r="AB71" s="31">
        <f t="shared" si="59"/>
        <v>8.2958904109589042</v>
      </c>
      <c r="AC71" s="31">
        <f t="shared" si="60"/>
        <v>0</v>
      </c>
      <c r="AD71" s="322">
        <f t="shared" si="61"/>
        <v>3.65</v>
      </c>
      <c r="AE71" s="309">
        <f t="shared" si="62"/>
        <v>1.4397</v>
      </c>
      <c r="AF71" s="309">
        <f t="shared" si="63"/>
        <v>0.11169999999999999</v>
      </c>
      <c r="AG71" s="309">
        <f t="shared" si="64"/>
        <v>0.30280000000000001</v>
      </c>
      <c r="AH71" s="309">
        <f t="shared" si="65"/>
        <v>0</v>
      </c>
      <c r="AI71" s="322">
        <v>3.65</v>
      </c>
      <c r="AJ71" s="309">
        <v>1.4397</v>
      </c>
      <c r="AK71" s="309">
        <v>0.11169999999999999</v>
      </c>
      <c r="AL71" s="309">
        <v>0.30280000000000001</v>
      </c>
      <c r="AM71" s="309">
        <v>0</v>
      </c>
      <c r="AN71" s="140">
        <v>3.8800000000000001E-2</v>
      </c>
      <c r="AO71" s="141">
        <v>0.13089999999999999</v>
      </c>
      <c r="AP71" s="141">
        <v>2.9499999999999998E-2</v>
      </c>
      <c r="AQ71" s="141">
        <v>8.3400000000000002E-2</v>
      </c>
      <c r="AR71" s="141">
        <v>0</v>
      </c>
      <c r="AS71" s="142">
        <v>0.57099999999999995</v>
      </c>
      <c r="AT71" s="143">
        <v>0.1797</v>
      </c>
      <c r="AU71" s="143">
        <v>1.3899999999999999E-2</v>
      </c>
      <c r="AV71" s="143">
        <v>2.12E-2</v>
      </c>
      <c r="AW71" s="143">
        <v>0</v>
      </c>
      <c r="AX71" s="142">
        <v>6.5499E-3</v>
      </c>
      <c r="AY71" s="143">
        <v>1.2E-2</v>
      </c>
      <c r="AZ71" s="143">
        <v>1.619E-3</v>
      </c>
      <c r="BA71" s="143">
        <v>9.7324999999999998E-3</v>
      </c>
      <c r="BB71" s="143">
        <v>0</v>
      </c>
      <c r="BD71" s="50"/>
      <c r="BE71" s="179" t="s">
        <v>2945</v>
      </c>
      <c r="BF71" s="179" t="s">
        <v>2945</v>
      </c>
      <c r="BG71" s="53" t="s">
        <v>2892</v>
      </c>
      <c r="BI71" s="52" t="s">
        <v>2674</v>
      </c>
      <c r="BJ71" s="52" t="s">
        <v>44</v>
      </c>
      <c r="BK71" s="179">
        <v>10</v>
      </c>
      <c r="BL71" s="179" t="s">
        <v>5330</v>
      </c>
      <c r="BM71" s="179" t="s">
        <v>2944</v>
      </c>
      <c r="BN71" s="179" t="s">
        <v>2943</v>
      </c>
      <c r="BO71" s="52" t="s">
        <v>2866</v>
      </c>
      <c r="BP71" s="179" t="s">
        <v>2942</v>
      </c>
      <c r="BQ71" s="52" t="s">
        <v>2941</v>
      </c>
      <c r="BR71" s="179">
        <v>6</v>
      </c>
      <c r="BS71" s="179" t="s">
        <v>2848</v>
      </c>
    </row>
    <row r="72" spans="1:72" ht="18.75" customHeight="1">
      <c r="A72" s="51" t="s">
        <v>2886</v>
      </c>
      <c r="B72" s="205" t="s">
        <v>5558</v>
      </c>
      <c r="C72" t="s">
        <v>583</v>
      </c>
      <c r="D72" s="19">
        <v>1369</v>
      </c>
      <c r="E72" s="9" t="s">
        <v>5200</v>
      </c>
      <c r="F72" s="20" t="str">
        <f t="shared" si="37"/>
        <v/>
      </c>
      <c r="G72" s="19">
        <f t="shared" si="38"/>
        <v>1</v>
      </c>
      <c r="H72" s="19">
        <f t="shared" si="39"/>
        <v>1</v>
      </c>
      <c r="I72" s="19" t="str">
        <f t="shared" si="40"/>
        <v/>
      </c>
      <c r="J72" s="225">
        <f t="shared" si="41"/>
        <v>2</v>
      </c>
      <c r="K72" s="226" t="str">
        <f t="shared" si="42"/>
        <v>Gq/11</v>
      </c>
      <c r="L72" s="227">
        <f t="shared" si="43"/>
        <v>0</v>
      </c>
      <c r="M72" s="228">
        <f t="shared" si="44"/>
        <v>2</v>
      </c>
      <c r="N72" s="228">
        <f t="shared" si="45"/>
        <v>1</v>
      </c>
      <c r="O72" s="228">
        <f t="shared" si="46"/>
        <v>0</v>
      </c>
      <c r="P72" s="20">
        <f t="shared" si="47"/>
        <v>0</v>
      </c>
      <c r="Q72" s="19">
        <f t="shared" si="48"/>
        <v>85.393772893772891</v>
      </c>
      <c r="R72" s="19">
        <f t="shared" si="49"/>
        <v>100</v>
      </c>
      <c r="S72" s="19">
        <f t="shared" si="50"/>
        <v>0</v>
      </c>
      <c r="T72" s="20">
        <f t="shared" si="51"/>
        <v>0</v>
      </c>
      <c r="U72" s="19">
        <f t="shared" si="52"/>
        <v>0.5595</v>
      </c>
      <c r="V72" s="19">
        <f t="shared" si="53"/>
        <v>0.6552</v>
      </c>
      <c r="W72" s="19">
        <f t="shared" si="54"/>
        <v>0</v>
      </c>
      <c r="X72" s="147" t="str">
        <f t="shared" si="55"/>
        <v>Gq</v>
      </c>
      <c r="Y72" s="32">
        <f t="shared" si="56"/>
        <v>0</v>
      </c>
      <c r="Z72" s="31">
        <f t="shared" si="57"/>
        <v>85.393772893772891</v>
      </c>
      <c r="AA72" s="31">
        <f t="shared" si="58"/>
        <v>100</v>
      </c>
      <c r="AB72" s="31">
        <f t="shared" si="59"/>
        <v>7.1428571428571423</v>
      </c>
      <c r="AC72" s="31">
        <f t="shared" si="60"/>
        <v>0</v>
      </c>
      <c r="AD72" s="322">
        <f t="shared" si="61"/>
        <v>0</v>
      </c>
      <c r="AE72" s="309">
        <f t="shared" si="62"/>
        <v>0.5595</v>
      </c>
      <c r="AF72" s="309">
        <f t="shared" si="63"/>
        <v>0.6552</v>
      </c>
      <c r="AG72" s="309">
        <f t="shared" si="64"/>
        <v>4.6800000000000001E-2</v>
      </c>
      <c r="AH72" s="309">
        <f t="shared" si="65"/>
        <v>0</v>
      </c>
      <c r="AI72" s="322">
        <v>0</v>
      </c>
      <c r="AJ72" s="309">
        <v>0.5595</v>
      </c>
      <c r="AK72" s="309">
        <v>0.6552</v>
      </c>
      <c r="AL72" s="309">
        <v>4.6800000000000001E-2</v>
      </c>
      <c r="AM72" s="309">
        <v>0</v>
      </c>
      <c r="AN72" s="140">
        <v>0</v>
      </c>
      <c r="AO72" s="141">
        <v>2.7099999999999999E-2</v>
      </c>
      <c r="AP72" s="141">
        <v>1.8800000000000001E-2</v>
      </c>
      <c r="AQ72" s="141">
        <v>1.7399999999999999E-2</v>
      </c>
      <c r="AR72" s="141">
        <v>0</v>
      </c>
      <c r="AS72" s="142">
        <v>0</v>
      </c>
      <c r="AT72" s="143">
        <v>5.1200000000000002E-2</v>
      </c>
      <c r="AU72" s="143">
        <v>4.0800000000000003E-2</v>
      </c>
      <c r="AV72" s="143">
        <v>3.6375000000000001E-3</v>
      </c>
      <c r="AW72" s="143">
        <v>0</v>
      </c>
      <c r="AX72" s="142">
        <v>0</v>
      </c>
      <c r="AY72" s="143">
        <v>1.0728999999999999E-3</v>
      </c>
      <c r="AZ72" s="143">
        <v>1.6856E-3</v>
      </c>
      <c r="BA72" s="143">
        <v>5.2386999999999996E-4</v>
      </c>
      <c r="BB72" s="143">
        <v>0</v>
      </c>
      <c r="BD72" s="50"/>
      <c r="BE72" s="179" t="s">
        <v>5331</v>
      </c>
      <c r="BF72" s="179" t="s">
        <v>2886</v>
      </c>
      <c r="BG72" s="53" t="s">
        <v>57</v>
      </c>
      <c r="BI72" s="52" t="s">
        <v>2868</v>
      </c>
      <c r="BJ72" s="52" t="s">
        <v>2859</v>
      </c>
      <c r="BK72" s="179">
        <v>1000</v>
      </c>
      <c r="BL72" s="179" t="s">
        <v>5332</v>
      </c>
      <c r="BM72" s="179" t="s">
        <v>2867</v>
      </c>
      <c r="BN72" s="179">
        <v>49621</v>
      </c>
      <c r="BO72" s="52" t="s">
        <v>2850</v>
      </c>
      <c r="BP72" s="179" t="s">
        <v>2849</v>
      </c>
      <c r="BQ72" s="52" t="s">
        <v>2885</v>
      </c>
      <c r="BR72" s="179">
        <v>6</v>
      </c>
      <c r="BS72" s="179" t="s">
        <v>2848</v>
      </c>
      <c r="BT72" s="52" t="s">
        <v>2863</v>
      </c>
    </row>
    <row r="73" spans="1:72" ht="18.75" customHeight="1">
      <c r="A73" s="51" t="s">
        <v>167</v>
      </c>
      <c r="B73" s="205" t="s">
        <v>5558</v>
      </c>
      <c r="C73" t="s">
        <v>583</v>
      </c>
      <c r="D73" s="19">
        <v>1369</v>
      </c>
      <c r="E73" s="9" t="s">
        <v>5200</v>
      </c>
      <c r="F73" s="20" t="str">
        <f t="shared" si="37"/>
        <v/>
      </c>
      <c r="G73" s="19">
        <f t="shared" si="38"/>
        <v>1</v>
      </c>
      <c r="H73" s="19">
        <f t="shared" si="39"/>
        <v>1</v>
      </c>
      <c r="I73" s="19" t="str">
        <f t="shared" si="40"/>
        <v/>
      </c>
      <c r="J73" s="225">
        <f t="shared" si="41"/>
        <v>2</v>
      </c>
      <c r="K73" s="226" t="str">
        <f t="shared" si="42"/>
        <v>Gi/o</v>
      </c>
      <c r="L73" s="227">
        <f t="shared" si="43"/>
        <v>0</v>
      </c>
      <c r="M73" s="228">
        <f t="shared" si="44"/>
        <v>1</v>
      </c>
      <c r="N73" s="228">
        <f t="shared" si="45"/>
        <v>2</v>
      </c>
      <c r="O73" s="228">
        <f t="shared" si="46"/>
        <v>0</v>
      </c>
      <c r="P73" s="20">
        <f t="shared" si="47"/>
        <v>0</v>
      </c>
      <c r="Q73" s="19">
        <f t="shared" si="48"/>
        <v>100</v>
      </c>
      <c r="R73" s="19">
        <f t="shared" si="49"/>
        <v>0.80433969322858212</v>
      </c>
      <c r="S73" s="19">
        <f t="shared" si="50"/>
        <v>0</v>
      </c>
      <c r="T73" s="20">
        <f t="shared" si="51"/>
        <v>0</v>
      </c>
      <c r="U73" s="19">
        <f t="shared" si="52"/>
        <v>5.8806000000000003</v>
      </c>
      <c r="V73" s="19">
        <f t="shared" si="53"/>
        <v>4.7300000000000002E-2</v>
      </c>
      <c r="W73" s="19">
        <f t="shared" si="54"/>
        <v>0</v>
      </c>
      <c r="X73" s="147" t="str">
        <f t="shared" si="55"/>
        <v>GoA</v>
      </c>
      <c r="Y73" s="32">
        <f t="shared" si="56"/>
        <v>0</v>
      </c>
      <c r="Z73" s="31">
        <f t="shared" si="57"/>
        <v>100</v>
      </c>
      <c r="AA73" s="31">
        <f t="shared" si="58"/>
        <v>0</v>
      </c>
      <c r="AB73" s="31">
        <f t="shared" si="59"/>
        <v>0.80433969322858212</v>
      </c>
      <c r="AC73" s="31">
        <f t="shared" si="60"/>
        <v>0</v>
      </c>
      <c r="AD73" s="322">
        <f t="shared" si="61"/>
        <v>0</v>
      </c>
      <c r="AE73" s="309">
        <f t="shared" si="62"/>
        <v>5.8806000000000003</v>
      </c>
      <c r="AF73" s="309">
        <f t="shared" si="63"/>
        <v>0</v>
      </c>
      <c r="AG73" s="309">
        <f t="shared" si="64"/>
        <v>4.7300000000000002E-2</v>
      </c>
      <c r="AH73" s="309">
        <f t="shared" si="65"/>
        <v>0</v>
      </c>
      <c r="AI73" s="322">
        <v>0</v>
      </c>
      <c r="AJ73" s="309">
        <v>5.8806000000000003</v>
      </c>
      <c r="AK73" s="309">
        <v>0</v>
      </c>
      <c r="AL73" s="309">
        <v>4.7300000000000002E-2</v>
      </c>
      <c r="AM73" s="309">
        <v>0</v>
      </c>
      <c r="AN73" s="140">
        <v>0</v>
      </c>
      <c r="AO73" s="141">
        <v>3.8399999999999997E-2</v>
      </c>
      <c r="AP73" s="141">
        <v>0</v>
      </c>
      <c r="AQ73" s="141">
        <v>4.8599999999999997E-2</v>
      </c>
      <c r="AR73" s="141">
        <v>0</v>
      </c>
      <c r="AS73" s="142">
        <v>0</v>
      </c>
      <c r="AT73" s="143">
        <v>1.2518</v>
      </c>
      <c r="AU73" s="143">
        <v>0</v>
      </c>
      <c r="AV73" s="143">
        <v>6.9528000000000003E-3</v>
      </c>
      <c r="AW73" s="143">
        <v>0</v>
      </c>
      <c r="AX73" s="142">
        <v>0</v>
      </c>
      <c r="AY73" s="143">
        <v>6.0698999999999996E-3</v>
      </c>
      <c r="AZ73" s="143">
        <v>0</v>
      </c>
      <c r="BA73" s="143">
        <v>3.7098999999999999E-3</v>
      </c>
      <c r="BB73" s="143">
        <v>0</v>
      </c>
      <c r="BD73" s="50"/>
      <c r="BE73" s="179" t="s">
        <v>5333</v>
      </c>
      <c r="BF73" s="179" t="s">
        <v>167</v>
      </c>
      <c r="BG73" s="53" t="s">
        <v>57</v>
      </c>
      <c r="BI73" s="52" t="s">
        <v>2868</v>
      </c>
      <c r="BJ73" s="52" t="s">
        <v>2859</v>
      </c>
      <c r="BK73" s="179">
        <v>1000</v>
      </c>
      <c r="BL73" s="179" t="s">
        <v>5334</v>
      </c>
      <c r="BM73" s="179" t="s">
        <v>2867</v>
      </c>
      <c r="BN73" s="179">
        <v>49621</v>
      </c>
      <c r="BO73" s="52" t="s">
        <v>2866</v>
      </c>
      <c r="BP73" s="179" t="s">
        <v>2884</v>
      </c>
      <c r="BQ73" s="52" t="s">
        <v>2883</v>
      </c>
      <c r="BR73" s="179">
        <v>3</v>
      </c>
      <c r="BS73" s="179" t="s">
        <v>2848</v>
      </c>
      <c r="BT73" s="52" t="s">
        <v>2863</v>
      </c>
    </row>
    <row r="74" spans="1:72" ht="18.75" customHeight="1">
      <c r="A74" s="51" t="s">
        <v>2882</v>
      </c>
      <c r="B74" s="205" t="s">
        <v>5558</v>
      </c>
      <c r="C74" t="s">
        <v>583</v>
      </c>
      <c r="D74" s="19">
        <v>1369</v>
      </c>
      <c r="E74" s="9" t="s">
        <v>5200</v>
      </c>
      <c r="F74" s="20" t="str">
        <f t="shared" si="37"/>
        <v/>
      </c>
      <c r="G74" s="19">
        <f t="shared" si="38"/>
        <v>1</v>
      </c>
      <c r="H74" s="19">
        <f t="shared" si="39"/>
        <v>1</v>
      </c>
      <c r="I74" s="19" t="str">
        <f t="shared" si="40"/>
        <v/>
      </c>
      <c r="J74" s="225">
        <f t="shared" si="41"/>
        <v>2</v>
      </c>
      <c r="K74" s="226" t="str">
        <f t="shared" si="42"/>
        <v>Gi/o</v>
      </c>
      <c r="L74" s="227">
        <f t="shared" si="43"/>
        <v>0</v>
      </c>
      <c r="M74" s="228">
        <f t="shared" si="44"/>
        <v>1</v>
      </c>
      <c r="N74" s="228">
        <f t="shared" si="45"/>
        <v>2</v>
      </c>
      <c r="O74" s="228">
        <f t="shared" si="46"/>
        <v>0</v>
      </c>
      <c r="P74" s="20">
        <f t="shared" si="47"/>
        <v>0</v>
      </c>
      <c r="Q74" s="19">
        <f t="shared" si="48"/>
        <v>100</v>
      </c>
      <c r="R74" s="19">
        <f t="shared" si="49"/>
        <v>2.3297814701101682</v>
      </c>
      <c r="S74" s="19">
        <f t="shared" si="50"/>
        <v>0</v>
      </c>
      <c r="T74" s="20">
        <f t="shared" si="51"/>
        <v>0</v>
      </c>
      <c r="U74" s="19">
        <f t="shared" si="52"/>
        <v>0.55369999999999997</v>
      </c>
      <c r="V74" s="19">
        <f t="shared" si="53"/>
        <v>1.29E-2</v>
      </c>
      <c r="W74" s="19">
        <f t="shared" si="54"/>
        <v>0</v>
      </c>
      <c r="X74" s="147" t="str">
        <f t="shared" si="55"/>
        <v>GoA</v>
      </c>
      <c r="Y74" s="32">
        <f t="shared" si="56"/>
        <v>0</v>
      </c>
      <c r="Z74" s="31">
        <f t="shared" si="57"/>
        <v>100</v>
      </c>
      <c r="AA74" s="31">
        <f t="shared" si="58"/>
        <v>0</v>
      </c>
      <c r="AB74" s="31">
        <f t="shared" si="59"/>
        <v>2.3297814701101682</v>
      </c>
      <c r="AC74" s="31">
        <f t="shared" si="60"/>
        <v>0</v>
      </c>
      <c r="AD74" s="322">
        <f t="shared" si="61"/>
        <v>0</v>
      </c>
      <c r="AE74" s="309">
        <f t="shared" si="62"/>
        <v>0.55369999999999997</v>
      </c>
      <c r="AF74" s="309">
        <f t="shared" si="63"/>
        <v>0</v>
      </c>
      <c r="AG74" s="309">
        <f t="shared" si="64"/>
        <v>1.29E-2</v>
      </c>
      <c r="AH74" s="309">
        <f t="shared" si="65"/>
        <v>0</v>
      </c>
      <c r="AI74" s="322">
        <v>0</v>
      </c>
      <c r="AJ74" s="309">
        <v>0.55369999999999997</v>
      </c>
      <c r="AK74" s="309">
        <v>0</v>
      </c>
      <c r="AL74" s="309">
        <v>1.29E-2</v>
      </c>
      <c r="AM74" s="309">
        <v>0</v>
      </c>
      <c r="AN74" s="140">
        <v>0</v>
      </c>
      <c r="AO74" s="141">
        <v>3.9899999999999998E-2</v>
      </c>
      <c r="AP74" s="141">
        <v>0</v>
      </c>
      <c r="AQ74" s="141">
        <v>4.8688000000000004E-3</v>
      </c>
      <c r="AR74" s="141">
        <v>0</v>
      </c>
      <c r="AS74" s="142">
        <v>0</v>
      </c>
      <c r="AT74" s="143">
        <v>5.6599999999999998E-2</v>
      </c>
      <c r="AU74" s="143">
        <v>0</v>
      </c>
      <c r="AV74" s="143">
        <v>9.4516000000000001E-4</v>
      </c>
      <c r="AW74" s="143">
        <v>0</v>
      </c>
      <c r="AX74" s="142">
        <v>0</v>
      </c>
      <c r="AY74" s="143">
        <v>2.3065E-3</v>
      </c>
      <c r="AZ74" s="143">
        <v>0</v>
      </c>
      <c r="BA74" s="143">
        <v>1.5878000000000001E-3</v>
      </c>
      <c r="BB74" s="143">
        <v>0</v>
      </c>
      <c r="BD74" s="50"/>
      <c r="BE74" s="179" t="s">
        <v>5335</v>
      </c>
      <c r="BF74" s="179" t="s">
        <v>2882</v>
      </c>
      <c r="BG74" s="53" t="s">
        <v>57</v>
      </c>
      <c r="BI74" s="52" t="s">
        <v>2868</v>
      </c>
      <c r="BJ74" s="52" t="s">
        <v>2859</v>
      </c>
      <c r="BK74" s="179">
        <v>1000</v>
      </c>
      <c r="BL74" s="179" t="s">
        <v>5336</v>
      </c>
      <c r="BM74" s="179" t="s">
        <v>2867</v>
      </c>
      <c r="BN74" s="179">
        <v>49621</v>
      </c>
      <c r="BO74" s="52" t="s">
        <v>2866</v>
      </c>
      <c r="BP74" s="179" t="s">
        <v>2881</v>
      </c>
      <c r="BR74" s="179">
        <v>12</v>
      </c>
      <c r="BS74" s="179" t="s">
        <v>5337</v>
      </c>
      <c r="BT74" s="52" t="s">
        <v>2880</v>
      </c>
    </row>
    <row r="75" spans="1:72" ht="18.75" customHeight="1">
      <c r="A75" s="51" t="s">
        <v>168</v>
      </c>
      <c r="B75" s="205" t="s">
        <v>5558</v>
      </c>
      <c r="C75" t="s">
        <v>583</v>
      </c>
      <c r="D75" s="19">
        <v>1369</v>
      </c>
      <c r="E75" s="9" t="s">
        <v>5200</v>
      </c>
      <c r="F75" s="20" t="str">
        <f t="shared" si="37"/>
        <v/>
      </c>
      <c r="G75" s="19">
        <f t="shared" si="38"/>
        <v>1</v>
      </c>
      <c r="H75" s="19" t="str">
        <f t="shared" si="39"/>
        <v/>
      </c>
      <c r="I75" s="19" t="str">
        <f t="shared" si="40"/>
        <v/>
      </c>
      <c r="J75" s="225">
        <f t="shared" si="41"/>
        <v>1</v>
      </c>
      <c r="K75" s="226" t="str">
        <f t="shared" si="42"/>
        <v>Gi/o</v>
      </c>
      <c r="L75" s="227">
        <f t="shared" si="43"/>
        <v>0</v>
      </c>
      <c r="M75" s="228">
        <f t="shared" si="44"/>
        <v>1</v>
      </c>
      <c r="N75" s="228">
        <f t="shared" si="45"/>
        <v>0</v>
      </c>
      <c r="O75" s="228">
        <f t="shared" si="46"/>
        <v>0</v>
      </c>
      <c r="P75" s="20">
        <f t="shared" si="47"/>
        <v>0</v>
      </c>
      <c r="Q75" s="19">
        <f t="shared" si="48"/>
        <v>100</v>
      </c>
      <c r="R75" s="19">
        <f t="shared" si="49"/>
        <v>0</v>
      </c>
      <c r="S75" s="19">
        <f t="shared" si="50"/>
        <v>0</v>
      </c>
      <c r="T75" s="20">
        <f t="shared" si="51"/>
        <v>0</v>
      </c>
      <c r="U75" s="19">
        <f t="shared" si="52"/>
        <v>0.72789999999999999</v>
      </c>
      <c r="V75" s="19">
        <f t="shared" si="53"/>
        <v>0</v>
      </c>
      <c r="W75" s="19">
        <f t="shared" si="54"/>
        <v>0</v>
      </c>
      <c r="X75" s="147" t="str">
        <f t="shared" si="55"/>
        <v>GoA</v>
      </c>
      <c r="Y75" s="32">
        <f t="shared" si="56"/>
        <v>0</v>
      </c>
      <c r="Z75" s="31">
        <f t="shared" si="57"/>
        <v>100</v>
      </c>
      <c r="AA75" s="31">
        <f t="shared" si="58"/>
        <v>0</v>
      </c>
      <c r="AB75" s="31">
        <f t="shared" si="59"/>
        <v>0</v>
      </c>
      <c r="AC75" s="31">
        <f t="shared" si="60"/>
        <v>0</v>
      </c>
      <c r="AD75" s="322">
        <f t="shared" si="61"/>
        <v>0</v>
      </c>
      <c r="AE75" s="309">
        <f t="shared" si="62"/>
        <v>0.72789999999999999</v>
      </c>
      <c r="AF75" s="309">
        <f t="shared" si="63"/>
        <v>0</v>
      </c>
      <c r="AG75" s="309">
        <f t="shared" si="64"/>
        <v>0</v>
      </c>
      <c r="AH75" s="309">
        <f t="shared" si="65"/>
        <v>0</v>
      </c>
      <c r="AI75" s="322">
        <v>0</v>
      </c>
      <c r="AJ75" s="309">
        <v>0.72789999999999999</v>
      </c>
      <c r="AK75" s="309">
        <v>0</v>
      </c>
      <c r="AL75" s="309">
        <v>0</v>
      </c>
      <c r="AM75" s="309">
        <v>0</v>
      </c>
      <c r="AN75" s="140">
        <v>0</v>
      </c>
      <c r="AO75" s="141">
        <v>4.6199999999999998E-2</v>
      </c>
      <c r="AP75" s="141">
        <v>0</v>
      </c>
      <c r="AQ75" s="141">
        <v>0</v>
      </c>
      <c r="AR75" s="141">
        <v>0</v>
      </c>
      <c r="AS75" s="142">
        <v>0</v>
      </c>
      <c r="AT75" s="143">
        <v>4.5400000000000003E-2</v>
      </c>
      <c r="AU75" s="143">
        <v>0</v>
      </c>
      <c r="AV75" s="143">
        <v>0</v>
      </c>
      <c r="AW75" s="143">
        <v>0</v>
      </c>
      <c r="AX75" s="142">
        <v>0</v>
      </c>
      <c r="AY75" s="143">
        <v>7.9333000000000008E-3</v>
      </c>
      <c r="AZ75" s="143">
        <v>0</v>
      </c>
      <c r="BA75" s="143">
        <v>0</v>
      </c>
      <c r="BB75" s="143">
        <v>0</v>
      </c>
      <c r="BD75" s="50"/>
      <c r="BE75" s="179" t="s">
        <v>5338</v>
      </c>
      <c r="BF75" s="179" t="s">
        <v>168</v>
      </c>
      <c r="BG75" s="53" t="s">
        <v>57</v>
      </c>
      <c r="BI75" s="52" t="s">
        <v>2868</v>
      </c>
      <c r="BJ75" s="52" t="s">
        <v>2859</v>
      </c>
      <c r="BK75" s="179">
        <v>1000</v>
      </c>
      <c r="BL75" s="179" t="s">
        <v>5339</v>
      </c>
      <c r="BM75" s="179" t="s">
        <v>2867</v>
      </c>
      <c r="BN75" s="179">
        <v>49621</v>
      </c>
      <c r="BO75" s="52" t="s">
        <v>2866</v>
      </c>
      <c r="BP75" s="179" t="s">
        <v>2879</v>
      </c>
      <c r="BR75" s="179">
        <v>6</v>
      </c>
      <c r="BS75" s="179" t="s">
        <v>2848</v>
      </c>
      <c r="BT75" s="52" t="s">
        <v>2863</v>
      </c>
    </row>
    <row r="76" spans="1:72" ht="18.75" customHeight="1">
      <c r="A76" s="51" t="s">
        <v>0</v>
      </c>
      <c r="B76" s="205" t="s">
        <v>5558</v>
      </c>
      <c r="C76" t="s">
        <v>583</v>
      </c>
      <c r="D76" s="19">
        <v>1369</v>
      </c>
      <c r="E76" s="9" t="s">
        <v>5200</v>
      </c>
      <c r="F76" s="20" t="str">
        <f t="shared" si="37"/>
        <v/>
      </c>
      <c r="G76" s="19">
        <f t="shared" si="38"/>
        <v>1</v>
      </c>
      <c r="H76" s="19">
        <f t="shared" si="39"/>
        <v>1</v>
      </c>
      <c r="I76" s="19" t="str">
        <f t="shared" si="40"/>
        <v/>
      </c>
      <c r="J76" s="225">
        <f t="shared" si="41"/>
        <v>2</v>
      </c>
      <c r="K76" s="226" t="str">
        <f t="shared" si="42"/>
        <v>Gi/o</v>
      </c>
      <c r="L76" s="227">
        <f t="shared" si="43"/>
        <v>0</v>
      </c>
      <c r="M76" s="228">
        <f t="shared" si="44"/>
        <v>1</v>
      </c>
      <c r="N76" s="228">
        <f t="shared" si="45"/>
        <v>2</v>
      </c>
      <c r="O76" s="228">
        <f t="shared" si="46"/>
        <v>0</v>
      </c>
      <c r="P76" s="20">
        <f t="shared" si="47"/>
        <v>0</v>
      </c>
      <c r="Q76" s="19">
        <f t="shared" si="48"/>
        <v>100</v>
      </c>
      <c r="R76" s="19">
        <f t="shared" si="49"/>
        <v>40.537885300257891</v>
      </c>
      <c r="S76" s="19">
        <f t="shared" si="50"/>
        <v>0</v>
      </c>
      <c r="T76" s="20">
        <f t="shared" si="51"/>
        <v>0</v>
      </c>
      <c r="U76" s="19">
        <f t="shared" si="52"/>
        <v>0.81430000000000002</v>
      </c>
      <c r="V76" s="19">
        <f t="shared" si="53"/>
        <v>0.3301</v>
      </c>
      <c r="W76" s="19">
        <f t="shared" si="54"/>
        <v>0</v>
      </c>
      <c r="X76" s="147" t="str">
        <f t="shared" si="55"/>
        <v>GoA</v>
      </c>
      <c r="Y76" s="32">
        <f t="shared" si="56"/>
        <v>0</v>
      </c>
      <c r="Z76" s="31">
        <f t="shared" si="57"/>
        <v>100</v>
      </c>
      <c r="AA76" s="31">
        <f t="shared" si="58"/>
        <v>40.537885300257891</v>
      </c>
      <c r="AB76" s="31">
        <f t="shared" si="59"/>
        <v>8.755986737074787</v>
      </c>
      <c r="AC76" s="31">
        <f t="shared" si="60"/>
        <v>0</v>
      </c>
      <c r="AD76" s="322">
        <f t="shared" si="61"/>
        <v>0</v>
      </c>
      <c r="AE76" s="309">
        <f t="shared" si="62"/>
        <v>0.81430000000000002</v>
      </c>
      <c r="AF76" s="309">
        <f t="shared" si="63"/>
        <v>0.3301</v>
      </c>
      <c r="AG76" s="309">
        <f t="shared" si="64"/>
        <v>7.1300000000000002E-2</v>
      </c>
      <c r="AH76" s="309">
        <f t="shared" si="65"/>
        <v>0</v>
      </c>
      <c r="AI76" s="322">
        <v>0</v>
      </c>
      <c r="AJ76" s="309">
        <v>0.81430000000000002</v>
      </c>
      <c r="AK76" s="309">
        <v>0.3301</v>
      </c>
      <c r="AL76" s="309">
        <v>7.1300000000000002E-2</v>
      </c>
      <c r="AM76" s="309">
        <v>0</v>
      </c>
      <c r="AN76" s="140">
        <v>0</v>
      </c>
      <c r="AO76" s="141">
        <v>2.3E-2</v>
      </c>
      <c r="AP76" s="141">
        <v>1.23E-2</v>
      </c>
      <c r="AQ76" s="141">
        <v>7.7857999999999998E-3</v>
      </c>
      <c r="AR76" s="141">
        <v>0</v>
      </c>
      <c r="AS76" s="142">
        <v>0</v>
      </c>
      <c r="AT76" s="143">
        <v>2.7799999999999998E-2</v>
      </c>
      <c r="AU76" s="143">
        <v>6.3500000000000001E-2</v>
      </c>
      <c r="AV76" s="143">
        <v>6.9728999999999998E-3</v>
      </c>
      <c r="AW76" s="143">
        <v>0</v>
      </c>
      <c r="AX76" s="142">
        <v>0</v>
      </c>
      <c r="AY76" s="143">
        <v>8.6602999999999995E-4</v>
      </c>
      <c r="AZ76" s="143">
        <v>2.8454000000000001E-3</v>
      </c>
      <c r="BA76" s="143">
        <v>6.9516000000000001E-4</v>
      </c>
      <c r="BB76" s="143">
        <v>0</v>
      </c>
      <c r="BD76" s="50"/>
      <c r="BE76" s="179" t="s">
        <v>5340</v>
      </c>
      <c r="BF76" s="179" t="s">
        <v>0</v>
      </c>
      <c r="BG76" s="53" t="s">
        <v>57</v>
      </c>
      <c r="BI76" s="52" t="s">
        <v>2868</v>
      </c>
      <c r="BJ76" s="52" t="s">
        <v>2859</v>
      </c>
      <c r="BK76" s="179">
        <v>1000</v>
      </c>
      <c r="BL76" s="179" t="s">
        <v>5341</v>
      </c>
      <c r="BM76" s="179" t="s">
        <v>2867</v>
      </c>
      <c r="BN76" s="179">
        <v>49621</v>
      </c>
      <c r="BO76" s="52" t="s">
        <v>2850</v>
      </c>
      <c r="BP76" s="179" t="s">
        <v>2849</v>
      </c>
      <c r="BQ76" s="52" t="s">
        <v>2878</v>
      </c>
      <c r="BR76" s="179">
        <v>12</v>
      </c>
      <c r="BS76" s="179" t="s">
        <v>2848</v>
      </c>
      <c r="BT76" s="52" t="s">
        <v>2877</v>
      </c>
    </row>
    <row r="77" spans="1:72" ht="18.75" customHeight="1">
      <c r="A77" s="51" t="s">
        <v>169</v>
      </c>
      <c r="B77" s="205" t="s">
        <v>5558</v>
      </c>
      <c r="C77" t="s">
        <v>583</v>
      </c>
      <c r="D77" s="19">
        <v>1369</v>
      </c>
      <c r="E77" s="9" t="s">
        <v>5200</v>
      </c>
      <c r="F77" s="20" t="str">
        <f t="shared" si="37"/>
        <v/>
      </c>
      <c r="G77" s="19">
        <f t="shared" si="38"/>
        <v>1</v>
      </c>
      <c r="H77" s="19" t="str">
        <f t="shared" si="39"/>
        <v/>
      </c>
      <c r="I77" s="19" t="str">
        <f t="shared" si="40"/>
        <v/>
      </c>
      <c r="J77" s="225">
        <f t="shared" si="41"/>
        <v>1</v>
      </c>
      <c r="K77" s="226" t="str">
        <f t="shared" si="42"/>
        <v>Gi/o</v>
      </c>
      <c r="L77" s="227">
        <f t="shared" si="43"/>
        <v>0</v>
      </c>
      <c r="M77" s="228">
        <f t="shared" si="44"/>
        <v>1</v>
      </c>
      <c r="N77" s="228">
        <f t="shared" si="45"/>
        <v>0</v>
      </c>
      <c r="O77" s="228">
        <f t="shared" si="46"/>
        <v>0</v>
      </c>
      <c r="P77" s="20">
        <f t="shared" si="47"/>
        <v>0</v>
      </c>
      <c r="Q77" s="19">
        <f t="shared" si="48"/>
        <v>100</v>
      </c>
      <c r="R77" s="19">
        <f t="shared" si="49"/>
        <v>0</v>
      </c>
      <c r="S77" s="19">
        <f t="shared" si="50"/>
        <v>0</v>
      </c>
      <c r="T77" s="20">
        <f t="shared" si="51"/>
        <v>0</v>
      </c>
      <c r="U77" s="19">
        <f t="shared" si="52"/>
        <v>2.4790999999999999</v>
      </c>
      <c r="V77" s="19">
        <f t="shared" si="53"/>
        <v>0</v>
      </c>
      <c r="W77" s="19">
        <f t="shared" si="54"/>
        <v>0</v>
      </c>
      <c r="X77" s="147" t="str">
        <f t="shared" si="55"/>
        <v>GoA</v>
      </c>
      <c r="Y77" s="32">
        <f t="shared" si="56"/>
        <v>0</v>
      </c>
      <c r="Z77" s="31">
        <f t="shared" si="57"/>
        <v>100</v>
      </c>
      <c r="AA77" s="31">
        <f t="shared" si="58"/>
        <v>0</v>
      </c>
      <c r="AB77" s="31">
        <f t="shared" si="59"/>
        <v>0</v>
      </c>
      <c r="AC77" s="31">
        <f t="shared" si="60"/>
        <v>0</v>
      </c>
      <c r="AD77" s="322">
        <f t="shared" si="61"/>
        <v>0</v>
      </c>
      <c r="AE77" s="309">
        <f t="shared" si="62"/>
        <v>2.4790999999999999</v>
      </c>
      <c r="AF77" s="309">
        <f t="shared" si="63"/>
        <v>0</v>
      </c>
      <c r="AG77" s="309">
        <f t="shared" si="64"/>
        <v>0</v>
      </c>
      <c r="AH77" s="309">
        <f t="shared" si="65"/>
        <v>0</v>
      </c>
      <c r="AI77" s="322">
        <v>0</v>
      </c>
      <c r="AJ77" s="309">
        <v>2.4790999999999999</v>
      </c>
      <c r="AK77" s="309">
        <v>0</v>
      </c>
      <c r="AL77" s="309">
        <v>0</v>
      </c>
      <c r="AM77" s="309">
        <v>0</v>
      </c>
      <c r="AN77" s="140">
        <v>0</v>
      </c>
      <c r="AO77" s="141">
        <v>5.3699999999999998E-2</v>
      </c>
      <c r="AP77" s="141">
        <v>0</v>
      </c>
      <c r="AQ77" s="141">
        <v>0</v>
      </c>
      <c r="AR77" s="141">
        <v>0</v>
      </c>
      <c r="AS77" s="142">
        <v>0</v>
      </c>
      <c r="AT77" s="143">
        <v>0.26950000000000002</v>
      </c>
      <c r="AU77" s="143">
        <v>0</v>
      </c>
      <c r="AV77" s="143">
        <v>0</v>
      </c>
      <c r="AW77" s="143">
        <v>0</v>
      </c>
      <c r="AX77" s="142">
        <v>0</v>
      </c>
      <c r="AY77" s="143">
        <v>1.5900000000000001E-2</v>
      </c>
      <c r="AZ77" s="143">
        <v>0</v>
      </c>
      <c r="BA77" s="143">
        <v>0</v>
      </c>
      <c r="BB77" s="143">
        <v>0</v>
      </c>
      <c r="BD77" s="50"/>
      <c r="BE77" s="179" t="s">
        <v>5342</v>
      </c>
      <c r="BF77" s="179" t="s">
        <v>169</v>
      </c>
      <c r="BG77" s="53" t="s">
        <v>57</v>
      </c>
      <c r="BI77" s="52" t="s">
        <v>2868</v>
      </c>
      <c r="BJ77" s="52" t="s">
        <v>2859</v>
      </c>
      <c r="BK77" s="179">
        <v>1000</v>
      </c>
      <c r="BL77" s="179" t="s">
        <v>5343</v>
      </c>
      <c r="BM77" s="179" t="s">
        <v>2867</v>
      </c>
      <c r="BN77" s="179">
        <v>49621</v>
      </c>
      <c r="BO77" s="52" t="s">
        <v>2866</v>
      </c>
      <c r="BP77" s="179" t="s">
        <v>2876</v>
      </c>
      <c r="BQ77" s="52" t="s">
        <v>2875</v>
      </c>
      <c r="BR77" s="179">
        <v>6</v>
      </c>
      <c r="BS77" s="179" t="s">
        <v>2848</v>
      </c>
      <c r="BT77" s="52" t="s">
        <v>2863</v>
      </c>
    </row>
    <row r="78" spans="1:72" ht="18.75" customHeight="1">
      <c r="A78" s="51" t="s">
        <v>2874</v>
      </c>
      <c r="B78" s="205" t="s">
        <v>5558</v>
      </c>
      <c r="C78" t="s">
        <v>583</v>
      </c>
      <c r="D78" s="19">
        <v>1369</v>
      </c>
      <c r="E78" s="9" t="s">
        <v>5200</v>
      </c>
      <c r="F78" s="20" t="str">
        <f t="shared" si="37"/>
        <v/>
      </c>
      <c r="G78" s="19">
        <f t="shared" si="38"/>
        <v>1</v>
      </c>
      <c r="H78" s="19" t="str">
        <f t="shared" si="39"/>
        <v/>
      </c>
      <c r="I78" s="19" t="str">
        <f t="shared" si="40"/>
        <v/>
      </c>
      <c r="J78" s="225">
        <f t="shared" si="41"/>
        <v>1</v>
      </c>
      <c r="K78" s="226" t="str">
        <f t="shared" si="42"/>
        <v>Gi/o</v>
      </c>
      <c r="L78" s="227">
        <f t="shared" si="43"/>
        <v>0</v>
      </c>
      <c r="M78" s="228">
        <f t="shared" si="44"/>
        <v>1</v>
      </c>
      <c r="N78" s="228">
        <f t="shared" si="45"/>
        <v>0</v>
      </c>
      <c r="O78" s="228">
        <f t="shared" si="46"/>
        <v>0</v>
      </c>
      <c r="P78" s="20">
        <f t="shared" si="47"/>
        <v>0</v>
      </c>
      <c r="Q78" s="19">
        <f t="shared" si="48"/>
        <v>100</v>
      </c>
      <c r="R78" s="19">
        <f t="shared" si="49"/>
        <v>0</v>
      </c>
      <c r="S78" s="19">
        <f t="shared" si="50"/>
        <v>0</v>
      </c>
      <c r="T78" s="20">
        <f t="shared" si="51"/>
        <v>0</v>
      </c>
      <c r="U78" s="19">
        <f t="shared" si="52"/>
        <v>0.21990000000000001</v>
      </c>
      <c r="V78" s="19">
        <f t="shared" si="53"/>
        <v>0</v>
      </c>
      <c r="W78" s="19">
        <f t="shared" si="54"/>
        <v>0</v>
      </c>
      <c r="X78" s="147" t="str">
        <f t="shared" si="55"/>
        <v>GoA</v>
      </c>
      <c r="Y78" s="32">
        <f t="shared" si="56"/>
        <v>0</v>
      </c>
      <c r="Z78" s="31">
        <f t="shared" si="57"/>
        <v>100</v>
      </c>
      <c r="AA78" s="31">
        <f t="shared" si="58"/>
        <v>0</v>
      </c>
      <c r="AB78" s="31">
        <f t="shared" si="59"/>
        <v>0</v>
      </c>
      <c r="AC78" s="31">
        <f t="shared" si="60"/>
        <v>0</v>
      </c>
      <c r="AD78" s="322">
        <f t="shared" si="61"/>
        <v>0</v>
      </c>
      <c r="AE78" s="309">
        <f t="shared" si="62"/>
        <v>0.21990000000000001</v>
      </c>
      <c r="AF78" s="309">
        <f t="shared" si="63"/>
        <v>0</v>
      </c>
      <c r="AG78" s="309">
        <f t="shared" si="64"/>
        <v>0</v>
      </c>
      <c r="AH78" s="309">
        <f t="shared" si="65"/>
        <v>0</v>
      </c>
      <c r="AI78" s="322">
        <v>0</v>
      </c>
      <c r="AJ78" s="309">
        <v>0.21990000000000001</v>
      </c>
      <c r="AK78" s="309">
        <v>0</v>
      </c>
      <c r="AL78" s="309">
        <v>0</v>
      </c>
      <c r="AM78" s="309">
        <v>0</v>
      </c>
      <c r="AN78" s="140">
        <v>0</v>
      </c>
      <c r="AO78" s="141">
        <v>4.4473999999999998E-3</v>
      </c>
      <c r="AP78" s="141">
        <v>0</v>
      </c>
      <c r="AQ78" s="141">
        <v>0</v>
      </c>
      <c r="AR78" s="141">
        <v>0</v>
      </c>
      <c r="AS78" s="142">
        <v>0</v>
      </c>
      <c r="AT78" s="143">
        <v>3.6099000000000001E-3</v>
      </c>
      <c r="AU78" s="143">
        <v>0</v>
      </c>
      <c r="AV78" s="143">
        <v>0</v>
      </c>
      <c r="AW78" s="143">
        <v>0</v>
      </c>
      <c r="AX78" s="142">
        <v>0</v>
      </c>
      <c r="AY78" s="143">
        <v>4.9972000000000005E-4</v>
      </c>
      <c r="AZ78" s="143">
        <v>0</v>
      </c>
      <c r="BA78" s="143">
        <v>0</v>
      </c>
      <c r="BB78" s="143">
        <v>0</v>
      </c>
      <c r="BD78" s="50"/>
      <c r="BE78" s="179" t="s">
        <v>5344</v>
      </c>
      <c r="BF78" s="179" t="s">
        <v>2874</v>
      </c>
      <c r="BG78" s="53" t="s">
        <v>57</v>
      </c>
      <c r="BI78" s="52" t="s">
        <v>2868</v>
      </c>
      <c r="BJ78" s="52" t="s">
        <v>2859</v>
      </c>
      <c r="BK78" s="179">
        <v>1000</v>
      </c>
      <c r="BL78" s="179" t="s">
        <v>5345</v>
      </c>
      <c r="BM78" s="179" t="s">
        <v>2867</v>
      </c>
      <c r="BN78" s="179">
        <v>49621</v>
      </c>
      <c r="BO78" s="52" t="s">
        <v>2866</v>
      </c>
      <c r="BP78" s="179" t="s">
        <v>2873</v>
      </c>
      <c r="BQ78" s="52" t="s">
        <v>2872</v>
      </c>
      <c r="BR78" s="179">
        <v>6</v>
      </c>
      <c r="BS78" s="179" t="s">
        <v>2848</v>
      </c>
      <c r="BT78" s="52" t="s">
        <v>2871</v>
      </c>
    </row>
    <row r="79" spans="1:72" ht="18.75" customHeight="1">
      <c r="A79" s="51" t="s">
        <v>170</v>
      </c>
      <c r="B79" s="205" t="s">
        <v>5558</v>
      </c>
      <c r="C79" t="s">
        <v>583</v>
      </c>
      <c r="D79" s="19">
        <v>1369</v>
      </c>
      <c r="E79" s="9" t="s">
        <v>5200</v>
      </c>
      <c r="F79" s="20" t="str">
        <f t="shared" si="37"/>
        <v/>
      </c>
      <c r="G79" s="19">
        <f t="shared" si="38"/>
        <v>1</v>
      </c>
      <c r="H79" s="19" t="str">
        <f t="shared" si="39"/>
        <v/>
      </c>
      <c r="I79" s="19" t="str">
        <f t="shared" si="40"/>
        <v/>
      </c>
      <c r="J79" s="225">
        <f t="shared" si="41"/>
        <v>1</v>
      </c>
      <c r="K79" s="226" t="str">
        <f t="shared" si="42"/>
        <v>Gi/o</v>
      </c>
      <c r="L79" s="227">
        <f t="shared" si="43"/>
        <v>0</v>
      </c>
      <c r="M79" s="228">
        <f t="shared" si="44"/>
        <v>1</v>
      </c>
      <c r="N79" s="228">
        <f t="shared" si="45"/>
        <v>0</v>
      </c>
      <c r="O79" s="228">
        <f t="shared" si="46"/>
        <v>0</v>
      </c>
      <c r="P79" s="20">
        <f t="shared" si="47"/>
        <v>0</v>
      </c>
      <c r="Q79" s="19">
        <f t="shared" si="48"/>
        <v>100</v>
      </c>
      <c r="R79" s="19">
        <f t="shared" si="49"/>
        <v>0</v>
      </c>
      <c r="S79" s="19">
        <f t="shared" si="50"/>
        <v>0</v>
      </c>
      <c r="T79" s="20">
        <f t="shared" si="51"/>
        <v>0</v>
      </c>
      <c r="U79" s="19">
        <f t="shared" si="52"/>
        <v>0.29459999999999997</v>
      </c>
      <c r="V79" s="19">
        <f t="shared" si="53"/>
        <v>0</v>
      </c>
      <c r="W79" s="19">
        <f t="shared" si="54"/>
        <v>0</v>
      </c>
      <c r="X79" s="147" t="str">
        <f t="shared" si="55"/>
        <v>GoA</v>
      </c>
      <c r="Y79" s="32">
        <f t="shared" si="56"/>
        <v>0</v>
      </c>
      <c r="Z79" s="31">
        <f t="shared" si="57"/>
        <v>100</v>
      </c>
      <c r="AA79" s="31">
        <f t="shared" si="58"/>
        <v>0</v>
      </c>
      <c r="AB79" s="31">
        <f t="shared" si="59"/>
        <v>0</v>
      </c>
      <c r="AC79" s="31">
        <f t="shared" si="60"/>
        <v>0</v>
      </c>
      <c r="AD79" s="322">
        <f t="shared" si="61"/>
        <v>0</v>
      </c>
      <c r="AE79" s="309">
        <f t="shared" si="62"/>
        <v>0.29459999999999997</v>
      </c>
      <c r="AF79" s="309">
        <f t="shared" si="63"/>
        <v>0</v>
      </c>
      <c r="AG79" s="309">
        <f t="shared" si="64"/>
        <v>0</v>
      </c>
      <c r="AH79" s="309">
        <f t="shared" si="65"/>
        <v>0</v>
      </c>
      <c r="AI79" s="322">
        <v>0</v>
      </c>
      <c r="AJ79" s="309">
        <v>0.29459999999999997</v>
      </c>
      <c r="AK79" s="309">
        <v>0</v>
      </c>
      <c r="AL79" s="309">
        <v>0</v>
      </c>
      <c r="AM79" s="309">
        <v>0</v>
      </c>
      <c r="AN79" s="140">
        <v>0</v>
      </c>
      <c r="AO79" s="141">
        <v>2.9399999999999999E-2</v>
      </c>
      <c r="AP79" s="141">
        <v>0</v>
      </c>
      <c r="AQ79" s="141">
        <v>0</v>
      </c>
      <c r="AR79" s="141">
        <v>0</v>
      </c>
      <c r="AS79" s="142">
        <v>0</v>
      </c>
      <c r="AT79" s="143">
        <v>1.8100000000000002E-2</v>
      </c>
      <c r="AU79" s="143">
        <v>0</v>
      </c>
      <c r="AV79" s="143">
        <v>0</v>
      </c>
      <c r="AW79" s="143">
        <v>0</v>
      </c>
      <c r="AX79" s="142">
        <v>0</v>
      </c>
      <c r="AY79" s="143">
        <v>9.2615999999999998E-4</v>
      </c>
      <c r="AZ79" s="143">
        <v>0</v>
      </c>
      <c r="BA79" s="143">
        <v>0</v>
      </c>
      <c r="BB79" s="143">
        <v>0</v>
      </c>
      <c r="BD79" s="50"/>
      <c r="BE79" s="179" t="s">
        <v>5346</v>
      </c>
      <c r="BF79" s="179" t="s">
        <v>170</v>
      </c>
      <c r="BG79" s="53" t="s">
        <v>57</v>
      </c>
      <c r="BI79" s="52" t="s">
        <v>2868</v>
      </c>
      <c r="BJ79" s="52" t="s">
        <v>2859</v>
      </c>
      <c r="BK79" s="179">
        <v>1000</v>
      </c>
      <c r="BL79" s="179" t="s">
        <v>5347</v>
      </c>
      <c r="BM79" s="179" t="s">
        <v>2867</v>
      </c>
      <c r="BN79" s="179">
        <v>49621</v>
      </c>
      <c r="BO79" s="52" t="s">
        <v>2866</v>
      </c>
      <c r="BP79" s="179" t="s">
        <v>2865</v>
      </c>
      <c r="BQ79" s="52" t="s">
        <v>2864</v>
      </c>
      <c r="BR79" s="179">
        <v>12</v>
      </c>
      <c r="BS79" s="179" t="s">
        <v>2848</v>
      </c>
      <c r="BT79" s="52" t="s">
        <v>2863</v>
      </c>
    </row>
    <row r="80" spans="1:72" ht="18.75" customHeight="1">
      <c r="A80" s="51" t="s">
        <v>177</v>
      </c>
      <c r="B80" s="205" t="s">
        <v>5558</v>
      </c>
      <c r="C80" t="s">
        <v>583</v>
      </c>
      <c r="D80" s="19">
        <v>1504</v>
      </c>
      <c r="E80" s="9" t="s">
        <v>5200</v>
      </c>
      <c r="F80" s="20" t="str">
        <f t="shared" si="37"/>
        <v/>
      </c>
      <c r="G80" s="19">
        <f t="shared" si="38"/>
        <v>1</v>
      </c>
      <c r="H80" s="19" t="str">
        <f t="shared" si="39"/>
        <v/>
      </c>
      <c r="I80" s="19" t="str">
        <f t="shared" si="40"/>
        <v/>
      </c>
      <c r="J80" s="225">
        <f t="shared" si="41"/>
        <v>1</v>
      </c>
      <c r="K80" s="226" t="str">
        <f t="shared" si="42"/>
        <v>Gi/o</v>
      </c>
      <c r="L80" s="227">
        <f t="shared" si="43"/>
        <v>0</v>
      </c>
      <c r="M80" s="228">
        <f t="shared" si="44"/>
        <v>1</v>
      </c>
      <c r="N80" s="228">
        <f t="shared" si="45"/>
        <v>0</v>
      </c>
      <c r="O80" s="228">
        <f t="shared" si="46"/>
        <v>0</v>
      </c>
      <c r="P80" s="20">
        <f t="shared" si="47"/>
        <v>0</v>
      </c>
      <c r="Q80" s="19">
        <f t="shared" si="48"/>
        <v>100</v>
      </c>
      <c r="R80" s="19">
        <f t="shared" si="49"/>
        <v>0</v>
      </c>
      <c r="S80" s="19">
        <f t="shared" si="50"/>
        <v>0</v>
      </c>
      <c r="T80" s="20">
        <f t="shared" si="51"/>
        <v>0</v>
      </c>
      <c r="U80" s="19">
        <f t="shared" si="52"/>
        <v>0.246</v>
      </c>
      <c r="V80" s="19">
        <f t="shared" si="53"/>
        <v>0</v>
      </c>
      <c r="W80" s="19">
        <f t="shared" si="54"/>
        <v>0</v>
      </c>
      <c r="X80" s="147" t="str">
        <f t="shared" si="55"/>
        <v>GoA</v>
      </c>
      <c r="Y80" s="32">
        <f t="shared" si="56"/>
        <v>0</v>
      </c>
      <c r="Z80" s="31">
        <f t="shared" si="57"/>
        <v>100</v>
      </c>
      <c r="AA80" s="31">
        <f t="shared" si="58"/>
        <v>0</v>
      </c>
      <c r="AB80" s="31">
        <f t="shared" si="59"/>
        <v>0</v>
      </c>
      <c r="AC80" s="31">
        <f t="shared" si="60"/>
        <v>0</v>
      </c>
      <c r="AD80" s="322">
        <f t="shared" si="61"/>
        <v>0</v>
      </c>
      <c r="AE80" s="309">
        <f t="shared" si="62"/>
        <v>0.246</v>
      </c>
      <c r="AF80" s="309">
        <f t="shared" si="63"/>
        <v>0</v>
      </c>
      <c r="AG80" s="309">
        <f t="shared" si="64"/>
        <v>0</v>
      </c>
      <c r="AH80" s="309">
        <f t="shared" si="65"/>
        <v>0</v>
      </c>
      <c r="AI80" s="322">
        <v>0</v>
      </c>
      <c r="AJ80" s="309">
        <v>0.246</v>
      </c>
      <c r="AK80" s="309">
        <v>0</v>
      </c>
      <c r="AL80" s="309">
        <v>0</v>
      </c>
      <c r="AM80" s="309">
        <v>0</v>
      </c>
      <c r="AN80" s="140">
        <v>0</v>
      </c>
      <c r="AO80" s="141">
        <v>6.4199999999999993E-2</v>
      </c>
      <c r="AP80" s="141">
        <v>0</v>
      </c>
      <c r="AQ80" s="141">
        <v>0</v>
      </c>
      <c r="AR80" s="141">
        <v>0</v>
      </c>
      <c r="AS80" s="142">
        <v>0</v>
      </c>
      <c r="AT80" s="143">
        <v>1.9099999999999999E-2</v>
      </c>
      <c r="AU80" s="143">
        <v>0</v>
      </c>
      <c r="AV80" s="143">
        <v>0</v>
      </c>
      <c r="AW80" s="143">
        <v>0</v>
      </c>
      <c r="AX80" s="142">
        <v>0</v>
      </c>
      <c r="AY80" s="143">
        <v>5.8567000000000003E-3</v>
      </c>
      <c r="AZ80" s="143">
        <v>0</v>
      </c>
      <c r="BA80" s="143">
        <v>0</v>
      </c>
      <c r="BB80" s="143">
        <v>0</v>
      </c>
      <c r="BD80" s="50"/>
      <c r="BE80" s="179" t="s">
        <v>5348</v>
      </c>
      <c r="BF80" s="179" t="s">
        <v>177</v>
      </c>
      <c r="BG80" s="53" t="s">
        <v>15</v>
      </c>
      <c r="BI80" s="52" t="s">
        <v>2709</v>
      </c>
      <c r="BJ80" s="52" t="s">
        <v>44</v>
      </c>
      <c r="BK80" s="179">
        <v>10</v>
      </c>
      <c r="BL80" s="179" t="s">
        <v>5349</v>
      </c>
      <c r="BM80" s="179" t="s">
        <v>2900</v>
      </c>
      <c r="BN80" s="179" t="s">
        <v>3057</v>
      </c>
      <c r="BO80" s="52" t="s">
        <v>2866</v>
      </c>
      <c r="BP80" s="179" t="s">
        <v>3065</v>
      </c>
      <c r="BQ80" s="52" t="s">
        <v>3064</v>
      </c>
      <c r="BR80" s="179">
        <v>12</v>
      </c>
      <c r="BS80" s="179" t="s">
        <v>2848</v>
      </c>
    </row>
    <row r="81" spans="1:71" ht="18.75" customHeight="1">
      <c r="A81" s="51" t="s">
        <v>3063</v>
      </c>
      <c r="B81" s="205" t="s">
        <v>5558</v>
      </c>
      <c r="C81" t="s">
        <v>583</v>
      </c>
      <c r="D81" s="19">
        <v>1504</v>
      </c>
      <c r="E81" s="9" t="s">
        <v>5200</v>
      </c>
      <c r="F81" s="20" t="str">
        <f t="shared" si="37"/>
        <v/>
      </c>
      <c r="G81" s="19">
        <f t="shared" si="38"/>
        <v>1</v>
      </c>
      <c r="H81" s="19" t="str">
        <f t="shared" si="39"/>
        <v/>
      </c>
      <c r="I81" s="19" t="str">
        <f t="shared" si="40"/>
        <v/>
      </c>
      <c r="J81" s="225">
        <f t="shared" si="41"/>
        <v>1</v>
      </c>
      <c r="K81" s="226" t="str">
        <f t="shared" si="42"/>
        <v>Gi/o</v>
      </c>
      <c r="L81" s="227">
        <f t="shared" si="43"/>
        <v>0</v>
      </c>
      <c r="M81" s="228">
        <f t="shared" si="44"/>
        <v>1</v>
      </c>
      <c r="N81" s="228">
        <f t="shared" si="45"/>
        <v>0</v>
      </c>
      <c r="O81" s="228">
        <f t="shared" si="46"/>
        <v>0</v>
      </c>
      <c r="P81" s="20">
        <f t="shared" si="47"/>
        <v>0</v>
      </c>
      <c r="Q81" s="19">
        <f t="shared" si="48"/>
        <v>100</v>
      </c>
      <c r="R81" s="19">
        <f t="shared" si="49"/>
        <v>0</v>
      </c>
      <c r="S81" s="19">
        <f t="shared" si="50"/>
        <v>0</v>
      </c>
      <c r="T81" s="20">
        <f t="shared" si="51"/>
        <v>0</v>
      </c>
      <c r="U81" s="19">
        <f t="shared" si="52"/>
        <v>2.1301999999999999</v>
      </c>
      <c r="V81" s="19">
        <f t="shared" si="53"/>
        <v>0</v>
      </c>
      <c r="W81" s="19">
        <f t="shared" si="54"/>
        <v>0</v>
      </c>
      <c r="X81" s="147" t="str">
        <f t="shared" si="55"/>
        <v>GoA</v>
      </c>
      <c r="Y81" s="32">
        <f t="shared" si="56"/>
        <v>0</v>
      </c>
      <c r="Z81" s="31">
        <f t="shared" si="57"/>
        <v>100</v>
      </c>
      <c r="AA81" s="31">
        <f t="shared" si="58"/>
        <v>0</v>
      </c>
      <c r="AB81" s="31">
        <f t="shared" si="59"/>
        <v>0</v>
      </c>
      <c r="AC81" s="31">
        <f t="shared" si="60"/>
        <v>0</v>
      </c>
      <c r="AD81" s="322">
        <f t="shared" si="61"/>
        <v>0</v>
      </c>
      <c r="AE81" s="309">
        <f t="shared" si="62"/>
        <v>2.1301999999999999</v>
      </c>
      <c r="AF81" s="309">
        <f t="shared" si="63"/>
        <v>0</v>
      </c>
      <c r="AG81" s="309">
        <f t="shared" si="64"/>
        <v>0</v>
      </c>
      <c r="AH81" s="309">
        <f t="shared" si="65"/>
        <v>0</v>
      </c>
      <c r="AI81" s="322">
        <v>0</v>
      </c>
      <c r="AJ81" s="309">
        <v>2.1301999999999999</v>
      </c>
      <c r="AK81" s="309">
        <v>0</v>
      </c>
      <c r="AL81" s="309">
        <v>0</v>
      </c>
      <c r="AM81" s="309">
        <v>0</v>
      </c>
      <c r="AN81" s="140">
        <v>0</v>
      </c>
      <c r="AO81" s="141">
        <v>8.2400000000000001E-2</v>
      </c>
      <c r="AP81" s="141">
        <v>0</v>
      </c>
      <c r="AQ81" s="141">
        <v>0</v>
      </c>
      <c r="AR81" s="141">
        <v>0</v>
      </c>
      <c r="AS81" s="142">
        <v>0</v>
      </c>
      <c r="AT81" s="143">
        <v>0.115</v>
      </c>
      <c r="AU81" s="143">
        <v>0</v>
      </c>
      <c r="AV81" s="143">
        <v>0</v>
      </c>
      <c r="AW81" s="143">
        <v>0</v>
      </c>
      <c r="AX81" s="142">
        <v>0</v>
      </c>
      <c r="AY81" s="143">
        <v>3.9472999999999999E-3</v>
      </c>
      <c r="AZ81" s="143">
        <v>0</v>
      </c>
      <c r="BA81" s="143">
        <v>0</v>
      </c>
      <c r="BB81" s="143">
        <v>0</v>
      </c>
      <c r="BD81" s="50"/>
      <c r="BE81" s="179" t="s">
        <v>5350</v>
      </c>
      <c r="BF81" s="179" t="s">
        <v>3063</v>
      </c>
      <c r="BG81" s="53" t="s">
        <v>15</v>
      </c>
      <c r="BI81" s="52" t="s">
        <v>2709</v>
      </c>
      <c r="BJ81" s="52" t="s">
        <v>44</v>
      </c>
      <c r="BK81" s="179">
        <v>10</v>
      </c>
      <c r="BL81" s="179" t="s">
        <v>5351</v>
      </c>
      <c r="BM81" s="179" t="s">
        <v>2900</v>
      </c>
      <c r="BN81" s="179" t="s">
        <v>3057</v>
      </c>
      <c r="BO81" s="52" t="s">
        <v>2866</v>
      </c>
      <c r="BP81" s="179" t="s">
        <v>3062</v>
      </c>
      <c r="BQ81" s="52" t="s">
        <v>3061</v>
      </c>
      <c r="BR81" s="179">
        <v>12</v>
      </c>
      <c r="BS81" s="179" t="s">
        <v>2848</v>
      </c>
    </row>
    <row r="82" spans="1:71" ht="18.75" customHeight="1">
      <c r="A82" s="51" t="s">
        <v>3060</v>
      </c>
      <c r="B82" s="205" t="s">
        <v>5558</v>
      </c>
      <c r="C82" t="s">
        <v>583</v>
      </c>
      <c r="D82" s="19">
        <v>1504</v>
      </c>
      <c r="E82" s="9" t="s">
        <v>5200</v>
      </c>
      <c r="F82" s="20" t="str">
        <f t="shared" si="37"/>
        <v/>
      </c>
      <c r="G82" s="19">
        <f t="shared" si="38"/>
        <v>1</v>
      </c>
      <c r="H82" s="19" t="str">
        <f t="shared" si="39"/>
        <v/>
      </c>
      <c r="I82" s="19" t="str">
        <f t="shared" si="40"/>
        <v/>
      </c>
      <c r="J82" s="225">
        <f t="shared" si="41"/>
        <v>1</v>
      </c>
      <c r="K82" s="226" t="str">
        <f t="shared" si="42"/>
        <v>Gi/o</v>
      </c>
      <c r="L82" s="227">
        <f t="shared" si="43"/>
        <v>0</v>
      </c>
      <c r="M82" s="228">
        <f t="shared" si="44"/>
        <v>1</v>
      </c>
      <c r="N82" s="228">
        <f t="shared" si="45"/>
        <v>0</v>
      </c>
      <c r="O82" s="228">
        <f t="shared" si="46"/>
        <v>0</v>
      </c>
      <c r="P82" s="20">
        <f t="shared" si="47"/>
        <v>0</v>
      </c>
      <c r="Q82" s="19">
        <f t="shared" si="48"/>
        <v>100</v>
      </c>
      <c r="R82" s="19">
        <f t="shared" si="49"/>
        <v>0</v>
      </c>
      <c r="S82" s="19">
        <f t="shared" si="50"/>
        <v>0</v>
      </c>
      <c r="T82" s="20">
        <f t="shared" si="51"/>
        <v>0</v>
      </c>
      <c r="U82" s="19">
        <f t="shared" si="52"/>
        <v>0.48609999999999998</v>
      </c>
      <c r="V82" s="19">
        <f t="shared" si="53"/>
        <v>0</v>
      </c>
      <c r="W82" s="19">
        <f t="shared" si="54"/>
        <v>0</v>
      </c>
      <c r="X82" s="147" t="str">
        <f t="shared" si="55"/>
        <v>GoA</v>
      </c>
      <c r="Y82" s="32">
        <f t="shared" si="56"/>
        <v>0</v>
      </c>
      <c r="Z82" s="31">
        <f t="shared" si="57"/>
        <v>100</v>
      </c>
      <c r="AA82" s="31">
        <f t="shared" si="58"/>
        <v>0</v>
      </c>
      <c r="AB82" s="31">
        <f t="shared" si="59"/>
        <v>0</v>
      </c>
      <c r="AC82" s="31">
        <f t="shared" si="60"/>
        <v>0</v>
      </c>
      <c r="AD82" s="322">
        <f t="shared" si="61"/>
        <v>0</v>
      </c>
      <c r="AE82" s="309">
        <f t="shared" si="62"/>
        <v>0.48609999999999998</v>
      </c>
      <c r="AF82" s="309">
        <f t="shared" si="63"/>
        <v>0</v>
      </c>
      <c r="AG82" s="309">
        <f t="shared" si="64"/>
        <v>0</v>
      </c>
      <c r="AH82" s="309">
        <f t="shared" si="65"/>
        <v>0</v>
      </c>
      <c r="AI82" s="322">
        <v>0</v>
      </c>
      <c r="AJ82" s="309">
        <v>0.48609999999999998</v>
      </c>
      <c r="AK82" s="309">
        <v>0</v>
      </c>
      <c r="AL82" s="309">
        <v>0</v>
      </c>
      <c r="AM82" s="309">
        <v>0</v>
      </c>
      <c r="AN82" s="140">
        <v>0</v>
      </c>
      <c r="AO82" s="141">
        <v>5.0799999999999998E-2</v>
      </c>
      <c r="AP82" s="141">
        <v>0</v>
      </c>
      <c r="AQ82" s="141">
        <v>0</v>
      </c>
      <c r="AR82" s="141">
        <v>0</v>
      </c>
      <c r="AS82" s="142">
        <v>0</v>
      </c>
      <c r="AT82" s="143">
        <v>2.5899999999999999E-2</v>
      </c>
      <c r="AU82" s="143">
        <v>0</v>
      </c>
      <c r="AV82" s="143">
        <v>0</v>
      </c>
      <c r="AW82" s="143">
        <v>0</v>
      </c>
      <c r="AX82" s="142">
        <v>0</v>
      </c>
      <c r="AY82" s="143">
        <v>1.8224000000000001E-3</v>
      </c>
      <c r="AZ82" s="143">
        <v>0</v>
      </c>
      <c r="BA82" s="143">
        <v>0</v>
      </c>
      <c r="BB82" s="143">
        <v>0</v>
      </c>
      <c r="BD82" s="50"/>
      <c r="BE82" s="179" t="s">
        <v>5352</v>
      </c>
      <c r="BF82" s="179" t="s">
        <v>3060</v>
      </c>
      <c r="BG82" s="53" t="s">
        <v>15</v>
      </c>
      <c r="BI82" s="52" t="s">
        <v>2709</v>
      </c>
      <c r="BJ82" s="52" t="s">
        <v>44</v>
      </c>
      <c r="BK82" s="179">
        <v>10</v>
      </c>
      <c r="BL82" s="179" t="s">
        <v>5353</v>
      </c>
      <c r="BM82" s="179" t="s">
        <v>2900</v>
      </c>
      <c r="BN82" s="179" t="s">
        <v>3057</v>
      </c>
      <c r="BO82" s="52" t="s">
        <v>2866</v>
      </c>
      <c r="BP82" s="179" t="s">
        <v>3059</v>
      </c>
      <c r="BQ82" s="52" t="s">
        <v>3058</v>
      </c>
      <c r="BR82" s="179">
        <v>12</v>
      </c>
      <c r="BS82" s="179" t="s">
        <v>2848</v>
      </c>
    </row>
    <row r="83" spans="1:71" ht="18.75" customHeight="1">
      <c r="A83" s="51" t="s">
        <v>178</v>
      </c>
      <c r="B83" s="205" t="s">
        <v>5558</v>
      </c>
      <c r="C83" t="s">
        <v>583</v>
      </c>
      <c r="D83" s="19">
        <v>1504</v>
      </c>
      <c r="E83" s="9" t="s">
        <v>5200</v>
      </c>
      <c r="F83" s="20" t="str">
        <f t="shared" si="37"/>
        <v/>
      </c>
      <c r="G83" s="19">
        <f t="shared" si="38"/>
        <v>1</v>
      </c>
      <c r="H83" s="19" t="str">
        <f t="shared" si="39"/>
        <v/>
      </c>
      <c r="I83" s="19" t="str">
        <f t="shared" si="40"/>
        <v/>
      </c>
      <c r="J83" s="225">
        <f t="shared" si="41"/>
        <v>1</v>
      </c>
      <c r="K83" s="226" t="str">
        <f t="shared" si="42"/>
        <v>Gi/o</v>
      </c>
      <c r="L83" s="227">
        <f t="shared" si="43"/>
        <v>0</v>
      </c>
      <c r="M83" s="228">
        <f t="shared" si="44"/>
        <v>1</v>
      </c>
      <c r="N83" s="228">
        <f t="shared" si="45"/>
        <v>0</v>
      </c>
      <c r="O83" s="228">
        <f t="shared" si="46"/>
        <v>0</v>
      </c>
      <c r="P83" s="20">
        <f t="shared" si="47"/>
        <v>0</v>
      </c>
      <c r="Q83" s="19">
        <f t="shared" si="48"/>
        <v>100</v>
      </c>
      <c r="R83" s="19">
        <f t="shared" si="49"/>
        <v>0</v>
      </c>
      <c r="S83" s="19">
        <f t="shared" si="50"/>
        <v>0</v>
      </c>
      <c r="T83" s="20">
        <f t="shared" si="51"/>
        <v>0</v>
      </c>
      <c r="U83" s="19">
        <f t="shared" si="52"/>
        <v>0.1119</v>
      </c>
      <c r="V83" s="19">
        <f t="shared" si="53"/>
        <v>0</v>
      </c>
      <c r="W83" s="19">
        <f t="shared" si="54"/>
        <v>0</v>
      </c>
      <c r="X83" s="147" t="str">
        <f t="shared" si="55"/>
        <v>GoA</v>
      </c>
      <c r="Y83" s="32">
        <f t="shared" si="56"/>
        <v>0</v>
      </c>
      <c r="Z83" s="31">
        <f t="shared" si="57"/>
        <v>100</v>
      </c>
      <c r="AA83" s="31">
        <f t="shared" si="58"/>
        <v>0</v>
      </c>
      <c r="AB83" s="31">
        <f t="shared" si="59"/>
        <v>0</v>
      </c>
      <c r="AC83" s="31">
        <f t="shared" si="60"/>
        <v>0</v>
      </c>
      <c r="AD83" s="322">
        <f t="shared" si="61"/>
        <v>0</v>
      </c>
      <c r="AE83" s="309">
        <f t="shared" si="62"/>
        <v>0.1119</v>
      </c>
      <c r="AF83" s="309">
        <f t="shared" si="63"/>
        <v>0</v>
      </c>
      <c r="AG83" s="309">
        <f t="shared" si="64"/>
        <v>0</v>
      </c>
      <c r="AH83" s="309">
        <f t="shared" si="65"/>
        <v>0</v>
      </c>
      <c r="AI83" s="322">
        <v>0</v>
      </c>
      <c r="AJ83" s="309">
        <v>0.1119</v>
      </c>
      <c r="AK83" s="309">
        <v>0</v>
      </c>
      <c r="AL83" s="309">
        <v>0</v>
      </c>
      <c r="AM83" s="309">
        <v>0</v>
      </c>
      <c r="AN83" s="140">
        <v>0</v>
      </c>
      <c r="AO83" s="141">
        <v>4.5100000000000001E-2</v>
      </c>
      <c r="AP83" s="141">
        <v>0</v>
      </c>
      <c r="AQ83" s="141">
        <v>0</v>
      </c>
      <c r="AR83" s="141">
        <v>0</v>
      </c>
      <c r="AS83" s="142">
        <v>0</v>
      </c>
      <c r="AT83" s="143">
        <v>9.1348000000000004E-4</v>
      </c>
      <c r="AU83" s="143">
        <v>0</v>
      </c>
      <c r="AV83" s="143">
        <v>0</v>
      </c>
      <c r="AW83" s="143">
        <v>0</v>
      </c>
      <c r="AX83" s="142">
        <v>0</v>
      </c>
      <c r="AY83" s="143">
        <v>3.4973000000000001E-3</v>
      </c>
      <c r="AZ83" s="143">
        <v>0</v>
      </c>
      <c r="BA83" s="143">
        <v>0</v>
      </c>
      <c r="BB83" s="143">
        <v>0</v>
      </c>
      <c r="BD83" s="50"/>
      <c r="BE83" s="179" t="s">
        <v>5354</v>
      </c>
      <c r="BF83" s="179" t="s">
        <v>178</v>
      </c>
      <c r="BG83" s="53" t="s">
        <v>15</v>
      </c>
      <c r="BI83" s="52" t="s">
        <v>2709</v>
      </c>
      <c r="BJ83" s="52" t="s">
        <v>44</v>
      </c>
      <c r="BK83" s="179">
        <v>10</v>
      </c>
      <c r="BL83" s="179" t="s">
        <v>5355</v>
      </c>
      <c r="BM83" s="179" t="s">
        <v>2900</v>
      </c>
      <c r="BN83" s="179" t="s">
        <v>3057</v>
      </c>
      <c r="BO83" s="52" t="s">
        <v>2866</v>
      </c>
      <c r="BP83" s="179" t="s">
        <v>3056</v>
      </c>
      <c r="BQ83" s="52" t="s">
        <v>3055</v>
      </c>
      <c r="BR83" s="179">
        <v>12</v>
      </c>
      <c r="BS83" s="179" t="s">
        <v>2848</v>
      </c>
    </row>
    <row r="84" spans="1:71" ht="18.75" customHeight="1">
      <c r="A84" s="51" t="s">
        <v>179</v>
      </c>
      <c r="B84" s="205" t="s">
        <v>5558</v>
      </c>
      <c r="C84" t="s">
        <v>583</v>
      </c>
      <c r="D84" s="19">
        <v>1579</v>
      </c>
      <c r="E84" s="9" t="s">
        <v>5200</v>
      </c>
      <c r="F84" s="20" t="str">
        <f t="shared" si="37"/>
        <v/>
      </c>
      <c r="G84" s="19">
        <f t="shared" si="38"/>
        <v>1</v>
      </c>
      <c r="H84" s="19">
        <f t="shared" si="39"/>
        <v>1</v>
      </c>
      <c r="I84" s="19">
        <f t="shared" si="40"/>
        <v>1</v>
      </c>
      <c r="J84" s="225">
        <f t="shared" si="41"/>
        <v>3</v>
      </c>
      <c r="K84" s="226" t="str">
        <f t="shared" si="42"/>
        <v>Gq/11</v>
      </c>
      <c r="L84" s="227">
        <f t="shared" si="43"/>
        <v>0</v>
      </c>
      <c r="M84" s="228">
        <f t="shared" si="44"/>
        <v>2</v>
      </c>
      <c r="N84" s="228">
        <f t="shared" si="45"/>
        <v>1</v>
      </c>
      <c r="O84" s="228">
        <f t="shared" si="46"/>
        <v>3</v>
      </c>
      <c r="P84" s="20">
        <f t="shared" si="47"/>
        <v>0</v>
      </c>
      <c r="Q84" s="19">
        <f t="shared" si="48"/>
        <v>34.71072391220639</v>
      </c>
      <c r="R84" s="19">
        <f t="shared" si="49"/>
        <v>100</v>
      </c>
      <c r="S84" s="19">
        <f t="shared" si="50"/>
        <v>28.624374278013093</v>
      </c>
      <c r="T84" s="20">
        <f t="shared" si="51"/>
        <v>0</v>
      </c>
      <c r="U84" s="19">
        <f t="shared" si="52"/>
        <v>1.4422999999999999</v>
      </c>
      <c r="V84" s="19">
        <f t="shared" si="53"/>
        <v>4.1551999999999998</v>
      </c>
      <c r="W84" s="19">
        <f t="shared" si="54"/>
        <v>1.1894</v>
      </c>
      <c r="X84" s="147" t="str">
        <f t="shared" si="55"/>
        <v>Gq</v>
      </c>
      <c r="Y84" s="32">
        <f t="shared" si="56"/>
        <v>0</v>
      </c>
      <c r="Z84" s="31">
        <f t="shared" si="57"/>
        <v>34.71072391220639</v>
      </c>
      <c r="AA84" s="31">
        <f t="shared" si="58"/>
        <v>100</v>
      </c>
      <c r="AB84" s="31">
        <f t="shared" si="59"/>
        <v>21.905082787832114</v>
      </c>
      <c r="AC84" s="31">
        <f t="shared" si="60"/>
        <v>28.624374278013093</v>
      </c>
      <c r="AD84" s="322">
        <f t="shared" si="61"/>
        <v>0</v>
      </c>
      <c r="AE84" s="309">
        <f t="shared" si="62"/>
        <v>1.4422999999999999</v>
      </c>
      <c r="AF84" s="309">
        <f t="shared" si="63"/>
        <v>4.1551999999999998</v>
      </c>
      <c r="AG84" s="309">
        <f t="shared" si="64"/>
        <v>0.91020000000000001</v>
      </c>
      <c r="AH84" s="309">
        <f t="shared" si="65"/>
        <v>1.1894</v>
      </c>
      <c r="AI84" s="322">
        <v>0</v>
      </c>
      <c r="AJ84" s="309">
        <v>1.4422999999999999</v>
      </c>
      <c r="AK84" s="309">
        <v>4.1551999999999998</v>
      </c>
      <c r="AL84" s="309">
        <v>0.91020000000000001</v>
      </c>
      <c r="AM84" s="309">
        <v>1.1894</v>
      </c>
      <c r="AN84" s="140">
        <v>0</v>
      </c>
      <c r="AO84" s="141">
        <v>0.12</v>
      </c>
      <c r="AP84" s="141">
        <v>6.3E-2</v>
      </c>
      <c r="AQ84" s="141">
        <v>8.2900000000000001E-2</v>
      </c>
      <c r="AR84" s="141">
        <v>8.5800000000000001E-2</v>
      </c>
      <c r="AS84" s="142">
        <v>0</v>
      </c>
      <c r="AT84" s="143">
        <v>3.6400000000000002E-2</v>
      </c>
      <c r="AU84" s="143">
        <v>0.46310000000000001</v>
      </c>
      <c r="AV84" s="143">
        <v>6.2899999999999998E-2</v>
      </c>
      <c r="AW84" s="143">
        <v>0.16869999999999999</v>
      </c>
      <c r="AX84" s="142">
        <v>0</v>
      </c>
      <c r="AY84" s="143">
        <v>7.0196E-3</v>
      </c>
      <c r="AZ84" s="143">
        <v>3.3473000000000001E-3</v>
      </c>
      <c r="BA84" s="143">
        <v>4.0010000000000002E-3</v>
      </c>
      <c r="BB84" s="143">
        <v>5.4044000000000002E-3</v>
      </c>
      <c r="BD84" s="50"/>
      <c r="BE84" s="179" t="s">
        <v>5356</v>
      </c>
      <c r="BF84" s="179" t="s">
        <v>3040</v>
      </c>
      <c r="BG84" s="53" t="s">
        <v>15</v>
      </c>
      <c r="BI84" s="52" t="s">
        <v>180</v>
      </c>
      <c r="BJ84" s="52" t="s">
        <v>44</v>
      </c>
      <c r="BK84" s="179">
        <v>100</v>
      </c>
      <c r="BL84" s="179" t="s">
        <v>5357</v>
      </c>
      <c r="BM84" s="179" t="s">
        <v>3039</v>
      </c>
      <c r="BN84" s="179" t="s">
        <v>3038</v>
      </c>
      <c r="BO84" s="52" t="s">
        <v>2866</v>
      </c>
      <c r="BP84" s="179" t="s">
        <v>3037</v>
      </c>
      <c r="BQ84" s="52" t="s">
        <v>3036</v>
      </c>
      <c r="BR84" s="179">
        <v>2</v>
      </c>
      <c r="BS84" s="179" t="s">
        <v>2848</v>
      </c>
    </row>
    <row r="85" spans="1:71" ht="18.75" customHeight="1">
      <c r="A85" s="51" t="s">
        <v>2938</v>
      </c>
      <c r="B85" s="205" t="s">
        <v>5558</v>
      </c>
      <c r="C85" t="s">
        <v>583</v>
      </c>
      <c r="D85" s="19">
        <v>2270</v>
      </c>
      <c r="E85" s="9" t="s">
        <v>5200</v>
      </c>
      <c r="F85" s="20">
        <f t="shared" si="37"/>
        <v>1</v>
      </c>
      <c r="G85" s="19" t="str">
        <f t="shared" si="38"/>
        <v/>
      </c>
      <c r="H85" s="19" t="str">
        <f t="shared" si="39"/>
        <v/>
      </c>
      <c r="I85" s="19" t="str">
        <f t="shared" si="40"/>
        <v/>
      </c>
      <c r="J85" s="225">
        <f t="shared" si="41"/>
        <v>1</v>
      </c>
      <c r="K85" s="226" t="str">
        <f t="shared" si="42"/>
        <v>Gs</v>
      </c>
      <c r="L85" s="227">
        <f t="shared" si="43"/>
        <v>1</v>
      </c>
      <c r="M85" s="228">
        <f t="shared" si="44"/>
        <v>0</v>
      </c>
      <c r="N85" s="228">
        <f t="shared" si="45"/>
        <v>0</v>
      </c>
      <c r="O85" s="228">
        <f t="shared" si="46"/>
        <v>0</v>
      </c>
      <c r="P85" s="20">
        <f t="shared" si="47"/>
        <v>100</v>
      </c>
      <c r="Q85" s="19">
        <f t="shared" si="48"/>
        <v>0</v>
      </c>
      <c r="R85" s="19">
        <f t="shared" si="49"/>
        <v>0</v>
      </c>
      <c r="S85" s="19">
        <f t="shared" si="50"/>
        <v>0</v>
      </c>
      <c r="T85" s="20">
        <f t="shared" si="51"/>
        <v>2.7E-2</v>
      </c>
      <c r="U85" s="19">
        <f t="shared" si="52"/>
        <v>0</v>
      </c>
      <c r="V85" s="19">
        <f t="shared" si="53"/>
        <v>0</v>
      </c>
      <c r="W85" s="19">
        <f t="shared" si="54"/>
        <v>0</v>
      </c>
      <c r="X85" s="147" t="str">
        <f t="shared" si="55"/>
        <v>GsL</v>
      </c>
      <c r="Y85" s="32">
        <f t="shared" si="56"/>
        <v>100</v>
      </c>
      <c r="Z85" s="31">
        <f t="shared" si="57"/>
        <v>0</v>
      </c>
      <c r="AA85" s="31">
        <f t="shared" si="58"/>
        <v>0</v>
      </c>
      <c r="AB85" s="31">
        <f t="shared" si="59"/>
        <v>0</v>
      </c>
      <c r="AC85" s="31">
        <f t="shared" si="60"/>
        <v>0</v>
      </c>
      <c r="AD85" s="322">
        <f t="shared" si="61"/>
        <v>2.7E-2</v>
      </c>
      <c r="AE85" s="309">
        <f t="shared" si="62"/>
        <v>0</v>
      </c>
      <c r="AF85" s="309">
        <f t="shared" si="63"/>
        <v>0</v>
      </c>
      <c r="AG85" s="309">
        <f t="shared" si="64"/>
        <v>0</v>
      </c>
      <c r="AH85" s="309">
        <f t="shared" si="65"/>
        <v>0</v>
      </c>
      <c r="AI85" s="322">
        <v>2.7E-2</v>
      </c>
      <c r="AJ85" s="309">
        <v>0</v>
      </c>
      <c r="AK85" s="309">
        <v>0</v>
      </c>
      <c r="AL85" s="309">
        <v>0</v>
      </c>
      <c r="AM85" s="309">
        <v>0</v>
      </c>
      <c r="AN85" s="140">
        <v>2.6700000000000002E-2</v>
      </c>
      <c r="AO85" s="141">
        <v>0</v>
      </c>
      <c r="AP85" s="141">
        <v>0</v>
      </c>
      <c r="AQ85" s="141">
        <v>0</v>
      </c>
      <c r="AR85" s="141">
        <v>0</v>
      </c>
      <c r="AS85" s="142">
        <v>3.0000000000000001E-3</v>
      </c>
      <c r="AT85" s="143">
        <v>0</v>
      </c>
      <c r="AU85" s="143">
        <v>0</v>
      </c>
      <c r="AV85" s="143">
        <v>0</v>
      </c>
      <c r="AW85" s="143">
        <v>0</v>
      </c>
      <c r="AX85" s="142">
        <v>3.0000000000000001E-3</v>
      </c>
      <c r="AY85" s="143">
        <v>0</v>
      </c>
      <c r="AZ85" s="143">
        <v>0</v>
      </c>
      <c r="BA85" s="143">
        <v>0</v>
      </c>
      <c r="BB85" s="143">
        <v>0</v>
      </c>
      <c r="BD85" s="50"/>
      <c r="BE85" s="179" t="s">
        <v>1233</v>
      </c>
      <c r="BF85" s="179" t="s">
        <v>2938</v>
      </c>
      <c r="BG85" s="53" t="s">
        <v>2892</v>
      </c>
      <c r="BI85" s="52" t="s">
        <v>1233</v>
      </c>
      <c r="BJ85" s="52" t="s">
        <v>44</v>
      </c>
      <c r="BK85" s="179">
        <v>10</v>
      </c>
      <c r="BL85" s="179" t="s">
        <v>2861</v>
      </c>
      <c r="BM85" s="179" t="s">
        <v>2937</v>
      </c>
      <c r="BN85" s="179" t="s">
        <v>2936</v>
      </c>
      <c r="BO85" s="52" t="s">
        <v>2866</v>
      </c>
      <c r="BP85" s="179" t="s">
        <v>2935</v>
      </c>
      <c r="BQ85" s="52" t="s">
        <v>2934</v>
      </c>
      <c r="BR85" s="179">
        <v>2</v>
      </c>
      <c r="BS85" s="179" t="s">
        <v>2848</v>
      </c>
    </row>
    <row r="86" spans="1:71" ht="18.75" customHeight="1">
      <c r="A86" s="51" t="s">
        <v>58</v>
      </c>
      <c r="B86" s="205" t="s">
        <v>5558</v>
      </c>
      <c r="C86" t="s">
        <v>583</v>
      </c>
      <c r="D86" s="19">
        <v>2364</v>
      </c>
      <c r="E86" s="9" t="s">
        <v>5200</v>
      </c>
      <c r="F86" s="20" t="str">
        <f t="shared" si="37"/>
        <v/>
      </c>
      <c r="G86" s="19">
        <f t="shared" si="38"/>
        <v>1</v>
      </c>
      <c r="H86" s="19" t="str">
        <f t="shared" si="39"/>
        <v/>
      </c>
      <c r="I86" s="19" t="str">
        <f t="shared" si="40"/>
        <v/>
      </c>
      <c r="J86" s="225">
        <f t="shared" si="41"/>
        <v>1</v>
      </c>
      <c r="K86" s="226" t="str">
        <f t="shared" si="42"/>
        <v>Gi/o</v>
      </c>
      <c r="L86" s="227">
        <f t="shared" si="43"/>
        <v>0</v>
      </c>
      <c r="M86" s="228">
        <f t="shared" si="44"/>
        <v>1</v>
      </c>
      <c r="N86" s="228">
        <f t="shared" si="45"/>
        <v>0</v>
      </c>
      <c r="O86" s="228">
        <f t="shared" si="46"/>
        <v>0</v>
      </c>
      <c r="P86" s="20">
        <f t="shared" si="47"/>
        <v>0</v>
      </c>
      <c r="Q86" s="19">
        <f t="shared" si="48"/>
        <v>100</v>
      </c>
      <c r="R86" s="19">
        <f t="shared" si="49"/>
        <v>0</v>
      </c>
      <c r="S86" s="19">
        <f t="shared" si="50"/>
        <v>0</v>
      </c>
      <c r="T86" s="20">
        <f t="shared" si="51"/>
        <v>0</v>
      </c>
      <c r="U86" s="19">
        <f t="shared" si="52"/>
        <v>7.1099999999999997E-2</v>
      </c>
      <c r="V86" s="19">
        <f t="shared" si="53"/>
        <v>0</v>
      </c>
      <c r="W86" s="19">
        <f t="shared" si="54"/>
        <v>0</v>
      </c>
      <c r="X86" s="147" t="str">
        <f t="shared" si="55"/>
        <v>GoA</v>
      </c>
      <c r="Y86" s="32">
        <f t="shared" si="56"/>
        <v>0</v>
      </c>
      <c r="Z86" s="31">
        <f t="shared" si="57"/>
        <v>100</v>
      </c>
      <c r="AA86" s="31">
        <f t="shared" si="58"/>
        <v>0</v>
      </c>
      <c r="AB86" s="31">
        <f t="shared" si="59"/>
        <v>0</v>
      </c>
      <c r="AC86" s="31">
        <f t="shared" si="60"/>
        <v>0</v>
      </c>
      <c r="AD86" s="322">
        <f t="shared" si="61"/>
        <v>0</v>
      </c>
      <c r="AE86" s="309">
        <f t="shared" si="62"/>
        <v>7.1099999999999997E-2</v>
      </c>
      <c r="AF86" s="309">
        <f t="shared" si="63"/>
        <v>0</v>
      </c>
      <c r="AG86" s="309">
        <f t="shared" si="64"/>
        <v>0</v>
      </c>
      <c r="AH86" s="309">
        <f t="shared" si="65"/>
        <v>0</v>
      </c>
      <c r="AI86" s="322">
        <v>0</v>
      </c>
      <c r="AJ86" s="309">
        <v>7.1099999999999997E-2</v>
      </c>
      <c r="AK86" s="309">
        <v>0</v>
      </c>
      <c r="AL86" s="309">
        <v>0</v>
      </c>
      <c r="AM86" s="309">
        <v>0</v>
      </c>
      <c r="AN86" s="140">
        <v>0</v>
      </c>
      <c r="AO86" s="141">
        <v>4.1500000000000002E-2</v>
      </c>
      <c r="AP86" s="141">
        <v>0</v>
      </c>
      <c r="AQ86" s="141">
        <v>0</v>
      </c>
      <c r="AR86" s="141">
        <v>0</v>
      </c>
      <c r="AS86" s="142">
        <v>0</v>
      </c>
      <c r="AT86" s="143">
        <v>1.03E-2</v>
      </c>
      <c r="AU86" s="143">
        <v>0</v>
      </c>
      <c r="AV86" s="143">
        <v>0</v>
      </c>
      <c r="AW86" s="143">
        <v>0</v>
      </c>
      <c r="AX86" s="142">
        <v>0</v>
      </c>
      <c r="AY86" s="143">
        <v>1.18E-2</v>
      </c>
      <c r="AZ86" s="143">
        <v>0</v>
      </c>
      <c r="BA86" s="143">
        <v>0</v>
      </c>
      <c r="BB86" s="143">
        <v>0</v>
      </c>
      <c r="BD86" s="50"/>
      <c r="BE86" s="179" t="s">
        <v>5358</v>
      </c>
      <c r="BF86" s="179" t="s">
        <v>58</v>
      </c>
      <c r="BG86" s="53" t="s">
        <v>15</v>
      </c>
      <c r="BI86" s="52" t="s">
        <v>2965</v>
      </c>
      <c r="BJ86" s="52" t="s">
        <v>2964</v>
      </c>
      <c r="BK86" s="179">
        <v>100</v>
      </c>
      <c r="BL86" s="179" t="s">
        <v>5359</v>
      </c>
      <c r="BM86" s="179" t="s">
        <v>2851</v>
      </c>
      <c r="BN86" s="179">
        <v>1017</v>
      </c>
      <c r="BO86" s="52" t="s">
        <v>2866</v>
      </c>
      <c r="BP86" s="179" t="s">
        <v>2963</v>
      </c>
      <c r="BQ86" s="52" t="s">
        <v>2962</v>
      </c>
      <c r="BR86" s="179">
        <v>2</v>
      </c>
      <c r="BS86" s="179" t="s">
        <v>2848</v>
      </c>
    </row>
    <row r="87" spans="1:71" ht="18.75" customHeight="1">
      <c r="A87" s="51" t="s">
        <v>45</v>
      </c>
      <c r="B87" s="205" t="s">
        <v>5558</v>
      </c>
      <c r="C87" t="s">
        <v>583</v>
      </c>
      <c r="D87" s="19">
        <v>3556</v>
      </c>
      <c r="E87" s="9" t="s">
        <v>5200</v>
      </c>
      <c r="F87" s="20" t="str">
        <f t="shared" si="37"/>
        <v/>
      </c>
      <c r="G87" s="19">
        <f t="shared" si="38"/>
        <v>1</v>
      </c>
      <c r="H87" s="19">
        <f t="shared" si="39"/>
        <v>1</v>
      </c>
      <c r="I87" s="19" t="str">
        <f t="shared" si="40"/>
        <v/>
      </c>
      <c r="J87" s="225">
        <f t="shared" si="41"/>
        <v>2</v>
      </c>
      <c r="K87" s="226" t="str">
        <f t="shared" si="42"/>
        <v>Gi/o</v>
      </c>
      <c r="L87" s="227">
        <f t="shared" si="43"/>
        <v>0</v>
      </c>
      <c r="M87" s="228">
        <f t="shared" si="44"/>
        <v>1</v>
      </c>
      <c r="N87" s="228">
        <f t="shared" si="45"/>
        <v>2</v>
      </c>
      <c r="O87" s="228">
        <f t="shared" si="46"/>
        <v>0</v>
      </c>
      <c r="P87" s="20">
        <f t="shared" si="47"/>
        <v>0</v>
      </c>
      <c r="Q87" s="19">
        <f t="shared" si="48"/>
        <v>100</v>
      </c>
      <c r="R87" s="19">
        <f t="shared" si="49"/>
        <v>0.3392211619181415</v>
      </c>
      <c r="S87" s="19">
        <f t="shared" si="50"/>
        <v>0</v>
      </c>
      <c r="T87" s="20">
        <f t="shared" si="51"/>
        <v>0</v>
      </c>
      <c r="U87" s="19">
        <f t="shared" si="52"/>
        <v>5.8369</v>
      </c>
      <c r="V87" s="19">
        <f t="shared" si="53"/>
        <v>1.9800000000000002E-2</v>
      </c>
      <c r="W87" s="19">
        <f t="shared" si="54"/>
        <v>0</v>
      </c>
      <c r="X87" s="147" t="str">
        <f t="shared" si="55"/>
        <v>GoA</v>
      </c>
      <c r="Y87" s="32">
        <f t="shared" si="56"/>
        <v>0</v>
      </c>
      <c r="Z87" s="31">
        <f t="shared" si="57"/>
        <v>100</v>
      </c>
      <c r="AA87" s="31">
        <f t="shared" si="58"/>
        <v>0</v>
      </c>
      <c r="AB87" s="31">
        <f t="shared" si="59"/>
        <v>0.3392211619181415</v>
      </c>
      <c r="AC87" s="31">
        <f t="shared" si="60"/>
        <v>0</v>
      </c>
      <c r="AD87" s="322">
        <f t="shared" si="61"/>
        <v>0</v>
      </c>
      <c r="AE87" s="309">
        <f t="shared" si="62"/>
        <v>5.8369</v>
      </c>
      <c r="AF87" s="309">
        <f t="shared" si="63"/>
        <v>0</v>
      </c>
      <c r="AG87" s="309">
        <f t="shared" si="64"/>
        <v>1.9800000000000002E-2</v>
      </c>
      <c r="AH87" s="309">
        <f t="shared" si="65"/>
        <v>0</v>
      </c>
      <c r="AI87" s="322">
        <v>0</v>
      </c>
      <c r="AJ87" s="309">
        <v>5.8369</v>
      </c>
      <c r="AK87" s="309">
        <v>0</v>
      </c>
      <c r="AL87" s="309">
        <v>1.9800000000000002E-2</v>
      </c>
      <c r="AM87" s="309">
        <v>0</v>
      </c>
      <c r="AN87" s="140">
        <v>0</v>
      </c>
      <c r="AO87" s="141">
        <v>6.5699999999999995E-2</v>
      </c>
      <c r="AP87" s="141">
        <v>0</v>
      </c>
      <c r="AQ87" s="141">
        <v>5.6667000000000002E-3</v>
      </c>
      <c r="AR87" s="141">
        <v>0</v>
      </c>
      <c r="AS87" s="142">
        <v>0</v>
      </c>
      <c r="AT87" s="143">
        <v>0.28770000000000001</v>
      </c>
      <c r="AU87" s="143">
        <v>0</v>
      </c>
      <c r="AV87" s="143">
        <v>1.0269000000000001E-3</v>
      </c>
      <c r="AW87" s="143">
        <v>0</v>
      </c>
      <c r="AX87" s="142">
        <v>0</v>
      </c>
      <c r="AY87" s="143">
        <v>2.8990000000000001E-3</v>
      </c>
      <c r="AZ87" s="143">
        <v>0</v>
      </c>
      <c r="BA87" s="143">
        <v>7.0553E-4</v>
      </c>
      <c r="BB87" s="143">
        <v>0</v>
      </c>
      <c r="BD87" s="50"/>
      <c r="BE87" s="179" t="s">
        <v>3092</v>
      </c>
      <c r="BF87" s="179" t="s">
        <v>46</v>
      </c>
      <c r="BG87" s="53" t="s">
        <v>15</v>
      </c>
      <c r="BI87" s="52" t="s">
        <v>3091</v>
      </c>
      <c r="BJ87" s="52" t="s">
        <v>44</v>
      </c>
      <c r="BK87" s="179">
        <v>10</v>
      </c>
      <c r="BL87" s="179" t="s">
        <v>5360</v>
      </c>
      <c r="BM87" s="179" t="s">
        <v>2851</v>
      </c>
      <c r="BN87" s="179">
        <v>3007</v>
      </c>
      <c r="BO87" s="52" t="s">
        <v>2866</v>
      </c>
      <c r="BP87" s="179" t="s">
        <v>3090</v>
      </c>
      <c r="BQ87" s="52" t="s">
        <v>3089</v>
      </c>
      <c r="BR87" s="179">
        <v>12</v>
      </c>
      <c r="BS87" s="179" t="s">
        <v>2848</v>
      </c>
    </row>
    <row r="88" spans="1:71" ht="18.75" customHeight="1">
      <c r="A88" s="51" t="s">
        <v>2926</v>
      </c>
      <c r="B88" s="205" t="s">
        <v>5558</v>
      </c>
      <c r="C88" t="s">
        <v>583</v>
      </c>
      <c r="D88" s="19">
        <v>3643</v>
      </c>
      <c r="E88" s="9" t="s">
        <v>5200</v>
      </c>
      <c r="F88" s="20">
        <f t="shared" si="37"/>
        <v>1</v>
      </c>
      <c r="G88" s="19">
        <f t="shared" si="38"/>
        <v>1</v>
      </c>
      <c r="H88" s="19">
        <f t="shared" si="39"/>
        <v>1</v>
      </c>
      <c r="I88" s="19" t="str">
        <f t="shared" si="40"/>
        <v/>
      </c>
      <c r="J88" s="225">
        <f t="shared" si="41"/>
        <v>3</v>
      </c>
      <c r="K88" s="226" t="str">
        <f t="shared" si="42"/>
        <v>Gs</v>
      </c>
      <c r="L88" s="227">
        <f t="shared" si="43"/>
        <v>1</v>
      </c>
      <c r="M88" s="228">
        <f t="shared" si="44"/>
        <v>2</v>
      </c>
      <c r="N88" s="228">
        <f t="shared" si="45"/>
        <v>3</v>
      </c>
      <c r="O88" s="228">
        <f t="shared" si="46"/>
        <v>0</v>
      </c>
      <c r="P88" s="20">
        <f t="shared" si="47"/>
        <v>100</v>
      </c>
      <c r="Q88" s="19">
        <f t="shared" si="48"/>
        <v>6.6213800500536282</v>
      </c>
      <c r="R88" s="19">
        <f t="shared" si="49"/>
        <v>6.3067572398998921</v>
      </c>
      <c r="S88" s="19">
        <f t="shared" si="50"/>
        <v>0</v>
      </c>
      <c r="T88" s="20">
        <f t="shared" si="51"/>
        <v>2.7970000000000002</v>
      </c>
      <c r="U88" s="19">
        <f t="shared" si="52"/>
        <v>0.1852</v>
      </c>
      <c r="V88" s="19">
        <f t="shared" si="53"/>
        <v>0.1764</v>
      </c>
      <c r="W88" s="19">
        <f t="shared" si="54"/>
        <v>0</v>
      </c>
      <c r="X88" s="147" t="str">
        <f t="shared" si="55"/>
        <v>GsL</v>
      </c>
      <c r="Y88" s="32">
        <f t="shared" si="56"/>
        <v>100</v>
      </c>
      <c r="Z88" s="31">
        <f t="shared" si="57"/>
        <v>6.6213800500536282</v>
      </c>
      <c r="AA88" s="31">
        <f t="shared" si="58"/>
        <v>5.0446907400786554</v>
      </c>
      <c r="AB88" s="31">
        <f t="shared" si="59"/>
        <v>6.3067572398998921</v>
      </c>
      <c r="AC88" s="31">
        <f t="shared" si="60"/>
        <v>0</v>
      </c>
      <c r="AD88" s="322">
        <f t="shared" si="61"/>
        <v>2.7970000000000002</v>
      </c>
      <c r="AE88" s="309">
        <f t="shared" si="62"/>
        <v>0.1852</v>
      </c>
      <c r="AF88" s="309">
        <f t="shared" si="63"/>
        <v>0.1411</v>
      </c>
      <c r="AG88" s="309">
        <f t="shared" si="64"/>
        <v>0.1764</v>
      </c>
      <c r="AH88" s="309">
        <f t="shared" si="65"/>
        <v>0</v>
      </c>
      <c r="AI88" s="322">
        <v>2.7970000000000002</v>
      </c>
      <c r="AJ88" s="309">
        <v>0.1852</v>
      </c>
      <c r="AK88" s="309">
        <v>0.1411</v>
      </c>
      <c r="AL88" s="309">
        <v>0.1764</v>
      </c>
      <c r="AM88" s="309">
        <v>0</v>
      </c>
      <c r="AN88" s="140">
        <v>5.2999999999999999E-2</v>
      </c>
      <c r="AO88" s="141">
        <v>5.16E-2</v>
      </c>
      <c r="AP88" s="141">
        <v>1.9900000000000001E-2</v>
      </c>
      <c r="AQ88" s="141">
        <v>7.4899999999999994E-2</v>
      </c>
      <c r="AR88" s="141">
        <v>0</v>
      </c>
      <c r="AS88" s="142">
        <v>0.1109</v>
      </c>
      <c r="AT88" s="143">
        <v>1.04E-2</v>
      </c>
      <c r="AU88" s="143">
        <v>3.8442000000000001E-4</v>
      </c>
      <c r="AV88" s="143">
        <v>8.2351999999999998E-3</v>
      </c>
      <c r="AW88" s="143">
        <v>0</v>
      </c>
      <c r="AX88" s="142">
        <v>1.4048000000000001E-3</v>
      </c>
      <c r="AY88" s="143">
        <v>3.0931999999999999E-3</v>
      </c>
      <c r="AZ88" s="143">
        <v>2.8203999999999998E-3</v>
      </c>
      <c r="BA88" s="143">
        <v>2.5247999999999998E-3</v>
      </c>
      <c r="BB88" s="143">
        <v>0</v>
      </c>
      <c r="BD88" s="50"/>
      <c r="BE88" s="179" t="s">
        <v>2926</v>
      </c>
      <c r="BF88" s="179" t="s">
        <v>2926</v>
      </c>
      <c r="BG88" s="53" t="s">
        <v>2892</v>
      </c>
      <c r="BI88" s="52" t="s">
        <v>2925</v>
      </c>
      <c r="BJ88" s="52" t="s">
        <v>44</v>
      </c>
      <c r="BK88" s="179">
        <v>10</v>
      </c>
      <c r="BL88" s="179" t="s">
        <v>5361</v>
      </c>
      <c r="BM88" s="179" t="s">
        <v>2916</v>
      </c>
      <c r="BN88" s="179">
        <v>4031250</v>
      </c>
      <c r="BO88" s="52" t="s">
        <v>2866</v>
      </c>
      <c r="BP88" s="179" t="s">
        <v>2924</v>
      </c>
      <c r="BQ88" s="52" t="s">
        <v>2923</v>
      </c>
      <c r="BR88" s="179">
        <v>1</v>
      </c>
      <c r="BS88" s="179" t="s">
        <v>2848</v>
      </c>
    </row>
    <row r="89" spans="1:71" ht="18.75" customHeight="1">
      <c r="A89" s="51" t="s">
        <v>3097</v>
      </c>
      <c r="B89" s="205" t="s">
        <v>5558</v>
      </c>
      <c r="C89" t="s">
        <v>583</v>
      </c>
      <c r="D89" s="19">
        <v>631</v>
      </c>
      <c r="E89" s="9" t="s">
        <v>5200</v>
      </c>
      <c r="F89" s="20" t="str">
        <f t="shared" si="37"/>
        <v/>
      </c>
      <c r="G89" s="19" t="str">
        <f t="shared" si="38"/>
        <v/>
      </c>
      <c r="H89" s="19">
        <f t="shared" si="39"/>
        <v>1</v>
      </c>
      <c r="I89" s="19" t="str">
        <f t="shared" si="40"/>
        <v/>
      </c>
      <c r="J89" s="225">
        <f t="shared" si="41"/>
        <v>1</v>
      </c>
      <c r="K89" s="226" t="str">
        <f t="shared" si="42"/>
        <v>Gq/11</v>
      </c>
      <c r="L89" s="227">
        <f t="shared" si="43"/>
        <v>0</v>
      </c>
      <c r="M89" s="228">
        <f t="shared" si="44"/>
        <v>0</v>
      </c>
      <c r="N89" s="228">
        <f t="shared" si="45"/>
        <v>1</v>
      </c>
      <c r="O89" s="228">
        <f t="shared" si="46"/>
        <v>0</v>
      </c>
      <c r="P89" s="20">
        <f t="shared" si="47"/>
        <v>0</v>
      </c>
      <c r="Q89" s="19">
        <f t="shared" si="48"/>
        <v>0</v>
      </c>
      <c r="R89" s="19">
        <f t="shared" si="49"/>
        <v>100</v>
      </c>
      <c r="S89" s="19">
        <f t="shared" si="50"/>
        <v>0</v>
      </c>
      <c r="T89" s="20">
        <f t="shared" si="51"/>
        <v>0</v>
      </c>
      <c r="U89" s="19">
        <f t="shared" si="52"/>
        <v>0</v>
      </c>
      <c r="V89" s="19">
        <f t="shared" si="53"/>
        <v>0.1444</v>
      </c>
      <c r="W89" s="19">
        <f t="shared" si="54"/>
        <v>0</v>
      </c>
      <c r="X89" s="147" t="str">
        <f t="shared" si="55"/>
        <v>Gq</v>
      </c>
      <c r="Y89" s="32">
        <f t="shared" si="56"/>
        <v>0</v>
      </c>
      <c r="Z89" s="31">
        <f t="shared" si="57"/>
        <v>0</v>
      </c>
      <c r="AA89" s="31">
        <f t="shared" si="58"/>
        <v>100</v>
      </c>
      <c r="AB89" s="31">
        <f t="shared" si="59"/>
        <v>0</v>
      </c>
      <c r="AC89" s="31">
        <f t="shared" si="60"/>
        <v>0</v>
      </c>
      <c r="AD89" s="322">
        <f t="shared" si="61"/>
        <v>0</v>
      </c>
      <c r="AE89" s="309">
        <f t="shared" si="62"/>
        <v>0</v>
      </c>
      <c r="AF89" s="309">
        <f t="shared" si="63"/>
        <v>0.1444</v>
      </c>
      <c r="AG89" s="309">
        <f t="shared" si="64"/>
        <v>0</v>
      </c>
      <c r="AH89" s="309">
        <f t="shared" si="65"/>
        <v>0</v>
      </c>
      <c r="AI89" s="322">
        <v>0</v>
      </c>
      <c r="AJ89" s="309">
        <v>0</v>
      </c>
      <c r="AK89" s="309">
        <v>0.1444</v>
      </c>
      <c r="AL89" s="309">
        <v>0</v>
      </c>
      <c r="AM89" s="309">
        <v>0</v>
      </c>
      <c r="AN89" s="140">
        <v>0</v>
      </c>
      <c r="AO89" s="141">
        <v>0</v>
      </c>
      <c r="AP89" s="141">
        <v>1.29E-2</v>
      </c>
      <c r="AQ89" s="141">
        <v>0</v>
      </c>
      <c r="AR89" s="141">
        <v>0</v>
      </c>
      <c r="AS89" s="142">
        <v>0</v>
      </c>
      <c r="AT89" s="143">
        <v>0</v>
      </c>
      <c r="AU89" s="143">
        <v>1.84E-2</v>
      </c>
      <c r="AV89" s="143">
        <v>0</v>
      </c>
      <c r="AW89" s="143">
        <v>0</v>
      </c>
      <c r="AX89" s="142">
        <v>0</v>
      </c>
      <c r="AY89" s="143">
        <v>0</v>
      </c>
      <c r="AZ89" s="143">
        <v>2.091E-3</v>
      </c>
      <c r="BA89" s="143">
        <v>0</v>
      </c>
      <c r="BB89" s="143">
        <v>0</v>
      </c>
      <c r="BD89" s="50"/>
      <c r="BE89" s="179" t="s">
        <v>5362</v>
      </c>
      <c r="BF89" s="179" t="s">
        <v>3097</v>
      </c>
      <c r="BG89" s="53" t="s">
        <v>15</v>
      </c>
      <c r="BI89" s="52" t="s">
        <v>3096</v>
      </c>
      <c r="BJ89" s="52" t="s">
        <v>44</v>
      </c>
      <c r="BK89" s="180">
        <v>10</v>
      </c>
      <c r="BL89" s="180" t="s">
        <v>5363</v>
      </c>
      <c r="BM89" s="180" t="s">
        <v>2890</v>
      </c>
      <c r="BN89" s="180" t="s">
        <v>3095</v>
      </c>
      <c r="BO89" s="52" t="s">
        <v>2866</v>
      </c>
      <c r="BP89" s="179" t="s">
        <v>3094</v>
      </c>
      <c r="BQ89" s="52" t="s">
        <v>3093</v>
      </c>
      <c r="BR89" s="179">
        <v>12</v>
      </c>
      <c r="BS89" s="179" t="s">
        <v>2848</v>
      </c>
    </row>
    <row r="90" spans="1:71" ht="18.75" customHeight="1">
      <c r="A90" s="88" t="s">
        <v>34</v>
      </c>
      <c r="B90" s="205" t="s">
        <v>5558</v>
      </c>
      <c r="C90" t="s">
        <v>583</v>
      </c>
      <c r="D90" s="19">
        <v>509</v>
      </c>
      <c r="E90" s="9" t="s">
        <v>5200</v>
      </c>
      <c r="F90" s="20">
        <f t="shared" si="37"/>
        <v>1</v>
      </c>
      <c r="G90" s="19" t="str">
        <f t="shared" si="38"/>
        <v/>
      </c>
      <c r="H90" s="19">
        <f t="shared" si="39"/>
        <v>1</v>
      </c>
      <c r="I90" s="19" t="str">
        <f t="shared" si="40"/>
        <v/>
      </c>
      <c r="J90" s="225">
        <f t="shared" si="41"/>
        <v>2</v>
      </c>
      <c r="K90" s="226" t="str">
        <f t="shared" si="42"/>
        <v>Gq/11</v>
      </c>
      <c r="L90" s="227">
        <f t="shared" si="43"/>
        <v>2</v>
      </c>
      <c r="M90" s="228">
        <f t="shared" si="44"/>
        <v>0</v>
      </c>
      <c r="N90" s="228">
        <f t="shared" si="45"/>
        <v>1</v>
      </c>
      <c r="O90" s="228">
        <f t="shared" si="46"/>
        <v>0</v>
      </c>
      <c r="P90" s="20">
        <f t="shared" si="47"/>
        <v>20.80411407199626</v>
      </c>
      <c r="Q90" s="19">
        <f t="shared" si="48"/>
        <v>0</v>
      </c>
      <c r="R90" s="19">
        <f t="shared" si="49"/>
        <v>100</v>
      </c>
      <c r="S90" s="19">
        <f t="shared" si="50"/>
        <v>0</v>
      </c>
      <c r="T90" s="20">
        <f t="shared" si="51"/>
        <v>0.26700000000000002</v>
      </c>
      <c r="U90" s="19">
        <f t="shared" si="52"/>
        <v>0</v>
      </c>
      <c r="V90" s="19">
        <f t="shared" si="53"/>
        <v>1.2834000000000001</v>
      </c>
      <c r="W90" s="19">
        <f t="shared" si="54"/>
        <v>0</v>
      </c>
      <c r="X90" s="147" t="str">
        <f t="shared" si="55"/>
        <v>Gq</v>
      </c>
      <c r="Y90" s="32">
        <f t="shared" si="56"/>
        <v>20.80411407199626</v>
      </c>
      <c r="Z90" s="31">
        <f t="shared" si="57"/>
        <v>0</v>
      </c>
      <c r="AA90" s="31">
        <f t="shared" si="58"/>
        <v>100</v>
      </c>
      <c r="AB90" s="31">
        <f t="shared" si="59"/>
        <v>28.962131837307147</v>
      </c>
      <c r="AC90" s="31">
        <f t="shared" si="60"/>
        <v>0</v>
      </c>
      <c r="AD90" s="322">
        <f t="shared" si="61"/>
        <v>0.26700000000000002</v>
      </c>
      <c r="AE90" s="309">
        <f t="shared" si="62"/>
        <v>0</v>
      </c>
      <c r="AF90" s="309">
        <f t="shared" si="63"/>
        <v>1.2834000000000001</v>
      </c>
      <c r="AG90" s="309">
        <f t="shared" si="64"/>
        <v>0.37169999999999997</v>
      </c>
      <c r="AH90" s="309">
        <f t="shared" si="65"/>
        <v>0</v>
      </c>
      <c r="AI90" s="322">
        <v>0.26700000000000002</v>
      </c>
      <c r="AJ90" s="309">
        <v>0</v>
      </c>
      <c r="AK90" s="309">
        <v>1.2834000000000001</v>
      </c>
      <c r="AL90" s="309">
        <v>0.37169999999999997</v>
      </c>
      <c r="AM90" s="309">
        <v>0</v>
      </c>
      <c r="AN90" s="140">
        <v>8.6923E-3</v>
      </c>
      <c r="AO90" s="141">
        <v>0</v>
      </c>
      <c r="AP90" s="141">
        <v>6.8000000000000005E-2</v>
      </c>
      <c r="AQ90" s="141">
        <v>7.5300000000000006E-2</v>
      </c>
      <c r="AR90" s="141">
        <v>0</v>
      </c>
      <c r="AS90" s="142">
        <v>5.7200000000000001E-2</v>
      </c>
      <c r="AT90" s="143">
        <v>0</v>
      </c>
      <c r="AU90" s="143">
        <v>9.3299999999999994E-2</v>
      </c>
      <c r="AV90" s="143">
        <v>3.7900000000000003E-2</v>
      </c>
      <c r="AW90" s="143">
        <v>0</v>
      </c>
      <c r="AX90" s="142">
        <v>3.9752E-4</v>
      </c>
      <c r="AY90" s="143">
        <v>0</v>
      </c>
      <c r="AZ90" s="143">
        <v>2.8985E-3</v>
      </c>
      <c r="BA90" s="143">
        <v>1.6523E-3</v>
      </c>
      <c r="BB90" s="143">
        <v>0</v>
      </c>
      <c r="BD90" s="50"/>
      <c r="BE90" s="183" t="s">
        <v>5364</v>
      </c>
      <c r="BF90" s="179" t="s">
        <v>3193</v>
      </c>
      <c r="BG90" s="53" t="s">
        <v>15</v>
      </c>
      <c r="BI90" s="52" t="s">
        <v>3174</v>
      </c>
      <c r="BJ90" s="52" t="s">
        <v>2854</v>
      </c>
      <c r="BK90" s="179">
        <v>100</v>
      </c>
      <c r="BL90" s="179" t="s">
        <v>5365</v>
      </c>
      <c r="BM90" s="179" t="s">
        <v>3173</v>
      </c>
      <c r="BN90" s="179" t="s">
        <v>3172</v>
      </c>
      <c r="BO90" s="52" t="s">
        <v>3136</v>
      </c>
      <c r="BP90" s="179" t="s">
        <v>3192</v>
      </c>
      <c r="BQ90" s="52" t="s">
        <v>3191</v>
      </c>
      <c r="BR90" s="179">
        <v>1</v>
      </c>
      <c r="BS90" s="179" t="s">
        <v>2848</v>
      </c>
    </row>
    <row r="91" spans="1:71" ht="18.75" customHeight="1">
      <c r="A91" s="88" t="s">
        <v>35</v>
      </c>
      <c r="B91" s="205" t="s">
        <v>5558</v>
      </c>
      <c r="C91" t="s">
        <v>583</v>
      </c>
      <c r="D91" s="19">
        <v>509</v>
      </c>
      <c r="E91" s="9" t="s">
        <v>5200</v>
      </c>
      <c r="F91" s="20" t="str">
        <f t="shared" si="37"/>
        <v/>
      </c>
      <c r="G91" s="19" t="str">
        <f t="shared" si="38"/>
        <v/>
      </c>
      <c r="H91" s="19">
        <f t="shared" si="39"/>
        <v>1</v>
      </c>
      <c r="I91" s="19" t="str">
        <f t="shared" si="40"/>
        <v/>
      </c>
      <c r="J91" s="225">
        <f t="shared" si="41"/>
        <v>1</v>
      </c>
      <c r="K91" s="226" t="str">
        <f t="shared" si="42"/>
        <v>Gq/11</v>
      </c>
      <c r="L91" s="227">
        <f t="shared" si="43"/>
        <v>0</v>
      </c>
      <c r="M91" s="228">
        <f t="shared" si="44"/>
        <v>0</v>
      </c>
      <c r="N91" s="228">
        <f t="shared" si="45"/>
        <v>1</v>
      </c>
      <c r="O91" s="228">
        <f t="shared" si="46"/>
        <v>0</v>
      </c>
      <c r="P91" s="20">
        <f t="shared" si="47"/>
        <v>0</v>
      </c>
      <c r="Q91" s="19">
        <f t="shared" si="48"/>
        <v>0</v>
      </c>
      <c r="R91" s="19">
        <f t="shared" si="49"/>
        <v>100</v>
      </c>
      <c r="S91" s="19">
        <f t="shared" si="50"/>
        <v>0</v>
      </c>
      <c r="T91" s="20">
        <f t="shared" si="51"/>
        <v>0</v>
      </c>
      <c r="U91" s="19">
        <f t="shared" si="52"/>
        <v>0</v>
      </c>
      <c r="V91" s="19">
        <f t="shared" si="53"/>
        <v>0.50070000000000003</v>
      </c>
      <c r="W91" s="19">
        <f t="shared" si="54"/>
        <v>0</v>
      </c>
      <c r="X91" s="147" t="str">
        <f t="shared" si="55"/>
        <v>G15</v>
      </c>
      <c r="Y91" s="32">
        <f t="shared" si="56"/>
        <v>0</v>
      </c>
      <c r="Z91" s="31">
        <f t="shared" si="57"/>
        <v>0</v>
      </c>
      <c r="AA91" s="31">
        <f t="shared" si="58"/>
        <v>87.976832434591572</v>
      </c>
      <c r="AB91" s="31">
        <f t="shared" si="59"/>
        <v>100</v>
      </c>
      <c r="AC91" s="31">
        <f t="shared" si="60"/>
        <v>0</v>
      </c>
      <c r="AD91" s="322">
        <f t="shared" si="61"/>
        <v>0</v>
      </c>
      <c r="AE91" s="309">
        <f t="shared" si="62"/>
        <v>0</v>
      </c>
      <c r="AF91" s="309">
        <f t="shared" si="63"/>
        <v>0.4405</v>
      </c>
      <c r="AG91" s="309">
        <f t="shared" si="64"/>
        <v>0.50070000000000003</v>
      </c>
      <c r="AH91" s="309">
        <f t="shared" si="65"/>
        <v>0</v>
      </c>
      <c r="AI91" s="322">
        <v>0</v>
      </c>
      <c r="AJ91" s="309">
        <v>0</v>
      </c>
      <c r="AK91" s="309">
        <v>0.4405</v>
      </c>
      <c r="AL91" s="309">
        <v>0.50070000000000003</v>
      </c>
      <c r="AM91" s="309">
        <v>0</v>
      </c>
      <c r="AN91" s="140">
        <v>0</v>
      </c>
      <c r="AO91" s="141">
        <v>0</v>
      </c>
      <c r="AP91" s="141">
        <v>6.1699999999999998E-2</v>
      </c>
      <c r="AQ91" s="141">
        <v>7.85E-2</v>
      </c>
      <c r="AR91" s="141">
        <v>0</v>
      </c>
      <c r="AS91" s="142">
        <v>0</v>
      </c>
      <c r="AT91" s="143">
        <v>0</v>
      </c>
      <c r="AU91" s="143">
        <v>5.79E-2</v>
      </c>
      <c r="AV91" s="143">
        <v>2.5399999999999999E-2</v>
      </c>
      <c r="AW91" s="143">
        <v>0</v>
      </c>
      <c r="AX91" s="142">
        <v>0</v>
      </c>
      <c r="AY91" s="143">
        <v>0</v>
      </c>
      <c r="AZ91" s="143">
        <v>2.8416000000000001E-3</v>
      </c>
      <c r="BA91" s="143">
        <v>5.2664000000000001E-3</v>
      </c>
      <c r="BB91" s="143">
        <v>0</v>
      </c>
      <c r="BD91" s="50"/>
      <c r="BE91" s="183" t="s">
        <v>5366</v>
      </c>
      <c r="BF91" s="179" t="s">
        <v>3190</v>
      </c>
      <c r="BG91" s="53" t="s">
        <v>15</v>
      </c>
      <c r="BI91" s="52" t="s">
        <v>3174</v>
      </c>
      <c r="BJ91" s="52" t="s">
        <v>2854</v>
      </c>
      <c r="BK91" s="179">
        <v>100</v>
      </c>
      <c r="BL91" s="179" t="s">
        <v>5217</v>
      </c>
      <c r="BM91" s="179" t="s">
        <v>3173</v>
      </c>
      <c r="BN91" s="179" t="s">
        <v>3172</v>
      </c>
      <c r="BO91" s="52" t="s">
        <v>3136</v>
      </c>
      <c r="BP91" s="179" t="s">
        <v>3189</v>
      </c>
      <c r="BR91" s="179">
        <v>6</v>
      </c>
      <c r="BS91" s="179" t="s">
        <v>2848</v>
      </c>
    </row>
    <row r="92" spans="1:71" ht="18.75" customHeight="1">
      <c r="A92" s="88" t="s">
        <v>36</v>
      </c>
      <c r="B92" s="205" t="s">
        <v>5558</v>
      </c>
      <c r="C92" t="s">
        <v>583</v>
      </c>
      <c r="D92" s="19">
        <v>509</v>
      </c>
      <c r="E92" s="9" t="s">
        <v>5200</v>
      </c>
      <c r="F92" s="20" t="str">
        <f t="shared" si="37"/>
        <v/>
      </c>
      <c r="G92" s="19" t="str">
        <f t="shared" si="38"/>
        <v/>
      </c>
      <c r="H92" s="19">
        <f t="shared" si="39"/>
        <v>1</v>
      </c>
      <c r="I92" s="19" t="str">
        <f t="shared" si="40"/>
        <v/>
      </c>
      <c r="J92" s="225">
        <f t="shared" si="41"/>
        <v>1</v>
      </c>
      <c r="K92" s="226" t="str">
        <f t="shared" si="42"/>
        <v>Gq/11</v>
      </c>
      <c r="L92" s="227">
        <f t="shared" si="43"/>
        <v>0</v>
      </c>
      <c r="M92" s="228">
        <f t="shared" si="44"/>
        <v>0</v>
      </c>
      <c r="N92" s="228">
        <f t="shared" si="45"/>
        <v>1</v>
      </c>
      <c r="O92" s="228">
        <f t="shared" si="46"/>
        <v>0</v>
      </c>
      <c r="P92" s="20">
        <f t="shared" si="47"/>
        <v>0</v>
      </c>
      <c r="Q92" s="19">
        <f t="shared" si="48"/>
        <v>0</v>
      </c>
      <c r="R92" s="19">
        <f t="shared" si="49"/>
        <v>100</v>
      </c>
      <c r="S92" s="19">
        <f t="shared" si="50"/>
        <v>0</v>
      </c>
      <c r="T92" s="20">
        <f t="shared" si="51"/>
        <v>0</v>
      </c>
      <c r="U92" s="19">
        <f t="shared" si="52"/>
        <v>0</v>
      </c>
      <c r="V92" s="19">
        <f t="shared" si="53"/>
        <v>0.20519999999999999</v>
      </c>
      <c r="W92" s="19">
        <f t="shared" si="54"/>
        <v>0</v>
      </c>
      <c r="X92" s="147" t="str">
        <f t="shared" si="55"/>
        <v>Gq</v>
      </c>
      <c r="Y92" s="32">
        <f t="shared" si="56"/>
        <v>0</v>
      </c>
      <c r="Z92" s="31">
        <f t="shared" si="57"/>
        <v>0</v>
      </c>
      <c r="AA92" s="31">
        <f t="shared" si="58"/>
        <v>100</v>
      </c>
      <c r="AB92" s="31">
        <f t="shared" si="59"/>
        <v>24.951267056530217</v>
      </c>
      <c r="AC92" s="31">
        <f t="shared" si="60"/>
        <v>0</v>
      </c>
      <c r="AD92" s="322">
        <f t="shared" si="61"/>
        <v>0</v>
      </c>
      <c r="AE92" s="309">
        <f t="shared" si="62"/>
        <v>0</v>
      </c>
      <c r="AF92" s="309">
        <f t="shared" si="63"/>
        <v>0.20519999999999999</v>
      </c>
      <c r="AG92" s="309">
        <f t="shared" si="64"/>
        <v>5.1200000000000002E-2</v>
      </c>
      <c r="AH92" s="309">
        <f t="shared" si="65"/>
        <v>0</v>
      </c>
      <c r="AI92" s="322">
        <v>0</v>
      </c>
      <c r="AJ92" s="309">
        <v>0</v>
      </c>
      <c r="AK92" s="309">
        <v>0.20519999999999999</v>
      </c>
      <c r="AL92" s="309">
        <v>5.1200000000000002E-2</v>
      </c>
      <c r="AM92" s="309">
        <v>0</v>
      </c>
      <c r="AN92" s="140">
        <v>0</v>
      </c>
      <c r="AO92" s="141">
        <v>0</v>
      </c>
      <c r="AP92" s="141">
        <v>2.3099999999999999E-2</v>
      </c>
      <c r="AQ92" s="141">
        <v>4.4200000000000003E-2</v>
      </c>
      <c r="AR92" s="141">
        <v>0</v>
      </c>
      <c r="AS92" s="142">
        <v>0</v>
      </c>
      <c r="AT92" s="143">
        <v>0</v>
      </c>
      <c r="AU92" s="143">
        <v>3.5233E-3</v>
      </c>
      <c r="AV92" s="143">
        <v>9.2615999999999998E-4</v>
      </c>
      <c r="AW92" s="143">
        <v>0</v>
      </c>
      <c r="AX92" s="142">
        <v>0</v>
      </c>
      <c r="AY92" s="143">
        <v>0</v>
      </c>
      <c r="AZ92" s="143">
        <v>4.6239999999999996E-3</v>
      </c>
      <c r="BA92" s="143">
        <v>6.7505999999999998E-3</v>
      </c>
      <c r="BB92" s="143">
        <v>0</v>
      </c>
      <c r="BD92" s="50"/>
      <c r="BE92" s="183" t="s">
        <v>5367</v>
      </c>
      <c r="BF92" s="179" t="s">
        <v>3188</v>
      </c>
      <c r="BG92" s="53" t="s">
        <v>15</v>
      </c>
      <c r="BI92" s="52" t="s">
        <v>3174</v>
      </c>
      <c r="BJ92" s="52" t="s">
        <v>2854</v>
      </c>
      <c r="BK92" s="179">
        <v>100</v>
      </c>
      <c r="BL92" s="179" t="s">
        <v>5238</v>
      </c>
      <c r="BM92" s="179" t="s">
        <v>3173</v>
      </c>
      <c r="BN92" s="179" t="s">
        <v>3172</v>
      </c>
      <c r="BO92" s="52" t="s">
        <v>2850</v>
      </c>
      <c r="BP92" s="179" t="s">
        <v>2849</v>
      </c>
      <c r="BQ92" s="52" t="s">
        <v>3187</v>
      </c>
      <c r="BR92" s="179">
        <v>6</v>
      </c>
      <c r="BS92" s="179" t="s">
        <v>2848</v>
      </c>
    </row>
    <row r="93" spans="1:71" ht="18.75" customHeight="1">
      <c r="A93" s="51" t="s">
        <v>37</v>
      </c>
      <c r="B93" s="205" t="s">
        <v>5558</v>
      </c>
      <c r="C93" t="s">
        <v>583</v>
      </c>
      <c r="D93" s="19">
        <v>509</v>
      </c>
      <c r="E93" s="9" t="s">
        <v>5200</v>
      </c>
      <c r="F93" s="20" t="str">
        <f t="shared" si="37"/>
        <v/>
      </c>
      <c r="G93" s="19">
        <f t="shared" si="38"/>
        <v>1</v>
      </c>
      <c r="H93" s="19">
        <f t="shared" si="39"/>
        <v>1</v>
      </c>
      <c r="I93" s="19" t="str">
        <f t="shared" si="40"/>
        <v/>
      </c>
      <c r="J93" s="225">
        <f t="shared" si="41"/>
        <v>2</v>
      </c>
      <c r="K93" s="226" t="str">
        <f t="shared" si="42"/>
        <v>Gi/o</v>
      </c>
      <c r="L93" s="227">
        <f t="shared" si="43"/>
        <v>0</v>
      </c>
      <c r="M93" s="228">
        <f t="shared" si="44"/>
        <v>1</v>
      </c>
      <c r="N93" s="228">
        <f t="shared" si="45"/>
        <v>2</v>
      </c>
      <c r="O93" s="228">
        <f t="shared" si="46"/>
        <v>0</v>
      </c>
      <c r="P93" s="20">
        <f t="shared" si="47"/>
        <v>0</v>
      </c>
      <c r="Q93" s="19">
        <f t="shared" si="48"/>
        <v>100</v>
      </c>
      <c r="R93" s="19">
        <f t="shared" si="49"/>
        <v>0.44617341765150537</v>
      </c>
      <c r="S93" s="19">
        <f t="shared" si="50"/>
        <v>0</v>
      </c>
      <c r="T93" s="20">
        <f t="shared" si="51"/>
        <v>0</v>
      </c>
      <c r="U93" s="19">
        <f t="shared" si="52"/>
        <v>10.847799999999999</v>
      </c>
      <c r="V93" s="19">
        <f t="shared" si="53"/>
        <v>4.8399999999999999E-2</v>
      </c>
      <c r="W93" s="19">
        <f t="shared" si="54"/>
        <v>0</v>
      </c>
      <c r="X93" s="147" t="str">
        <f t="shared" si="55"/>
        <v>GoA</v>
      </c>
      <c r="Y93" s="32">
        <f t="shared" si="56"/>
        <v>0</v>
      </c>
      <c r="Z93" s="31">
        <f t="shared" si="57"/>
        <v>100</v>
      </c>
      <c r="AA93" s="31">
        <f t="shared" si="58"/>
        <v>0</v>
      </c>
      <c r="AB93" s="31">
        <f t="shared" si="59"/>
        <v>0.44617341765150537</v>
      </c>
      <c r="AC93" s="31">
        <f t="shared" si="60"/>
        <v>0</v>
      </c>
      <c r="AD93" s="322">
        <f t="shared" si="61"/>
        <v>0</v>
      </c>
      <c r="AE93" s="309">
        <f t="shared" si="62"/>
        <v>10.847799999999999</v>
      </c>
      <c r="AF93" s="309">
        <f t="shared" si="63"/>
        <v>0</v>
      </c>
      <c r="AG93" s="309">
        <f t="shared" si="64"/>
        <v>4.8399999999999999E-2</v>
      </c>
      <c r="AH93" s="309">
        <f t="shared" si="65"/>
        <v>0</v>
      </c>
      <c r="AI93" s="322">
        <v>0</v>
      </c>
      <c r="AJ93" s="309">
        <v>10.847799999999999</v>
      </c>
      <c r="AK93" s="309">
        <v>0</v>
      </c>
      <c r="AL93" s="309">
        <v>4.8399999999999999E-2</v>
      </c>
      <c r="AM93" s="309">
        <v>0</v>
      </c>
      <c r="AN93" s="140">
        <v>0</v>
      </c>
      <c r="AO93" s="141">
        <v>8.8400000000000006E-2</v>
      </c>
      <c r="AP93" s="141">
        <v>0</v>
      </c>
      <c r="AQ93" s="141">
        <v>5.0599999999999999E-2</v>
      </c>
      <c r="AR93" s="141">
        <v>0</v>
      </c>
      <c r="AS93" s="142">
        <v>0</v>
      </c>
      <c r="AT93" s="143">
        <v>1.9113</v>
      </c>
      <c r="AU93" s="143">
        <v>0</v>
      </c>
      <c r="AV93" s="143">
        <v>2.5653999999999998E-3</v>
      </c>
      <c r="AW93" s="143">
        <v>0</v>
      </c>
      <c r="AX93" s="142">
        <v>0</v>
      </c>
      <c r="AY93" s="143">
        <v>1.12E-2</v>
      </c>
      <c r="AZ93" s="143">
        <v>0</v>
      </c>
      <c r="BA93" s="143">
        <v>8.6630000000000006E-3</v>
      </c>
      <c r="BB93" s="143">
        <v>0</v>
      </c>
      <c r="BD93" s="50"/>
      <c r="BE93" s="183" t="s">
        <v>5368</v>
      </c>
      <c r="BF93" s="179" t="s">
        <v>3186</v>
      </c>
      <c r="BG93" s="53" t="s">
        <v>15</v>
      </c>
      <c r="BI93" s="52" t="s">
        <v>3174</v>
      </c>
      <c r="BJ93" s="52" t="s">
        <v>2854</v>
      </c>
      <c r="BK93" s="179">
        <v>100</v>
      </c>
      <c r="BL93" s="179" t="s">
        <v>5369</v>
      </c>
      <c r="BM93" s="179" t="s">
        <v>3173</v>
      </c>
      <c r="BN93" s="179" t="s">
        <v>3172</v>
      </c>
      <c r="BO93" s="52" t="s">
        <v>3136</v>
      </c>
      <c r="BP93" s="179" t="s">
        <v>3185</v>
      </c>
      <c r="BQ93" s="52" t="s">
        <v>3184</v>
      </c>
      <c r="BR93" s="179">
        <v>1</v>
      </c>
      <c r="BS93" s="179" t="s">
        <v>2848</v>
      </c>
    </row>
    <row r="94" spans="1:71" ht="18.75" customHeight="1">
      <c r="A94" s="51" t="s">
        <v>38</v>
      </c>
      <c r="B94" s="205" t="s">
        <v>5558</v>
      </c>
      <c r="C94" t="s">
        <v>583</v>
      </c>
      <c r="D94" s="19">
        <v>509</v>
      </c>
      <c r="E94" s="9" t="s">
        <v>5200</v>
      </c>
      <c r="F94" s="20" t="str">
        <f t="shared" si="37"/>
        <v/>
      </c>
      <c r="G94" s="19">
        <f t="shared" si="38"/>
        <v>1</v>
      </c>
      <c r="H94" s="19">
        <f t="shared" si="39"/>
        <v>1</v>
      </c>
      <c r="I94" s="19" t="str">
        <f t="shared" si="40"/>
        <v/>
      </c>
      <c r="J94" s="225">
        <f t="shared" si="41"/>
        <v>2</v>
      </c>
      <c r="K94" s="226" t="str">
        <f t="shared" si="42"/>
        <v>Gi/o</v>
      </c>
      <c r="L94" s="227">
        <f t="shared" si="43"/>
        <v>0</v>
      </c>
      <c r="M94" s="228">
        <f t="shared" si="44"/>
        <v>1</v>
      </c>
      <c r="N94" s="228">
        <f t="shared" si="45"/>
        <v>2</v>
      </c>
      <c r="O94" s="228">
        <f t="shared" si="46"/>
        <v>0</v>
      </c>
      <c r="P94" s="20">
        <f t="shared" si="47"/>
        <v>0</v>
      </c>
      <c r="Q94" s="19">
        <f t="shared" si="48"/>
        <v>100</v>
      </c>
      <c r="R94" s="19">
        <f t="shared" si="49"/>
        <v>0.87427144046627814</v>
      </c>
      <c r="S94" s="19">
        <f t="shared" si="50"/>
        <v>0</v>
      </c>
      <c r="T94" s="20">
        <f t="shared" si="51"/>
        <v>0</v>
      </c>
      <c r="U94" s="19">
        <f t="shared" si="52"/>
        <v>1.6814</v>
      </c>
      <c r="V94" s="19">
        <f t="shared" si="53"/>
        <v>1.47E-2</v>
      </c>
      <c r="W94" s="19">
        <f t="shared" si="54"/>
        <v>0</v>
      </c>
      <c r="X94" s="147" t="str">
        <f t="shared" si="55"/>
        <v>GoA</v>
      </c>
      <c r="Y94" s="32">
        <f t="shared" si="56"/>
        <v>0</v>
      </c>
      <c r="Z94" s="31">
        <f t="shared" si="57"/>
        <v>100</v>
      </c>
      <c r="AA94" s="31">
        <f t="shared" si="58"/>
        <v>0</v>
      </c>
      <c r="AB94" s="31">
        <f t="shared" si="59"/>
        <v>0.87427144046627814</v>
      </c>
      <c r="AC94" s="31">
        <f t="shared" si="60"/>
        <v>0</v>
      </c>
      <c r="AD94" s="322">
        <f t="shared" si="61"/>
        <v>0</v>
      </c>
      <c r="AE94" s="309">
        <f t="shared" si="62"/>
        <v>1.6814</v>
      </c>
      <c r="AF94" s="309">
        <f t="shared" si="63"/>
        <v>0</v>
      </c>
      <c r="AG94" s="309">
        <f t="shared" si="64"/>
        <v>1.47E-2</v>
      </c>
      <c r="AH94" s="309">
        <f t="shared" si="65"/>
        <v>0</v>
      </c>
      <c r="AI94" s="322">
        <v>0</v>
      </c>
      <c r="AJ94" s="309">
        <v>1.6814</v>
      </c>
      <c r="AK94" s="309">
        <v>0</v>
      </c>
      <c r="AL94" s="309">
        <v>1.47E-2</v>
      </c>
      <c r="AM94" s="309">
        <v>0</v>
      </c>
      <c r="AN94" s="140">
        <v>0</v>
      </c>
      <c r="AO94" s="141">
        <v>7.2999999999999995E-2</v>
      </c>
      <c r="AP94" s="141">
        <v>0</v>
      </c>
      <c r="AQ94" s="141">
        <v>6.1225999999999997E-3</v>
      </c>
      <c r="AR94" s="141">
        <v>0</v>
      </c>
      <c r="AS94" s="142">
        <v>0</v>
      </c>
      <c r="AT94" s="143">
        <v>5.4600000000000003E-2</v>
      </c>
      <c r="AU94" s="143">
        <v>0</v>
      </c>
      <c r="AV94" s="143">
        <v>4.0414999999999998E-4</v>
      </c>
      <c r="AW94" s="143">
        <v>0</v>
      </c>
      <c r="AX94" s="142">
        <v>0</v>
      </c>
      <c r="AY94" s="143">
        <v>1.4769E-3</v>
      </c>
      <c r="AZ94" s="143">
        <v>0</v>
      </c>
      <c r="BA94" s="143">
        <v>3.2720999999999998E-4</v>
      </c>
      <c r="BB94" s="143">
        <v>0</v>
      </c>
      <c r="BD94" s="50"/>
      <c r="BE94" s="183" t="s">
        <v>5370</v>
      </c>
      <c r="BF94" s="179" t="s">
        <v>3183</v>
      </c>
      <c r="BG94" s="53" t="s">
        <v>15</v>
      </c>
      <c r="BI94" s="52" t="s">
        <v>3174</v>
      </c>
      <c r="BJ94" s="52" t="s">
        <v>2854</v>
      </c>
      <c r="BK94" s="179">
        <v>100</v>
      </c>
      <c r="BL94" s="179" t="s">
        <v>5371</v>
      </c>
      <c r="BM94" s="179" t="s">
        <v>3173</v>
      </c>
      <c r="BN94" s="179" t="s">
        <v>3172</v>
      </c>
      <c r="BO94" s="52" t="s">
        <v>3136</v>
      </c>
      <c r="BP94" s="179" t="s">
        <v>3182</v>
      </c>
      <c r="BQ94" s="52" t="s">
        <v>3181</v>
      </c>
      <c r="BR94" s="179">
        <v>1</v>
      </c>
      <c r="BS94" s="179" t="s">
        <v>2848</v>
      </c>
    </row>
    <row r="95" spans="1:71" ht="18.75" customHeight="1">
      <c r="A95" s="51" t="s">
        <v>39</v>
      </c>
      <c r="B95" s="205" t="s">
        <v>5558</v>
      </c>
      <c r="C95" t="s">
        <v>583</v>
      </c>
      <c r="D95" s="19">
        <v>509</v>
      </c>
      <c r="E95" s="9" t="s">
        <v>5200</v>
      </c>
      <c r="F95" s="20" t="str">
        <f t="shared" si="37"/>
        <v/>
      </c>
      <c r="G95" s="19">
        <f t="shared" si="38"/>
        <v>1</v>
      </c>
      <c r="H95" s="19">
        <f t="shared" si="39"/>
        <v>1</v>
      </c>
      <c r="I95" s="19" t="str">
        <f t="shared" si="40"/>
        <v/>
      </c>
      <c r="J95" s="225">
        <f t="shared" si="41"/>
        <v>2</v>
      </c>
      <c r="K95" s="226" t="str">
        <f t="shared" si="42"/>
        <v>Gi/o</v>
      </c>
      <c r="L95" s="227">
        <f t="shared" si="43"/>
        <v>0</v>
      </c>
      <c r="M95" s="228">
        <f t="shared" si="44"/>
        <v>1</v>
      </c>
      <c r="N95" s="228">
        <f t="shared" si="45"/>
        <v>2</v>
      </c>
      <c r="O95" s="228">
        <f t="shared" si="46"/>
        <v>0</v>
      </c>
      <c r="P95" s="20">
        <f t="shared" si="47"/>
        <v>0</v>
      </c>
      <c r="Q95" s="19">
        <f t="shared" si="48"/>
        <v>100</v>
      </c>
      <c r="R95" s="19">
        <f t="shared" si="49"/>
        <v>0.13384090485228134</v>
      </c>
      <c r="S95" s="19">
        <f t="shared" si="50"/>
        <v>0</v>
      </c>
      <c r="T95" s="20">
        <f t="shared" si="51"/>
        <v>0</v>
      </c>
      <c r="U95" s="19">
        <f t="shared" si="52"/>
        <v>9.1152999999999995</v>
      </c>
      <c r="V95" s="19">
        <f t="shared" si="53"/>
        <v>1.2200000000000001E-2</v>
      </c>
      <c r="W95" s="19">
        <f t="shared" si="54"/>
        <v>0</v>
      </c>
      <c r="X95" s="147" t="str">
        <f t="shared" si="55"/>
        <v>GoA</v>
      </c>
      <c r="Y95" s="32">
        <f t="shared" si="56"/>
        <v>0</v>
      </c>
      <c r="Z95" s="31">
        <f t="shared" si="57"/>
        <v>100</v>
      </c>
      <c r="AA95" s="31">
        <f t="shared" si="58"/>
        <v>0</v>
      </c>
      <c r="AB95" s="31">
        <f t="shared" si="59"/>
        <v>0.13384090485228134</v>
      </c>
      <c r="AC95" s="31">
        <f t="shared" si="60"/>
        <v>0</v>
      </c>
      <c r="AD95" s="322">
        <f t="shared" si="61"/>
        <v>0</v>
      </c>
      <c r="AE95" s="309">
        <f t="shared" si="62"/>
        <v>9.1152999999999995</v>
      </c>
      <c r="AF95" s="309">
        <f t="shared" si="63"/>
        <v>0</v>
      </c>
      <c r="AG95" s="309">
        <f t="shared" si="64"/>
        <v>1.2200000000000001E-2</v>
      </c>
      <c r="AH95" s="309">
        <f t="shared" si="65"/>
        <v>0</v>
      </c>
      <c r="AI95" s="322">
        <v>0</v>
      </c>
      <c r="AJ95" s="309">
        <v>9.1152999999999995</v>
      </c>
      <c r="AK95" s="309">
        <v>0</v>
      </c>
      <c r="AL95" s="309">
        <v>1.2200000000000001E-2</v>
      </c>
      <c r="AM95" s="309">
        <v>0</v>
      </c>
      <c r="AN95" s="140">
        <v>0</v>
      </c>
      <c r="AO95" s="141">
        <v>0.10100000000000001</v>
      </c>
      <c r="AP95" s="141">
        <v>0</v>
      </c>
      <c r="AQ95" s="141">
        <v>8.5667E-3</v>
      </c>
      <c r="AR95" s="141">
        <v>0</v>
      </c>
      <c r="AS95" s="142">
        <v>0</v>
      </c>
      <c r="AT95" s="143">
        <v>0.96120000000000005</v>
      </c>
      <c r="AU95" s="143">
        <v>0</v>
      </c>
      <c r="AV95" s="143">
        <v>6.6582999999999996E-4</v>
      </c>
      <c r="AW95" s="143">
        <v>0</v>
      </c>
      <c r="AX95" s="142">
        <v>0</v>
      </c>
      <c r="AY95" s="143">
        <v>4.96E-3</v>
      </c>
      <c r="AZ95" s="143">
        <v>0</v>
      </c>
      <c r="BA95" s="143">
        <v>6.0645000000000002E-4</v>
      </c>
      <c r="BB95" s="143">
        <v>0</v>
      </c>
      <c r="BD95" s="50"/>
      <c r="BE95" s="183" t="s">
        <v>5372</v>
      </c>
      <c r="BF95" s="179" t="s">
        <v>3180</v>
      </c>
      <c r="BG95" s="53" t="s">
        <v>15</v>
      </c>
      <c r="BI95" s="52" t="s">
        <v>3174</v>
      </c>
      <c r="BJ95" s="52" t="s">
        <v>2854</v>
      </c>
      <c r="BK95" s="179">
        <v>100</v>
      </c>
      <c r="BL95" s="179" t="s">
        <v>5373</v>
      </c>
      <c r="BM95" s="179" t="s">
        <v>3173</v>
      </c>
      <c r="BN95" s="179" t="s">
        <v>3172</v>
      </c>
      <c r="BO95" s="52" t="s">
        <v>3136</v>
      </c>
      <c r="BP95" s="179" t="s">
        <v>3179</v>
      </c>
      <c r="BQ95" s="52" t="s">
        <v>3178</v>
      </c>
      <c r="BR95" s="179">
        <v>6</v>
      </c>
      <c r="BS95" s="179" t="s">
        <v>2848</v>
      </c>
    </row>
    <row r="96" spans="1:71" ht="18.75" customHeight="1">
      <c r="A96" s="51" t="s">
        <v>40</v>
      </c>
      <c r="B96" s="205" t="s">
        <v>5558</v>
      </c>
      <c r="C96" t="s">
        <v>583</v>
      </c>
      <c r="D96" s="19">
        <v>509</v>
      </c>
      <c r="E96" s="9" t="s">
        <v>5200</v>
      </c>
      <c r="F96" s="20">
        <f t="shared" si="37"/>
        <v>1</v>
      </c>
      <c r="G96" s="19">
        <f t="shared" si="38"/>
        <v>1</v>
      </c>
      <c r="H96" s="19">
        <f t="shared" si="39"/>
        <v>1</v>
      </c>
      <c r="I96" s="19" t="str">
        <f t="shared" si="40"/>
        <v/>
      </c>
      <c r="J96" s="225">
        <f t="shared" si="41"/>
        <v>3</v>
      </c>
      <c r="K96" s="226" t="str">
        <f t="shared" si="42"/>
        <v>Gs</v>
      </c>
      <c r="L96" s="227">
        <f t="shared" si="43"/>
        <v>1</v>
      </c>
      <c r="M96" s="228">
        <f t="shared" si="44"/>
        <v>3</v>
      </c>
      <c r="N96" s="228">
        <f t="shared" si="45"/>
        <v>2</v>
      </c>
      <c r="O96" s="228">
        <f t="shared" si="46"/>
        <v>0</v>
      </c>
      <c r="P96" s="20">
        <f t="shared" si="47"/>
        <v>100</v>
      </c>
      <c r="Q96" s="19">
        <f t="shared" si="48"/>
        <v>5.6966792194453957</v>
      </c>
      <c r="R96" s="19">
        <f t="shared" si="49"/>
        <v>33.841150290996239</v>
      </c>
      <c r="S96" s="19">
        <f t="shared" si="50"/>
        <v>0</v>
      </c>
      <c r="T96" s="20">
        <f t="shared" si="51"/>
        <v>2.9209999999999998</v>
      </c>
      <c r="U96" s="19">
        <f t="shared" si="52"/>
        <v>0.16639999999999999</v>
      </c>
      <c r="V96" s="19">
        <f t="shared" si="53"/>
        <v>0.98850000000000005</v>
      </c>
      <c r="W96" s="19">
        <f t="shared" si="54"/>
        <v>0</v>
      </c>
      <c r="X96" s="147" t="str">
        <f t="shared" si="55"/>
        <v>GsL</v>
      </c>
      <c r="Y96" s="32">
        <f t="shared" si="56"/>
        <v>100</v>
      </c>
      <c r="Z96" s="31">
        <f t="shared" si="57"/>
        <v>5.6966792194453957</v>
      </c>
      <c r="AA96" s="31">
        <f t="shared" si="58"/>
        <v>0</v>
      </c>
      <c r="AB96" s="31">
        <f t="shared" si="59"/>
        <v>33.841150290996239</v>
      </c>
      <c r="AC96" s="31">
        <f t="shared" si="60"/>
        <v>0</v>
      </c>
      <c r="AD96" s="322">
        <f t="shared" si="61"/>
        <v>2.9209999999999998</v>
      </c>
      <c r="AE96" s="309">
        <f t="shared" si="62"/>
        <v>0.16639999999999999</v>
      </c>
      <c r="AF96" s="309">
        <f t="shared" si="63"/>
        <v>0</v>
      </c>
      <c r="AG96" s="309">
        <f t="shared" si="64"/>
        <v>0.98850000000000005</v>
      </c>
      <c r="AH96" s="309">
        <f t="shared" si="65"/>
        <v>0</v>
      </c>
      <c r="AI96" s="322">
        <v>2.9209999999999998</v>
      </c>
      <c r="AJ96" s="309">
        <v>0.16639999999999999</v>
      </c>
      <c r="AK96" s="309">
        <v>0</v>
      </c>
      <c r="AL96" s="309">
        <v>0.98850000000000005</v>
      </c>
      <c r="AM96" s="309">
        <v>0</v>
      </c>
      <c r="AN96" s="140">
        <v>5.8700000000000002E-2</v>
      </c>
      <c r="AO96" s="141">
        <v>3.5999999999999997E-2</v>
      </c>
      <c r="AP96" s="141">
        <v>0</v>
      </c>
      <c r="AQ96" s="141">
        <v>5.8900000000000001E-2</v>
      </c>
      <c r="AR96" s="141">
        <v>0</v>
      </c>
      <c r="AS96" s="142">
        <v>0.37540000000000001</v>
      </c>
      <c r="AT96" s="143">
        <v>6.7815999999999996E-3</v>
      </c>
      <c r="AU96" s="143">
        <v>0</v>
      </c>
      <c r="AV96" s="143">
        <v>5.4300000000000001E-2</v>
      </c>
      <c r="AW96" s="143">
        <v>0</v>
      </c>
      <c r="AX96" s="142">
        <v>4.4837000000000002E-3</v>
      </c>
      <c r="AY96" s="143">
        <v>2.8289999999999999E-3</v>
      </c>
      <c r="AZ96" s="143">
        <v>0</v>
      </c>
      <c r="BA96" s="143">
        <v>1.9810000000000001E-3</v>
      </c>
      <c r="BB96" s="143">
        <v>0</v>
      </c>
      <c r="BD96" s="50"/>
      <c r="BE96" s="183" t="s">
        <v>5374</v>
      </c>
      <c r="BF96" s="179" t="s">
        <v>40</v>
      </c>
      <c r="BG96" s="53" t="s">
        <v>15</v>
      </c>
      <c r="BI96" s="52" t="s">
        <v>3174</v>
      </c>
      <c r="BJ96" s="52" t="s">
        <v>2854</v>
      </c>
      <c r="BK96" s="179">
        <v>100</v>
      </c>
      <c r="BL96" s="179" t="s">
        <v>5375</v>
      </c>
      <c r="BM96" s="179" t="s">
        <v>3173</v>
      </c>
      <c r="BN96" s="179" t="s">
        <v>3172</v>
      </c>
      <c r="BO96" s="52" t="s">
        <v>2850</v>
      </c>
      <c r="BP96" s="179" t="s">
        <v>2849</v>
      </c>
      <c r="BQ96" s="52" t="s">
        <v>3177</v>
      </c>
      <c r="BR96" s="179">
        <v>6</v>
      </c>
      <c r="BS96" s="179" t="s">
        <v>2848</v>
      </c>
    </row>
    <row r="97" spans="1:71" ht="18.75" customHeight="1">
      <c r="A97" s="51" t="s">
        <v>41</v>
      </c>
      <c r="B97" s="205" t="s">
        <v>5558</v>
      </c>
      <c r="C97" t="s">
        <v>583</v>
      </c>
      <c r="D97" s="19">
        <v>509</v>
      </c>
      <c r="E97" s="9" t="s">
        <v>5200</v>
      </c>
      <c r="F97" s="20">
        <f t="shared" si="37"/>
        <v>1</v>
      </c>
      <c r="G97" s="19" t="str">
        <f t="shared" si="38"/>
        <v/>
      </c>
      <c r="H97" s="19">
        <f t="shared" si="39"/>
        <v>1</v>
      </c>
      <c r="I97" s="19" t="str">
        <f t="shared" si="40"/>
        <v/>
      </c>
      <c r="J97" s="225">
        <f t="shared" si="41"/>
        <v>2</v>
      </c>
      <c r="K97" s="226" t="str">
        <f t="shared" si="42"/>
        <v>Gs</v>
      </c>
      <c r="L97" s="227">
        <f t="shared" si="43"/>
        <v>1</v>
      </c>
      <c r="M97" s="228">
        <f t="shared" si="44"/>
        <v>0</v>
      </c>
      <c r="N97" s="228">
        <f t="shared" si="45"/>
        <v>2</v>
      </c>
      <c r="O97" s="228">
        <f t="shared" si="46"/>
        <v>0</v>
      </c>
      <c r="P97" s="20">
        <f t="shared" si="47"/>
        <v>100</v>
      </c>
      <c r="Q97" s="19">
        <f t="shared" si="48"/>
        <v>0</v>
      </c>
      <c r="R97" s="19">
        <f t="shared" si="49"/>
        <v>11.127427759355754</v>
      </c>
      <c r="S97" s="19">
        <f t="shared" si="50"/>
        <v>0</v>
      </c>
      <c r="T97" s="20">
        <f t="shared" si="51"/>
        <v>2.1110000000000002</v>
      </c>
      <c r="U97" s="19">
        <f t="shared" si="52"/>
        <v>0</v>
      </c>
      <c r="V97" s="19">
        <f t="shared" si="53"/>
        <v>0.2349</v>
      </c>
      <c r="W97" s="19">
        <f t="shared" si="54"/>
        <v>0</v>
      </c>
      <c r="X97" s="147" t="str">
        <f t="shared" si="55"/>
        <v>GsL</v>
      </c>
      <c r="Y97" s="32">
        <f t="shared" si="56"/>
        <v>100</v>
      </c>
      <c r="Z97" s="31">
        <f t="shared" si="57"/>
        <v>0</v>
      </c>
      <c r="AA97" s="31">
        <f t="shared" si="58"/>
        <v>0</v>
      </c>
      <c r="AB97" s="31">
        <f t="shared" si="59"/>
        <v>11.127427759355754</v>
      </c>
      <c r="AC97" s="31">
        <f t="shared" si="60"/>
        <v>0</v>
      </c>
      <c r="AD97" s="322">
        <f t="shared" si="61"/>
        <v>2.1110000000000002</v>
      </c>
      <c r="AE97" s="309">
        <f t="shared" si="62"/>
        <v>0</v>
      </c>
      <c r="AF97" s="309">
        <f t="shared" si="63"/>
        <v>0</v>
      </c>
      <c r="AG97" s="309">
        <f t="shared" si="64"/>
        <v>0.2349</v>
      </c>
      <c r="AH97" s="309">
        <f t="shared" si="65"/>
        <v>0</v>
      </c>
      <c r="AI97" s="322">
        <v>2.1110000000000002</v>
      </c>
      <c r="AJ97" s="309">
        <v>0</v>
      </c>
      <c r="AK97" s="309">
        <v>0</v>
      </c>
      <c r="AL97" s="309">
        <v>0.2349</v>
      </c>
      <c r="AM97" s="309">
        <v>0</v>
      </c>
      <c r="AN97" s="140">
        <v>4.1700000000000001E-2</v>
      </c>
      <c r="AO97" s="141">
        <v>0</v>
      </c>
      <c r="AP97" s="141">
        <v>0</v>
      </c>
      <c r="AQ97" s="141">
        <v>4.7E-2</v>
      </c>
      <c r="AR97" s="141">
        <v>0</v>
      </c>
      <c r="AS97" s="142">
        <v>0.1459</v>
      </c>
      <c r="AT97" s="143">
        <v>0</v>
      </c>
      <c r="AU97" s="143">
        <v>0</v>
      </c>
      <c r="AV97" s="143">
        <v>4.0399999999999998E-2</v>
      </c>
      <c r="AW97" s="143">
        <v>0</v>
      </c>
      <c r="AX97" s="142">
        <v>1.11E-2</v>
      </c>
      <c r="AY97" s="143">
        <v>0</v>
      </c>
      <c r="AZ97" s="143">
        <v>0</v>
      </c>
      <c r="BA97" s="143">
        <v>1.23E-2</v>
      </c>
      <c r="BB97" s="143">
        <v>0</v>
      </c>
      <c r="BD97" s="50"/>
      <c r="BE97" s="183" t="s">
        <v>5376</v>
      </c>
      <c r="BF97" s="179" t="s">
        <v>41</v>
      </c>
      <c r="BG97" s="53" t="s">
        <v>15</v>
      </c>
      <c r="BI97" s="52" t="s">
        <v>3174</v>
      </c>
      <c r="BJ97" s="52" t="s">
        <v>2854</v>
      </c>
      <c r="BK97" s="179">
        <v>100</v>
      </c>
      <c r="BL97" s="179" t="s">
        <v>5377</v>
      </c>
      <c r="BM97" s="179" t="s">
        <v>3173</v>
      </c>
      <c r="BN97" s="179" t="s">
        <v>3172</v>
      </c>
      <c r="BO97" s="52" t="s">
        <v>3136</v>
      </c>
      <c r="BP97" s="179" t="s">
        <v>3176</v>
      </c>
      <c r="BQ97" s="52" t="s">
        <v>3175</v>
      </c>
      <c r="BR97" s="179">
        <v>1</v>
      </c>
      <c r="BS97" s="179" t="s">
        <v>2848</v>
      </c>
    </row>
    <row r="98" spans="1:71" ht="18.75" customHeight="1">
      <c r="A98" s="51" t="s">
        <v>42</v>
      </c>
      <c r="B98" s="205" t="s">
        <v>5558</v>
      </c>
      <c r="C98" t="s">
        <v>583</v>
      </c>
      <c r="D98" s="19">
        <v>509</v>
      </c>
      <c r="E98" s="9" t="s">
        <v>5200</v>
      </c>
      <c r="F98" s="20">
        <f t="shared" ref="F98:F117" si="66">IF(AI98&gt;0,1,"")</f>
        <v>1</v>
      </c>
      <c r="G98" s="19" t="str">
        <f t="shared" ref="G98:G117" si="67">IF(AJ98&gt;0,1,"")</f>
        <v/>
      </c>
      <c r="H98" s="19">
        <f t="shared" ref="H98:H117" si="68">IF(SUM(AK98:AL98)&gt;0,1,"")</f>
        <v>1</v>
      </c>
      <c r="I98" s="19" t="str">
        <f t="shared" ref="I98:I117" si="69">IF(AM98&gt;0,1,"")</f>
        <v/>
      </c>
      <c r="J98" s="225">
        <f t="shared" si="41"/>
        <v>2</v>
      </c>
      <c r="K98" s="226" t="str">
        <f t="shared" si="42"/>
        <v>Gs</v>
      </c>
      <c r="L98" s="227">
        <f t="shared" si="43"/>
        <v>1</v>
      </c>
      <c r="M98" s="228">
        <f t="shared" si="44"/>
        <v>0</v>
      </c>
      <c r="N98" s="228">
        <f t="shared" si="45"/>
        <v>2</v>
      </c>
      <c r="O98" s="228">
        <f t="shared" si="46"/>
        <v>0</v>
      </c>
      <c r="P98" s="20">
        <f t="shared" si="47"/>
        <v>100</v>
      </c>
      <c r="Q98" s="19">
        <f t="shared" si="48"/>
        <v>0</v>
      </c>
      <c r="R98" s="19">
        <f t="shared" si="49"/>
        <v>18.115942028985508</v>
      </c>
      <c r="S98" s="19">
        <f t="shared" si="50"/>
        <v>0</v>
      </c>
      <c r="T98" s="20">
        <f t="shared" si="51"/>
        <v>0.48299999999999998</v>
      </c>
      <c r="U98" s="19">
        <f t="shared" si="52"/>
        <v>0</v>
      </c>
      <c r="V98" s="19">
        <f t="shared" si="53"/>
        <v>8.7499999999999994E-2</v>
      </c>
      <c r="W98" s="19">
        <f t="shared" si="54"/>
        <v>0</v>
      </c>
      <c r="X98" s="147" t="str">
        <f t="shared" si="55"/>
        <v>GsL</v>
      </c>
      <c r="Y98" s="32">
        <f t="shared" si="56"/>
        <v>100</v>
      </c>
      <c r="Z98" s="31">
        <f t="shared" si="57"/>
        <v>0</v>
      </c>
      <c r="AA98" s="31">
        <f t="shared" si="58"/>
        <v>0</v>
      </c>
      <c r="AB98" s="31">
        <f t="shared" si="59"/>
        <v>18.115942028985508</v>
      </c>
      <c r="AC98" s="31">
        <f t="shared" si="60"/>
        <v>0</v>
      </c>
      <c r="AD98" s="322">
        <f t="shared" si="61"/>
        <v>0.48299999999999998</v>
      </c>
      <c r="AE98" s="309">
        <f t="shared" si="62"/>
        <v>0</v>
      </c>
      <c r="AF98" s="309">
        <f t="shared" si="63"/>
        <v>0</v>
      </c>
      <c r="AG98" s="309">
        <f t="shared" si="64"/>
        <v>8.7499999999999994E-2</v>
      </c>
      <c r="AH98" s="309">
        <f t="shared" si="65"/>
        <v>0</v>
      </c>
      <c r="AI98" s="322">
        <v>0.48299999999999998</v>
      </c>
      <c r="AJ98" s="309">
        <v>0</v>
      </c>
      <c r="AK98" s="309">
        <v>0</v>
      </c>
      <c r="AL98" s="309">
        <v>8.7499999999999994E-2</v>
      </c>
      <c r="AM98" s="309">
        <v>0</v>
      </c>
      <c r="AN98" s="140">
        <v>1.44E-2</v>
      </c>
      <c r="AO98" s="141">
        <v>0</v>
      </c>
      <c r="AP98" s="141">
        <v>0</v>
      </c>
      <c r="AQ98" s="141">
        <v>2.07E-2</v>
      </c>
      <c r="AR98" s="141">
        <v>0</v>
      </c>
      <c r="AS98" s="142">
        <v>0.03</v>
      </c>
      <c r="AT98" s="143">
        <v>0</v>
      </c>
      <c r="AU98" s="143">
        <v>0</v>
      </c>
      <c r="AV98" s="143">
        <v>7.5833999999999997E-3</v>
      </c>
      <c r="AW98" s="143">
        <v>0</v>
      </c>
      <c r="AX98" s="142">
        <v>2.8728999999999998E-3</v>
      </c>
      <c r="AY98" s="143">
        <v>0</v>
      </c>
      <c r="AZ98" s="143">
        <v>0</v>
      </c>
      <c r="BA98" s="143">
        <v>3.0442999999999998E-3</v>
      </c>
      <c r="BB98" s="143">
        <v>0</v>
      </c>
      <c r="BD98" s="50"/>
      <c r="BE98" s="183" t="s">
        <v>5378</v>
      </c>
      <c r="BF98" s="179" t="s">
        <v>42</v>
      </c>
      <c r="BG98" s="53" t="s">
        <v>15</v>
      </c>
      <c r="BI98" s="52" t="s">
        <v>3174</v>
      </c>
      <c r="BJ98" s="52" t="s">
        <v>2854</v>
      </c>
      <c r="BK98" s="179">
        <v>100</v>
      </c>
      <c r="BL98" s="179" t="s">
        <v>5379</v>
      </c>
      <c r="BM98" s="179" t="s">
        <v>3173</v>
      </c>
      <c r="BN98" s="179" t="s">
        <v>3172</v>
      </c>
      <c r="BO98" s="52" t="s">
        <v>3136</v>
      </c>
      <c r="BP98" s="179" t="s">
        <v>3171</v>
      </c>
      <c r="BQ98" s="52" t="s">
        <v>3170</v>
      </c>
      <c r="BR98" s="179">
        <v>6</v>
      </c>
      <c r="BS98" s="179" t="s">
        <v>2848</v>
      </c>
    </row>
    <row r="99" spans="1:71" ht="18.75" customHeight="1">
      <c r="A99" s="51" t="s">
        <v>80</v>
      </c>
      <c r="B99" s="205" t="s">
        <v>5558</v>
      </c>
      <c r="C99" t="s">
        <v>583</v>
      </c>
      <c r="D99" s="19">
        <v>864</v>
      </c>
      <c r="E99" s="9" t="s">
        <v>5200</v>
      </c>
      <c r="F99" s="20">
        <f t="shared" si="66"/>
        <v>1</v>
      </c>
      <c r="G99" s="19">
        <f t="shared" si="67"/>
        <v>1</v>
      </c>
      <c r="H99" s="19">
        <f t="shared" si="68"/>
        <v>1</v>
      </c>
      <c r="I99" s="19">
        <f t="shared" si="69"/>
        <v>1</v>
      </c>
      <c r="J99" s="225">
        <f t="shared" si="41"/>
        <v>4</v>
      </c>
      <c r="K99" s="226" t="str">
        <f t="shared" si="42"/>
        <v>Gq/11</v>
      </c>
      <c r="L99" s="227">
        <f t="shared" si="43"/>
        <v>4</v>
      </c>
      <c r="M99" s="228">
        <f t="shared" si="44"/>
        <v>2</v>
      </c>
      <c r="N99" s="228">
        <f t="shared" si="45"/>
        <v>1</v>
      </c>
      <c r="O99" s="228">
        <f t="shared" si="46"/>
        <v>3</v>
      </c>
      <c r="P99" s="20">
        <f t="shared" si="47"/>
        <v>4.7154751086769657</v>
      </c>
      <c r="Q99" s="19">
        <f t="shared" si="48"/>
        <v>78.392317705135454</v>
      </c>
      <c r="R99" s="19">
        <f t="shared" si="49"/>
        <v>100</v>
      </c>
      <c r="S99" s="19">
        <f t="shared" si="50"/>
        <v>17.950733109020803</v>
      </c>
      <c r="T99" s="20">
        <f t="shared" si="51"/>
        <v>0.192</v>
      </c>
      <c r="U99" s="19">
        <f t="shared" si="52"/>
        <v>3.1919</v>
      </c>
      <c r="V99" s="19">
        <f t="shared" si="53"/>
        <v>4.0716999999999999</v>
      </c>
      <c r="W99" s="19">
        <f t="shared" si="54"/>
        <v>0.73089999999999999</v>
      </c>
      <c r="X99" s="147" t="str">
        <f t="shared" si="55"/>
        <v>Gq</v>
      </c>
      <c r="Y99" s="32">
        <f t="shared" si="56"/>
        <v>4.7154751086769657</v>
      </c>
      <c r="Z99" s="31">
        <f t="shared" si="57"/>
        <v>78.392317705135454</v>
      </c>
      <c r="AA99" s="31">
        <f t="shared" si="58"/>
        <v>100</v>
      </c>
      <c r="AB99" s="31">
        <f t="shared" si="59"/>
        <v>14.401846894417567</v>
      </c>
      <c r="AC99" s="31">
        <f t="shared" si="60"/>
        <v>17.950733109020803</v>
      </c>
      <c r="AD99" s="322">
        <f t="shared" si="61"/>
        <v>0.192</v>
      </c>
      <c r="AE99" s="309">
        <f t="shared" si="62"/>
        <v>3.1919</v>
      </c>
      <c r="AF99" s="309">
        <f t="shared" si="63"/>
        <v>4.0716999999999999</v>
      </c>
      <c r="AG99" s="309">
        <f t="shared" si="64"/>
        <v>0.58640000000000003</v>
      </c>
      <c r="AH99" s="309">
        <f t="shared" si="65"/>
        <v>0.73089999999999999</v>
      </c>
      <c r="AI99" s="322">
        <v>0.192</v>
      </c>
      <c r="AJ99" s="309">
        <v>3.1919</v>
      </c>
      <c r="AK99" s="309">
        <v>4.0716999999999999</v>
      </c>
      <c r="AL99" s="309">
        <v>0.58640000000000003</v>
      </c>
      <c r="AM99" s="309">
        <v>0.73089999999999999</v>
      </c>
      <c r="AN99" s="140">
        <v>3.8699999999999998E-2</v>
      </c>
      <c r="AO99" s="141">
        <v>0.19800000000000001</v>
      </c>
      <c r="AP99" s="141">
        <v>0.1192</v>
      </c>
      <c r="AQ99" s="141">
        <v>0.1368</v>
      </c>
      <c r="AR99" s="141">
        <v>0.12820000000000001</v>
      </c>
      <c r="AS99" s="142">
        <v>2.0299999999999999E-2</v>
      </c>
      <c r="AT99" s="143">
        <v>0.16900000000000001</v>
      </c>
      <c r="AU99" s="143">
        <v>0.187</v>
      </c>
      <c r="AV99" s="143">
        <v>5.1499999999999997E-2</v>
      </c>
      <c r="AW99" s="143">
        <v>6.9699999999999998E-2</v>
      </c>
      <c r="AX99" s="142">
        <v>4.6667000000000002E-3</v>
      </c>
      <c r="AY99" s="143">
        <v>2.24E-2</v>
      </c>
      <c r="AZ99" s="143">
        <v>1.21E-2</v>
      </c>
      <c r="BA99" s="143">
        <v>3.3005E-3</v>
      </c>
      <c r="BB99" s="143">
        <v>2.2855000000000002E-3</v>
      </c>
      <c r="BD99" s="50"/>
      <c r="BE99" s="179" t="s">
        <v>5380</v>
      </c>
      <c r="BF99" s="179" t="s">
        <v>80</v>
      </c>
      <c r="BG99" s="53" t="s">
        <v>15</v>
      </c>
      <c r="BI99" s="52" t="s">
        <v>3018</v>
      </c>
      <c r="BJ99" s="52" t="s">
        <v>44</v>
      </c>
      <c r="BK99" s="179">
        <v>100</v>
      </c>
      <c r="BL99" s="179" t="s">
        <v>2861</v>
      </c>
      <c r="BM99" s="179" t="s">
        <v>2851</v>
      </c>
      <c r="BN99" s="179">
        <v>1166</v>
      </c>
      <c r="BO99" s="52" t="s">
        <v>2866</v>
      </c>
      <c r="BP99" s="179" t="s">
        <v>3021</v>
      </c>
      <c r="BQ99" s="52" t="s">
        <v>3020</v>
      </c>
      <c r="BR99" s="179">
        <v>6</v>
      </c>
      <c r="BS99" s="179" t="s">
        <v>2848</v>
      </c>
    </row>
    <row r="100" spans="1:71" ht="18.75" customHeight="1">
      <c r="A100" s="88" t="s">
        <v>81</v>
      </c>
      <c r="B100" s="205" t="s">
        <v>5558</v>
      </c>
      <c r="C100" t="s">
        <v>583</v>
      </c>
      <c r="D100" s="19">
        <v>864</v>
      </c>
      <c r="E100" s="9" t="s">
        <v>5200</v>
      </c>
      <c r="F100" s="20" t="str">
        <f t="shared" si="66"/>
        <v/>
      </c>
      <c r="G100" s="19">
        <f t="shared" si="67"/>
        <v>1</v>
      </c>
      <c r="H100" s="19">
        <f t="shared" si="68"/>
        <v>1</v>
      </c>
      <c r="I100" s="19">
        <f t="shared" si="69"/>
        <v>1</v>
      </c>
      <c r="J100" s="225">
        <f t="shared" si="41"/>
        <v>3</v>
      </c>
      <c r="K100" s="226" t="str">
        <f t="shared" si="42"/>
        <v>Gq/11</v>
      </c>
      <c r="L100" s="227">
        <f t="shared" si="43"/>
        <v>0</v>
      </c>
      <c r="M100" s="228">
        <f t="shared" si="44"/>
        <v>2</v>
      </c>
      <c r="N100" s="228">
        <f t="shared" si="45"/>
        <v>1</v>
      </c>
      <c r="O100" s="228">
        <f t="shared" si="46"/>
        <v>3</v>
      </c>
      <c r="P100" s="20">
        <f t="shared" si="47"/>
        <v>0</v>
      </c>
      <c r="Q100" s="19">
        <f t="shared" si="48"/>
        <v>33.861458206963476</v>
      </c>
      <c r="R100" s="19">
        <f t="shared" si="49"/>
        <v>100</v>
      </c>
      <c r="S100" s="19">
        <f t="shared" si="50"/>
        <v>11.951959238141452</v>
      </c>
      <c r="T100" s="20">
        <f t="shared" si="51"/>
        <v>0</v>
      </c>
      <c r="U100" s="19">
        <f t="shared" si="52"/>
        <v>1.3956</v>
      </c>
      <c r="V100" s="19">
        <f t="shared" si="53"/>
        <v>4.1215000000000002</v>
      </c>
      <c r="W100" s="19">
        <f t="shared" si="54"/>
        <v>0.49259999999999998</v>
      </c>
      <c r="X100" s="147" t="str">
        <f t="shared" si="55"/>
        <v>Gq</v>
      </c>
      <c r="Y100" s="32">
        <f t="shared" si="56"/>
        <v>0</v>
      </c>
      <c r="Z100" s="31">
        <f t="shared" si="57"/>
        <v>33.861458206963476</v>
      </c>
      <c r="AA100" s="31">
        <f t="shared" si="58"/>
        <v>100</v>
      </c>
      <c r="AB100" s="31">
        <f t="shared" si="59"/>
        <v>29.438311294431642</v>
      </c>
      <c r="AC100" s="31">
        <f t="shared" si="60"/>
        <v>11.951959238141452</v>
      </c>
      <c r="AD100" s="322">
        <f t="shared" si="61"/>
        <v>0</v>
      </c>
      <c r="AE100" s="309">
        <f t="shared" si="62"/>
        <v>1.3956</v>
      </c>
      <c r="AF100" s="309">
        <f t="shared" si="63"/>
        <v>4.1215000000000002</v>
      </c>
      <c r="AG100" s="309">
        <f t="shared" si="64"/>
        <v>1.2133</v>
      </c>
      <c r="AH100" s="309">
        <f t="shared" si="65"/>
        <v>0.49259999999999998</v>
      </c>
      <c r="AI100" s="322">
        <v>0</v>
      </c>
      <c r="AJ100" s="309">
        <v>1.3956</v>
      </c>
      <c r="AK100" s="309">
        <v>4.1215000000000002</v>
      </c>
      <c r="AL100" s="309">
        <v>1.2133</v>
      </c>
      <c r="AM100" s="309">
        <v>0.49259999999999998</v>
      </c>
      <c r="AN100" s="140">
        <v>0</v>
      </c>
      <c r="AO100" s="141">
        <v>0.1691</v>
      </c>
      <c r="AP100" s="141">
        <v>9.8000000000000004E-2</v>
      </c>
      <c r="AQ100" s="141">
        <v>0.1148</v>
      </c>
      <c r="AR100" s="141">
        <v>0.10249999999999999</v>
      </c>
      <c r="AS100" s="142">
        <v>0</v>
      </c>
      <c r="AT100" s="143">
        <v>9.8400000000000001E-2</v>
      </c>
      <c r="AU100" s="143">
        <v>0.26329999999999998</v>
      </c>
      <c r="AV100" s="143">
        <v>7.8899999999999998E-2</v>
      </c>
      <c r="AW100" s="143">
        <v>8.9800000000000005E-2</v>
      </c>
      <c r="AX100" s="142">
        <v>0</v>
      </c>
      <c r="AY100" s="143">
        <v>6.3523E-3</v>
      </c>
      <c r="AZ100" s="143">
        <v>6.0679999999999996E-3</v>
      </c>
      <c r="BA100" s="143">
        <v>6.9302000000000001E-3</v>
      </c>
      <c r="BB100" s="143">
        <v>7.9264999999999995E-3</v>
      </c>
      <c r="BD100" s="50"/>
      <c r="BE100" s="179" t="s">
        <v>5381</v>
      </c>
      <c r="BF100" s="179" t="s">
        <v>3019</v>
      </c>
      <c r="BG100" s="53" t="s">
        <v>15</v>
      </c>
      <c r="BI100" s="52" t="s">
        <v>3018</v>
      </c>
      <c r="BJ100" s="52" t="s">
        <v>44</v>
      </c>
      <c r="BK100" s="179">
        <v>100</v>
      </c>
      <c r="BL100" s="179" t="s">
        <v>2861</v>
      </c>
      <c r="BM100" s="179" t="s">
        <v>2851</v>
      </c>
      <c r="BN100" s="179">
        <v>1166</v>
      </c>
      <c r="BO100" s="52" t="s">
        <v>2866</v>
      </c>
      <c r="BP100" s="179" t="s">
        <v>3017</v>
      </c>
      <c r="BQ100" s="52" t="s">
        <v>3016</v>
      </c>
      <c r="BR100" s="179">
        <v>6</v>
      </c>
      <c r="BS100" s="179" t="s">
        <v>2848</v>
      </c>
    </row>
    <row r="101" spans="1:71" ht="18.75" customHeight="1">
      <c r="A101" s="88" t="s">
        <v>2896</v>
      </c>
      <c r="B101" s="205" t="s">
        <v>5558</v>
      </c>
      <c r="C101" t="s">
        <v>4</v>
      </c>
      <c r="D101" s="19">
        <v>70678714</v>
      </c>
      <c r="E101" s="9" t="s">
        <v>5200</v>
      </c>
      <c r="F101" s="20">
        <f t="shared" si="66"/>
        <v>1</v>
      </c>
      <c r="G101" s="19">
        <f t="shared" si="67"/>
        <v>1</v>
      </c>
      <c r="H101" s="19">
        <f t="shared" si="68"/>
        <v>1</v>
      </c>
      <c r="I101" s="19">
        <f t="shared" si="69"/>
        <v>1</v>
      </c>
      <c r="J101" s="225">
        <f t="shared" si="41"/>
        <v>4</v>
      </c>
      <c r="K101" s="226" t="str">
        <f t="shared" si="42"/>
        <v>Gs</v>
      </c>
      <c r="L101" s="227">
        <f t="shared" si="43"/>
        <v>1</v>
      </c>
      <c r="M101" s="228">
        <f t="shared" si="44"/>
        <v>3</v>
      </c>
      <c r="N101" s="228">
        <f t="shared" si="45"/>
        <v>2</v>
      </c>
      <c r="O101" s="228">
        <f t="shared" si="46"/>
        <v>4</v>
      </c>
      <c r="P101" s="20">
        <f t="shared" si="47"/>
        <v>100</v>
      </c>
      <c r="Q101" s="19">
        <f t="shared" si="48"/>
        <v>9.155954402134368</v>
      </c>
      <c r="R101" s="19">
        <f t="shared" si="49"/>
        <v>9.4494300266796021</v>
      </c>
      <c r="S101" s="19">
        <f t="shared" si="50"/>
        <v>2.3429541595925296</v>
      </c>
      <c r="T101" s="20">
        <f t="shared" si="51"/>
        <v>4.1230000000000002</v>
      </c>
      <c r="U101" s="19">
        <f t="shared" si="52"/>
        <v>0.3775</v>
      </c>
      <c r="V101" s="19">
        <f t="shared" si="53"/>
        <v>0.3896</v>
      </c>
      <c r="W101" s="19">
        <f t="shared" si="54"/>
        <v>9.6600000000000005E-2</v>
      </c>
      <c r="X101" s="147" t="str">
        <f t="shared" si="55"/>
        <v>GsL</v>
      </c>
      <c r="Y101" s="32">
        <f t="shared" si="56"/>
        <v>100</v>
      </c>
      <c r="Z101" s="31">
        <f t="shared" si="57"/>
        <v>9.155954402134368</v>
      </c>
      <c r="AA101" s="31">
        <f t="shared" si="58"/>
        <v>0</v>
      </c>
      <c r="AB101" s="31">
        <f t="shared" si="59"/>
        <v>9.4494300266796021</v>
      </c>
      <c r="AC101" s="31">
        <f t="shared" si="60"/>
        <v>2.3429541595925296</v>
      </c>
      <c r="AD101" s="322">
        <f t="shared" si="61"/>
        <v>4.1230000000000002</v>
      </c>
      <c r="AE101" s="309">
        <f t="shared" si="62"/>
        <v>0.3775</v>
      </c>
      <c r="AF101" s="309">
        <f t="shared" si="63"/>
        <v>0</v>
      </c>
      <c r="AG101" s="309">
        <f t="shared" si="64"/>
        <v>0.3896</v>
      </c>
      <c r="AH101" s="309">
        <f t="shared" si="65"/>
        <v>9.6600000000000005E-2</v>
      </c>
      <c r="AI101" s="322">
        <v>4.1230000000000002</v>
      </c>
      <c r="AJ101" s="309">
        <v>0.3775</v>
      </c>
      <c r="AK101" s="309">
        <v>0</v>
      </c>
      <c r="AL101" s="309">
        <v>0.3896</v>
      </c>
      <c r="AM101" s="309">
        <v>9.6600000000000005E-2</v>
      </c>
      <c r="AN101" s="140">
        <v>3.5900000000000001E-2</v>
      </c>
      <c r="AO101" s="141">
        <v>6.9400000000000003E-2</v>
      </c>
      <c r="AP101" s="141">
        <v>0</v>
      </c>
      <c r="AQ101" s="141">
        <v>3.9800000000000002E-2</v>
      </c>
      <c r="AR101" s="141">
        <v>3.0200000000000001E-2</v>
      </c>
      <c r="AS101" s="142">
        <v>0.50649999999999995</v>
      </c>
      <c r="AT101" s="143">
        <v>5.8900000000000001E-2</v>
      </c>
      <c r="AU101" s="143">
        <v>0</v>
      </c>
      <c r="AV101" s="143">
        <v>4.41E-2</v>
      </c>
      <c r="AW101" s="143">
        <v>6.6092E-3</v>
      </c>
      <c r="AX101" s="142">
        <v>5.7830999999999996E-4</v>
      </c>
      <c r="AY101" s="143">
        <v>1.8809E-3</v>
      </c>
      <c r="AZ101" s="143">
        <v>0</v>
      </c>
      <c r="BA101" s="143">
        <v>3.6557E-3</v>
      </c>
      <c r="BB101" s="143">
        <v>1.0476999999999999E-3</v>
      </c>
      <c r="BD101" s="50"/>
      <c r="BE101" s="179" t="s">
        <v>5382</v>
      </c>
      <c r="BF101" s="179" t="s">
        <v>2896</v>
      </c>
      <c r="BG101" s="53" t="s">
        <v>2892</v>
      </c>
      <c r="BI101" s="52" t="s">
        <v>2891</v>
      </c>
      <c r="BJ101" s="52" t="s">
        <v>44</v>
      </c>
      <c r="BK101" s="179">
        <v>10</v>
      </c>
      <c r="BL101" s="179" t="s">
        <v>5383</v>
      </c>
      <c r="BM101" s="179" t="s">
        <v>2890</v>
      </c>
      <c r="BN101" s="179" t="s">
        <v>2889</v>
      </c>
      <c r="BO101" s="52" t="s">
        <v>2866</v>
      </c>
      <c r="BP101" s="179" t="s">
        <v>2895</v>
      </c>
      <c r="BQ101" s="52" t="s">
        <v>2894</v>
      </c>
      <c r="BR101" s="179">
        <v>1</v>
      </c>
      <c r="BS101" s="179" t="s">
        <v>2848</v>
      </c>
    </row>
    <row r="102" spans="1:71" ht="18.75" customHeight="1">
      <c r="A102" s="88" t="s">
        <v>2893</v>
      </c>
      <c r="B102" s="205" t="s">
        <v>5558</v>
      </c>
      <c r="C102" t="s">
        <v>4</v>
      </c>
      <c r="D102" s="19">
        <v>70678714</v>
      </c>
      <c r="E102" s="9" t="s">
        <v>5200</v>
      </c>
      <c r="F102" s="20">
        <f t="shared" si="66"/>
        <v>1</v>
      </c>
      <c r="G102" s="19">
        <f t="shared" si="67"/>
        <v>1</v>
      </c>
      <c r="H102" s="19">
        <f t="shared" si="68"/>
        <v>1</v>
      </c>
      <c r="I102" s="19" t="str">
        <f t="shared" si="69"/>
        <v/>
      </c>
      <c r="J102" s="225">
        <f>COUNTIF(L102:O102,"&gt;0")</f>
        <v>3</v>
      </c>
      <c r="K102" s="226" t="str">
        <f t="shared" si="42"/>
        <v>Gs</v>
      </c>
      <c r="L102" s="227">
        <f>IF(T102=0,0,_xlfn.RANK.EQ(T102,$T102:$W102,0))</f>
        <v>1</v>
      </c>
      <c r="M102" s="228">
        <f t="shared" si="44"/>
        <v>3</v>
      </c>
      <c r="N102" s="228">
        <f t="shared" si="45"/>
        <v>2</v>
      </c>
      <c r="O102" s="228">
        <f t="shared" si="46"/>
        <v>0</v>
      </c>
      <c r="P102" s="20">
        <f>T102/MAX($T102:$W102)*100</f>
        <v>100</v>
      </c>
      <c r="Q102" s="19">
        <f t="shared" si="48"/>
        <v>12.713040031708264</v>
      </c>
      <c r="R102" s="19">
        <f t="shared" si="49"/>
        <v>13.602853745541024</v>
      </c>
      <c r="S102" s="19">
        <f>W102/MAX($T102:$W102)*100</f>
        <v>0</v>
      </c>
      <c r="T102" s="20">
        <f t="shared" si="51"/>
        <v>1.6819999999999999</v>
      </c>
      <c r="U102" s="19">
        <f t="shared" si="52"/>
        <v>0.21383333333333299</v>
      </c>
      <c r="V102" s="19">
        <f t="shared" si="53"/>
        <v>0.2288</v>
      </c>
      <c r="W102" s="19">
        <f t="shared" si="54"/>
        <v>0</v>
      </c>
      <c r="X102" s="147" t="str">
        <f t="shared" si="55"/>
        <v>GsL</v>
      </c>
      <c r="Y102" s="32">
        <f t="shared" si="56"/>
        <v>100</v>
      </c>
      <c r="Z102" s="31">
        <f t="shared" si="57"/>
        <v>12.713040031708264</v>
      </c>
      <c r="AA102" s="31">
        <f t="shared" si="58"/>
        <v>0</v>
      </c>
      <c r="AB102" s="31">
        <f t="shared" si="59"/>
        <v>13.602853745541024</v>
      </c>
      <c r="AC102" s="31">
        <f t="shared" si="60"/>
        <v>0</v>
      </c>
      <c r="AD102" s="322">
        <f t="shared" si="61"/>
        <v>1.6819999999999999</v>
      </c>
      <c r="AE102" s="309">
        <f t="shared" si="62"/>
        <v>0.21383333333333299</v>
      </c>
      <c r="AF102" s="309">
        <f t="shared" si="63"/>
        <v>0</v>
      </c>
      <c r="AG102" s="309">
        <f t="shared" si="64"/>
        <v>0.2288</v>
      </c>
      <c r="AH102" s="309">
        <f t="shared" si="65"/>
        <v>0</v>
      </c>
      <c r="AI102" s="322">
        <v>1.6819999999999999</v>
      </c>
      <c r="AJ102" s="309">
        <v>0.21383333333333299</v>
      </c>
      <c r="AK102" s="309">
        <v>0</v>
      </c>
      <c r="AL102" s="309">
        <v>0.2288</v>
      </c>
      <c r="AM102" s="309">
        <v>0</v>
      </c>
      <c r="AN102" s="140">
        <v>2.66666666666667E-2</v>
      </c>
      <c r="AO102" s="141">
        <v>4.6366666666666702E-2</v>
      </c>
      <c r="AP102" s="141">
        <v>0</v>
      </c>
      <c r="AQ102" s="141">
        <v>4.9700000000000001E-2</v>
      </c>
      <c r="AR102" s="141">
        <v>0</v>
      </c>
      <c r="AS102" s="142">
        <v>0.12318117190184399</v>
      </c>
      <c r="AT102" s="143">
        <v>9.1677575108517102E-3</v>
      </c>
      <c r="AU102" s="143">
        <v>0</v>
      </c>
      <c r="AV102" s="143">
        <v>1.4347241314389801E-2</v>
      </c>
      <c r="AW102" s="143">
        <v>0</v>
      </c>
      <c r="AX102" s="142">
        <v>2.0275875100994102E-3</v>
      </c>
      <c r="AY102" s="143">
        <v>1.78916492004262E-3</v>
      </c>
      <c r="AZ102" s="143">
        <v>0</v>
      </c>
      <c r="BA102" s="143">
        <v>4.7542963026438803E-3</v>
      </c>
      <c r="BB102" s="143">
        <v>0</v>
      </c>
      <c r="BD102" s="50"/>
      <c r="BE102" s="179" t="s">
        <v>5384</v>
      </c>
      <c r="BF102" s="179" t="s">
        <v>2893</v>
      </c>
      <c r="BG102" s="53" t="s">
        <v>2892</v>
      </c>
      <c r="BI102" s="52" t="s">
        <v>2891</v>
      </c>
      <c r="BJ102" s="52" t="s">
        <v>44</v>
      </c>
      <c r="BK102" s="179">
        <v>10</v>
      </c>
      <c r="BL102" s="179" t="s">
        <v>5385</v>
      </c>
      <c r="BM102" s="179" t="s">
        <v>2890</v>
      </c>
      <c r="BN102" s="179" t="s">
        <v>2889</v>
      </c>
      <c r="BO102" s="52" t="s">
        <v>2866</v>
      </c>
      <c r="BP102" s="179" t="s">
        <v>2888</v>
      </c>
      <c r="BQ102" s="52" t="s">
        <v>2887</v>
      </c>
      <c r="BR102" s="179">
        <v>1</v>
      </c>
      <c r="BS102" s="179" t="s">
        <v>2848</v>
      </c>
    </row>
    <row r="103" spans="1:71" ht="18.75" customHeight="1">
      <c r="A103" s="88" t="s">
        <v>183</v>
      </c>
      <c r="B103" s="205" t="s">
        <v>5558</v>
      </c>
      <c r="C103" t="s">
        <v>583</v>
      </c>
      <c r="D103" s="19">
        <v>1623</v>
      </c>
      <c r="E103" s="9" t="s">
        <v>5200</v>
      </c>
      <c r="F103" s="20" t="str">
        <f t="shared" si="66"/>
        <v/>
      </c>
      <c r="G103" s="19">
        <f t="shared" si="67"/>
        <v>1</v>
      </c>
      <c r="H103" s="19" t="str">
        <f t="shared" si="68"/>
        <v/>
      </c>
      <c r="I103" s="19" t="str">
        <f t="shared" si="69"/>
        <v/>
      </c>
      <c r="J103" s="225">
        <f t="shared" ref="J103:J117" si="70">COUNTIF(L103:O103,"&gt;0")</f>
        <v>1</v>
      </c>
      <c r="K103" s="226" t="str">
        <f t="shared" si="42"/>
        <v>Gi/o</v>
      </c>
      <c r="L103" s="227">
        <f t="shared" ref="L103:L117" si="71">IF(T103=0,0,_xlfn.RANK.EQ(T103,$T103:$W103,0))</f>
        <v>0</v>
      </c>
      <c r="M103" s="228">
        <f t="shared" si="44"/>
        <v>1</v>
      </c>
      <c r="N103" s="228">
        <f t="shared" si="45"/>
        <v>0</v>
      </c>
      <c r="O103" s="228">
        <f t="shared" si="46"/>
        <v>0</v>
      </c>
      <c r="P103" s="20">
        <f t="shared" ref="P103:P117" si="72">T103/MAX($T103:$W103)*100</f>
        <v>0</v>
      </c>
      <c r="Q103" s="19">
        <f t="shared" si="48"/>
        <v>100</v>
      </c>
      <c r="R103" s="19">
        <f t="shared" si="49"/>
        <v>0</v>
      </c>
      <c r="S103" s="19">
        <f t="shared" ref="S103:S117" si="73">W103/MAX($T103:$W103)*100</f>
        <v>0</v>
      </c>
      <c r="T103" s="20">
        <f t="shared" si="51"/>
        <v>0</v>
      </c>
      <c r="U103" s="19">
        <f t="shared" si="52"/>
        <v>1.3058000000000001</v>
      </c>
      <c r="V103" s="19">
        <f t="shared" si="53"/>
        <v>0</v>
      </c>
      <c r="W103" s="19">
        <f t="shared" si="54"/>
        <v>0</v>
      </c>
      <c r="X103" s="147" t="str">
        <f t="shared" si="55"/>
        <v>GoA</v>
      </c>
      <c r="Y103" s="32">
        <f t="shared" si="56"/>
        <v>0</v>
      </c>
      <c r="Z103" s="31">
        <f t="shared" si="57"/>
        <v>100</v>
      </c>
      <c r="AA103" s="31">
        <f t="shared" si="58"/>
        <v>0</v>
      </c>
      <c r="AB103" s="31">
        <f t="shared" si="59"/>
        <v>0</v>
      </c>
      <c r="AC103" s="31">
        <f t="shared" si="60"/>
        <v>0</v>
      </c>
      <c r="AD103" s="322">
        <f t="shared" si="61"/>
        <v>0</v>
      </c>
      <c r="AE103" s="309">
        <f t="shared" si="62"/>
        <v>1.3058000000000001</v>
      </c>
      <c r="AF103" s="309">
        <f t="shared" si="63"/>
        <v>0</v>
      </c>
      <c r="AG103" s="309">
        <f t="shared" si="64"/>
        <v>0</v>
      </c>
      <c r="AH103" s="309">
        <f t="shared" si="65"/>
        <v>0</v>
      </c>
      <c r="AI103" s="322">
        <v>0</v>
      </c>
      <c r="AJ103" s="309">
        <v>1.3058000000000001</v>
      </c>
      <c r="AK103" s="309">
        <v>0</v>
      </c>
      <c r="AL103" s="309">
        <v>0</v>
      </c>
      <c r="AM103" s="309">
        <v>0</v>
      </c>
      <c r="AN103" s="140">
        <v>0</v>
      </c>
      <c r="AO103" s="141">
        <v>8.6800000000000002E-2</v>
      </c>
      <c r="AP103" s="141">
        <v>0</v>
      </c>
      <c r="AQ103" s="141">
        <v>0</v>
      </c>
      <c r="AR103" s="141">
        <v>0</v>
      </c>
      <c r="AS103" s="142">
        <v>0</v>
      </c>
      <c r="AT103" s="143">
        <v>1.1900000000000001E-2</v>
      </c>
      <c r="AU103" s="143">
        <v>0</v>
      </c>
      <c r="AV103" s="143">
        <v>0</v>
      </c>
      <c r="AW103" s="143">
        <v>0</v>
      </c>
      <c r="AX103" s="142">
        <v>0</v>
      </c>
      <c r="AY103" s="143">
        <v>5.4000000000000003E-3</v>
      </c>
      <c r="AZ103" s="143">
        <v>0</v>
      </c>
      <c r="BA103" s="143">
        <v>0</v>
      </c>
      <c r="BB103" s="143">
        <v>0</v>
      </c>
      <c r="BD103" s="50"/>
      <c r="BE103" s="179" t="s">
        <v>3126</v>
      </c>
      <c r="BF103" s="179" t="s">
        <v>3125</v>
      </c>
      <c r="BG103" s="53" t="s">
        <v>15</v>
      </c>
      <c r="BI103" s="52" t="s">
        <v>3124</v>
      </c>
      <c r="BJ103" s="52" t="s">
        <v>44</v>
      </c>
      <c r="BK103" s="180">
        <v>100</v>
      </c>
      <c r="BL103" s="180" t="s">
        <v>5386</v>
      </c>
      <c r="BM103" s="180" t="s">
        <v>2851</v>
      </c>
      <c r="BN103" s="180">
        <v>1055</v>
      </c>
      <c r="BO103" s="52" t="s">
        <v>2866</v>
      </c>
      <c r="BP103" s="179" t="s">
        <v>3123</v>
      </c>
      <c r="BQ103" s="52" t="s">
        <v>3122</v>
      </c>
      <c r="BR103" s="179">
        <v>12</v>
      </c>
      <c r="BS103" s="179" t="s">
        <v>2848</v>
      </c>
    </row>
    <row r="104" spans="1:71" ht="18.75" customHeight="1">
      <c r="A104" s="88" t="s">
        <v>181</v>
      </c>
      <c r="B104" s="205" t="s">
        <v>5558</v>
      </c>
      <c r="C104" t="s">
        <v>583</v>
      </c>
      <c r="D104" s="19">
        <v>1613</v>
      </c>
      <c r="E104" s="9" t="s">
        <v>5200</v>
      </c>
      <c r="F104" s="20" t="str">
        <f t="shared" si="66"/>
        <v/>
      </c>
      <c r="G104" s="19">
        <f t="shared" si="67"/>
        <v>1</v>
      </c>
      <c r="H104" s="19">
        <f t="shared" si="68"/>
        <v>1</v>
      </c>
      <c r="I104" s="19" t="str">
        <f t="shared" si="69"/>
        <v/>
      </c>
      <c r="J104" s="225">
        <f t="shared" si="70"/>
        <v>2</v>
      </c>
      <c r="K104" s="226" t="str">
        <f t="shared" si="42"/>
        <v>Gi/o</v>
      </c>
      <c r="L104" s="227">
        <f t="shared" si="71"/>
        <v>0</v>
      </c>
      <c r="M104" s="228">
        <f t="shared" si="44"/>
        <v>1</v>
      </c>
      <c r="N104" s="228">
        <f t="shared" si="45"/>
        <v>2</v>
      </c>
      <c r="O104" s="228">
        <f t="shared" si="46"/>
        <v>0</v>
      </c>
      <c r="P104" s="20">
        <f t="shared" si="72"/>
        <v>0</v>
      </c>
      <c r="Q104" s="19">
        <f t="shared" si="48"/>
        <v>100</v>
      </c>
      <c r="R104" s="19">
        <f t="shared" si="49"/>
        <v>1.1175670016750419</v>
      </c>
      <c r="S104" s="19">
        <f t="shared" si="73"/>
        <v>0</v>
      </c>
      <c r="T104" s="20">
        <f t="shared" si="51"/>
        <v>0</v>
      </c>
      <c r="U104" s="19">
        <f t="shared" si="52"/>
        <v>3.8208000000000002</v>
      </c>
      <c r="V104" s="19">
        <f t="shared" si="53"/>
        <v>4.2700000000000002E-2</v>
      </c>
      <c r="W104" s="19">
        <f t="shared" si="54"/>
        <v>0</v>
      </c>
      <c r="X104" s="147" t="str">
        <f t="shared" si="55"/>
        <v>GoA</v>
      </c>
      <c r="Y104" s="32">
        <f t="shared" si="56"/>
        <v>0</v>
      </c>
      <c r="Z104" s="31">
        <f t="shared" si="57"/>
        <v>100</v>
      </c>
      <c r="AA104" s="31">
        <f t="shared" si="58"/>
        <v>0</v>
      </c>
      <c r="AB104" s="31">
        <f t="shared" si="59"/>
        <v>1.1175670016750419</v>
      </c>
      <c r="AC104" s="31">
        <f t="shared" si="60"/>
        <v>0</v>
      </c>
      <c r="AD104" s="322">
        <f t="shared" si="61"/>
        <v>0</v>
      </c>
      <c r="AE104" s="309">
        <f t="shared" si="62"/>
        <v>3.8208000000000002</v>
      </c>
      <c r="AF104" s="309">
        <f t="shared" si="63"/>
        <v>0</v>
      </c>
      <c r="AG104" s="309">
        <f t="shared" si="64"/>
        <v>4.2700000000000002E-2</v>
      </c>
      <c r="AH104" s="309">
        <f t="shared" si="65"/>
        <v>0</v>
      </c>
      <c r="AI104" s="322">
        <v>0</v>
      </c>
      <c r="AJ104" s="309">
        <v>3.8208000000000002</v>
      </c>
      <c r="AK104" s="309">
        <v>0</v>
      </c>
      <c r="AL104" s="309">
        <v>4.2700000000000002E-2</v>
      </c>
      <c r="AM104" s="309">
        <v>0</v>
      </c>
      <c r="AN104" s="140">
        <v>0</v>
      </c>
      <c r="AO104" s="141">
        <v>5.8000000000000003E-2</v>
      </c>
      <c r="AP104" s="141">
        <v>0</v>
      </c>
      <c r="AQ104" s="141">
        <v>3.32E-2</v>
      </c>
      <c r="AR104" s="141">
        <v>0</v>
      </c>
      <c r="AS104" s="142">
        <v>0</v>
      </c>
      <c r="AT104" s="143">
        <v>0.24110000000000001</v>
      </c>
      <c r="AU104" s="143">
        <v>0</v>
      </c>
      <c r="AV104" s="143">
        <v>1.374E-3</v>
      </c>
      <c r="AW104" s="143">
        <v>0</v>
      </c>
      <c r="AX104" s="142">
        <v>0</v>
      </c>
      <c r="AY104" s="143">
        <v>3.7642999999999999E-3</v>
      </c>
      <c r="AZ104" s="143">
        <v>0</v>
      </c>
      <c r="BA104" s="143">
        <v>2.6689999999999999E-3</v>
      </c>
      <c r="BB104" s="143">
        <v>0</v>
      </c>
      <c r="BD104" s="50"/>
      <c r="BE104" s="179" t="s">
        <v>3121</v>
      </c>
      <c r="BF104" s="179" t="s">
        <v>3120</v>
      </c>
      <c r="BG104" s="53" t="s">
        <v>15</v>
      </c>
      <c r="BI104" s="52" t="s">
        <v>3119</v>
      </c>
      <c r="BJ104" s="52" t="s">
        <v>44</v>
      </c>
      <c r="BK104" s="180">
        <v>10</v>
      </c>
      <c r="BL104" s="180" t="s">
        <v>5387</v>
      </c>
      <c r="BM104" s="180" t="s">
        <v>2851</v>
      </c>
      <c r="BN104" s="180">
        <v>1889</v>
      </c>
      <c r="BO104" s="52" t="s">
        <v>2866</v>
      </c>
      <c r="BP104" s="179" t="s">
        <v>3118</v>
      </c>
      <c r="BQ104" s="52" t="s">
        <v>3117</v>
      </c>
      <c r="BR104" s="179">
        <v>1</v>
      </c>
      <c r="BS104" s="179" t="s">
        <v>2848</v>
      </c>
    </row>
    <row r="105" spans="1:71" ht="18.75" customHeight="1">
      <c r="A105" s="51" t="s">
        <v>3254</v>
      </c>
      <c r="B105" s="205" t="s">
        <v>5558</v>
      </c>
      <c r="C105" t="s">
        <v>4</v>
      </c>
      <c r="D105" s="19">
        <v>56649300</v>
      </c>
      <c r="E105" s="9" t="s">
        <v>5201</v>
      </c>
      <c r="F105" s="20">
        <f t="shared" si="66"/>
        <v>1</v>
      </c>
      <c r="G105" s="19">
        <f t="shared" si="67"/>
        <v>1</v>
      </c>
      <c r="H105" s="19">
        <f t="shared" si="68"/>
        <v>1</v>
      </c>
      <c r="I105" s="19" t="str">
        <f t="shared" si="69"/>
        <v/>
      </c>
      <c r="J105" s="225">
        <f t="shared" si="70"/>
        <v>3</v>
      </c>
      <c r="K105" s="226" t="str">
        <f t="shared" si="42"/>
        <v>Gs</v>
      </c>
      <c r="L105" s="227">
        <f t="shared" si="71"/>
        <v>1</v>
      </c>
      <c r="M105" s="228">
        <f t="shared" si="44"/>
        <v>3</v>
      </c>
      <c r="N105" s="228">
        <f t="shared" si="45"/>
        <v>2</v>
      </c>
      <c r="O105" s="228">
        <f t="shared" si="46"/>
        <v>0</v>
      </c>
      <c r="P105" s="20">
        <f t="shared" si="72"/>
        <v>100</v>
      </c>
      <c r="Q105" s="19">
        <f t="shared" si="48"/>
        <v>46.529209621993147</v>
      </c>
      <c r="R105" s="19">
        <f t="shared" si="49"/>
        <v>62.130584192439699</v>
      </c>
      <c r="S105" s="19">
        <f t="shared" si="73"/>
        <v>0</v>
      </c>
      <c r="T105" s="20">
        <f t="shared" si="51"/>
        <v>0.19400000000000001</v>
      </c>
      <c r="U105" s="19">
        <f t="shared" si="52"/>
        <v>9.0266666666666703E-2</v>
      </c>
      <c r="V105" s="19">
        <f t="shared" si="53"/>
        <v>0.12053333333333301</v>
      </c>
      <c r="W105" s="19">
        <f t="shared" si="54"/>
        <v>0</v>
      </c>
      <c r="X105" s="147" t="str">
        <f t="shared" si="55"/>
        <v>GsL</v>
      </c>
      <c r="Y105" s="32">
        <f t="shared" si="56"/>
        <v>100</v>
      </c>
      <c r="Z105" s="31">
        <f t="shared" si="57"/>
        <v>46.529209621993147</v>
      </c>
      <c r="AA105" s="31">
        <f t="shared" si="58"/>
        <v>0</v>
      </c>
      <c r="AB105" s="31">
        <f t="shared" si="59"/>
        <v>62.130584192439699</v>
      </c>
      <c r="AC105" s="31">
        <f t="shared" si="60"/>
        <v>0</v>
      </c>
      <c r="AD105" s="322">
        <f t="shared" si="61"/>
        <v>0.19400000000000001</v>
      </c>
      <c r="AE105" s="309">
        <f t="shared" si="62"/>
        <v>9.0266666666666703E-2</v>
      </c>
      <c r="AF105" s="309">
        <f t="shared" si="63"/>
        <v>0</v>
      </c>
      <c r="AG105" s="309">
        <f t="shared" si="64"/>
        <v>0.12053333333333301</v>
      </c>
      <c r="AH105" s="309">
        <f t="shared" si="65"/>
        <v>0</v>
      </c>
      <c r="AI105" s="322">
        <v>0.19400000000000001</v>
      </c>
      <c r="AJ105" s="309">
        <v>9.0266666666666703E-2</v>
      </c>
      <c r="AK105" s="309">
        <v>0</v>
      </c>
      <c r="AL105" s="309">
        <v>0.12053333333333301</v>
      </c>
      <c r="AM105" s="309">
        <v>0</v>
      </c>
      <c r="AN105" s="140">
        <v>1.3933333333333299E-2</v>
      </c>
      <c r="AO105" s="141">
        <v>3.1133333333333299E-3</v>
      </c>
      <c r="AP105" s="141">
        <v>0</v>
      </c>
      <c r="AQ105" s="141">
        <v>1.1333333333333299E-2</v>
      </c>
      <c r="AR105" s="141">
        <v>0</v>
      </c>
      <c r="AS105" s="142">
        <v>8.6190357800497407E-3</v>
      </c>
      <c r="AT105" s="143">
        <v>6.2496222108042402E-3</v>
      </c>
      <c r="AU105" s="143">
        <v>0</v>
      </c>
      <c r="AV105" s="143">
        <v>8.2890154890540406E-3</v>
      </c>
      <c r="AW105" s="143">
        <v>0</v>
      </c>
      <c r="AX105" s="142">
        <v>1.1050389636167201E-3</v>
      </c>
      <c r="AY105" s="143">
        <v>7.7255708167386905E-4</v>
      </c>
      <c r="AZ105" s="143">
        <v>0</v>
      </c>
      <c r="BA105" s="143">
        <v>6.88799277325726E-4</v>
      </c>
      <c r="BB105" s="143">
        <v>0</v>
      </c>
      <c r="BD105" s="50"/>
      <c r="BE105" s="179" t="s">
        <v>3254</v>
      </c>
      <c r="BF105" s="179" t="s">
        <v>3254</v>
      </c>
      <c r="BG105" s="53" t="s">
        <v>15</v>
      </c>
      <c r="BI105" s="52" t="s">
        <v>3253</v>
      </c>
      <c r="BJ105" s="52" t="s">
        <v>3252</v>
      </c>
      <c r="BK105" s="179">
        <v>10</v>
      </c>
      <c r="BL105" s="179"/>
      <c r="BM105" s="179" t="s">
        <v>2851</v>
      </c>
      <c r="BN105" s="179">
        <v>6784</v>
      </c>
      <c r="BO105" s="52" t="s">
        <v>2866</v>
      </c>
      <c r="BP105" s="179" t="s">
        <v>3251</v>
      </c>
      <c r="BQ105" s="52" t="s">
        <v>3250</v>
      </c>
      <c r="BR105" s="179">
        <v>12</v>
      </c>
      <c r="BS105" s="179" t="s">
        <v>2848</v>
      </c>
    </row>
    <row r="106" spans="1:71" ht="18.75" customHeight="1">
      <c r="A106" s="51" t="s">
        <v>128</v>
      </c>
      <c r="B106" s="205" t="s">
        <v>5558</v>
      </c>
      <c r="C106" t="s">
        <v>4</v>
      </c>
      <c r="D106" s="19">
        <v>16133831</v>
      </c>
      <c r="E106" s="9" t="s">
        <v>5200</v>
      </c>
      <c r="F106" s="20">
        <f t="shared" si="66"/>
        <v>1</v>
      </c>
      <c r="G106" s="19">
        <f t="shared" si="67"/>
        <v>1</v>
      </c>
      <c r="H106" s="19">
        <f t="shared" si="68"/>
        <v>1</v>
      </c>
      <c r="I106" s="19" t="str">
        <f t="shared" si="69"/>
        <v/>
      </c>
      <c r="J106" s="225">
        <f t="shared" si="70"/>
        <v>3</v>
      </c>
      <c r="K106" s="226" t="str">
        <f t="shared" si="42"/>
        <v>Gs</v>
      </c>
      <c r="L106" s="227">
        <f t="shared" si="71"/>
        <v>1</v>
      </c>
      <c r="M106" s="228">
        <f t="shared" si="44"/>
        <v>2</v>
      </c>
      <c r="N106" s="228">
        <f t="shared" si="45"/>
        <v>3</v>
      </c>
      <c r="O106" s="228">
        <f t="shared" si="46"/>
        <v>0</v>
      </c>
      <c r="P106" s="20">
        <f t="shared" si="72"/>
        <v>100</v>
      </c>
      <c r="Q106" s="19">
        <f t="shared" si="48"/>
        <v>17.184966838614592</v>
      </c>
      <c r="R106" s="19">
        <f t="shared" si="49"/>
        <v>4.2446573323507737</v>
      </c>
      <c r="S106" s="19">
        <f t="shared" si="73"/>
        <v>0</v>
      </c>
      <c r="T106" s="20">
        <f t="shared" si="51"/>
        <v>1.357</v>
      </c>
      <c r="U106" s="19">
        <f t="shared" si="52"/>
        <v>0.23319999999999999</v>
      </c>
      <c r="V106" s="19">
        <f t="shared" si="53"/>
        <v>5.7599999999999998E-2</v>
      </c>
      <c r="W106" s="19">
        <f t="shared" si="54"/>
        <v>0</v>
      </c>
      <c r="X106" s="147" t="str">
        <f t="shared" si="55"/>
        <v>GsL</v>
      </c>
      <c r="Y106" s="32">
        <f t="shared" si="56"/>
        <v>100</v>
      </c>
      <c r="Z106" s="31">
        <f t="shared" si="57"/>
        <v>17.184966838614592</v>
      </c>
      <c r="AA106" s="31">
        <f t="shared" si="58"/>
        <v>0</v>
      </c>
      <c r="AB106" s="31">
        <f t="shared" si="59"/>
        <v>4.2446573323507737</v>
      </c>
      <c r="AC106" s="31">
        <f t="shared" si="60"/>
        <v>0</v>
      </c>
      <c r="AD106" s="322">
        <f t="shared" si="61"/>
        <v>1.357</v>
      </c>
      <c r="AE106" s="309">
        <f t="shared" si="62"/>
        <v>0.23319999999999999</v>
      </c>
      <c r="AF106" s="309">
        <f t="shared" si="63"/>
        <v>0</v>
      </c>
      <c r="AG106" s="309">
        <f t="shared" si="64"/>
        <v>5.7599999999999998E-2</v>
      </c>
      <c r="AH106" s="309">
        <f t="shared" si="65"/>
        <v>0</v>
      </c>
      <c r="AI106" s="322">
        <v>1.357</v>
      </c>
      <c r="AJ106" s="309">
        <v>0.23319999999999999</v>
      </c>
      <c r="AK106" s="309">
        <v>0</v>
      </c>
      <c r="AL106" s="309">
        <v>5.7599999999999998E-2</v>
      </c>
      <c r="AM106" s="309">
        <v>0</v>
      </c>
      <c r="AN106" s="140">
        <v>3.44E-2</v>
      </c>
      <c r="AO106" s="141">
        <v>8.0799999999999997E-2</v>
      </c>
      <c r="AP106" s="141">
        <v>0</v>
      </c>
      <c r="AQ106" s="141">
        <v>6.6199999999999995E-2</v>
      </c>
      <c r="AR106" s="141">
        <v>0</v>
      </c>
      <c r="AS106" s="142">
        <v>9.9199999999999997E-2</v>
      </c>
      <c r="AT106" s="143">
        <v>1.1900000000000001E-2</v>
      </c>
      <c r="AU106" s="143">
        <v>0</v>
      </c>
      <c r="AV106" s="143">
        <v>2.8869E-3</v>
      </c>
      <c r="AW106" s="143">
        <v>0</v>
      </c>
      <c r="AX106" s="142">
        <v>4.3359999999999996E-3</v>
      </c>
      <c r="AY106" s="143">
        <v>6.8878999999999998E-3</v>
      </c>
      <c r="AZ106" s="143">
        <v>0</v>
      </c>
      <c r="BA106" s="143">
        <v>8.6385000000000003E-3</v>
      </c>
      <c r="BB106" s="143">
        <v>0</v>
      </c>
      <c r="BD106" s="50"/>
      <c r="BE106" s="179" t="s">
        <v>128</v>
      </c>
      <c r="BF106" s="179" t="s">
        <v>128</v>
      </c>
      <c r="BG106" s="53" t="s">
        <v>2892</v>
      </c>
      <c r="BI106" s="52" t="s">
        <v>2933</v>
      </c>
      <c r="BJ106" s="52" t="s">
        <v>44</v>
      </c>
      <c r="BK106" s="179">
        <v>10</v>
      </c>
      <c r="BL106" s="179" t="s">
        <v>5388</v>
      </c>
      <c r="BM106" s="179" t="s">
        <v>2932</v>
      </c>
      <c r="BN106" s="179" t="s">
        <v>2931</v>
      </c>
      <c r="BO106" s="52" t="s">
        <v>2850</v>
      </c>
      <c r="BP106" s="179" t="s">
        <v>2849</v>
      </c>
      <c r="BQ106" s="52" t="s">
        <v>2930</v>
      </c>
      <c r="BR106" s="179">
        <v>6</v>
      </c>
      <c r="BS106" s="179" t="s">
        <v>2848</v>
      </c>
    </row>
    <row r="107" spans="1:71" ht="18.75" customHeight="1">
      <c r="A107" s="51" t="s">
        <v>129</v>
      </c>
      <c r="B107" s="205" t="s">
        <v>5558</v>
      </c>
      <c r="C107" t="s">
        <v>4</v>
      </c>
      <c r="D107" s="19">
        <v>90488756</v>
      </c>
      <c r="E107" s="9" t="s">
        <v>5200</v>
      </c>
      <c r="F107" s="20">
        <f t="shared" si="66"/>
        <v>1</v>
      </c>
      <c r="G107" s="19">
        <f t="shared" si="67"/>
        <v>1</v>
      </c>
      <c r="H107" s="19">
        <f t="shared" si="68"/>
        <v>1</v>
      </c>
      <c r="I107" s="19" t="str">
        <f t="shared" si="69"/>
        <v/>
      </c>
      <c r="J107" s="225">
        <f t="shared" si="70"/>
        <v>3</v>
      </c>
      <c r="K107" s="226" t="str">
        <f t="shared" si="42"/>
        <v>Gs</v>
      </c>
      <c r="L107" s="227">
        <f t="shared" si="71"/>
        <v>1</v>
      </c>
      <c r="M107" s="228">
        <f t="shared" si="44"/>
        <v>2</v>
      </c>
      <c r="N107" s="228">
        <f t="shared" si="45"/>
        <v>3</v>
      </c>
      <c r="O107" s="228">
        <f t="shared" si="46"/>
        <v>0</v>
      </c>
      <c r="P107" s="20">
        <f t="shared" si="72"/>
        <v>100</v>
      </c>
      <c r="Q107" s="19">
        <f t="shared" si="48"/>
        <v>85.954692556634299</v>
      </c>
      <c r="R107" s="19">
        <f t="shared" si="49"/>
        <v>3.8996763754045309</v>
      </c>
      <c r="S107" s="19">
        <f t="shared" si="73"/>
        <v>0</v>
      </c>
      <c r="T107" s="20">
        <f t="shared" si="51"/>
        <v>0.61799999999999999</v>
      </c>
      <c r="U107" s="19">
        <f t="shared" si="52"/>
        <v>0.53120000000000001</v>
      </c>
      <c r="V107" s="19">
        <f t="shared" si="53"/>
        <v>2.41E-2</v>
      </c>
      <c r="W107" s="19">
        <f t="shared" si="54"/>
        <v>0</v>
      </c>
      <c r="X107" s="147" t="str">
        <f t="shared" si="55"/>
        <v>GsL</v>
      </c>
      <c r="Y107" s="32">
        <f t="shared" si="56"/>
        <v>100</v>
      </c>
      <c r="Z107" s="31">
        <f t="shared" si="57"/>
        <v>85.954692556634299</v>
      </c>
      <c r="AA107" s="31">
        <f t="shared" si="58"/>
        <v>0</v>
      </c>
      <c r="AB107" s="31">
        <f t="shared" si="59"/>
        <v>3.8996763754045309</v>
      </c>
      <c r="AC107" s="31">
        <f t="shared" si="60"/>
        <v>0</v>
      </c>
      <c r="AD107" s="322">
        <f t="shared" si="61"/>
        <v>0.61799999999999999</v>
      </c>
      <c r="AE107" s="309">
        <f t="shared" si="62"/>
        <v>0.53120000000000001</v>
      </c>
      <c r="AF107" s="309">
        <f t="shared" si="63"/>
        <v>0</v>
      </c>
      <c r="AG107" s="309">
        <f t="shared" si="64"/>
        <v>2.41E-2</v>
      </c>
      <c r="AH107" s="309">
        <f t="shared" si="65"/>
        <v>0</v>
      </c>
      <c r="AI107" s="322">
        <v>0.61799999999999999</v>
      </c>
      <c r="AJ107" s="309">
        <v>0.53120000000000001</v>
      </c>
      <c r="AK107" s="309">
        <v>0</v>
      </c>
      <c r="AL107" s="309">
        <v>2.41E-2</v>
      </c>
      <c r="AM107" s="309">
        <v>0</v>
      </c>
      <c r="AN107" s="140">
        <v>1.8599999999999998E-2</v>
      </c>
      <c r="AO107" s="141">
        <v>3.4200000000000001E-2</v>
      </c>
      <c r="AP107" s="141">
        <v>0</v>
      </c>
      <c r="AQ107" s="141">
        <v>1.37E-2</v>
      </c>
      <c r="AR107" s="141">
        <v>0</v>
      </c>
      <c r="AS107" s="142">
        <v>3.5200000000000002E-2</v>
      </c>
      <c r="AT107" s="143">
        <v>4.5400000000000003E-2</v>
      </c>
      <c r="AU107" s="143">
        <v>0</v>
      </c>
      <c r="AV107" s="143">
        <v>6.5063999999999996E-4</v>
      </c>
      <c r="AW107" s="143">
        <v>0</v>
      </c>
      <c r="AX107" s="142">
        <v>1.4970000000000001E-3</v>
      </c>
      <c r="AY107" s="143">
        <v>2.6034000000000002E-4</v>
      </c>
      <c r="AZ107" s="143">
        <v>0</v>
      </c>
      <c r="BA107" s="143">
        <v>2.0033E-3</v>
      </c>
      <c r="BB107" s="143">
        <v>0</v>
      </c>
      <c r="BD107" s="50"/>
      <c r="BE107" s="179" t="s">
        <v>129</v>
      </c>
      <c r="BF107" s="179" t="s">
        <v>129</v>
      </c>
      <c r="BG107" s="53" t="s">
        <v>2892</v>
      </c>
      <c r="BI107" s="52" t="s">
        <v>2929</v>
      </c>
      <c r="BJ107" s="52" t="s">
        <v>44</v>
      </c>
      <c r="BK107" s="179">
        <v>10</v>
      </c>
      <c r="BL107" s="179" t="s">
        <v>5389</v>
      </c>
      <c r="BM107" s="179" t="s">
        <v>2851</v>
      </c>
      <c r="BN107" s="179">
        <v>2258</v>
      </c>
      <c r="BO107" s="52" t="s">
        <v>2866</v>
      </c>
      <c r="BP107" s="179" t="s">
        <v>2928</v>
      </c>
      <c r="BQ107" s="52" t="s">
        <v>2927</v>
      </c>
      <c r="BR107" s="179">
        <v>6</v>
      </c>
      <c r="BS107" s="179" t="s">
        <v>2848</v>
      </c>
    </row>
    <row r="108" spans="1:71" ht="18.75" customHeight="1">
      <c r="A108" s="51" t="s">
        <v>142</v>
      </c>
      <c r="B108" s="205" t="s">
        <v>5558</v>
      </c>
      <c r="C108" t="s">
        <v>583</v>
      </c>
      <c r="D108" s="19">
        <v>1283</v>
      </c>
      <c r="E108" s="9" t="s">
        <v>5200</v>
      </c>
      <c r="F108" s="20" t="str">
        <f t="shared" si="66"/>
        <v/>
      </c>
      <c r="G108" s="19" t="str">
        <f t="shared" si="67"/>
        <v/>
      </c>
      <c r="H108" s="19">
        <f t="shared" si="68"/>
        <v>1</v>
      </c>
      <c r="I108" s="19" t="str">
        <f t="shared" si="69"/>
        <v/>
      </c>
      <c r="J108" s="225">
        <f t="shared" si="70"/>
        <v>1</v>
      </c>
      <c r="K108" s="226" t="str">
        <f t="shared" si="42"/>
        <v>Gq/11</v>
      </c>
      <c r="L108" s="227">
        <f t="shared" si="71"/>
        <v>0</v>
      </c>
      <c r="M108" s="228">
        <f t="shared" si="44"/>
        <v>0</v>
      </c>
      <c r="N108" s="228">
        <f t="shared" si="45"/>
        <v>1</v>
      </c>
      <c r="O108" s="228">
        <f t="shared" si="46"/>
        <v>0</v>
      </c>
      <c r="P108" s="20">
        <f t="shared" si="72"/>
        <v>0</v>
      </c>
      <c r="Q108" s="19">
        <f t="shared" si="48"/>
        <v>0</v>
      </c>
      <c r="R108" s="19">
        <f t="shared" si="49"/>
        <v>100</v>
      </c>
      <c r="S108" s="19">
        <f t="shared" si="73"/>
        <v>0</v>
      </c>
      <c r="T108" s="20">
        <f t="shared" si="51"/>
        <v>0</v>
      </c>
      <c r="U108" s="19">
        <f t="shared" si="52"/>
        <v>0</v>
      </c>
      <c r="V108" s="19">
        <f t="shared" si="53"/>
        <v>1.8262</v>
      </c>
      <c r="W108" s="19">
        <f t="shared" si="54"/>
        <v>0</v>
      </c>
      <c r="X108" s="147" t="str">
        <f t="shared" si="55"/>
        <v>Gq</v>
      </c>
      <c r="Y108" s="32">
        <f t="shared" si="56"/>
        <v>0</v>
      </c>
      <c r="Z108" s="31">
        <f t="shared" si="57"/>
        <v>0</v>
      </c>
      <c r="AA108" s="31">
        <f t="shared" si="58"/>
        <v>100</v>
      </c>
      <c r="AB108" s="31">
        <f t="shared" si="59"/>
        <v>28.698937684809987</v>
      </c>
      <c r="AC108" s="31">
        <f t="shared" si="60"/>
        <v>0</v>
      </c>
      <c r="AD108" s="322">
        <f t="shared" si="61"/>
        <v>0</v>
      </c>
      <c r="AE108" s="309">
        <f t="shared" si="62"/>
        <v>0</v>
      </c>
      <c r="AF108" s="309">
        <f t="shared" si="63"/>
        <v>1.8262</v>
      </c>
      <c r="AG108" s="309">
        <f t="shared" si="64"/>
        <v>0.52410000000000001</v>
      </c>
      <c r="AH108" s="309">
        <f t="shared" si="65"/>
        <v>0</v>
      </c>
      <c r="AI108" s="322">
        <v>0</v>
      </c>
      <c r="AJ108" s="309">
        <v>0</v>
      </c>
      <c r="AK108" s="309">
        <v>1.8262</v>
      </c>
      <c r="AL108" s="309">
        <v>0.52410000000000001</v>
      </c>
      <c r="AM108" s="309">
        <v>0</v>
      </c>
      <c r="AN108" s="140">
        <v>0</v>
      </c>
      <c r="AO108" s="141">
        <v>0</v>
      </c>
      <c r="AP108" s="141">
        <v>3.0499999999999999E-2</v>
      </c>
      <c r="AQ108" s="141">
        <v>3.1199999999999999E-2</v>
      </c>
      <c r="AR108" s="141">
        <v>0</v>
      </c>
      <c r="AS108" s="142">
        <v>0</v>
      </c>
      <c r="AT108" s="143">
        <v>0</v>
      </c>
      <c r="AU108" s="143">
        <v>0.36230000000000001</v>
      </c>
      <c r="AV108" s="143">
        <v>6.83E-2</v>
      </c>
      <c r="AW108" s="143">
        <v>0</v>
      </c>
      <c r="AX108" s="142">
        <v>0</v>
      </c>
      <c r="AY108" s="143">
        <v>0</v>
      </c>
      <c r="AZ108" s="143">
        <v>8.7368999999999999E-4</v>
      </c>
      <c r="BA108" s="143">
        <v>4.3920000000000001E-3</v>
      </c>
      <c r="BB108" s="143">
        <v>0</v>
      </c>
      <c r="BD108" s="50"/>
      <c r="BE108" s="179" t="s">
        <v>5390</v>
      </c>
      <c r="BF108" s="179" t="s">
        <v>2998</v>
      </c>
      <c r="BG108" s="53" t="s">
        <v>15</v>
      </c>
      <c r="BI108" s="52" t="s">
        <v>143</v>
      </c>
      <c r="BJ108" s="52" t="s">
        <v>44</v>
      </c>
      <c r="BK108" s="179">
        <v>100</v>
      </c>
      <c r="BL108" s="179"/>
      <c r="BM108" s="179" t="s">
        <v>2900</v>
      </c>
      <c r="BN108" s="179" t="s">
        <v>2997</v>
      </c>
      <c r="BO108" s="52" t="s">
        <v>2866</v>
      </c>
      <c r="BP108" s="179" t="s">
        <v>2996</v>
      </c>
      <c r="BQ108" s="52" t="s">
        <v>2995</v>
      </c>
      <c r="BR108" s="179">
        <v>1</v>
      </c>
      <c r="BS108" s="179" t="s">
        <v>2848</v>
      </c>
    </row>
    <row r="109" spans="1:71" ht="18.75" customHeight="1">
      <c r="A109" s="88" t="s">
        <v>186</v>
      </c>
      <c r="B109" s="205" t="s">
        <v>5558</v>
      </c>
      <c r="C109" t="s">
        <v>583</v>
      </c>
      <c r="D109" s="19">
        <v>1697</v>
      </c>
      <c r="E109" s="9" t="s">
        <v>5200</v>
      </c>
      <c r="F109" s="20" t="str">
        <f t="shared" si="66"/>
        <v/>
      </c>
      <c r="G109" s="19">
        <f t="shared" si="67"/>
        <v>1</v>
      </c>
      <c r="H109" s="19">
        <f t="shared" si="68"/>
        <v>1</v>
      </c>
      <c r="I109" s="19">
        <f t="shared" si="69"/>
        <v>1</v>
      </c>
      <c r="J109" s="225">
        <f t="shared" si="70"/>
        <v>3</v>
      </c>
      <c r="K109" s="226" t="str">
        <f t="shared" si="42"/>
        <v>Gq/11</v>
      </c>
      <c r="L109" s="227">
        <f t="shared" si="71"/>
        <v>0</v>
      </c>
      <c r="M109" s="228">
        <f t="shared" si="44"/>
        <v>2</v>
      </c>
      <c r="N109" s="228">
        <f t="shared" si="45"/>
        <v>1</v>
      </c>
      <c r="O109" s="228">
        <f t="shared" si="46"/>
        <v>3</v>
      </c>
      <c r="P109" s="20">
        <f t="shared" si="72"/>
        <v>0</v>
      </c>
      <c r="Q109" s="19">
        <f t="shared" si="48"/>
        <v>29.706083390293912</v>
      </c>
      <c r="R109" s="19">
        <f t="shared" si="49"/>
        <v>100</v>
      </c>
      <c r="S109" s="19">
        <f t="shared" si="73"/>
        <v>23.144224196855774</v>
      </c>
      <c r="T109" s="20">
        <f t="shared" si="51"/>
        <v>0</v>
      </c>
      <c r="U109" s="19">
        <f t="shared" si="52"/>
        <v>0.21729999999999999</v>
      </c>
      <c r="V109" s="19">
        <f t="shared" si="53"/>
        <v>0.73150000000000004</v>
      </c>
      <c r="W109" s="19">
        <f t="shared" si="54"/>
        <v>0.16930000000000001</v>
      </c>
      <c r="X109" s="147" t="str">
        <f t="shared" si="55"/>
        <v>Gq</v>
      </c>
      <c r="Y109" s="32">
        <f t="shared" si="56"/>
        <v>0</v>
      </c>
      <c r="Z109" s="31">
        <f t="shared" si="57"/>
        <v>29.706083390293912</v>
      </c>
      <c r="AA109" s="31">
        <f t="shared" si="58"/>
        <v>100</v>
      </c>
      <c r="AB109" s="31">
        <f t="shared" si="59"/>
        <v>2.8024606971975392</v>
      </c>
      <c r="AC109" s="31">
        <f t="shared" si="60"/>
        <v>23.144224196855774</v>
      </c>
      <c r="AD109" s="322">
        <f t="shared" si="61"/>
        <v>0</v>
      </c>
      <c r="AE109" s="309">
        <f t="shared" si="62"/>
        <v>0.21729999999999999</v>
      </c>
      <c r="AF109" s="309">
        <f t="shared" si="63"/>
        <v>0.73150000000000004</v>
      </c>
      <c r="AG109" s="309">
        <f t="shared" si="64"/>
        <v>2.0500000000000001E-2</v>
      </c>
      <c r="AH109" s="309">
        <f t="shared" si="65"/>
        <v>0.16930000000000001</v>
      </c>
      <c r="AI109" s="322">
        <v>0</v>
      </c>
      <c r="AJ109" s="309">
        <v>0.21729999999999999</v>
      </c>
      <c r="AK109" s="309">
        <v>0.73150000000000004</v>
      </c>
      <c r="AL109" s="309">
        <v>2.0500000000000001E-2</v>
      </c>
      <c r="AM109" s="309">
        <v>0.16930000000000001</v>
      </c>
      <c r="AN109" s="140">
        <v>0</v>
      </c>
      <c r="AO109" s="141">
        <v>4.5499999999999999E-2</v>
      </c>
      <c r="AP109" s="141">
        <v>3.56E-2</v>
      </c>
      <c r="AQ109" s="141">
        <v>9.1164999999999996E-3</v>
      </c>
      <c r="AR109" s="141">
        <v>2.9499999999999998E-2</v>
      </c>
      <c r="AS109" s="142">
        <v>0</v>
      </c>
      <c r="AT109" s="143">
        <v>1.6E-2</v>
      </c>
      <c r="AU109" s="143">
        <v>3.7699999999999997E-2</v>
      </c>
      <c r="AV109" s="143">
        <v>1.7458E-3</v>
      </c>
      <c r="AW109" s="143">
        <v>1.24E-2</v>
      </c>
      <c r="AX109" s="142">
        <v>0</v>
      </c>
      <c r="AY109" s="143">
        <v>2.4044000000000001E-3</v>
      </c>
      <c r="AZ109" s="143">
        <v>1.0713000000000001E-3</v>
      </c>
      <c r="BA109" s="143">
        <v>1.5929E-3</v>
      </c>
      <c r="BB109" s="143">
        <v>1.2440999999999999E-3</v>
      </c>
      <c r="BD109" s="50"/>
      <c r="BE109" s="179" t="s">
        <v>5391</v>
      </c>
      <c r="BF109" s="179" t="s">
        <v>3035</v>
      </c>
      <c r="BG109" s="53" t="s">
        <v>15</v>
      </c>
      <c r="BI109" s="52" t="s">
        <v>3034</v>
      </c>
      <c r="BJ109" s="52" t="s">
        <v>44</v>
      </c>
      <c r="BK109" s="179">
        <v>10</v>
      </c>
      <c r="BL109" s="179" t="s">
        <v>5392</v>
      </c>
      <c r="BM109" s="179" t="s">
        <v>3028</v>
      </c>
      <c r="BN109" s="179" t="s">
        <v>3033</v>
      </c>
      <c r="BO109" s="52" t="s">
        <v>2866</v>
      </c>
      <c r="BP109" s="179" t="s">
        <v>3032</v>
      </c>
      <c r="BQ109" s="52" t="s">
        <v>3031</v>
      </c>
      <c r="BR109" s="179">
        <v>6</v>
      </c>
      <c r="BS109" s="179" t="s">
        <v>2848</v>
      </c>
    </row>
    <row r="110" spans="1:71" ht="18.75" customHeight="1">
      <c r="A110" s="88" t="s">
        <v>187</v>
      </c>
      <c r="B110" s="205" t="s">
        <v>5558</v>
      </c>
      <c r="C110" t="s">
        <v>583</v>
      </c>
      <c r="D110" s="19">
        <v>1699</v>
      </c>
      <c r="E110" s="9" t="s">
        <v>5200</v>
      </c>
      <c r="F110" s="20" t="str">
        <f t="shared" si="66"/>
        <v/>
      </c>
      <c r="G110" s="19">
        <f t="shared" si="67"/>
        <v>1</v>
      </c>
      <c r="H110" s="19">
        <f t="shared" si="68"/>
        <v>1</v>
      </c>
      <c r="I110" s="19">
        <f t="shared" si="69"/>
        <v>1</v>
      </c>
      <c r="J110" s="225">
        <f t="shared" si="70"/>
        <v>3</v>
      </c>
      <c r="K110" s="226" t="str">
        <f t="shared" si="42"/>
        <v>Gq/11</v>
      </c>
      <c r="L110" s="227">
        <f t="shared" si="71"/>
        <v>0</v>
      </c>
      <c r="M110" s="228">
        <f t="shared" si="44"/>
        <v>2</v>
      </c>
      <c r="N110" s="228">
        <f t="shared" si="45"/>
        <v>1</v>
      </c>
      <c r="O110" s="228">
        <f t="shared" si="46"/>
        <v>3</v>
      </c>
      <c r="P110" s="20">
        <f t="shared" si="72"/>
        <v>0</v>
      </c>
      <c r="Q110" s="19">
        <f t="shared" si="48"/>
        <v>10.815224218063056</v>
      </c>
      <c r="R110" s="19">
        <f t="shared" si="49"/>
        <v>100</v>
      </c>
      <c r="S110" s="19">
        <f t="shared" si="73"/>
        <v>6.8081899258887066</v>
      </c>
      <c r="T110" s="20">
        <f t="shared" si="51"/>
        <v>0</v>
      </c>
      <c r="U110" s="19">
        <f t="shared" si="52"/>
        <v>8.6099999999999996E-2</v>
      </c>
      <c r="V110" s="19">
        <f t="shared" si="53"/>
        <v>0.79610000000000003</v>
      </c>
      <c r="W110" s="19">
        <f t="shared" si="54"/>
        <v>5.4199999999999998E-2</v>
      </c>
      <c r="X110" s="147" t="str">
        <f t="shared" si="55"/>
        <v>Gq</v>
      </c>
      <c r="Y110" s="32">
        <f t="shared" si="56"/>
        <v>0</v>
      </c>
      <c r="Z110" s="31">
        <f t="shared" si="57"/>
        <v>10.815224218063056</v>
      </c>
      <c r="AA110" s="31">
        <f t="shared" si="58"/>
        <v>100</v>
      </c>
      <c r="AB110" s="31">
        <f t="shared" si="59"/>
        <v>0</v>
      </c>
      <c r="AC110" s="31">
        <f t="shared" si="60"/>
        <v>6.8081899258887066</v>
      </c>
      <c r="AD110" s="322">
        <f t="shared" si="61"/>
        <v>0</v>
      </c>
      <c r="AE110" s="309">
        <f t="shared" si="62"/>
        <v>8.6099999999999996E-2</v>
      </c>
      <c r="AF110" s="309">
        <f t="shared" si="63"/>
        <v>0.79610000000000003</v>
      </c>
      <c r="AG110" s="309">
        <f t="shared" si="64"/>
        <v>0</v>
      </c>
      <c r="AH110" s="309">
        <f t="shared" si="65"/>
        <v>5.4199999999999998E-2</v>
      </c>
      <c r="AI110" s="322">
        <v>0</v>
      </c>
      <c r="AJ110" s="309">
        <v>8.6099999999999996E-2</v>
      </c>
      <c r="AK110" s="309">
        <v>0.79610000000000003</v>
      </c>
      <c r="AL110" s="309">
        <v>0</v>
      </c>
      <c r="AM110" s="309">
        <v>5.4199999999999998E-2</v>
      </c>
      <c r="AN110" s="140">
        <v>0</v>
      </c>
      <c r="AO110" s="141">
        <v>2.3199999999999998E-2</v>
      </c>
      <c r="AP110" s="141">
        <v>3.6299999999999999E-2</v>
      </c>
      <c r="AQ110" s="141">
        <v>0</v>
      </c>
      <c r="AR110" s="141">
        <v>1.4500000000000001E-2</v>
      </c>
      <c r="AS110" s="142">
        <v>0</v>
      </c>
      <c r="AT110" s="143">
        <v>9.5437999999999999E-3</v>
      </c>
      <c r="AU110" s="143">
        <v>0.10100000000000001</v>
      </c>
      <c r="AV110" s="143">
        <v>0</v>
      </c>
      <c r="AW110" s="143">
        <v>2.6700000000000002E-2</v>
      </c>
      <c r="AX110" s="142">
        <v>0</v>
      </c>
      <c r="AY110" s="143">
        <v>4.4032000000000003E-3</v>
      </c>
      <c r="AZ110" s="143">
        <v>5.2448E-3</v>
      </c>
      <c r="BA110" s="143">
        <v>0</v>
      </c>
      <c r="BB110" s="143">
        <v>1.7898E-3</v>
      </c>
      <c r="BD110" s="50"/>
      <c r="BE110" s="179" t="s">
        <v>5393</v>
      </c>
      <c r="BF110" s="179" t="s">
        <v>3030</v>
      </c>
      <c r="BG110" s="53" t="s">
        <v>15</v>
      </c>
      <c r="BI110" s="52" t="s">
        <v>3029</v>
      </c>
      <c r="BJ110" s="52" t="s">
        <v>44</v>
      </c>
      <c r="BK110" s="179">
        <v>10</v>
      </c>
      <c r="BL110" s="179" t="s">
        <v>5394</v>
      </c>
      <c r="BM110" s="179" t="s">
        <v>3028</v>
      </c>
      <c r="BN110" s="179" t="s">
        <v>3027</v>
      </c>
      <c r="BO110" s="52" t="s">
        <v>2850</v>
      </c>
      <c r="BP110" s="179" t="s">
        <v>2849</v>
      </c>
      <c r="BQ110" s="52" t="s">
        <v>3026</v>
      </c>
      <c r="BR110" s="179">
        <v>6</v>
      </c>
      <c r="BS110" s="179" t="s">
        <v>2848</v>
      </c>
    </row>
    <row r="111" spans="1:71" ht="18.75" customHeight="1">
      <c r="A111" s="51" t="s">
        <v>198</v>
      </c>
      <c r="B111" s="205" t="s">
        <v>5558</v>
      </c>
      <c r="C111" t="s">
        <v>583</v>
      </c>
      <c r="D111" s="19">
        <v>4448</v>
      </c>
      <c r="E111" s="9" t="s">
        <v>5200</v>
      </c>
      <c r="F111" s="20">
        <f t="shared" si="66"/>
        <v>1</v>
      </c>
      <c r="G111" s="19">
        <f t="shared" si="67"/>
        <v>1</v>
      </c>
      <c r="H111" s="19">
        <f t="shared" si="68"/>
        <v>1</v>
      </c>
      <c r="I111" s="19">
        <f t="shared" si="69"/>
        <v>1</v>
      </c>
      <c r="J111" s="225">
        <f t="shared" si="70"/>
        <v>4</v>
      </c>
      <c r="K111" s="226" t="str">
        <f t="shared" si="42"/>
        <v>Gs</v>
      </c>
      <c r="L111" s="227">
        <f t="shared" si="71"/>
        <v>1</v>
      </c>
      <c r="M111" s="228">
        <f t="shared" si="44"/>
        <v>2</v>
      </c>
      <c r="N111" s="228">
        <f t="shared" si="45"/>
        <v>3</v>
      </c>
      <c r="O111" s="228">
        <f t="shared" si="46"/>
        <v>4</v>
      </c>
      <c r="P111" s="20">
        <f t="shared" si="72"/>
        <v>100</v>
      </c>
      <c r="Q111" s="19">
        <f t="shared" si="48"/>
        <v>22.526066350710902</v>
      </c>
      <c r="R111" s="19">
        <f t="shared" si="49"/>
        <v>11.317535545023699</v>
      </c>
      <c r="S111" s="19">
        <f t="shared" si="73"/>
        <v>2.8151658767772516</v>
      </c>
      <c r="T111" s="20">
        <f t="shared" si="51"/>
        <v>2.11</v>
      </c>
      <c r="U111" s="19">
        <f t="shared" si="52"/>
        <v>0.4753</v>
      </c>
      <c r="V111" s="19">
        <f t="shared" si="53"/>
        <v>0.23880000000000001</v>
      </c>
      <c r="W111" s="19">
        <f t="shared" si="54"/>
        <v>5.9400000000000001E-2</v>
      </c>
      <c r="X111" s="147" t="str">
        <f t="shared" si="55"/>
        <v>GsL</v>
      </c>
      <c r="Y111" s="32">
        <f t="shared" si="56"/>
        <v>100</v>
      </c>
      <c r="Z111" s="31">
        <f t="shared" si="57"/>
        <v>22.526066350710902</v>
      </c>
      <c r="AA111" s="31">
        <f t="shared" si="58"/>
        <v>4.6966824644549767</v>
      </c>
      <c r="AB111" s="31">
        <f t="shared" si="59"/>
        <v>11.317535545023699</v>
      </c>
      <c r="AC111" s="31">
        <f t="shared" si="60"/>
        <v>2.8151658767772516</v>
      </c>
      <c r="AD111" s="322">
        <f t="shared" si="61"/>
        <v>2.11</v>
      </c>
      <c r="AE111" s="309">
        <f t="shared" si="62"/>
        <v>0.4753</v>
      </c>
      <c r="AF111" s="309">
        <f t="shared" si="63"/>
        <v>9.9099999999999994E-2</v>
      </c>
      <c r="AG111" s="309">
        <f t="shared" si="64"/>
        <v>0.23880000000000001</v>
      </c>
      <c r="AH111" s="309">
        <f t="shared" si="65"/>
        <v>5.9400000000000001E-2</v>
      </c>
      <c r="AI111" s="322">
        <v>2.11</v>
      </c>
      <c r="AJ111" s="309">
        <v>0.4753</v>
      </c>
      <c r="AK111" s="309">
        <v>9.9099999999999994E-2</v>
      </c>
      <c r="AL111" s="309">
        <v>0.23880000000000001</v>
      </c>
      <c r="AM111" s="309">
        <v>5.9400000000000001E-2</v>
      </c>
      <c r="AN111" s="140">
        <v>5.6500000000000002E-2</v>
      </c>
      <c r="AO111" s="141">
        <v>9.2200000000000004E-2</v>
      </c>
      <c r="AP111" s="141">
        <v>2.7900000000000001E-2</v>
      </c>
      <c r="AQ111" s="141">
        <v>6.13E-2</v>
      </c>
      <c r="AR111" s="141">
        <v>3.2099999999999997E-2</v>
      </c>
      <c r="AS111" s="142">
        <v>0.20080000000000001</v>
      </c>
      <c r="AT111" s="143">
        <v>5.0500000000000003E-2</v>
      </c>
      <c r="AU111" s="143">
        <v>4.6233000000000003E-3</v>
      </c>
      <c r="AV111" s="143">
        <v>2.1100000000000001E-2</v>
      </c>
      <c r="AW111" s="143">
        <v>2.2341000000000001E-3</v>
      </c>
      <c r="AX111" s="142">
        <v>8.5576999999999997E-3</v>
      </c>
      <c r="AY111" s="143">
        <v>1.14E-2</v>
      </c>
      <c r="AZ111" s="143">
        <v>2.3965000000000002E-3</v>
      </c>
      <c r="BA111" s="143">
        <v>4.3844000000000001E-3</v>
      </c>
      <c r="BB111" s="143">
        <v>4.4625999999999997E-3</v>
      </c>
      <c r="BD111" s="50"/>
      <c r="BE111" s="179" t="s">
        <v>5395</v>
      </c>
      <c r="BF111" s="179" t="s">
        <v>198</v>
      </c>
      <c r="BG111" s="53" t="s">
        <v>2892</v>
      </c>
      <c r="BI111" s="52" t="s">
        <v>2909</v>
      </c>
      <c r="BJ111" s="52" t="s">
        <v>44</v>
      </c>
      <c r="BK111" s="179">
        <v>10</v>
      </c>
      <c r="BL111" s="179"/>
      <c r="BM111" s="179" t="s">
        <v>2855</v>
      </c>
      <c r="BN111" s="179">
        <v>24985</v>
      </c>
      <c r="BO111" s="52" t="s">
        <v>2866</v>
      </c>
      <c r="BP111" s="179" t="s">
        <v>2911</v>
      </c>
      <c r="BQ111" s="52" t="s">
        <v>2910</v>
      </c>
      <c r="BR111" s="179">
        <v>2</v>
      </c>
      <c r="BS111" s="179" t="s">
        <v>2848</v>
      </c>
    </row>
    <row r="112" spans="1:71" ht="18.75" customHeight="1">
      <c r="A112" s="51" t="s">
        <v>199</v>
      </c>
      <c r="B112" s="205" t="s">
        <v>5558</v>
      </c>
      <c r="C112" t="s">
        <v>583</v>
      </c>
      <c r="D112" s="19">
        <v>4448</v>
      </c>
      <c r="E112" s="9" t="s">
        <v>5200</v>
      </c>
      <c r="F112" s="20">
        <f t="shared" si="66"/>
        <v>1</v>
      </c>
      <c r="G112" s="19" t="str">
        <f t="shared" si="67"/>
        <v/>
      </c>
      <c r="H112" s="19">
        <f t="shared" si="68"/>
        <v>1</v>
      </c>
      <c r="I112" s="19" t="str">
        <f t="shared" si="69"/>
        <v/>
      </c>
      <c r="J112" s="225">
        <f t="shared" si="70"/>
        <v>2</v>
      </c>
      <c r="K112" s="226" t="str">
        <f t="shared" si="42"/>
        <v>Gs</v>
      </c>
      <c r="L112" s="227">
        <f t="shared" si="71"/>
        <v>1</v>
      </c>
      <c r="M112" s="228">
        <f t="shared" si="44"/>
        <v>0</v>
      </c>
      <c r="N112" s="228">
        <f t="shared" si="45"/>
        <v>2</v>
      </c>
      <c r="O112" s="228">
        <f t="shared" si="46"/>
        <v>0</v>
      </c>
      <c r="P112" s="20">
        <f t="shared" si="72"/>
        <v>100</v>
      </c>
      <c r="Q112" s="19">
        <f t="shared" si="48"/>
        <v>0</v>
      </c>
      <c r="R112" s="19">
        <f t="shared" si="49"/>
        <v>11.796733212341197</v>
      </c>
      <c r="S112" s="19">
        <f t="shared" si="73"/>
        <v>0</v>
      </c>
      <c r="T112" s="20">
        <f t="shared" si="51"/>
        <v>0.55100000000000005</v>
      </c>
      <c r="U112" s="19">
        <f t="shared" si="52"/>
        <v>0</v>
      </c>
      <c r="V112" s="19">
        <f t="shared" si="53"/>
        <v>6.5000000000000002E-2</v>
      </c>
      <c r="W112" s="19">
        <f t="shared" si="54"/>
        <v>0</v>
      </c>
      <c r="X112" s="147" t="str">
        <f t="shared" si="55"/>
        <v>GsL</v>
      </c>
      <c r="Y112" s="32">
        <f t="shared" si="56"/>
        <v>100</v>
      </c>
      <c r="Z112" s="31">
        <f t="shared" si="57"/>
        <v>0</v>
      </c>
      <c r="AA112" s="31">
        <f t="shared" si="58"/>
        <v>0</v>
      </c>
      <c r="AB112" s="31">
        <f t="shared" si="59"/>
        <v>11.796733212341197</v>
      </c>
      <c r="AC112" s="31">
        <f t="shared" si="60"/>
        <v>0</v>
      </c>
      <c r="AD112" s="322">
        <f t="shared" si="61"/>
        <v>0.55100000000000005</v>
      </c>
      <c r="AE112" s="309">
        <f t="shared" si="62"/>
        <v>0</v>
      </c>
      <c r="AF112" s="309">
        <f t="shared" si="63"/>
        <v>0</v>
      </c>
      <c r="AG112" s="309">
        <f t="shared" si="64"/>
        <v>6.5000000000000002E-2</v>
      </c>
      <c r="AH112" s="309">
        <f t="shared" si="65"/>
        <v>0</v>
      </c>
      <c r="AI112" s="322">
        <v>0.55100000000000005</v>
      </c>
      <c r="AJ112" s="309">
        <v>0</v>
      </c>
      <c r="AK112" s="309">
        <v>0</v>
      </c>
      <c r="AL112" s="309">
        <v>6.5000000000000002E-2</v>
      </c>
      <c r="AM112" s="309">
        <v>0</v>
      </c>
      <c r="AN112" s="140">
        <v>3.5700000000000003E-2</v>
      </c>
      <c r="AO112" s="141">
        <v>0</v>
      </c>
      <c r="AP112" s="141">
        <v>0</v>
      </c>
      <c r="AQ112" s="141">
        <v>0.05</v>
      </c>
      <c r="AR112" s="141">
        <v>0</v>
      </c>
      <c r="AS112" s="142">
        <v>3.9699999999999999E-2</v>
      </c>
      <c r="AT112" s="143">
        <v>0</v>
      </c>
      <c r="AU112" s="143">
        <v>0</v>
      </c>
      <c r="AV112" s="143">
        <v>3.3893999999999999E-3</v>
      </c>
      <c r="AW112" s="143">
        <v>0</v>
      </c>
      <c r="AX112" s="142">
        <v>1.2837E-3</v>
      </c>
      <c r="AY112" s="143">
        <v>0</v>
      </c>
      <c r="AZ112" s="143">
        <v>0</v>
      </c>
      <c r="BA112" s="143">
        <v>4.4432999999999999E-3</v>
      </c>
      <c r="BB112" s="143">
        <v>0</v>
      </c>
      <c r="BD112" s="50"/>
      <c r="BE112" s="179" t="s">
        <v>5396</v>
      </c>
      <c r="BF112" s="179" t="s">
        <v>199</v>
      </c>
      <c r="BG112" s="53" t="s">
        <v>2892</v>
      </c>
      <c r="BI112" s="52" t="s">
        <v>2909</v>
      </c>
      <c r="BJ112" s="52" t="s">
        <v>44</v>
      </c>
      <c r="BK112" s="179">
        <v>10</v>
      </c>
      <c r="BL112" s="179"/>
      <c r="BM112" s="179" t="s">
        <v>2855</v>
      </c>
      <c r="BN112" s="179">
        <v>24985</v>
      </c>
      <c r="BO112" s="52" t="s">
        <v>2866</v>
      </c>
      <c r="BP112" s="179" t="s">
        <v>2908</v>
      </c>
      <c r="BQ112" s="52" t="s">
        <v>2907</v>
      </c>
      <c r="BR112" s="179">
        <v>12</v>
      </c>
      <c r="BS112" s="179" t="s">
        <v>2848</v>
      </c>
    </row>
    <row r="113" spans="1:72" ht="18.75" customHeight="1">
      <c r="A113" s="88" t="s">
        <v>209</v>
      </c>
      <c r="B113" s="205" t="s">
        <v>5558</v>
      </c>
      <c r="C113" t="s">
        <v>583</v>
      </c>
      <c r="D113" s="19">
        <v>4483</v>
      </c>
      <c r="E113" s="9" t="s">
        <v>5200</v>
      </c>
      <c r="F113" s="20" t="str">
        <f t="shared" si="66"/>
        <v/>
      </c>
      <c r="G113" s="19" t="str">
        <f t="shared" si="67"/>
        <v/>
      </c>
      <c r="H113" s="19">
        <f t="shared" si="68"/>
        <v>1</v>
      </c>
      <c r="I113" s="19">
        <f t="shared" si="69"/>
        <v>1</v>
      </c>
      <c r="J113" s="225">
        <f t="shared" si="70"/>
        <v>2</v>
      </c>
      <c r="K113" s="226" t="str">
        <f t="shared" si="42"/>
        <v>G12/13</v>
      </c>
      <c r="L113" s="227">
        <f t="shared" si="71"/>
        <v>0</v>
      </c>
      <c r="M113" s="228">
        <f t="shared" si="44"/>
        <v>0</v>
      </c>
      <c r="N113" s="228">
        <f t="shared" si="45"/>
        <v>2</v>
      </c>
      <c r="O113" s="228">
        <f t="shared" si="46"/>
        <v>1</v>
      </c>
      <c r="P113" s="20">
        <f t="shared" si="72"/>
        <v>0</v>
      </c>
      <c r="Q113" s="19">
        <f t="shared" si="48"/>
        <v>0</v>
      </c>
      <c r="R113" s="19">
        <f t="shared" si="49"/>
        <v>42.872454448017152</v>
      </c>
      <c r="S113" s="19">
        <f t="shared" si="73"/>
        <v>100</v>
      </c>
      <c r="T113" s="20">
        <f t="shared" si="51"/>
        <v>0</v>
      </c>
      <c r="U113" s="19">
        <f t="shared" si="52"/>
        <v>0</v>
      </c>
      <c r="V113" s="19">
        <f t="shared" si="53"/>
        <v>0.2</v>
      </c>
      <c r="W113" s="19">
        <f t="shared" si="54"/>
        <v>0.46650000000000003</v>
      </c>
      <c r="X113" s="147" t="str">
        <f t="shared" si="55"/>
        <v>G13</v>
      </c>
      <c r="Y113" s="32">
        <f t="shared" si="56"/>
        <v>0</v>
      </c>
      <c r="Z113" s="31">
        <f t="shared" si="57"/>
        <v>0</v>
      </c>
      <c r="AA113" s="31">
        <f t="shared" si="58"/>
        <v>42.872454448017152</v>
      </c>
      <c r="AB113" s="31">
        <f t="shared" si="59"/>
        <v>18.349410503751336</v>
      </c>
      <c r="AC113" s="31">
        <f t="shared" si="60"/>
        <v>100</v>
      </c>
      <c r="AD113" s="322">
        <f t="shared" si="61"/>
        <v>0</v>
      </c>
      <c r="AE113" s="309">
        <f t="shared" si="62"/>
        <v>0</v>
      </c>
      <c r="AF113" s="309">
        <f t="shared" si="63"/>
        <v>0.2</v>
      </c>
      <c r="AG113" s="309">
        <f t="shared" si="64"/>
        <v>8.5599999999999996E-2</v>
      </c>
      <c r="AH113" s="309">
        <f t="shared" si="65"/>
        <v>0.46650000000000003</v>
      </c>
      <c r="AI113" s="322">
        <v>0</v>
      </c>
      <c r="AJ113" s="309">
        <v>0</v>
      </c>
      <c r="AK113" s="309">
        <v>0.2</v>
      </c>
      <c r="AL113" s="309">
        <v>8.5599999999999996E-2</v>
      </c>
      <c r="AM113" s="309">
        <v>0.46650000000000003</v>
      </c>
      <c r="AN113" s="140">
        <v>0</v>
      </c>
      <c r="AO113" s="141">
        <v>0</v>
      </c>
      <c r="AP113" s="141">
        <v>2.58E-2</v>
      </c>
      <c r="AQ113" s="141">
        <v>5.0700000000000002E-2</v>
      </c>
      <c r="AR113" s="141">
        <v>3.3399999999999999E-2</v>
      </c>
      <c r="AS113" s="142">
        <v>0</v>
      </c>
      <c r="AT113" s="143">
        <v>0</v>
      </c>
      <c r="AU113" s="143">
        <v>2.5999999999999999E-2</v>
      </c>
      <c r="AV113" s="143">
        <v>1.72E-2</v>
      </c>
      <c r="AW113" s="143">
        <v>2.0299999999999999E-2</v>
      </c>
      <c r="AX113" s="142">
        <v>0</v>
      </c>
      <c r="AY113" s="143">
        <v>0</v>
      </c>
      <c r="AZ113" s="143">
        <v>2.9938999999999999E-3</v>
      </c>
      <c r="BA113" s="143">
        <v>2.1673999999999999E-3</v>
      </c>
      <c r="BB113" s="143">
        <v>3.9014000000000002E-3</v>
      </c>
      <c r="BD113" s="50"/>
      <c r="BE113" s="179" t="s">
        <v>2537</v>
      </c>
      <c r="BF113" s="179" t="s">
        <v>2969</v>
      </c>
      <c r="BG113" s="53" t="s">
        <v>15</v>
      </c>
      <c r="BH113" s="168" t="s">
        <v>2968</v>
      </c>
      <c r="BI113" s="52" t="s">
        <v>5198</v>
      </c>
      <c r="BJ113" s="52" t="s">
        <v>2964</v>
      </c>
      <c r="BK113" s="179">
        <v>10</v>
      </c>
      <c r="BL113" s="179" t="s">
        <v>2861</v>
      </c>
      <c r="BM113" s="179" t="s">
        <v>2855</v>
      </c>
      <c r="BN113" s="179">
        <v>17020</v>
      </c>
      <c r="BO113" s="52" t="s">
        <v>2866</v>
      </c>
      <c r="BP113" s="179" t="s">
        <v>2967</v>
      </c>
      <c r="BQ113" s="52" t="s">
        <v>2966</v>
      </c>
      <c r="BR113" s="179">
        <v>2</v>
      </c>
      <c r="BS113" s="179" t="s">
        <v>2848</v>
      </c>
    </row>
    <row r="114" spans="1:72" ht="18.75" customHeight="1">
      <c r="A114" s="51" t="s">
        <v>76</v>
      </c>
      <c r="B114" s="205" t="s">
        <v>5558</v>
      </c>
      <c r="C114" t="s">
        <v>583</v>
      </c>
      <c r="D114" s="19">
        <v>4358</v>
      </c>
      <c r="E114" s="9" t="s">
        <v>5200</v>
      </c>
      <c r="F114" s="20" t="str">
        <f t="shared" si="66"/>
        <v/>
      </c>
      <c r="G114" s="19">
        <f t="shared" si="67"/>
        <v>1</v>
      </c>
      <c r="H114" s="19">
        <f t="shared" si="68"/>
        <v>1</v>
      </c>
      <c r="I114" s="19" t="str">
        <f t="shared" si="69"/>
        <v/>
      </c>
      <c r="J114" s="225">
        <f t="shared" si="70"/>
        <v>2</v>
      </c>
      <c r="K114" s="226" t="str">
        <f t="shared" si="42"/>
        <v>Gi/o</v>
      </c>
      <c r="L114" s="227">
        <f t="shared" si="71"/>
        <v>0</v>
      </c>
      <c r="M114" s="228">
        <f t="shared" si="44"/>
        <v>1</v>
      </c>
      <c r="N114" s="228">
        <f t="shared" si="45"/>
        <v>2</v>
      </c>
      <c r="O114" s="228">
        <f t="shared" si="46"/>
        <v>0</v>
      </c>
      <c r="P114" s="20">
        <f t="shared" si="72"/>
        <v>0</v>
      </c>
      <c r="Q114" s="19">
        <f t="shared" si="48"/>
        <v>100</v>
      </c>
      <c r="R114" s="19">
        <f t="shared" si="49"/>
        <v>6.8134171907756809</v>
      </c>
      <c r="S114" s="19">
        <f t="shared" si="73"/>
        <v>0</v>
      </c>
      <c r="T114" s="20">
        <f t="shared" si="51"/>
        <v>0</v>
      </c>
      <c r="U114" s="19">
        <f t="shared" si="52"/>
        <v>0.28620000000000001</v>
      </c>
      <c r="V114" s="19">
        <f t="shared" si="53"/>
        <v>1.95E-2</v>
      </c>
      <c r="W114" s="19">
        <f t="shared" si="54"/>
        <v>0</v>
      </c>
      <c r="X114" s="147" t="str">
        <f t="shared" si="55"/>
        <v>GoA</v>
      </c>
      <c r="Y114" s="32">
        <f t="shared" si="56"/>
        <v>0</v>
      </c>
      <c r="Z114" s="31">
        <f t="shared" si="57"/>
        <v>100</v>
      </c>
      <c r="AA114" s="31">
        <f t="shared" si="58"/>
        <v>0</v>
      </c>
      <c r="AB114" s="31">
        <f t="shared" si="59"/>
        <v>6.8134171907756809</v>
      </c>
      <c r="AC114" s="31">
        <f t="shared" si="60"/>
        <v>0</v>
      </c>
      <c r="AD114" s="322">
        <f t="shared" si="61"/>
        <v>0</v>
      </c>
      <c r="AE114" s="309">
        <f t="shared" si="62"/>
        <v>0.28620000000000001</v>
      </c>
      <c r="AF114" s="309">
        <f t="shared" si="63"/>
        <v>0</v>
      </c>
      <c r="AG114" s="309">
        <f t="shared" si="64"/>
        <v>1.95E-2</v>
      </c>
      <c r="AH114" s="309">
        <f t="shared" si="65"/>
        <v>0</v>
      </c>
      <c r="AI114" s="322">
        <v>0</v>
      </c>
      <c r="AJ114" s="309">
        <v>0.28620000000000001</v>
      </c>
      <c r="AK114" s="309">
        <v>0</v>
      </c>
      <c r="AL114" s="309">
        <v>1.95E-2</v>
      </c>
      <c r="AM114" s="309">
        <v>0</v>
      </c>
      <c r="AN114" s="140">
        <v>0</v>
      </c>
      <c r="AO114" s="141">
        <v>6.8699999999999997E-2</v>
      </c>
      <c r="AP114" s="141">
        <v>0</v>
      </c>
      <c r="AQ114" s="141">
        <v>6.6769000000000004E-3</v>
      </c>
      <c r="AR114" s="141">
        <v>0</v>
      </c>
      <c r="AS114" s="142">
        <v>0</v>
      </c>
      <c r="AT114" s="143">
        <v>1.14E-2</v>
      </c>
      <c r="AU114" s="143">
        <v>0</v>
      </c>
      <c r="AV114" s="143">
        <v>5.7830999999999996E-4</v>
      </c>
      <c r="AW114" s="143">
        <v>0</v>
      </c>
      <c r="AX114" s="142">
        <v>0</v>
      </c>
      <c r="AY114" s="143">
        <v>1.2731999999999999E-3</v>
      </c>
      <c r="AZ114" s="143">
        <v>0</v>
      </c>
      <c r="BA114" s="143">
        <v>3.4317000000000001E-4</v>
      </c>
      <c r="BB114" s="143">
        <v>0</v>
      </c>
      <c r="BD114" s="50"/>
      <c r="BE114" s="179" t="s">
        <v>5397</v>
      </c>
      <c r="BF114" s="179" t="s">
        <v>76</v>
      </c>
      <c r="BG114" s="53" t="s">
        <v>15</v>
      </c>
      <c r="BI114" s="52" t="s">
        <v>2994</v>
      </c>
      <c r="BJ114" s="52" t="s">
        <v>2993</v>
      </c>
      <c r="BK114" s="179" t="s">
        <v>2992</v>
      </c>
      <c r="BL114" s="179" t="s">
        <v>5398</v>
      </c>
      <c r="BM114" s="179" t="s">
        <v>2991</v>
      </c>
      <c r="BN114" s="179" t="s">
        <v>2990</v>
      </c>
      <c r="BO114" s="52" t="s">
        <v>2866</v>
      </c>
      <c r="BP114" s="179" t="s">
        <v>2989</v>
      </c>
      <c r="BQ114" s="52" t="s">
        <v>2988</v>
      </c>
      <c r="BR114" s="179">
        <v>6</v>
      </c>
      <c r="BS114" s="179" t="s">
        <v>2848</v>
      </c>
    </row>
    <row r="115" spans="1:72" ht="18.75" customHeight="1">
      <c r="A115" s="88" t="s">
        <v>3511</v>
      </c>
      <c r="B115" s="205" t="s">
        <v>5558</v>
      </c>
      <c r="C115" t="s">
        <v>583</v>
      </c>
      <c r="D115" s="19">
        <v>3637</v>
      </c>
      <c r="E115" s="9" t="s">
        <v>5200</v>
      </c>
      <c r="F115" s="20" t="str">
        <f t="shared" si="66"/>
        <v/>
      </c>
      <c r="G115" s="19">
        <f t="shared" si="67"/>
        <v>1</v>
      </c>
      <c r="H115" s="19" t="str">
        <f t="shared" si="68"/>
        <v/>
      </c>
      <c r="I115" s="19" t="str">
        <f t="shared" si="69"/>
        <v/>
      </c>
      <c r="J115" s="225">
        <f t="shared" si="70"/>
        <v>1</v>
      </c>
      <c r="K115" s="226" t="str">
        <f t="shared" si="42"/>
        <v>Gi/o</v>
      </c>
      <c r="L115" s="227">
        <f t="shared" si="71"/>
        <v>0</v>
      </c>
      <c r="M115" s="228">
        <f t="shared" si="44"/>
        <v>1</v>
      </c>
      <c r="N115" s="228">
        <f t="shared" si="45"/>
        <v>0</v>
      </c>
      <c r="O115" s="228">
        <f t="shared" si="46"/>
        <v>0</v>
      </c>
      <c r="P115" s="20">
        <f t="shared" si="72"/>
        <v>0</v>
      </c>
      <c r="Q115" s="19">
        <f t="shared" si="48"/>
        <v>100</v>
      </c>
      <c r="R115" s="19">
        <f t="shared" si="49"/>
        <v>0</v>
      </c>
      <c r="S115" s="19">
        <f t="shared" si="73"/>
        <v>0</v>
      </c>
      <c r="T115" s="20">
        <f t="shared" si="51"/>
        <v>0</v>
      </c>
      <c r="U115" s="19">
        <f t="shared" si="52"/>
        <v>0.1128</v>
      </c>
      <c r="V115" s="19">
        <f t="shared" si="53"/>
        <v>0</v>
      </c>
      <c r="W115" s="19">
        <f t="shared" si="54"/>
        <v>0</v>
      </c>
      <c r="X115" s="147" t="str">
        <f t="shared" si="55"/>
        <v>GoA</v>
      </c>
      <c r="Y115" s="32">
        <f t="shared" si="56"/>
        <v>0</v>
      </c>
      <c r="Z115" s="31">
        <f t="shared" si="57"/>
        <v>100</v>
      </c>
      <c r="AA115" s="31">
        <f t="shared" si="58"/>
        <v>0</v>
      </c>
      <c r="AB115" s="31">
        <f t="shared" si="59"/>
        <v>0</v>
      </c>
      <c r="AC115" s="31">
        <f t="shared" si="60"/>
        <v>0</v>
      </c>
      <c r="AD115" s="322">
        <f t="shared" si="61"/>
        <v>0</v>
      </c>
      <c r="AE115" s="309">
        <f t="shared" si="62"/>
        <v>0.1128</v>
      </c>
      <c r="AF115" s="309">
        <f t="shared" si="63"/>
        <v>0</v>
      </c>
      <c r="AG115" s="309">
        <f t="shared" si="64"/>
        <v>0</v>
      </c>
      <c r="AH115" s="309">
        <f t="shared" si="65"/>
        <v>0</v>
      </c>
      <c r="AI115" s="322">
        <v>0</v>
      </c>
      <c r="AJ115" s="309">
        <v>0.1128</v>
      </c>
      <c r="AK115" s="309">
        <v>0</v>
      </c>
      <c r="AL115" s="309">
        <v>0</v>
      </c>
      <c r="AM115" s="309">
        <v>0</v>
      </c>
      <c r="AN115" s="140">
        <v>0</v>
      </c>
      <c r="AO115" s="141">
        <v>1.89E-2</v>
      </c>
      <c r="AP115" s="141">
        <v>0</v>
      </c>
      <c r="AQ115" s="141">
        <v>0</v>
      </c>
      <c r="AR115" s="141">
        <v>0</v>
      </c>
      <c r="AS115" s="142">
        <v>0</v>
      </c>
      <c r="AT115" s="143">
        <v>4.4860000000000004E-3</v>
      </c>
      <c r="AU115" s="143">
        <v>0</v>
      </c>
      <c r="AV115" s="143">
        <v>0</v>
      </c>
      <c r="AW115" s="143">
        <v>0</v>
      </c>
      <c r="AX115" s="142">
        <v>0</v>
      </c>
      <c r="AY115" s="143">
        <v>1.6272000000000001E-3</v>
      </c>
      <c r="AZ115" s="143">
        <v>0</v>
      </c>
      <c r="BA115" s="143">
        <v>0</v>
      </c>
      <c r="BB115" s="143">
        <v>0</v>
      </c>
      <c r="BD115" s="50"/>
      <c r="BE115" s="179" t="s">
        <v>5399</v>
      </c>
      <c r="BF115" s="179" t="s">
        <v>2956</v>
      </c>
      <c r="BG115" s="53" t="s">
        <v>15</v>
      </c>
      <c r="BI115" s="52" t="s">
        <v>2955</v>
      </c>
      <c r="BJ115" s="52" t="s">
        <v>2949</v>
      </c>
      <c r="BK115" s="184">
        <v>1000</v>
      </c>
      <c r="BL115" s="179" t="s">
        <v>5400</v>
      </c>
      <c r="BM115" s="179" t="s">
        <v>2954</v>
      </c>
      <c r="BN115" s="179" t="s">
        <v>2953</v>
      </c>
      <c r="BO115" s="52" t="s">
        <v>2866</v>
      </c>
      <c r="BP115" s="179" t="s">
        <v>2952</v>
      </c>
      <c r="BQ115" s="52" t="s">
        <v>2951</v>
      </c>
      <c r="BR115" s="179">
        <v>6</v>
      </c>
      <c r="BS115" s="179" t="s">
        <v>2848</v>
      </c>
    </row>
    <row r="116" spans="1:72" ht="18.75" customHeight="1">
      <c r="A116" s="51" t="s">
        <v>2919</v>
      </c>
      <c r="B116" s="205" t="s">
        <v>5558</v>
      </c>
      <c r="C116" t="s">
        <v>583</v>
      </c>
      <c r="D116" s="19">
        <v>681</v>
      </c>
      <c r="E116" s="9" t="s">
        <v>5200</v>
      </c>
      <c r="F116" s="20">
        <f t="shared" si="66"/>
        <v>1</v>
      </c>
      <c r="G116" s="19" t="str">
        <f t="shared" si="67"/>
        <v/>
      </c>
      <c r="H116" s="19">
        <f t="shared" si="68"/>
        <v>1</v>
      </c>
      <c r="I116" s="19" t="str">
        <f t="shared" si="69"/>
        <v/>
      </c>
      <c r="J116" s="225">
        <f t="shared" si="70"/>
        <v>2</v>
      </c>
      <c r="K116" s="226" t="str">
        <f t="shared" si="42"/>
        <v>Gs</v>
      </c>
      <c r="L116" s="227">
        <f t="shared" si="71"/>
        <v>1</v>
      </c>
      <c r="M116" s="228">
        <f t="shared" si="44"/>
        <v>0</v>
      </c>
      <c r="N116" s="228">
        <f t="shared" si="45"/>
        <v>2</v>
      </c>
      <c r="O116" s="228">
        <f t="shared" si="46"/>
        <v>0</v>
      </c>
      <c r="P116" s="20">
        <f t="shared" si="72"/>
        <v>100</v>
      </c>
      <c r="Q116" s="19">
        <f t="shared" si="48"/>
        <v>0</v>
      </c>
      <c r="R116" s="19">
        <f t="shared" si="49"/>
        <v>5.91844512195122</v>
      </c>
      <c r="S116" s="19">
        <f t="shared" si="73"/>
        <v>0</v>
      </c>
      <c r="T116" s="20">
        <f t="shared" si="51"/>
        <v>0.65600000000000003</v>
      </c>
      <c r="U116" s="19">
        <f t="shared" si="52"/>
        <v>0</v>
      </c>
      <c r="V116" s="19">
        <f t="shared" si="53"/>
        <v>3.8825000000000005E-2</v>
      </c>
      <c r="W116" s="19">
        <f t="shared" si="54"/>
        <v>0</v>
      </c>
      <c r="X116" s="147" t="str">
        <f t="shared" si="55"/>
        <v>GsL</v>
      </c>
      <c r="Y116" s="32">
        <f t="shared" si="56"/>
        <v>100</v>
      </c>
      <c r="Z116" s="31">
        <f t="shared" si="57"/>
        <v>0</v>
      </c>
      <c r="AA116" s="31">
        <f t="shared" si="58"/>
        <v>0</v>
      </c>
      <c r="AB116" s="31">
        <f t="shared" si="59"/>
        <v>5.91844512195122</v>
      </c>
      <c r="AC116" s="31">
        <f t="shared" si="60"/>
        <v>0</v>
      </c>
      <c r="AD116" s="322">
        <f t="shared" si="61"/>
        <v>0.65600000000000003</v>
      </c>
      <c r="AE116" s="309">
        <f t="shared" si="62"/>
        <v>0</v>
      </c>
      <c r="AF116" s="309">
        <f t="shared" si="63"/>
        <v>0</v>
      </c>
      <c r="AG116" s="309">
        <f t="shared" si="64"/>
        <v>3.8825000000000005E-2</v>
      </c>
      <c r="AH116" s="309">
        <f t="shared" si="65"/>
        <v>0</v>
      </c>
      <c r="AI116" s="322">
        <v>0.65600000000000003</v>
      </c>
      <c r="AJ116" s="309">
        <v>0</v>
      </c>
      <c r="AK116" s="309">
        <v>0</v>
      </c>
      <c r="AL116" s="309">
        <v>3.8825000000000005E-2</v>
      </c>
      <c r="AM116" s="309">
        <v>0</v>
      </c>
      <c r="AN116" s="140">
        <v>4.4312217333333327E-2</v>
      </c>
      <c r="AO116" s="141">
        <v>0</v>
      </c>
      <c r="AP116" s="141">
        <v>0</v>
      </c>
      <c r="AQ116" s="141">
        <v>2.6869676666666665E-3</v>
      </c>
      <c r="AR116" s="141">
        <v>0</v>
      </c>
      <c r="AS116" s="142">
        <v>1.8009953479488319E-2</v>
      </c>
      <c r="AT116" s="143">
        <v>0</v>
      </c>
      <c r="AU116" s="143">
        <v>0</v>
      </c>
      <c r="AV116" s="143">
        <v>1.302104229059E-2</v>
      </c>
      <c r="AW116" s="143">
        <v>0</v>
      </c>
      <c r="AX116" s="142">
        <v>1.7928963224999326E-3</v>
      </c>
      <c r="AY116" s="143">
        <v>0</v>
      </c>
      <c r="AZ116" s="143">
        <v>0</v>
      </c>
      <c r="BA116" s="143">
        <v>2.8118583531022874E-4</v>
      </c>
      <c r="BB116" s="143">
        <v>0</v>
      </c>
      <c r="BD116" s="50"/>
      <c r="BE116" s="179" t="s">
        <v>2919</v>
      </c>
      <c r="BF116" s="179" t="s">
        <v>2918</v>
      </c>
      <c r="BG116" s="53" t="s">
        <v>2892</v>
      </c>
      <c r="BI116" s="52" t="s">
        <v>2917</v>
      </c>
      <c r="BJ116" s="52" t="s">
        <v>44</v>
      </c>
      <c r="BK116" s="179"/>
      <c r="BL116" s="179" t="s">
        <v>2861</v>
      </c>
      <c r="BM116" s="179" t="s">
        <v>2916</v>
      </c>
      <c r="BN116" s="181" t="s">
        <v>2915</v>
      </c>
      <c r="BO116" s="52" t="s">
        <v>2866</v>
      </c>
      <c r="BP116" s="179" t="s">
        <v>2914</v>
      </c>
      <c r="BQ116" s="52" t="s">
        <v>2913</v>
      </c>
      <c r="BR116" s="179"/>
      <c r="BS116" s="179" t="s">
        <v>2848</v>
      </c>
      <c r="BT116" s="52" t="s">
        <v>2912</v>
      </c>
    </row>
    <row r="117" spans="1:72" ht="18.75" customHeight="1">
      <c r="A117" s="51" t="s">
        <v>188</v>
      </c>
      <c r="B117" s="205" t="s">
        <v>5558</v>
      </c>
      <c r="C117" t="s">
        <v>583</v>
      </c>
      <c r="D117" s="19">
        <v>3636</v>
      </c>
      <c r="E117" s="9" t="s">
        <v>5200</v>
      </c>
      <c r="F117" s="20" t="str">
        <f t="shared" si="66"/>
        <v/>
      </c>
      <c r="G117" s="19">
        <f t="shared" si="67"/>
        <v>1</v>
      </c>
      <c r="H117" s="19">
        <f t="shared" si="68"/>
        <v>1</v>
      </c>
      <c r="I117" s="19" t="str">
        <f t="shared" si="69"/>
        <v/>
      </c>
      <c r="J117" s="225">
        <f t="shared" si="70"/>
        <v>2</v>
      </c>
      <c r="K117" s="226" t="str">
        <f t="shared" si="42"/>
        <v>Gq/11</v>
      </c>
      <c r="L117" s="227">
        <f t="shared" si="71"/>
        <v>0</v>
      </c>
      <c r="M117" s="228">
        <f t="shared" si="44"/>
        <v>2</v>
      </c>
      <c r="N117" s="228">
        <f t="shared" si="45"/>
        <v>1</v>
      </c>
      <c r="O117" s="228">
        <f t="shared" si="46"/>
        <v>0</v>
      </c>
      <c r="P117" s="20">
        <f t="shared" si="72"/>
        <v>0</v>
      </c>
      <c r="Q117" s="19">
        <f t="shared" si="48"/>
        <v>41.478060046189377</v>
      </c>
      <c r="R117" s="19">
        <f t="shared" si="49"/>
        <v>100</v>
      </c>
      <c r="S117" s="19">
        <f t="shared" si="73"/>
        <v>0</v>
      </c>
      <c r="T117" s="20">
        <f t="shared" si="51"/>
        <v>0</v>
      </c>
      <c r="U117" s="19">
        <f t="shared" si="52"/>
        <v>8.9800000000000005E-2</v>
      </c>
      <c r="V117" s="19">
        <f t="shared" si="53"/>
        <v>0.2165</v>
      </c>
      <c r="W117" s="19">
        <f t="shared" si="54"/>
        <v>0</v>
      </c>
      <c r="X117" s="147" t="str">
        <f t="shared" si="55"/>
        <v>Gq</v>
      </c>
      <c r="Y117" s="32">
        <f t="shared" si="56"/>
        <v>0</v>
      </c>
      <c r="Z117" s="31">
        <f t="shared" si="57"/>
        <v>41.478060046189377</v>
      </c>
      <c r="AA117" s="31">
        <f t="shared" si="58"/>
        <v>100</v>
      </c>
      <c r="AB117" s="31">
        <f t="shared" si="59"/>
        <v>0</v>
      </c>
      <c r="AC117" s="31">
        <f t="shared" si="60"/>
        <v>0</v>
      </c>
      <c r="AD117" s="322">
        <f t="shared" si="61"/>
        <v>0</v>
      </c>
      <c r="AE117" s="309">
        <f t="shared" si="62"/>
        <v>8.9800000000000005E-2</v>
      </c>
      <c r="AF117" s="309">
        <f t="shared" si="63"/>
        <v>0.2165</v>
      </c>
      <c r="AG117" s="309">
        <f t="shared" si="64"/>
        <v>0</v>
      </c>
      <c r="AH117" s="309">
        <f t="shared" si="65"/>
        <v>0</v>
      </c>
      <c r="AI117" s="322">
        <v>0</v>
      </c>
      <c r="AJ117" s="309">
        <v>8.9800000000000005E-2</v>
      </c>
      <c r="AK117" s="309">
        <v>0.2165</v>
      </c>
      <c r="AL117" s="309">
        <v>0</v>
      </c>
      <c r="AM117" s="309">
        <v>0</v>
      </c>
      <c r="AN117" s="140">
        <v>0</v>
      </c>
      <c r="AO117" s="141">
        <v>1.9300000000000001E-2</v>
      </c>
      <c r="AP117" s="141">
        <v>2.1299999999999999E-2</v>
      </c>
      <c r="AQ117" s="141">
        <v>0</v>
      </c>
      <c r="AR117" s="141">
        <v>0</v>
      </c>
      <c r="AS117" s="142">
        <v>0</v>
      </c>
      <c r="AT117" s="143">
        <v>2.0795000000000002E-3</v>
      </c>
      <c r="AU117" s="143">
        <v>1.01E-2</v>
      </c>
      <c r="AV117" s="143">
        <v>0</v>
      </c>
      <c r="AW117" s="143">
        <v>0</v>
      </c>
      <c r="AX117" s="142">
        <v>0</v>
      </c>
      <c r="AY117" s="143">
        <v>2.5828000000000001E-3</v>
      </c>
      <c r="AZ117" s="143">
        <v>2.1619999999999999E-3</v>
      </c>
      <c r="BA117" s="143">
        <v>0</v>
      </c>
      <c r="BB117" s="143">
        <v>0</v>
      </c>
      <c r="BD117" s="50"/>
      <c r="BE117" s="179" t="s">
        <v>5401</v>
      </c>
      <c r="BF117" s="179" t="s">
        <v>188</v>
      </c>
      <c r="BG117" s="53" t="s">
        <v>15</v>
      </c>
      <c r="BI117" s="52" t="s">
        <v>2950</v>
      </c>
      <c r="BJ117" s="52" t="s">
        <v>2949</v>
      </c>
      <c r="BK117" s="184">
        <v>1000</v>
      </c>
      <c r="BL117" s="179" t="s">
        <v>5402</v>
      </c>
      <c r="BM117" s="179" t="s">
        <v>2867</v>
      </c>
      <c r="BN117" s="179" t="s">
        <v>2948</v>
      </c>
      <c r="BO117" s="52" t="s">
        <v>2866</v>
      </c>
      <c r="BP117" s="179" t="s">
        <v>2947</v>
      </c>
      <c r="BQ117" s="52" t="s">
        <v>2946</v>
      </c>
      <c r="BR117" s="179">
        <v>6</v>
      </c>
      <c r="BS117" s="179" t="s">
        <v>2848</v>
      </c>
    </row>
  </sheetData>
  <sortState xmlns:xlrd2="http://schemas.microsoft.com/office/spreadsheetml/2017/richdata2" ref="A66:BT117">
    <sortCondition ref="D66:D117"/>
  </sortState>
  <phoneticPr fontId="50" type="noConversion"/>
  <conditionalFormatting sqref="L1:O1048576">
    <cfRule type="cellIs" dxfId="6" priority="8" operator="equal">
      <formula>1</formula>
    </cfRule>
  </conditionalFormatting>
  <conditionalFormatting sqref="AE2:AH117">
    <cfRule type="colorScale" priority="1">
      <colorScale>
        <cfvo type="min"/>
        <cfvo type="max"/>
        <color theme="0"/>
        <color rgb="FF0000FF"/>
      </colorScale>
    </cfRule>
  </conditionalFormatting>
  <conditionalFormatting sqref="AJ2:AM117">
    <cfRule type="colorScale" priority="389">
      <colorScale>
        <cfvo type="min"/>
        <cfvo type="max"/>
        <color theme="0"/>
        <color rgb="FF0000FF"/>
      </colorScale>
    </cfRule>
  </conditionalFormatting>
  <conditionalFormatting sqref="AN2:AR117">
    <cfRule type="colorScale" priority="386">
      <colorScale>
        <cfvo type="min"/>
        <cfvo type="max"/>
        <color theme="0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9A41-596C-534B-9BE7-61DEFAAD214D}">
  <sheetPr>
    <tabColor rgb="FF0070C0"/>
  </sheetPr>
  <dimension ref="A1:CJ101"/>
  <sheetViews>
    <sheetView zoomScale="130" zoomScaleNormal="130" workbookViewId="0">
      <pane xSplit="1" ySplit="1" topLeftCell="L2" activePane="bottomRight" state="frozen"/>
      <selection activeCell="B4" sqref="B4"/>
      <selection pane="topRight" activeCell="B4" sqref="B4"/>
      <selection pane="bottomLeft" activeCell="B4" sqref="B4"/>
      <selection pane="bottomRight" activeCell="W6" sqref="W6"/>
    </sheetView>
  </sheetViews>
  <sheetFormatPr baseColWidth="10" defaultRowHeight="16"/>
  <cols>
    <col min="1" max="1" width="8.6640625" bestFit="1" customWidth="1"/>
    <col min="2" max="2" width="4.33203125" style="23" bestFit="1" customWidth="1"/>
    <col min="3" max="3" width="7.1640625" bestFit="1" customWidth="1"/>
    <col min="4" max="4" width="8.33203125" style="19" bestFit="1" customWidth="1"/>
    <col min="5" max="5" width="5.83203125" bestFit="1" customWidth="1"/>
    <col min="6" max="6" width="5.33203125" style="1" bestFit="1" customWidth="1"/>
    <col min="7" max="7" width="5.33203125" bestFit="1" customWidth="1"/>
    <col min="8" max="8" width="6.33203125" bestFit="1" customWidth="1"/>
    <col min="9" max="9" width="7.33203125" bestFit="1" customWidth="1"/>
    <col min="10" max="10" width="7.33203125" style="148" customWidth="1"/>
    <col min="11" max="11" width="8.33203125" style="148" bestFit="1" customWidth="1"/>
    <col min="12" max="12" width="5.33203125" style="1" bestFit="1" customWidth="1"/>
    <col min="13" max="13" width="5.33203125" bestFit="1" customWidth="1"/>
    <col min="14" max="14" width="6.33203125" bestFit="1" customWidth="1"/>
    <col min="15" max="15" width="7.33203125" bestFit="1" customWidth="1"/>
    <col min="16" max="16" width="10" style="20" bestFit="1" customWidth="1"/>
    <col min="17" max="18" width="10" style="19" bestFit="1" customWidth="1"/>
    <col min="19" max="19" width="11" style="19" bestFit="1" customWidth="1"/>
    <col min="20" max="20" width="4.1640625" style="1" bestFit="1" customWidth="1"/>
    <col min="21" max="21" width="5" customWidth="1"/>
    <col min="22" max="22" width="4.5" customWidth="1"/>
    <col min="23" max="23" width="5" customWidth="1"/>
    <col min="24" max="24" width="7.6640625" style="149" bestFit="1" customWidth="1"/>
    <col min="25" max="25" width="7.83203125" style="26" customWidth="1"/>
    <col min="26" max="39" width="7.83203125" style="25" customWidth="1"/>
    <col min="40" max="40" width="4.33203125" style="22" bestFit="1" customWidth="1"/>
    <col min="41" max="41" width="4.1640625" style="21" bestFit="1" customWidth="1"/>
    <col min="42" max="42" width="4.6640625" style="21" bestFit="1" customWidth="1"/>
    <col min="43" max="45" width="4" style="21" bestFit="1" customWidth="1"/>
    <col min="46" max="47" width="4.6640625" style="21" bestFit="1" customWidth="1"/>
    <col min="48" max="48" width="3.6640625" style="21" bestFit="1" customWidth="1"/>
    <col min="49" max="49" width="6" style="21" bestFit="1" customWidth="1"/>
    <col min="50" max="50" width="3.6640625" style="21" bestFit="1" customWidth="1"/>
    <col min="51" max="54" width="4.5" style="21" bestFit="1" customWidth="1"/>
    <col min="55" max="55" width="5.83203125" style="20" bestFit="1" customWidth="1"/>
    <col min="56" max="63" width="5.83203125" style="19" bestFit="1" customWidth="1"/>
    <col min="64" max="64" width="6" style="19" bestFit="1" customWidth="1"/>
    <col min="65" max="69" width="5.83203125" style="19" bestFit="1" customWidth="1"/>
    <col min="70" max="70" width="6.1640625" style="22" bestFit="1" customWidth="1"/>
    <col min="71" max="84" width="6.1640625" style="21" bestFit="1" customWidth="1"/>
    <col min="86" max="86" width="8.1640625" style="168" customWidth="1"/>
    <col min="87" max="87" width="7.83203125" style="169" customWidth="1"/>
    <col min="88" max="88" width="10.83203125" style="169"/>
  </cols>
  <sheetData>
    <row r="1" spans="1:88" s="121" customFormat="1" ht="51">
      <c r="A1" s="158" t="s">
        <v>2752</v>
      </c>
      <c r="B1" s="218" t="s">
        <v>5530</v>
      </c>
      <c r="C1" s="158" t="s">
        <v>5403</v>
      </c>
      <c r="D1" s="150" t="s">
        <v>5404</v>
      </c>
      <c r="E1" s="158" t="s">
        <v>5199</v>
      </c>
      <c r="F1" s="161" t="s">
        <v>5407</v>
      </c>
      <c r="G1" s="166" t="s">
        <v>5408</v>
      </c>
      <c r="H1" s="166" t="s">
        <v>5409</v>
      </c>
      <c r="I1" s="162" t="s">
        <v>5410</v>
      </c>
      <c r="J1" s="160" t="s">
        <v>5411</v>
      </c>
      <c r="K1" s="160" t="s">
        <v>5412</v>
      </c>
      <c r="L1" s="161" t="s">
        <v>5194</v>
      </c>
      <c r="M1" s="166" t="s">
        <v>5195</v>
      </c>
      <c r="N1" s="162" t="s">
        <v>5196</v>
      </c>
      <c r="O1" s="162" t="s">
        <v>5197</v>
      </c>
      <c r="P1" s="163" t="s">
        <v>5185</v>
      </c>
      <c r="Q1" s="164" t="s">
        <v>5186</v>
      </c>
      <c r="R1" s="165" t="s">
        <v>5187</v>
      </c>
      <c r="S1" s="165" t="s">
        <v>5188</v>
      </c>
      <c r="T1" s="161" t="s">
        <v>5560</v>
      </c>
      <c r="U1" s="166" t="s">
        <v>5561</v>
      </c>
      <c r="V1" s="166" t="s">
        <v>5562</v>
      </c>
      <c r="W1" s="162" t="s">
        <v>5563</v>
      </c>
      <c r="X1" s="146" t="s">
        <v>5193</v>
      </c>
      <c r="Y1" s="151" t="s">
        <v>5189</v>
      </c>
      <c r="Z1" s="153" t="s">
        <v>5173</v>
      </c>
      <c r="AA1" s="152" t="s">
        <v>5190</v>
      </c>
      <c r="AB1" s="151" t="s">
        <v>5174</v>
      </c>
      <c r="AC1" s="152" t="s">
        <v>5175</v>
      </c>
      <c r="AD1" s="152" t="s">
        <v>5191</v>
      </c>
      <c r="AE1" s="152" t="s">
        <v>5176</v>
      </c>
      <c r="AF1" s="152" t="s">
        <v>5177</v>
      </c>
      <c r="AG1" s="152" t="s">
        <v>5178</v>
      </c>
      <c r="AH1" s="152" t="s">
        <v>5192</v>
      </c>
      <c r="AI1" s="151" t="s">
        <v>5179</v>
      </c>
      <c r="AJ1" s="152" t="s">
        <v>5180</v>
      </c>
      <c r="AK1" s="152" t="s">
        <v>5182</v>
      </c>
      <c r="AL1" s="151" t="s">
        <v>5183</v>
      </c>
      <c r="AM1" s="152" t="s">
        <v>5184</v>
      </c>
      <c r="AN1" s="224" t="s">
        <v>5551</v>
      </c>
      <c r="AO1" s="153" t="s">
        <v>3264</v>
      </c>
      <c r="AP1" s="152" t="s">
        <v>5552</v>
      </c>
      <c r="AQ1" s="151" t="s">
        <v>5528</v>
      </c>
      <c r="AR1" s="152" t="s">
        <v>5544</v>
      </c>
      <c r="AS1" s="152" t="s">
        <v>5553</v>
      </c>
      <c r="AT1" s="152" t="s">
        <v>3263</v>
      </c>
      <c r="AU1" s="152" t="s">
        <v>5545</v>
      </c>
      <c r="AV1" s="152" t="s">
        <v>5546</v>
      </c>
      <c r="AW1" s="152" t="s">
        <v>5554</v>
      </c>
      <c r="AX1" s="151" t="s">
        <v>2853</v>
      </c>
      <c r="AY1" s="152" t="s">
        <v>5543</v>
      </c>
      <c r="AZ1" s="152" t="s">
        <v>2852</v>
      </c>
      <c r="BA1" s="151" t="s">
        <v>5529</v>
      </c>
      <c r="BB1" s="152" t="s">
        <v>3265</v>
      </c>
      <c r="BC1" s="214" t="s">
        <v>2776</v>
      </c>
      <c r="BD1" s="215" t="s">
        <v>2777</v>
      </c>
      <c r="BE1" s="215" t="s">
        <v>2778</v>
      </c>
      <c r="BF1" s="215" t="s">
        <v>2779</v>
      </c>
      <c r="BG1" s="215" t="s">
        <v>2780</v>
      </c>
      <c r="BH1" s="215" t="s">
        <v>2781</v>
      </c>
      <c r="BI1" s="215" t="s">
        <v>2782</v>
      </c>
      <c r="BJ1" s="215" t="s">
        <v>2783</v>
      </c>
      <c r="BK1" s="215" t="s">
        <v>2784</v>
      </c>
      <c r="BL1" s="215" t="s">
        <v>2785</v>
      </c>
      <c r="BM1" s="214" t="s">
        <v>2786</v>
      </c>
      <c r="BN1" s="215" t="s">
        <v>2787</v>
      </c>
      <c r="BO1" s="215" t="s">
        <v>2788</v>
      </c>
      <c r="BP1" s="214" t="s">
        <v>2789</v>
      </c>
      <c r="BQ1" s="215" t="s">
        <v>2790</v>
      </c>
      <c r="BR1" s="216" t="s">
        <v>2791</v>
      </c>
      <c r="BS1" s="217" t="s">
        <v>2792</v>
      </c>
      <c r="BT1" s="217" t="s">
        <v>2793</v>
      </c>
      <c r="BU1" s="217" t="s">
        <v>2794</v>
      </c>
      <c r="BV1" s="217" t="s">
        <v>2795</v>
      </c>
      <c r="BW1" s="217" t="s">
        <v>2796</v>
      </c>
      <c r="BX1" s="217" t="s">
        <v>2797</v>
      </c>
      <c r="BY1" s="217" t="s">
        <v>2798</v>
      </c>
      <c r="BZ1" s="217" t="s">
        <v>2799</v>
      </c>
      <c r="CA1" s="217" t="s">
        <v>2800</v>
      </c>
      <c r="CB1" s="216" t="s">
        <v>2801</v>
      </c>
      <c r="CC1" s="217" t="s">
        <v>2802</v>
      </c>
      <c r="CD1" s="217" t="s">
        <v>2803</v>
      </c>
      <c r="CE1" s="216" t="s">
        <v>2804</v>
      </c>
      <c r="CF1" s="217" t="s">
        <v>2805</v>
      </c>
      <c r="CH1" s="167" t="s">
        <v>580</v>
      </c>
      <c r="CI1" s="167" t="s">
        <v>581</v>
      </c>
      <c r="CJ1" s="177"/>
    </row>
    <row r="2" spans="1:88">
      <c r="A2" s="42" t="s">
        <v>41</v>
      </c>
      <c r="B2" s="205" t="s">
        <v>5557</v>
      </c>
      <c r="C2" t="s">
        <v>2678</v>
      </c>
      <c r="D2" s="19">
        <v>479</v>
      </c>
      <c r="E2" t="s">
        <v>5200</v>
      </c>
      <c r="F2" s="20">
        <f>IF(T2&gt;0,1,"")</f>
        <v>1</v>
      </c>
      <c r="G2" s="19">
        <f t="shared" ref="G2:I2" si="0">IF(U2&gt;0,1,"")</f>
        <v>1</v>
      </c>
      <c r="H2" s="19">
        <f t="shared" si="0"/>
        <v>1</v>
      </c>
      <c r="I2" s="19" t="str">
        <f t="shared" si="0"/>
        <v/>
      </c>
      <c r="J2" s="189">
        <f>COUNTIF(L2:O2,"&gt;0")</f>
        <v>3</v>
      </c>
      <c r="K2" s="147" t="str">
        <f>SUBSTITUTE(INDEX(T$1:W$1,1,MATCH(MAX(T2:W2),T2:W2,0)),"-fam","")</f>
        <v>Gq/11</v>
      </c>
      <c r="L2" s="20">
        <f>IF(T2=0,0,_xlfn.RANK.EQ(T2,$T2:$W2,0))</f>
        <v>2</v>
      </c>
      <c r="M2" s="19">
        <f t="shared" ref="M2:O2" si="1">IF(U2=0,0,_xlfn.RANK.EQ(U2,$T2:$W2,0))</f>
        <v>3</v>
      </c>
      <c r="N2" s="19">
        <f t="shared" si="1"/>
        <v>1</v>
      </c>
      <c r="O2" s="19">
        <f t="shared" si="1"/>
        <v>0</v>
      </c>
      <c r="P2" s="20">
        <f>T2/MAX($T2:$W2)*100</f>
        <v>79.84579575212824</v>
      </c>
      <c r="Q2" s="19">
        <f t="shared" ref="Q2:S2" si="2">U2/MAX($T2:$W2)*100</f>
        <v>78.227896774232192</v>
      </c>
      <c r="R2" s="19">
        <f t="shared" si="2"/>
        <v>100</v>
      </c>
      <c r="S2" s="19">
        <f t="shared" si="2"/>
        <v>0</v>
      </c>
      <c r="T2" s="20">
        <f>MAX(AN2:AP2)</f>
        <v>6.767532202729841</v>
      </c>
      <c r="U2" s="21">
        <f>MAX(AQ2:AW2)</f>
        <v>6.6304030861553676</v>
      </c>
      <c r="V2" s="21">
        <f>MAX(AX2:AZ2)</f>
        <v>8.4757527168228606</v>
      </c>
      <c r="W2" s="21">
        <f>MAX(BA2:BB2)</f>
        <v>0</v>
      </c>
      <c r="X2" s="147" t="str">
        <f>INDEX(AN$1:BB$1,1,MATCH(MAX(AN2:BB2),AN2:BB2,0))</f>
        <v>G15</v>
      </c>
      <c r="Y2" s="32">
        <f>AN2/MAX($AN2:$BB2)*100</f>
        <v>75.575130631872341</v>
      </c>
      <c r="Z2" s="31">
        <f t="shared" ref="Z2:AM2" si="3">AO2/MAX($AN2:$BB2)*100</f>
        <v>79.84579575212824</v>
      </c>
      <c r="AA2" s="31">
        <f t="shared" si="3"/>
        <v>79.84579575212824</v>
      </c>
      <c r="AB2" s="31">
        <f t="shared" si="3"/>
        <v>0</v>
      </c>
      <c r="AC2" s="31">
        <f t="shared" si="3"/>
        <v>78.227896774232192</v>
      </c>
      <c r="AD2" s="31">
        <f t="shared" si="3"/>
        <v>0</v>
      </c>
      <c r="AE2" s="31">
        <f t="shared" si="3"/>
        <v>64.178311958065834</v>
      </c>
      <c r="AF2" s="31">
        <f t="shared" si="3"/>
        <v>70.311235001682121</v>
      </c>
      <c r="AG2" s="31">
        <f t="shared" si="3"/>
        <v>63.716416564384183</v>
      </c>
      <c r="AH2" s="31">
        <f t="shared" si="3"/>
        <v>0</v>
      </c>
      <c r="AI2" s="31">
        <f t="shared" si="3"/>
        <v>0</v>
      </c>
      <c r="AJ2" s="31">
        <f t="shared" si="3"/>
        <v>0</v>
      </c>
      <c r="AK2" s="31">
        <f t="shared" si="3"/>
        <v>100</v>
      </c>
      <c r="AL2" s="31">
        <f t="shared" si="3"/>
        <v>0</v>
      </c>
      <c r="AM2" s="31">
        <f t="shared" si="3"/>
        <v>0</v>
      </c>
      <c r="AN2" s="7">
        <f>IF(BC2=0,0,LOG(0.01*BC2/10^-BR2))</f>
        <v>6.4055611877733458</v>
      </c>
      <c r="AO2" s="8">
        <f t="shared" ref="AO2:BB2" si="4">IF(BD2=0,0,LOG(0.01*BD2/10^-BS2))</f>
        <v>6.767532202729841</v>
      </c>
      <c r="AP2" s="8">
        <f t="shared" si="4"/>
        <v>6.767532202729841</v>
      </c>
      <c r="AQ2" s="8">
        <f t="shared" si="4"/>
        <v>0</v>
      </c>
      <c r="AR2" s="8">
        <f t="shared" si="4"/>
        <v>6.6304030861553676</v>
      </c>
      <c r="AS2" s="8">
        <f t="shared" si="4"/>
        <v>0</v>
      </c>
      <c r="AT2" s="8">
        <f t="shared" si="4"/>
        <v>5.4395950193968163</v>
      </c>
      <c r="AU2" s="8">
        <f t="shared" si="4"/>
        <v>5.9594064108867784</v>
      </c>
      <c r="AV2" s="8">
        <f t="shared" si="4"/>
        <v>5.4004459080179634</v>
      </c>
      <c r="AW2" s="8">
        <f t="shared" si="4"/>
        <v>0</v>
      </c>
      <c r="AX2" s="8">
        <f t="shared" si="4"/>
        <v>0</v>
      </c>
      <c r="AY2" s="8">
        <f>IF(BN2=0,0,LOG(0.01*BN2/10^-CC2))</f>
        <v>0</v>
      </c>
      <c r="AZ2" s="8">
        <f t="shared" si="4"/>
        <v>8.4757527168228606</v>
      </c>
      <c r="BA2" s="8">
        <f t="shared" si="4"/>
        <v>0</v>
      </c>
      <c r="BB2" s="8">
        <f t="shared" si="4"/>
        <v>0</v>
      </c>
      <c r="BC2" s="46">
        <v>96.73</v>
      </c>
      <c r="BD2" s="45">
        <v>97.17</v>
      </c>
      <c r="BE2" s="47">
        <v>97.17</v>
      </c>
      <c r="BF2" s="45">
        <v>0</v>
      </c>
      <c r="BG2" s="47">
        <v>28.21</v>
      </c>
      <c r="BH2" s="45">
        <v>0</v>
      </c>
      <c r="BI2" s="45">
        <v>25.68</v>
      </c>
      <c r="BJ2" s="45">
        <v>41.63</v>
      </c>
      <c r="BK2" s="47">
        <v>18.64</v>
      </c>
      <c r="BL2" s="45">
        <v>0</v>
      </c>
      <c r="BM2" s="45">
        <v>0</v>
      </c>
      <c r="BN2" s="45">
        <v>0</v>
      </c>
      <c r="BO2" s="47">
        <v>51.97</v>
      </c>
      <c r="BP2" s="45">
        <v>0</v>
      </c>
      <c r="BQ2" s="45">
        <v>0</v>
      </c>
      <c r="BR2" s="43">
        <v>6.42</v>
      </c>
      <c r="BS2" s="44">
        <v>6.78</v>
      </c>
      <c r="BT2" s="44">
        <v>6.78</v>
      </c>
      <c r="BU2" s="44">
        <v>0</v>
      </c>
      <c r="BV2" s="44">
        <v>7.18</v>
      </c>
      <c r="BW2" s="44">
        <v>0</v>
      </c>
      <c r="BX2" s="44">
        <v>6.03</v>
      </c>
      <c r="BY2" s="44">
        <v>6.34</v>
      </c>
      <c r="BZ2" s="44">
        <v>6.13</v>
      </c>
      <c r="CA2" s="44">
        <v>0</v>
      </c>
      <c r="CB2" s="44">
        <v>0</v>
      </c>
      <c r="CC2" s="44">
        <v>0</v>
      </c>
      <c r="CD2" s="44">
        <v>8.76</v>
      </c>
      <c r="CE2" s="44">
        <v>0</v>
      </c>
      <c r="CF2" s="44">
        <v>0</v>
      </c>
      <c r="CH2" s="168" t="s">
        <v>2747</v>
      </c>
      <c r="CI2" s="169" t="s">
        <v>2750</v>
      </c>
    </row>
    <row r="3" spans="1:88">
      <c r="A3" s="42" t="s">
        <v>179</v>
      </c>
      <c r="B3" s="205" t="s">
        <v>5557</v>
      </c>
      <c r="C3" t="s">
        <v>4</v>
      </c>
      <c r="D3" s="19">
        <v>5311318</v>
      </c>
      <c r="E3" t="s">
        <v>5201</v>
      </c>
      <c r="F3" s="20" t="str">
        <f t="shared" ref="F3:F5" si="5">IF(T3&gt;0,1,"")</f>
        <v/>
      </c>
      <c r="G3" s="19">
        <f t="shared" ref="G3:G5" si="6">IF(U3&gt;0,1,"")</f>
        <v>1</v>
      </c>
      <c r="H3" s="19">
        <f t="shared" ref="H3:H5" si="7">IF(V3&gt;0,1,"")</f>
        <v>1</v>
      </c>
      <c r="I3" s="19">
        <f t="shared" ref="I3:I5" si="8">IF(W3&gt;0,1,"")</f>
        <v>1</v>
      </c>
      <c r="J3" s="189">
        <f t="shared" ref="J3:J5" si="9">COUNTIF(L3:O3,"&gt;0")</f>
        <v>3</v>
      </c>
      <c r="K3" s="147" t="str">
        <f t="shared" ref="K3:K5" si="10">SUBSTITUTE(INDEX(T$1:W$1,1,MATCH(MAX(T3:W3),T3:W3,0)),"-fam","")</f>
        <v>Gq/11</v>
      </c>
      <c r="L3" s="20">
        <f t="shared" ref="L3:L5" si="11">IF(T3=0,0,_xlfn.RANK.EQ(T3,$T3:$W3,0))</f>
        <v>0</v>
      </c>
      <c r="M3" s="19">
        <f t="shared" ref="M3:M5" si="12">IF(U3=0,0,_xlfn.RANK.EQ(U3,$T3:$W3,0))</f>
        <v>2</v>
      </c>
      <c r="N3" s="19">
        <f t="shared" ref="N3:N5" si="13">IF(V3=0,0,_xlfn.RANK.EQ(V3,$T3:$W3,0))</f>
        <v>1</v>
      </c>
      <c r="O3" s="19">
        <f t="shared" ref="O3:O5" si="14">IF(W3=0,0,_xlfn.RANK.EQ(W3,$T3:$W3,0))</f>
        <v>3</v>
      </c>
      <c r="P3" s="20">
        <f t="shared" ref="P3:P5" si="15">T3/MAX($T3:$W3)*100</f>
        <v>0</v>
      </c>
      <c r="Q3" s="19">
        <f t="shared" ref="Q3:Q5" si="16">U3/MAX($T3:$W3)*100</f>
        <v>97.242358822636447</v>
      </c>
      <c r="R3" s="19">
        <f t="shared" ref="R3:R5" si="17">V3/MAX($T3:$W3)*100</f>
        <v>100</v>
      </c>
      <c r="S3" s="19">
        <f>W3/MAX($T3:$W3)*100</f>
        <v>97.178749724851471</v>
      </c>
      <c r="T3" s="20">
        <f>MAX(AN3:AP3)</f>
        <v>0</v>
      </c>
      <c r="U3" s="21">
        <f t="shared" ref="U3:U5" si="18">MAX(AQ3:AW3)</f>
        <v>9.0050645341561424</v>
      </c>
      <c r="V3" s="21">
        <f t="shared" ref="V3:V5" si="19">MAX(AX3:AZ3)</f>
        <v>9.260434077479319</v>
      </c>
      <c r="W3" s="21">
        <f t="shared" ref="W3:W5" si="20">MAX(BA3:BB3)</f>
        <v>8.9991740555884849</v>
      </c>
      <c r="X3" s="147" t="str">
        <f t="shared" ref="X3:X5" si="21">INDEX(AN$1:BB$1,1,MATCH(MAX(AN3:BB3),AN3:BB3,0))</f>
        <v>G11</v>
      </c>
      <c r="Y3" s="32">
        <f t="shared" ref="Y3:Y5" si="22">AN3/MAX($AN3:$BB3)*100</f>
        <v>0</v>
      </c>
      <c r="Z3" s="31">
        <f t="shared" ref="Z3:Z5" si="23">AO3/MAX($AN3:$BB3)*100</f>
        <v>0</v>
      </c>
      <c r="AA3" s="31">
        <f t="shared" ref="AA3:AA5" si="24">AP3/MAX($AN3:$BB3)*100</f>
        <v>0</v>
      </c>
      <c r="AB3" s="31">
        <f t="shared" ref="AB3:AB5" si="25">AQ3/MAX($AN3:$BB3)*100</f>
        <v>95.094003180186846</v>
      </c>
      <c r="AC3" s="31">
        <f t="shared" ref="AC3:AC5" si="26">AR3/MAX($AN3:$BB3)*100</f>
        <v>95.637245833791425</v>
      </c>
      <c r="AD3" s="31">
        <f t="shared" ref="AD3:AD5" si="27">AS3/MAX($AN3:$BB3)*100</f>
        <v>91.884629265983662</v>
      </c>
      <c r="AE3" s="31">
        <f t="shared" ref="AE3:AE5" si="28">AT3/MAX($AN3:$BB3)*100</f>
        <v>97.242358822636447</v>
      </c>
      <c r="AF3" s="31">
        <f t="shared" ref="AF3:AF5" si="29">AU3/MAX($AN3:$BB3)*100</f>
        <v>95.293859660741305</v>
      </c>
      <c r="AG3" s="31">
        <f t="shared" ref="AG3:AG5" si="30">AV3/MAX($AN3:$BB3)*100</f>
        <v>96.607230716384436</v>
      </c>
      <c r="AH3" s="31">
        <f t="shared" ref="AH3:AH5" si="31">AW3/MAX($AN3:$BB3)*100</f>
        <v>96.580054094354864</v>
      </c>
      <c r="AI3" s="31">
        <f t="shared" ref="AI3:AI5" si="32">AX3/MAX($AN3:$BB3)*100</f>
        <v>95.43920742797701</v>
      </c>
      <c r="AJ3" s="31">
        <f t="shared" ref="AJ3:AJ5" si="33">AY3/MAX($AN3:$BB3)*100</f>
        <v>100</v>
      </c>
      <c r="AK3" s="31">
        <f t="shared" ref="AK3:AK5" si="34">AZ3/MAX($AN3:$BB3)*100</f>
        <v>98.022863881478727</v>
      </c>
      <c r="AL3" s="31">
        <f t="shared" ref="AL3:AL5" si="35">BA3/MAX($AN3:$BB3)*100</f>
        <v>93.61238179364544</v>
      </c>
      <c r="AM3" s="31">
        <f t="shared" ref="AM3:AM5" si="36">BB3/MAX($AN3:$BB3)*100</f>
        <v>97.178749724851471</v>
      </c>
      <c r="AN3" s="7">
        <f t="shared" ref="AN3:AN5" si="37">IF(BC3=0,0,LOG(0.01*BC3/10^-BR3))</f>
        <v>0</v>
      </c>
      <c r="AO3" s="8">
        <f t="shared" ref="AO3:AO5" si="38">IF(BD3=0,0,LOG(0.01*BD3/10^-BS3))</f>
        <v>0</v>
      </c>
      <c r="AP3" s="8">
        <f t="shared" ref="AP3:AP5" si="39">IF(BE3=0,0,LOG(0.01*BE3/10^-BT3))</f>
        <v>0</v>
      </c>
      <c r="AQ3" s="8">
        <f t="shared" ref="AQ3:AQ5" si="40">IF(BF3=0,0,LOG(0.01*BF3/10^-BU3))</f>
        <v>8.80611747613729</v>
      </c>
      <c r="AR3" s="8">
        <f t="shared" ref="AR3:AR5" si="41">IF(BG3=0,0,LOG(0.01*BG3/10^-BV3))</f>
        <v>8.8564241039550922</v>
      </c>
      <c r="AS3" s="8">
        <f t="shared" ref="AS3:AS5" si="42">IF(BH3=0,0,LOG(0.01*BH3/10^-BW3))</f>
        <v>8.5089155205126872</v>
      </c>
      <c r="AT3" s="8">
        <f t="shared" ref="AT3:AT5" si="43">IF(BI3=0,0,LOG(0.01*BI3/10^-BX3))</f>
        <v>9.0050645341561424</v>
      </c>
      <c r="AU3" s="8">
        <f t="shared" ref="AU3:AU5" si="44">IF(BJ3=0,0,LOG(0.01*BJ3/10^-BY3))</f>
        <v>8.8246250537686048</v>
      </c>
      <c r="AV3" s="8">
        <f t="shared" ref="AV3:AV5" si="45">IF(BK3=0,0,LOG(0.01*BK3/10^-BZ3))</f>
        <v>8.9462489145691322</v>
      </c>
      <c r="AW3" s="8">
        <f t="shared" ref="AW3:AW5" si="46">IF(BL3=0,0,LOG(0.01*BL3/10^-CA3))</f>
        <v>8.9437322414015981</v>
      </c>
      <c r="AX3" s="8">
        <f t="shared" ref="AX3:AX5" si="47">IF(BM3=0,0,LOG(0.01*BM3/10^-CB3))</f>
        <v>8.8380848879365566</v>
      </c>
      <c r="AY3" s="8">
        <f t="shared" ref="AY3:AY5" si="48">IF(BN3=0,0,LOG(0.01*BN3/10^-CC3))</f>
        <v>9.260434077479319</v>
      </c>
      <c r="AZ3" s="8">
        <f t="shared" ref="AZ3:AZ5" si="49">IF(BO3=0,0,LOG(0.01*BO3/10^-CD3))</f>
        <v>9.0773426906016237</v>
      </c>
      <c r="BA3" s="8">
        <f t="shared" ref="BA3:BA5" si="50">IF(BP3=0,0,LOG(0.01*BP3/10^-CE3))</f>
        <v>8.6689129043587876</v>
      </c>
      <c r="BB3" s="8">
        <f t="shared" ref="BB3:BB5" si="51">IF(BQ3=0,0,LOG(0.01*BQ3/10^-CF3))</f>
        <v>8.9991740555884849</v>
      </c>
      <c r="BC3" s="46">
        <v>0</v>
      </c>
      <c r="BD3" s="45">
        <v>0</v>
      </c>
      <c r="BE3" s="45">
        <v>0</v>
      </c>
      <c r="BF3" s="45">
        <v>99.11</v>
      </c>
      <c r="BG3" s="45">
        <v>99.18</v>
      </c>
      <c r="BH3" s="45">
        <v>97.48</v>
      </c>
      <c r="BI3" s="45">
        <v>98.87</v>
      </c>
      <c r="BJ3" s="45">
        <v>98.77</v>
      </c>
      <c r="BK3" s="45">
        <v>99.14</v>
      </c>
      <c r="BL3" s="47">
        <v>27.78</v>
      </c>
      <c r="BM3" s="45">
        <v>99.56</v>
      </c>
      <c r="BN3" s="45">
        <v>100.1</v>
      </c>
      <c r="BO3" s="45">
        <v>99.39</v>
      </c>
      <c r="BP3" s="45">
        <v>99.75</v>
      </c>
      <c r="BQ3" s="47">
        <v>99.81</v>
      </c>
      <c r="BR3" s="43">
        <v>0</v>
      </c>
      <c r="BS3" s="44">
        <v>0</v>
      </c>
      <c r="BT3" s="44">
        <v>0</v>
      </c>
      <c r="BU3" s="44">
        <v>8.81</v>
      </c>
      <c r="BV3" s="44">
        <v>8.86</v>
      </c>
      <c r="BW3" s="44">
        <v>8.52</v>
      </c>
      <c r="BX3" s="44">
        <v>9.01</v>
      </c>
      <c r="BY3" s="44">
        <v>8.83</v>
      </c>
      <c r="BZ3" s="44">
        <v>8.9499999999999993</v>
      </c>
      <c r="CA3" s="44">
        <v>9.5</v>
      </c>
      <c r="CB3" s="44">
        <v>8.84</v>
      </c>
      <c r="CC3" s="44">
        <v>9.26</v>
      </c>
      <c r="CD3" s="44">
        <v>9.08</v>
      </c>
      <c r="CE3" s="44">
        <v>8.67</v>
      </c>
      <c r="CF3" s="44">
        <v>9</v>
      </c>
      <c r="CH3" s="168" t="s">
        <v>2748</v>
      </c>
      <c r="CI3" s="169" t="s">
        <v>2751</v>
      </c>
    </row>
    <row r="4" spans="1:88">
      <c r="A4" s="42" t="s">
        <v>153</v>
      </c>
      <c r="B4" s="205" t="s">
        <v>5557</v>
      </c>
      <c r="C4" t="s">
        <v>2678</v>
      </c>
      <c r="D4" s="19">
        <v>2906</v>
      </c>
      <c r="E4" t="s">
        <v>5200</v>
      </c>
      <c r="F4" s="20">
        <f t="shared" si="5"/>
        <v>1</v>
      </c>
      <c r="G4" s="19">
        <f t="shared" si="6"/>
        <v>1</v>
      </c>
      <c r="H4" s="19" t="str">
        <f t="shared" si="7"/>
        <v/>
      </c>
      <c r="I4" s="19">
        <f t="shared" si="8"/>
        <v>1</v>
      </c>
      <c r="J4" s="189">
        <f t="shared" si="9"/>
        <v>3</v>
      </c>
      <c r="K4" s="147" t="str">
        <f t="shared" si="10"/>
        <v>G12/13</v>
      </c>
      <c r="L4" s="20">
        <f t="shared" si="11"/>
        <v>3</v>
      </c>
      <c r="M4" s="19">
        <f t="shared" si="12"/>
        <v>2</v>
      </c>
      <c r="N4" s="19">
        <f t="shared" si="13"/>
        <v>0</v>
      </c>
      <c r="O4" s="19">
        <f t="shared" si="14"/>
        <v>1</v>
      </c>
      <c r="P4" s="20">
        <f t="shared" si="15"/>
        <v>75.421346677614792</v>
      </c>
      <c r="Q4" s="19">
        <f t="shared" si="16"/>
        <v>95.941524549049731</v>
      </c>
      <c r="R4" s="19">
        <f t="shared" si="17"/>
        <v>0</v>
      </c>
      <c r="S4" s="19">
        <f>W4/MAX($T4:$W4)*100</f>
        <v>100</v>
      </c>
      <c r="T4" s="20">
        <f t="shared" ref="T4:T5" si="52">MAX(AN4:AP4)</f>
        <v>5.5566868052009966</v>
      </c>
      <c r="U4" s="21">
        <f t="shared" si="18"/>
        <v>7.0685161034230424</v>
      </c>
      <c r="V4" s="21">
        <f t="shared" si="19"/>
        <v>0</v>
      </c>
      <c r="W4" s="21">
        <f t="shared" si="20"/>
        <v>7.3675253094496025</v>
      </c>
      <c r="X4" s="147" t="str">
        <f t="shared" si="21"/>
        <v>G13</v>
      </c>
      <c r="Y4" s="32">
        <f t="shared" si="22"/>
        <v>75.421346677614792</v>
      </c>
      <c r="Z4" s="31">
        <f t="shared" si="23"/>
        <v>0</v>
      </c>
      <c r="AA4" s="31">
        <f t="shared" si="24"/>
        <v>0</v>
      </c>
      <c r="AB4" s="31">
        <f t="shared" si="25"/>
        <v>77.763538743458426</v>
      </c>
      <c r="AC4" s="31">
        <f t="shared" si="26"/>
        <v>84.734764829347952</v>
      </c>
      <c r="AD4" s="31">
        <f t="shared" si="27"/>
        <v>72.171610805787736</v>
      </c>
      <c r="AE4" s="31">
        <f t="shared" si="28"/>
        <v>94.898445053567158</v>
      </c>
      <c r="AF4" s="31">
        <f t="shared" si="29"/>
        <v>95.941524549049731</v>
      </c>
      <c r="AG4" s="31">
        <f t="shared" si="30"/>
        <v>88.92221873272679</v>
      </c>
      <c r="AH4" s="31">
        <f t="shared" si="31"/>
        <v>86.807010200625072</v>
      </c>
      <c r="AI4" s="31">
        <f t="shared" si="32"/>
        <v>0</v>
      </c>
      <c r="AJ4" s="31">
        <f t="shared" si="33"/>
        <v>0</v>
      </c>
      <c r="AK4" s="31">
        <f t="shared" si="34"/>
        <v>0</v>
      </c>
      <c r="AL4" s="31">
        <f t="shared" si="35"/>
        <v>98.190735110090728</v>
      </c>
      <c r="AM4" s="31">
        <f t="shared" si="36"/>
        <v>100</v>
      </c>
      <c r="AN4" s="7">
        <f t="shared" si="37"/>
        <v>5.5566868052009966</v>
      </c>
      <c r="AO4" s="8">
        <f t="shared" si="38"/>
        <v>0</v>
      </c>
      <c r="AP4" s="8">
        <f t="shared" si="39"/>
        <v>0</v>
      </c>
      <c r="AQ4" s="8">
        <f t="shared" si="40"/>
        <v>5.7292483984479468</v>
      </c>
      <c r="AR4" s="8">
        <f t="shared" si="41"/>
        <v>6.2428552447048107</v>
      </c>
      <c r="AS4" s="8">
        <f t="shared" si="42"/>
        <v>5.3172616923538758</v>
      </c>
      <c r="AT4" s="8">
        <f t="shared" si="43"/>
        <v>6.9916669575956849</v>
      </c>
      <c r="AU4" s="8">
        <f t="shared" si="44"/>
        <v>7.0685161034230424</v>
      </c>
      <c r="AV4" s="8">
        <f t="shared" si="45"/>
        <v>6.5513669708577815</v>
      </c>
      <c r="AW4" s="8">
        <f t="shared" si="46"/>
        <v>6.3955284469075497</v>
      </c>
      <c r="AX4" s="8">
        <f t="shared" si="47"/>
        <v>0</v>
      </c>
      <c r="AY4" s="8">
        <f t="shared" si="48"/>
        <v>0</v>
      </c>
      <c r="AZ4" s="8">
        <f t="shared" si="49"/>
        <v>0</v>
      </c>
      <c r="BA4" s="8">
        <f t="shared" si="50"/>
        <v>7.2342272607705516</v>
      </c>
      <c r="BB4" s="8">
        <f t="shared" si="51"/>
        <v>7.3675253094496025</v>
      </c>
      <c r="BC4" s="48">
        <v>37.729999999999997</v>
      </c>
      <c r="BD4" s="45">
        <v>0</v>
      </c>
      <c r="BE4" s="45">
        <v>0</v>
      </c>
      <c r="BF4" s="45">
        <v>52.39</v>
      </c>
      <c r="BG4" s="45">
        <v>74.62</v>
      </c>
      <c r="BH4" s="45">
        <v>36.92</v>
      </c>
      <c r="BI4" s="45">
        <v>123.5</v>
      </c>
      <c r="BJ4" s="45">
        <v>90.89</v>
      </c>
      <c r="BK4" s="45">
        <v>59.07</v>
      </c>
      <c r="BL4" s="45">
        <v>17.2</v>
      </c>
      <c r="BM4" s="45">
        <v>0</v>
      </c>
      <c r="BN4" s="45">
        <v>0</v>
      </c>
      <c r="BO4" s="45">
        <v>0</v>
      </c>
      <c r="BP4" s="45">
        <v>108.2</v>
      </c>
      <c r="BQ4" s="47">
        <v>68.790000000000006</v>
      </c>
      <c r="BR4" s="43">
        <v>5.98</v>
      </c>
      <c r="BS4" s="44">
        <v>0</v>
      </c>
      <c r="BT4" s="44">
        <v>0</v>
      </c>
      <c r="BU4" s="44">
        <v>6.01</v>
      </c>
      <c r="BV4" s="44">
        <v>6.37</v>
      </c>
      <c r="BW4" s="44">
        <v>5.75</v>
      </c>
      <c r="BX4" s="44">
        <v>6.9</v>
      </c>
      <c r="BY4" s="44">
        <v>7.11</v>
      </c>
      <c r="BZ4" s="44">
        <v>6.78</v>
      </c>
      <c r="CA4" s="44">
        <v>7.16</v>
      </c>
      <c r="CB4" s="44">
        <v>0</v>
      </c>
      <c r="CC4" s="44">
        <v>0</v>
      </c>
      <c r="CD4" s="44">
        <v>0</v>
      </c>
      <c r="CE4" s="44">
        <v>7.2</v>
      </c>
      <c r="CF4" s="44">
        <v>7.53</v>
      </c>
      <c r="CH4" s="168" t="s">
        <v>1528</v>
      </c>
      <c r="CI4" s="169" t="s">
        <v>238</v>
      </c>
    </row>
    <row r="5" spans="1:88">
      <c r="A5" s="18" t="s">
        <v>25</v>
      </c>
      <c r="B5" s="205" t="s">
        <v>5557</v>
      </c>
      <c r="C5" t="s">
        <v>2678</v>
      </c>
      <c r="D5" s="19">
        <v>5</v>
      </c>
      <c r="E5" t="s">
        <v>5200</v>
      </c>
      <c r="F5" s="20">
        <f t="shared" si="5"/>
        <v>1</v>
      </c>
      <c r="G5" s="19" t="str">
        <f t="shared" si="6"/>
        <v/>
      </c>
      <c r="H5" s="19" t="str">
        <f t="shared" si="7"/>
        <v/>
      </c>
      <c r="I5" s="19" t="str">
        <f t="shared" si="8"/>
        <v/>
      </c>
      <c r="J5" s="189">
        <f t="shared" si="9"/>
        <v>1</v>
      </c>
      <c r="K5" s="147" t="str">
        <f t="shared" si="10"/>
        <v>Gs</v>
      </c>
      <c r="L5" s="20">
        <f t="shared" si="11"/>
        <v>1</v>
      </c>
      <c r="M5" s="19">
        <f t="shared" si="12"/>
        <v>0</v>
      </c>
      <c r="N5" s="19">
        <f t="shared" si="13"/>
        <v>0</v>
      </c>
      <c r="O5" s="19">
        <f t="shared" si="14"/>
        <v>0</v>
      </c>
      <c r="P5" s="20">
        <f t="shared" si="15"/>
        <v>100</v>
      </c>
      <c r="Q5" s="19">
        <f t="shared" si="16"/>
        <v>0</v>
      </c>
      <c r="R5" s="19">
        <f t="shared" si="17"/>
        <v>0</v>
      </c>
      <c r="S5" s="19">
        <f>W5/MAX($T5:$W5)*100</f>
        <v>0</v>
      </c>
      <c r="T5" s="20">
        <f t="shared" si="52"/>
        <v>7.8921416093667833</v>
      </c>
      <c r="U5" s="21">
        <f t="shared" si="18"/>
        <v>0</v>
      </c>
      <c r="V5" s="21">
        <f t="shared" si="19"/>
        <v>0</v>
      </c>
      <c r="W5" s="21">
        <f t="shared" si="20"/>
        <v>0</v>
      </c>
      <c r="X5" s="147" t="str">
        <f t="shared" si="21"/>
        <v>GsS</v>
      </c>
      <c r="Y5" s="32">
        <f t="shared" si="22"/>
        <v>100</v>
      </c>
      <c r="Z5" s="31">
        <f t="shared" si="23"/>
        <v>99.225121418110945</v>
      </c>
      <c r="AA5" s="31">
        <f t="shared" si="24"/>
        <v>99.225121418110945</v>
      </c>
      <c r="AB5" s="31">
        <f t="shared" si="25"/>
        <v>0</v>
      </c>
      <c r="AC5" s="31">
        <f t="shared" si="26"/>
        <v>0</v>
      </c>
      <c r="AD5" s="31">
        <f t="shared" si="27"/>
        <v>0</v>
      </c>
      <c r="AE5" s="31">
        <f t="shared" si="28"/>
        <v>0</v>
      </c>
      <c r="AF5" s="31">
        <f t="shared" si="29"/>
        <v>0</v>
      </c>
      <c r="AG5" s="31">
        <f t="shared" si="30"/>
        <v>0</v>
      </c>
      <c r="AH5" s="31">
        <f t="shared" si="31"/>
        <v>0</v>
      </c>
      <c r="AI5" s="31">
        <f t="shared" si="32"/>
        <v>0</v>
      </c>
      <c r="AJ5" s="31">
        <f t="shared" si="33"/>
        <v>0</v>
      </c>
      <c r="AK5" s="31">
        <f t="shared" si="34"/>
        <v>0</v>
      </c>
      <c r="AL5" s="31">
        <f t="shared" si="35"/>
        <v>0</v>
      </c>
      <c r="AM5" s="31">
        <f t="shared" si="36"/>
        <v>0</v>
      </c>
      <c r="AN5" s="7">
        <f t="shared" si="37"/>
        <v>7.8921416093667833</v>
      </c>
      <c r="AO5" s="8">
        <f t="shared" si="38"/>
        <v>7.8309870943834454</v>
      </c>
      <c r="AP5" s="8">
        <f t="shared" si="39"/>
        <v>7.8309870943834454</v>
      </c>
      <c r="AQ5" s="8">
        <f t="shared" si="40"/>
        <v>0</v>
      </c>
      <c r="AR5" s="8">
        <f t="shared" si="41"/>
        <v>0</v>
      </c>
      <c r="AS5" s="8">
        <f t="shared" si="42"/>
        <v>0</v>
      </c>
      <c r="AT5" s="8">
        <f t="shared" si="43"/>
        <v>0</v>
      </c>
      <c r="AU5" s="8">
        <f t="shared" si="44"/>
        <v>0</v>
      </c>
      <c r="AV5" s="8">
        <f t="shared" si="45"/>
        <v>0</v>
      </c>
      <c r="AW5" s="8">
        <f t="shared" si="46"/>
        <v>0</v>
      </c>
      <c r="AX5" s="8">
        <f t="shared" si="47"/>
        <v>0</v>
      </c>
      <c r="AY5" s="8">
        <f t="shared" si="48"/>
        <v>0</v>
      </c>
      <c r="AZ5" s="8">
        <f t="shared" si="49"/>
        <v>0</v>
      </c>
      <c r="BA5" s="8">
        <f t="shared" si="50"/>
        <v>0</v>
      </c>
      <c r="BB5" s="8">
        <f t="shared" si="51"/>
        <v>0</v>
      </c>
      <c r="BC5" s="46">
        <v>49.22</v>
      </c>
      <c r="BD5" s="45">
        <v>44.77</v>
      </c>
      <c r="BE5" s="47">
        <v>44.77</v>
      </c>
      <c r="BF5" s="45">
        <v>0</v>
      </c>
      <c r="BG5" s="45">
        <v>0</v>
      </c>
      <c r="BH5" s="45">
        <v>0</v>
      </c>
      <c r="BI5" s="45">
        <v>0</v>
      </c>
      <c r="BJ5" s="45">
        <v>0</v>
      </c>
      <c r="BK5" s="45">
        <v>0</v>
      </c>
      <c r="BL5" s="45">
        <v>0</v>
      </c>
      <c r="BM5" s="45">
        <v>0</v>
      </c>
      <c r="BN5" s="45">
        <v>0</v>
      </c>
      <c r="BO5" s="45">
        <v>0</v>
      </c>
      <c r="BP5" s="45">
        <v>0</v>
      </c>
      <c r="BQ5" s="45">
        <v>0</v>
      </c>
      <c r="BR5" s="43">
        <v>8.1999999999999993</v>
      </c>
      <c r="BS5" s="44">
        <v>8.18</v>
      </c>
      <c r="BT5" s="44">
        <v>8.18</v>
      </c>
      <c r="BU5" s="44">
        <v>0</v>
      </c>
      <c r="BV5" s="44">
        <v>0</v>
      </c>
      <c r="BW5" s="44">
        <v>0</v>
      </c>
      <c r="BX5" s="44">
        <v>0</v>
      </c>
      <c r="BY5" s="44">
        <v>0</v>
      </c>
      <c r="BZ5" s="44">
        <v>0</v>
      </c>
      <c r="CA5" s="44">
        <v>0</v>
      </c>
      <c r="CB5" s="44">
        <v>0</v>
      </c>
      <c r="CC5" s="44">
        <v>0</v>
      </c>
      <c r="CD5" s="44">
        <v>0</v>
      </c>
      <c r="CE5" s="44">
        <v>0</v>
      </c>
      <c r="CF5" s="44">
        <v>0</v>
      </c>
      <c r="CH5" s="168" t="s">
        <v>2749</v>
      </c>
      <c r="CI5" s="169" t="s">
        <v>243</v>
      </c>
    </row>
    <row r="6" spans="1:88">
      <c r="B6" s="28"/>
    </row>
    <row r="7" spans="1:88">
      <c r="B7" s="28"/>
    </row>
    <row r="8" spans="1:88">
      <c r="B8" s="28"/>
    </row>
    <row r="9" spans="1:88">
      <c r="B9" s="28"/>
    </row>
    <row r="10" spans="1:88">
      <c r="B10" s="28"/>
    </row>
    <row r="11" spans="1:88">
      <c r="B11" s="28"/>
    </row>
    <row r="12" spans="1:88">
      <c r="B12" s="28"/>
    </row>
    <row r="13" spans="1:88">
      <c r="B13" s="28"/>
    </row>
    <row r="14" spans="1:88">
      <c r="B14" s="28"/>
    </row>
    <row r="15" spans="1:88">
      <c r="B15" s="28"/>
    </row>
    <row r="16" spans="1:88">
      <c r="B16" s="28"/>
    </row>
    <row r="17" spans="2:2">
      <c r="B17" s="28"/>
    </row>
    <row r="18" spans="2:2">
      <c r="B18" s="28"/>
    </row>
    <row r="19" spans="2:2">
      <c r="B19" s="28"/>
    </row>
    <row r="20" spans="2:2">
      <c r="B20" s="28"/>
    </row>
    <row r="21" spans="2:2">
      <c r="B21" s="28"/>
    </row>
    <row r="22" spans="2:2">
      <c r="B22" s="28"/>
    </row>
    <row r="23" spans="2:2">
      <c r="B23" s="28"/>
    </row>
    <row r="24" spans="2:2">
      <c r="B24" s="28"/>
    </row>
    <row r="25" spans="2:2">
      <c r="B25" s="28"/>
    </row>
    <row r="26" spans="2:2">
      <c r="B26" s="28"/>
    </row>
    <row r="27" spans="2:2">
      <c r="B27" s="28"/>
    </row>
    <row r="28" spans="2:2">
      <c r="B28" s="28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  <row r="40" spans="2:2">
      <c r="B40" s="28"/>
    </row>
    <row r="41" spans="2:2">
      <c r="B41" s="28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  <row r="56" spans="2:2">
      <c r="B56" s="28"/>
    </row>
    <row r="57" spans="2:2">
      <c r="B57" s="28"/>
    </row>
    <row r="58" spans="2:2">
      <c r="B58" s="28"/>
    </row>
    <row r="59" spans="2:2">
      <c r="B59" s="28"/>
    </row>
    <row r="60" spans="2:2">
      <c r="B60" s="28"/>
    </row>
    <row r="61" spans="2:2">
      <c r="B61" s="28"/>
    </row>
    <row r="62" spans="2:2">
      <c r="B62" s="28"/>
    </row>
    <row r="63" spans="2:2">
      <c r="B63" s="28"/>
    </row>
    <row r="64" spans="2:2">
      <c r="B64" s="28"/>
    </row>
    <row r="65" spans="2:2">
      <c r="B65" s="28"/>
    </row>
    <row r="66" spans="2:2">
      <c r="B66" s="28"/>
    </row>
    <row r="67" spans="2:2">
      <c r="B67" s="28"/>
    </row>
    <row r="68" spans="2:2">
      <c r="B68" s="28"/>
    </row>
    <row r="69" spans="2:2">
      <c r="B69" s="28"/>
    </row>
    <row r="70" spans="2:2">
      <c r="B70" s="28"/>
    </row>
    <row r="71" spans="2:2">
      <c r="B71" s="28"/>
    </row>
    <row r="72" spans="2:2">
      <c r="B72" s="28"/>
    </row>
    <row r="73" spans="2:2">
      <c r="B73" s="28"/>
    </row>
    <row r="74" spans="2:2">
      <c r="B74" s="28"/>
    </row>
    <row r="75" spans="2:2">
      <c r="B75" s="28"/>
    </row>
    <row r="76" spans="2:2">
      <c r="B76" s="28"/>
    </row>
    <row r="77" spans="2:2">
      <c r="B77" s="28"/>
    </row>
    <row r="78" spans="2:2">
      <c r="B78" s="28"/>
    </row>
    <row r="79" spans="2:2">
      <c r="B79" s="28"/>
    </row>
    <row r="80" spans="2:2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  <row r="96" spans="2:2">
      <c r="B96" s="28"/>
    </row>
    <row r="97" spans="2:2">
      <c r="B97" s="28"/>
    </row>
    <row r="98" spans="2:2">
      <c r="B98" s="28"/>
    </row>
    <row r="99" spans="2:2">
      <c r="B99" s="28"/>
    </row>
    <row r="100" spans="2:2">
      <c r="B100" s="28"/>
    </row>
    <row r="101" spans="2:2">
      <c r="B101" s="28"/>
    </row>
  </sheetData>
  <phoneticPr fontId="50" type="noConversion"/>
  <conditionalFormatting sqref="L1:O1048576">
    <cfRule type="cellIs" dxfId="5" priority="3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EF9E-AB71-8E4B-951C-48A7955AF2BB}">
  <sheetPr>
    <tabColor theme="4" tint="0.59999389629810485"/>
  </sheetPr>
  <dimension ref="A1:AD401"/>
  <sheetViews>
    <sheetView zoomScale="110" zoomScaleNormal="110" workbookViewId="0">
      <pane ySplit="1" topLeftCell="A90" activePane="bottomLeft" state="frozen"/>
      <selection sqref="A1:XFD1"/>
      <selection pane="bottomLeft" sqref="A1:A1048576"/>
    </sheetView>
  </sheetViews>
  <sheetFormatPr baseColWidth="10" defaultRowHeight="15"/>
  <cols>
    <col min="1" max="1" width="9.1640625" style="54" bestFit="1" customWidth="1"/>
    <col min="2" max="2" width="8.6640625" style="54" bestFit="1" customWidth="1"/>
    <col min="3" max="3" width="8.6640625" style="54" customWidth="1"/>
    <col min="4" max="4" width="10.83203125" style="58"/>
    <col min="5" max="5" width="10.1640625" style="54" bestFit="1" customWidth="1"/>
    <col min="6" max="6" width="8.33203125" style="54" customWidth="1"/>
    <col min="7" max="7" width="11.6640625" style="54" customWidth="1"/>
    <col min="8" max="8" width="15" style="54" customWidth="1"/>
    <col min="9" max="9" width="14.6640625" style="54" customWidth="1"/>
    <col min="10" max="10" width="11.83203125" style="54" customWidth="1"/>
    <col min="11" max="11" width="12.33203125" style="54" customWidth="1"/>
    <col min="12" max="12" width="26.33203125" style="54" customWidth="1"/>
    <col min="13" max="13" width="25.6640625" style="54" customWidth="1"/>
    <col min="14" max="14" width="7.5" style="54" customWidth="1"/>
    <col min="15" max="15" width="9.33203125" style="54" customWidth="1"/>
    <col min="16" max="16" width="5.83203125" style="54" bestFit="1" customWidth="1"/>
    <col min="17" max="17" width="3" style="57" bestFit="1" customWidth="1"/>
    <col min="18" max="18" width="4.6640625" style="56" bestFit="1" customWidth="1"/>
    <col min="19" max="19" width="6.1640625" style="56" bestFit="1" customWidth="1"/>
    <col min="20" max="20" width="7.1640625" style="56" bestFit="1" customWidth="1"/>
    <col min="21" max="21" width="4.33203125" style="55" bestFit="1" customWidth="1"/>
    <col min="22" max="22" width="4.6640625" style="54" bestFit="1" customWidth="1"/>
    <col min="23" max="23" width="6.1640625" style="54" bestFit="1" customWidth="1"/>
    <col min="24" max="24" width="7.1640625" style="54" bestFit="1" customWidth="1"/>
    <col min="25" max="25" width="5.1640625" style="55" bestFit="1" customWidth="1"/>
    <col min="26" max="26" width="5.1640625" style="54" bestFit="1" customWidth="1"/>
    <col min="27" max="27" width="6.1640625" style="54" bestFit="1" customWidth="1"/>
    <col min="28" max="28" width="7.1640625" style="54" bestFit="1" customWidth="1"/>
    <col min="29" max="29" width="7.83203125" style="54" bestFit="1" customWidth="1"/>
    <col min="30" max="30" width="4.1640625" style="54" bestFit="1" customWidth="1"/>
    <col min="31" max="16384" width="10.83203125" style="54"/>
  </cols>
  <sheetData>
    <row r="1" spans="1:30" s="62" customFormat="1" ht="48">
      <c r="A1" s="62" t="s">
        <v>254</v>
      </c>
      <c r="B1" s="62" t="s">
        <v>4426</v>
      </c>
      <c r="C1" s="62" t="s">
        <v>4425</v>
      </c>
      <c r="D1" s="64" t="s">
        <v>4424</v>
      </c>
      <c r="E1" s="62" t="s">
        <v>4423</v>
      </c>
      <c r="F1" s="62" t="s">
        <v>4422</v>
      </c>
      <c r="G1" s="62" t="s">
        <v>2762</v>
      </c>
      <c r="H1" s="62" t="s">
        <v>4421</v>
      </c>
      <c r="I1" s="62" t="s">
        <v>4420</v>
      </c>
      <c r="J1" s="62" t="s">
        <v>4419</v>
      </c>
      <c r="K1" s="62" t="s">
        <v>4418</v>
      </c>
      <c r="L1" s="62" t="s">
        <v>4417</v>
      </c>
      <c r="M1" s="62" t="s">
        <v>4416</v>
      </c>
      <c r="N1" s="62" t="s">
        <v>4415</v>
      </c>
      <c r="O1" s="62" t="s">
        <v>4414</v>
      </c>
      <c r="P1" s="62" t="s">
        <v>4413</v>
      </c>
      <c r="Q1" s="63" t="s">
        <v>2761</v>
      </c>
      <c r="R1" s="62" t="s">
        <v>2760</v>
      </c>
      <c r="S1" s="62" t="s">
        <v>2759</v>
      </c>
      <c r="T1" s="62" t="s">
        <v>2758</v>
      </c>
      <c r="U1" s="63" t="s">
        <v>4427</v>
      </c>
      <c r="V1" s="63" t="s">
        <v>4428</v>
      </c>
      <c r="W1" s="63" t="s">
        <v>4429</v>
      </c>
      <c r="X1" s="63" t="s">
        <v>4430</v>
      </c>
      <c r="Y1" s="65" t="s">
        <v>4431</v>
      </c>
      <c r="Z1" s="65" t="s">
        <v>4432</v>
      </c>
      <c r="AA1" s="65" t="s">
        <v>4433</v>
      </c>
      <c r="AB1" s="65" t="s">
        <v>4434</v>
      </c>
      <c r="AC1" s="62" t="s">
        <v>4412</v>
      </c>
      <c r="AD1" s="62">
        <f>SUM(AD2:AD554)</f>
        <v>254</v>
      </c>
    </row>
    <row r="2" spans="1:30">
      <c r="A2" s="54" t="s">
        <v>4411</v>
      </c>
      <c r="B2" s="54" t="s">
        <v>791</v>
      </c>
      <c r="C2" s="54" t="str">
        <f>VLOOKUP(A2,RecNamesAll!A:C,3,FALSE)</f>
        <v>C3a</v>
      </c>
      <c r="D2" s="60">
        <v>31</v>
      </c>
      <c r="E2" s="54" t="s">
        <v>4410</v>
      </c>
      <c r="F2" s="54" t="s">
        <v>4409</v>
      </c>
      <c r="G2" s="54" t="s">
        <v>3428</v>
      </c>
      <c r="H2" s="54" t="s">
        <v>3403</v>
      </c>
      <c r="I2" s="54" t="s">
        <v>3849</v>
      </c>
      <c r="J2" s="54" t="s">
        <v>3396</v>
      </c>
      <c r="L2" s="54" t="s">
        <v>3298</v>
      </c>
      <c r="N2" s="54" t="s">
        <v>4408</v>
      </c>
      <c r="P2" s="59">
        <v>8.3333333333333329E-2</v>
      </c>
      <c r="Q2" s="57" t="str">
        <f t="shared" ref="Q2:Q65" si="0">IF(OR(ISNUMBER(SEARCH("Gs",$J2)),ISNUMBER(SEARCH("Gs",$K2))),"Gs","")</f>
        <v/>
      </c>
      <c r="R2" s="56" t="str">
        <f t="shared" ref="R2:R65" si="1">IF(OR(ISNUMBER(SEARCH("Gi/o",$J2)),ISNUMBER(SEARCH("Gi/o",$K2))),"Gi/o","")</f>
        <v/>
      </c>
      <c r="S2" s="56" t="str">
        <f t="shared" ref="S2:S65" si="2">IF(OR(ISNUMBER(SEARCH("Gq/11",$J2)),ISNUMBER(SEARCH("Gq/11",$K2))),"Gq/11","")</f>
        <v/>
      </c>
      <c r="T2" s="56" t="str">
        <f t="shared" ref="T2:T65" si="3">IF(OR(ISNUMBER(SEARCH("G12/13",$J2)),ISNUMBER(SEARCH("G12/13",$K2))),"G12/13","")</f>
        <v/>
      </c>
      <c r="U2" s="57">
        <f t="shared" ref="U2:U65" si="4">IF(ISNUMBER(SEARCH("Gs",$J2)),1,IF(ISNUMBER(SEARCH("Gs",$K2)),2,0))</f>
        <v>0</v>
      </c>
      <c r="V2" s="57">
        <f t="shared" ref="V2:V65" si="5">IF(ISNUMBER(SEARCH("Gi/o",$J2)),1,IF(ISNUMBER(SEARCH("Gi/o",$K2)),2,0))</f>
        <v>0</v>
      </c>
      <c r="W2" s="57">
        <f t="shared" ref="W2:W65" si="6">IF(ISNUMBER(SEARCH("Gq/11",$J2)),1,IF(ISNUMBER(SEARCH("Gq/11",$K2)),2,0))</f>
        <v>0</v>
      </c>
      <c r="X2" s="57">
        <f t="shared" ref="X2:X65" si="7">IF(ISNUMBER(SEARCH("G12/13",$J2)),1,IF(ISNUMBER(SEARCH("G12/13",$K2)),2,0))</f>
        <v>0</v>
      </c>
      <c r="Y2" s="57" t="str">
        <f>IF(U2&gt;0,"c","nc")</f>
        <v>nc</v>
      </c>
      <c r="Z2" s="56" t="str">
        <f t="shared" ref="Z2:AB2" si="8">IF(V2&gt;0,"c","nc")</f>
        <v>nc</v>
      </c>
      <c r="AA2" s="56" t="str">
        <f t="shared" si="8"/>
        <v>nc</v>
      </c>
      <c r="AB2" s="56" t="str">
        <f t="shared" si="8"/>
        <v>nc</v>
      </c>
      <c r="AC2" s="56" t="str">
        <f t="shared" ref="AC2:AC65" si="9">IF(SUM(U2:X2)&gt;0,COUNTIF(U2:X2,"0"),"")</f>
        <v/>
      </c>
      <c r="AD2" s="54">
        <f t="shared" ref="AD2:AD65" si="10">IF(SUM(U2:X2)&gt;0,1,0)</f>
        <v>0</v>
      </c>
    </row>
    <row r="3" spans="1:30">
      <c r="A3" s="54" t="s">
        <v>4407</v>
      </c>
      <c r="B3" s="54" t="s">
        <v>805</v>
      </c>
      <c r="C3" s="54" t="str">
        <f>VLOOKUP(A3,RecNamesAll!A:C,3,FALSE)</f>
        <v>C5a2</v>
      </c>
      <c r="D3" s="60">
        <v>33</v>
      </c>
      <c r="E3" s="54" t="s">
        <v>4407</v>
      </c>
      <c r="F3" s="54" t="s">
        <v>4406</v>
      </c>
      <c r="G3" s="54" t="s">
        <v>3428</v>
      </c>
      <c r="H3" s="54" t="s">
        <v>3403</v>
      </c>
      <c r="I3" s="54" t="s">
        <v>3849</v>
      </c>
      <c r="L3" s="54" t="s">
        <v>3298</v>
      </c>
      <c r="Q3" s="57" t="str">
        <f t="shared" si="0"/>
        <v/>
      </c>
      <c r="R3" s="56" t="str">
        <f t="shared" si="1"/>
        <v/>
      </c>
      <c r="S3" s="56" t="str">
        <f t="shared" si="2"/>
        <v/>
      </c>
      <c r="T3" s="56" t="str">
        <f t="shared" si="3"/>
        <v/>
      </c>
      <c r="U3" s="57">
        <f t="shared" si="4"/>
        <v>0</v>
      </c>
      <c r="V3" s="57">
        <f t="shared" si="5"/>
        <v>0</v>
      </c>
      <c r="W3" s="57">
        <f t="shared" si="6"/>
        <v>0</v>
      </c>
      <c r="X3" s="57">
        <f t="shared" si="7"/>
        <v>0</v>
      </c>
      <c r="Y3" s="57" t="str">
        <f t="shared" ref="Y3:Y66" si="11">IF(U3&gt;0,"c","nc")</f>
        <v>nc</v>
      </c>
      <c r="Z3" s="56" t="str">
        <f t="shared" ref="Z3:Z66" si="12">IF(V3&gt;0,"c","nc")</f>
        <v>nc</v>
      </c>
      <c r="AA3" s="56" t="str">
        <f t="shared" ref="AA3:AA66" si="13">IF(W3&gt;0,"c","nc")</f>
        <v>nc</v>
      </c>
      <c r="AB3" s="56" t="str">
        <f t="shared" ref="AB3:AB66" si="14">IF(X3&gt;0,"c","nc")</f>
        <v>nc</v>
      </c>
      <c r="AC3" s="56" t="str">
        <f t="shared" si="9"/>
        <v/>
      </c>
      <c r="AD3" s="54">
        <f t="shared" si="10"/>
        <v>0</v>
      </c>
    </row>
    <row r="4" spans="1:30">
      <c r="A4" s="54" t="s">
        <v>4404</v>
      </c>
      <c r="B4" s="54" t="s">
        <v>4405</v>
      </c>
      <c r="C4" s="54" t="str">
        <f>VLOOKUP(A4,RecNamesAll!A:C,3,FALSE)</f>
        <v>Y6</v>
      </c>
      <c r="D4" s="60">
        <v>683</v>
      </c>
      <c r="E4" s="54" t="s">
        <v>4404</v>
      </c>
      <c r="F4" s="54" t="s">
        <v>4403</v>
      </c>
      <c r="G4" s="54" t="s">
        <v>3428</v>
      </c>
      <c r="H4" s="54" t="s">
        <v>3403</v>
      </c>
      <c r="I4" s="54" t="s">
        <v>3768</v>
      </c>
      <c r="Q4" s="57" t="str">
        <f t="shared" si="0"/>
        <v/>
      </c>
      <c r="R4" s="56" t="str">
        <f t="shared" si="1"/>
        <v/>
      </c>
      <c r="S4" s="56" t="str">
        <f t="shared" si="2"/>
        <v/>
      </c>
      <c r="T4" s="56" t="str">
        <f t="shared" si="3"/>
        <v/>
      </c>
      <c r="U4" s="57">
        <f t="shared" si="4"/>
        <v>0</v>
      </c>
      <c r="V4" s="57">
        <f t="shared" si="5"/>
        <v>0</v>
      </c>
      <c r="W4" s="57">
        <f t="shared" si="6"/>
        <v>0</v>
      </c>
      <c r="X4" s="57">
        <f t="shared" si="7"/>
        <v>0</v>
      </c>
      <c r="Y4" s="57" t="str">
        <f t="shared" si="11"/>
        <v>nc</v>
      </c>
      <c r="Z4" s="56" t="str">
        <f t="shared" si="12"/>
        <v>nc</v>
      </c>
      <c r="AA4" s="56" t="str">
        <f t="shared" si="13"/>
        <v>nc</v>
      </c>
      <c r="AB4" s="56" t="str">
        <f t="shared" si="14"/>
        <v>nc</v>
      </c>
      <c r="AC4" s="56" t="str">
        <f t="shared" si="9"/>
        <v/>
      </c>
      <c r="AD4" s="54">
        <f t="shared" si="10"/>
        <v>0</v>
      </c>
    </row>
    <row r="5" spans="1:30">
      <c r="A5" s="54" t="s">
        <v>201</v>
      </c>
      <c r="B5" s="54" t="s">
        <v>2102</v>
      </c>
      <c r="C5" s="54" t="str">
        <f>VLOOKUP(A5,RecNamesAll!A:C,3,FALSE)</f>
        <v>PrRP</v>
      </c>
      <c r="D5" s="60">
        <v>337</v>
      </c>
      <c r="E5" s="54" t="s">
        <v>201</v>
      </c>
      <c r="F5" s="54" t="s">
        <v>4402</v>
      </c>
      <c r="G5" s="54" t="s">
        <v>3428</v>
      </c>
      <c r="H5" s="54" t="s">
        <v>3403</v>
      </c>
      <c r="I5" s="54" t="s">
        <v>4401</v>
      </c>
      <c r="Q5" s="57" t="str">
        <f t="shared" si="0"/>
        <v/>
      </c>
      <c r="R5" s="56" t="str">
        <f t="shared" si="1"/>
        <v/>
      </c>
      <c r="S5" s="56" t="str">
        <f t="shared" si="2"/>
        <v/>
      </c>
      <c r="T5" s="56" t="str">
        <f t="shared" si="3"/>
        <v/>
      </c>
      <c r="U5" s="57">
        <f t="shared" si="4"/>
        <v>0</v>
      </c>
      <c r="V5" s="57">
        <f t="shared" si="5"/>
        <v>0</v>
      </c>
      <c r="W5" s="57">
        <f t="shared" si="6"/>
        <v>0</v>
      </c>
      <c r="X5" s="57">
        <f t="shared" si="7"/>
        <v>0</v>
      </c>
      <c r="Y5" s="57" t="str">
        <f t="shared" si="11"/>
        <v>nc</v>
      </c>
      <c r="Z5" s="56" t="str">
        <f t="shared" si="12"/>
        <v>nc</v>
      </c>
      <c r="AA5" s="56" t="str">
        <f t="shared" si="13"/>
        <v>nc</v>
      </c>
      <c r="AB5" s="56" t="str">
        <f t="shared" si="14"/>
        <v>nc</v>
      </c>
      <c r="AC5" s="56" t="str">
        <f t="shared" si="9"/>
        <v/>
      </c>
      <c r="AD5" s="54">
        <f t="shared" si="10"/>
        <v>0</v>
      </c>
    </row>
    <row r="6" spans="1:30">
      <c r="A6" s="54" t="s">
        <v>210</v>
      </c>
      <c r="B6" s="54" t="s">
        <v>342</v>
      </c>
      <c r="C6" s="54" t="str">
        <f>VLOOKUP(A6,RecNamesAll!A:C,3,FALSE)</f>
        <v>PAR1</v>
      </c>
      <c r="D6" s="60">
        <v>374</v>
      </c>
      <c r="E6" s="54" t="s">
        <v>4400</v>
      </c>
      <c r="F6" s="54" t="s">
        <v>4399</v>
      </c>
      <c r="G6" s="54" t="s">
        <v>3428</v>
      </c>
      <c r="H6" s="54" t="s">
        <v>3403</v>
      </c>
      <c r="I6" s="54" t="s">
        <v>4393</v>
      </c>
      <c r="Q6" s="57" t="str">
        <f t="shared" si="0"/>
        <v/>
      </c>
      <c r="R6" s="56" t="str">
        <f t="shared" si="1"/>
        <v/>
      </c>
      <c r="S6" s="56" t="str">
        <f t="shared" si="2"/>
        <v/>
      </c>
      <c r="T6" s="56" t="str">
        <f t="shared" si="3"/>
        <v/>
      </c>
      <c r="U6" s="57">
        <f t="shared" si="4"/>
        <v>0</v>
      </c>
      <c r="V6" s="57">
        <f t="shared" si="5"/>
        <v>0</v>
      </c>
      <c r="W6" s="57">
        <f t="shared" si="6"/>
        <v>0</v>
      </c>
      <c r="X6" s="57">
        <f t="shared" si="7"/>
        <v>0</v>
      </c>
      <c r="Y6" s="57" t="str">
        <f t="shared" si="11"/>
        <v>nc</v>
      </c>
      <c r="Z6" s="56" t="str">
        <f t="shared" si="12"/>
        <v>nc</v>
      </c>
      <c r="AA6" s="56" t="str">
        <f t="shared" si="13"/>
        <v>nc</v>
      </c>
      <c r="AB6" s="56" t="str">
        <f t="shared" si="14"/>
        <v>nc</v>
      </c>
      <c r="AC6" s="56" t="str">
        <f t="shared" si="9"/>
        <v/>
      </c>
      <c r="AD6" s="54">
        <f t="shared" si="10"/>
        <v>0</v>
      </c>
    </row>
    <row r="7" spans="1:30">
      <c r="A7" s="54" t="s">
        <v>211</v>
      </c>
      <c r="B7" s="54" t="s">
        <v>4398</v>
      </c>
      <c r="C7" s="54" t="str">
        <f>VLOOKUP(A7,RecNamesAll!A:C,3,FALSE)</f>
        <v>PAR2</v>
      </c>
      <c r="D7" s="60">
        <v>348</v>
      </c>
      <c r="E7" s="54" t="s">
        <v>4397</v>
      </c>
      <c r="F7" s="54" t="s">
        <v>4396</v>
      </c>
      <c r="G7" s="54" t="s">
        <v>3428</v>
      </c>
      <c r="H7" s="54" t="s">
        <v>3403</v>
      </c>
      <c r="I7" s="54" t="s">
        <v>4393</v>
      </c>
      <c r="Q7" s="57" t="str">
        <f t="shared" si="0"/>
        <v/>
      </c>
      <c r="R7" s="56" t="str">
        <f t="shared" si="1"/>
        <v/>
      </c>
      <c r="S7" s="56" t="str">
        <f t="shared" si="2"/>
        <v/>
      </c>
      <c r="T7" s="56" t="str">
        <f t="shared" si="3"/>
        <v/>
      </c>
      <c r="U7" s="57">
        <f t="shared" si="4"/>
        <v>0</v>
      </c>
      <c r="V7" s="57">
        <f t="shared" si="5"/>
        <v>0</v>
      </c>
      <c r="W7" s="57">
        <f t="shared" si="6"/>
        <v>0</v>
      </c>
      <c r="X7" s="57">
        <f t="shared" si="7"/>
        <v>0</v>
      </c>
      <c r="Y7" s="57" t="str">
        <f t="shared" si="11"/>
        <v>nc</v>
      </c>
      <c r="Z7" s="56" t="str">
        <f t="shared" si="12"/>
        <v>nc</v>
      </c>
      <c r="AA7" s="56" t="str">
        <f t="shared" si="13"/>
        <v>nc</v>
      </c>
      <c r="AB7" s="56" t="str">
        <f t="shared" si="14"/>
        <v>nc</v>
      </c>
      <c r="AC7" s="56" t="str">
        <f t="shared" si="9"/>
        <v/>
      </c>
      <c r="AD7" s="54">
        <f t="shared" si="10"/>
        <v>0</v>
      </c>
    </row>
    <row r="8" spans="1:30">
      <c r="A8" s="54" t="s">
        <v>212</v>
      </c>
      <c r="B8" s="54" t="s">
        <v>2040</v>
      </c>
      <c r="C8" s="54" t="str">
        <f>VLOOKUP(A8,RecNamesAll!A:C,3,FALSE)</f>
        <v>PAR3</v>
      </c>
      <c r="D8" s="60">
        <v>349</v>
      </c>
      <c r="E8" s="54" t="s">
        <v>4395</v>
      </c>
      <c r="F8" s="54" t="s">
        <v>212</v>
      </c>
      <c r="G8" s="54" t="s">
        <v>3428</v>
      </c>
      <c r="H8" s="54" t="s">
        <v>3403</v>
      </c>
      <c r="I8" s="54" t="s">
        <v>4393</v>
      </c>
      <c r="Q8" s="57" t="str">
        <f t="shared" si="0"/>
        <v/>
      </c>
      <c r="R8" s="56" t="str">
        <f t="shared" si="1"/>
        <v/>
      </c>
      <c r="S8" s="56" t="str">
        <f t="shared" si="2"/>
        <v/>
      </c>
      <c r="T8" s="56" t="str">
        <f t="shared" si="3"/>
        <v/>
      </c>
      <c r="U8" s="57">
        <f t="shared" si="4"/>
        <v>0</v>
      </c>
      <c r="V8" s="57">
        <f t="shared" si="5"/>
        <v>0</v>
      </c>
      <c r="W8" s="57">
        <f t="shared" si="6"/>
        <v>0</v>
      </c>
      <c r="X8" s="57">
        <f t="shared" si="7"/>
        <v>0</v>
      </c>
      <c r="Y8" s="57" t="str">
        <f t="shared" si="11"/>
        <v>nc</v>
      </c>
      <c r="Z8" s="56" t="str">
        <f t="shared" si="12"/>
        <v>nc</v>
      </c>
      <c r="AA8" s="56" t="str">
        <f t="shared" si="13"/>
        <v>nc</v>
      </c>
      <c r="AB8" s="56" t="str">
        <f t="shared" si="14"/>
        <v>nc</v>
      </c>
      <c r="AC8" s="56" t="str">
        <f t="shared" si="9"/>
        <v/>
      </c>
      <c r="AD8" s="54">
        <f t="shared" si="10"/>
        <v>0</v>
      </c>
    </row>
    <row r="9" spans="1:30">
      <c r="A9" s="54" t="s">
        <v>213</v>
      </c>
      <c r="B9" s="54" t="s">
        <v>2041</v>
      </c>
      <c r="C9" s="54" t="str">
        <f>VLOOKUP(A9,RecNamesAll!A:C,3,FALSE)</f>
        <v>PAR4</v>
      </c>
      <c r="D9" s="60">
        <v>350</v>
      </c>
      <c r="E9" s="54" t="s">
        <v>4394</v>
      </c>
      <c r="F9" s="54" t="s">
        <v>213</v>
      </c>
      <c r="G9" s="54" t="s">
        <v>3428</v>
      </c>
      <c r="H9" s="54" t="s">
        <v>3403</v>
      </c>
      <c r="I9" s="54" t="s">
        <v>4393</v>
      </c>
      <c r="Q9" s="57" t="str">
        <f t="shared" si="0"/>
        <v/>
      </c>
      <c r="R9" s="56" t="str">
        <f t="shared" si="1"/>
        <v/>
      </c>
      <c r="S9" s="56" t="str">
        <f t="shared" si="2"/>
        <v/>
      </c>
      <c r="T9" s="56" t="str">
        <f t="shared" si="3"/>
        <v/>
      </c>
      <c r="U9" s="57">
        <f t="shared" si="4"/>
        <v>0</v>
      </c>
      <c r="V9" s="57">
        <f t="shared" si="5"/>
        <v>0</v>
      </c>
      <c r="W9" s="57">
        <f t="shared" si="6"/>
        <v>0</v>
      </c>
      <c r="X9" s="57">
        <f t="shared" si="7"/>
        <v>0</v>
      </c>
      <c r="Y9" s="57" t="str">
        <f t="shared" si="11"/>
        <v>nc</v>
      </c>
      <c r="Z9" s="56" t="str">
        <f t="shared" si="12"/>
        <v>nc</v>
      </c>
      <c r="AA9" s="56" t="str">
        <f t="shared" si="13"/>
        <v>nc</v>
      </c>
      <c r="AB9" s="56" t="str">
        <f t="shared" si="14"/>
        <v>nc</v>
      </c>
      <c r="AC9" s="56" t="str">
        <f t="shared" si="9"/>
        <v/>
      </c>
      <c r="AD9" s="54">
        <f t="shared" si="10"/>
        <v>0</v>
      </c>
    </row>
    <row r="10" spans="1:30">
      <c r="A10" s="54" t="s">
        <v>4391</v>
      </c>
      <c r="B10" s="54" t="s">
        <v>4392</v>
      </c>
      <c r="C10" s="54" t="str">
        <f>VLOOKUP(A10,RecNamesAll!A:C,3,FALSE)</f>
        <v>ACKR1</v>
      </c>
      <c r="D10" s="60">
        <v>316</v>
      </c>
      <c r="E10" s="54" t="s">
        <v>4391</v>
      </c>
      <c r="F10" s="54" t="s">
        <v>4390</v>
      </c>
      <c r="G10" s="54" t="s">
        <v>3428</v>
      </c>
      <c r="H10" s="54" t="s">
        <v>3288</v>
      </c>
      <c r="I10" s="54" t="s">
        <v>3669</v>
      </c>
      <c r="Q10" s="57" t="str">
        <f t="shared" si="0"/>
        <v/>
      </c>
      <c r="R10" s="56" t="str">
        <f t="shared" si="1"/>
        <v/>
      </c>
      <c r="S10" s="56" t="str">
        <f t="shared" si="2"/>
        <v/>
      </c>
      <c r="T10" s="56" t="str">
        <f t="shared" si="3"/>
        <v/>
      </c>
      <c r="U10" s="57">
        <f t="shared" si="4"/>
        <v>0</v>
      </c>
      <c r="V10" s="57">
        <f t="shared" si="5"/>
        <v>0</v>
      </c>
      <c r="W10" s="57">
        <f t="shared" si="6"/>
        <v>0</v>
      </c>
      <c r="X10" s="57">
        <f t="shared" si="7"/>
        <v>0</v>
      </c>
      <c r="Y10" s="57" t="str">
        <f t="shared" si="11"/>
        <v>nc</v>
      </c>
      <c r="Z10" s="56" t="str">
        <f t="shared" si="12"/>
        <v>nc</v>
      </c>
      <c r="AA10" s="56" t="str">
        <f t="shared" si="13"/>
        <v>nc</v>
      </c>
      <c r="AB10" s="56" t="str">
        <f t="shared" si="14"/>
        <v>nc</v>
      </c>
      <c r="AC10" s="56" t="str">
        <f t="shared" si="9"/>
        <v/>
      </c>
      <c r="AD10" s="54">
        <f t="shared" si="10"/>
        <v>0</v>
      </c>
    </row>
    <row r="11" spans="1:30">
      <c r="A11" s="54" t="s">
        <v>4388</v>
      </c>
      <c r="B11" s="54" t="s">
        <v>4389</v>
      </c>
      <c r="C11" s="54" t="str">
        <f>VLOOKUP(A11,RecNamesAll!A:C,3,FALSE)</f>
        <v>ACKR2</v>
      </c>
      <c r="D11" s="60">
        <v>314</v>
      </c>
      <c r="E11" s="54" t="s">
        <v>4388</v>
      </c>
      <c r="F11" s="54" t="s">
        <v>4387</v>
      </c>
      <c r="G11" s="54" t="s">
        <v>3428</v>
      </c>
      <c r="H11" s="54" t="s">
        <v>3288</v>
      </c>
      <c r="I11" s="54" t="s">
        <v>3669</v>
      </c>
      <c r="Q11" s="57" t="str">
        <f t="shared" si="0"/>
        <v/>
      </c>
      <c r="R11" s="56" t="str">
        <f t="shared" si="1"/>
        <v/>
      </c>
      <c r="S11" s="56" t="str">
        <f t="shared" si="2"/>
        <v/>
      </c>
      <c r="T11" s="56" t="str">
        <f t="shared" si="3"/>
        <v/>
      </c>
      <c r="U11" s="57">
        <f t="shared" si="4"/>
        <v>0</v>
      </c>
      <c r="V11" s="57">
        <f t="shared" si="5"/>
        <v>0</v>
      </c>
      <c r="W11" s="57">
        <f t="shared" si="6"/>
        <v>0</v>
      </c>
      <c r="X11" s="57">
        <f t="shared" si="7"/>
        <v>0</v>
      </c>
      <c r="Y11" s="57" t="str">
        <f t="shared" si="11"/>
        <v>nc</v>
      </c>
      <c r="Z11" s="56" t="str">
        <f t="shared" si="12"/>
        <v>nc</v>
      </c>
      <c r="AA11" s="56" t="str">
        <f t="shared" si="13"/>
        <v>nc</v>
      </c>
      <c r="AB11" s="56" t="str">
        <f t="shared" si="14"/>
        <v>nc</v>
      </c>
      <c r="AC11" s="56" t="str">
        <f t="shared" si="9"/>
        <v/>
      </c>
      <c r="AD11" s="54">
        <f t="shared" si="10"/>
        <v>0</v>
      </c>
    </row>
    <row r="12" spans="1:30">
      <c r="A12" s="54" t="s">
        <v>60</v>
      </c>
      <c r="B12" s="54" t="s">
        <v>639</v>
      </c>
      <c r="C12" s="54" t="str">
        <f>VLOOKUP(A12,RecNamesAll!A:C,3,FALSE)</f>
        <v>ACKR3</v>
      </c>
      <c r="D12" s="60">
        <v>80</v>
      </c>
      <c r="E12" s="54" t="s">
        <v>60</v>
      </c>
      <c r="F12" s="54" t="s">
        <v>4386</v>
      </c>
      <c r="G12" s="54" t="s">
        <v>3428</v>
      </c>
      <c r="H12" s="54" t="s">
        <v>3288</v>
      </c>
      <c r="I12" s="54" t="s">
        <v>3669</v>
      </c>
      <c r="Q12" s="57" t="str">
        <f t="shared" si="0"/>
        <v/>
      </c>
      <c r="R12" s="56" t="str">
        <f t="shared" si="1"/>
        <v/>
      </c>
      <c r="S12" s="56" t="str">
        <f t="shared" si="2"/>
        <v/>
      </c>
      <c r="T12" s="56" t="str">
        <f t="shared" si="3"/>
        <v/>
      </c>
      <c r="U12" s="57">
        <f t="shared" si="4"/>
        <v>0</v>
      </c>
      <c r="V12" s="57">
        <f t="shared" si="5"/>
        <v>0</v>
      </c>
      <c r="W12" s="57">
        <f t="shared" si="6"/>
        <v>0</v>
      </c>
      <c r="X12" s="57">
        <f t="shared" si="7"/>
        <v>0</v>
      </c>
      <c r="Y12" s="57" t="str">
        <f t="shared" si="11"/>
        <v>nc</v>
      </c>
      <c r="Z12" s="56" t="str">
        <f t="shared" si="12"/>
        <v>nc</v>
      </c>
      <c r="AA12" s="56" t="str">
        <f t="shared" si="13"/>
        <v>nc</v>
      </c>
      <c r="AB12" s="56" t="str">
        <f t="shared" si="14"/>
        <v>nc</v>
      </c>
      <c r="AC12" s="56" t="str">
        <f t="shared" si="9"/>
        <v/>
      </c>
      <c r="AD12" s="54">
        <f t="shared" si="10"/>
        <v>0</v>
      </c>
    </row>
    <row r="13" spans="1:30">
      <c r="A13" s="54" t="s">
        <v>61</v>
      </c>
      <c r="B13" s="54" t="s">
        <v>646</v>
      </c>
      <c r="C13" s="54" t="str">
        <f>VLOOKUP(A13,RecNamesAll!A:C,3,FALSE)</f>
        <v>ACKR4</v>
      </c>
      <c r="D13" s="60">
        <v>315</v>
      </c>
      <c r="E13" s="54" t="s">
        <v>61</v>
      </c>
      <c r="F13" s="54" t="s">
        <v>4385</v>
      </c>
      <c r="G13" s="54" t="s">
        <v>3428</v>
      </c>
      <c r="H13" s="54" t="s">
        <v>3288</v>
      </c>
      <c r="I13" s="54" t="s">
        <v>3669</v>
      </c>
      <c r="Q13" s="57" t="str">
        <f t="shared" si="0"/>
        <v/>
      </c>
      <c r="R13" s="56" t="str">
        <f t="shared" si="1"/>
        <v/>
      </c>
      <c r="S13" s="56" t="str">
        <f t="shared" si="2"/>
        <v/>
      </c>
      <c r="T13" s="56" t="str">
        <f t="shared" si="3"/>
        <v/>
      </c>
      <c r="U13" s="57">
        <f t="shared" si="4"/>
        <v>0</v>
      </c>
      <c r="V13" s="57">
        <f t="shared" si="5"/>
        <v>0</v>
      </c>
      <c r="W13" s="57">
        <f t="shared" si="6"/>
        <v>0</v>
      </c>
      <c r="X13" s="57">
        <f t="shared" si="7"/>
        <v>0</v>
      </c>
      <c r="Y13" s="57" t="str">
        <f t="shared" si="11"/>
        <v>nc</v>
      </c>
      <c r="Z13" s="56" t="str">
        <f t="shared" si="12"/>
        <v>nc</v>
      </c>
      <c r="AA13" s="56" t="str">
        <f t="shared" si="13"/>
        <v>nc</v>
      </c>
      <c r="AB13" s="56" t="str">
        <f t="shared" si="14"/>
        <v>nc</v>
      </c>
      <c r="AC13" s="56" t="str">
        <f t="shared" si="9"/>
        <v/>
      </c>
      <c r="AD13" s="54">
        <f t="shared" si="10"/>
        <v>0</v>
      </c>
    </row>
    <row r="14" spans="1:30">
      <c r="A14" s="54" t="s">
        <v>72</v>
      </c>
      <c r="B14" s="54" t="s">
        <v>940</v>
      </c>
      <c r="C14" s="54" t="str">
        <f>VLOOKUP(A14,RecNamesAll!A:C,3,FALSE)</f>
        <v>CCRL2</v>
      </c>
      <c r="D14" s="60">
        <v>78</v>
      </c>
      <c r="E14" s="54" t="s">
        <v>72</v>
      </c>
      <c r="F14" s="54" t="s">
        <v>4384</v>
      </c>
      <c r="G14" s="54" t="s">
        <v>3428</v>
      </c>
      <c r="H14" s="54" t="s">
        <v>3288</v>
      </c>
      <c r="I14" s="54" t="s">
        <v>3669</v>
      </c>
      <c r="Q14" s="57" t="str">
        <f t="shared" si="0"/>
        <v/>
      </c>
      <c r="R14" s="56" t="str">
        <f t="shared" si="1"/>
        <v/>
      </c>
      <c r="S14" s="56" t="str">
        <f t="shared" si="2"/>
        <v/>
      </c>
      <c r="T14" s="56" t="str">
        <f t="shared" si="3"/>
        <v/>
      </c>
      <c r="U14" s="57">
        <f t="shared" si="4"/>
        <v>0</v>
      </c>
      <c r="V14" s="57">
        <f t="shared" si="5"/>
        <v>0</v>
      </c>
      <c r="W14" s="57">
        <f t="shared" si="6"/>
        <v>0</v>
      </c>
      <c r="X14" s="57">
        <f t="shared" si="7"/>
        <v>0</v>
      </c>
      <c r="Y14" s="57" t="str">
        <f t="shared" si="11"/>
        <v>nc</v>
      </c>
      <c r="Z14" s="56" t="str">
        <f t="shared" si="12"/>
        <v>nc</v>
      </c>
      <c r="AA14" s="56" t="str">
        <f t="shared" si="13"/>
        <v>nc</v>
      </c>
      <c r="AB14" s="56" t="str">
        <f t="shared" si="14"/>
        <v>nc</v>
      </c>
      <c r="AC14" s="56" t="str">
        <f t="shared" si="9"/>
        <v/>
      </c>
      <c r="AD14" s="54">
        <f t="shared" si="10"/>
        <v>0</v>
      </c>
    </row>
    <row r="15" spans="1:30">
      <c r="A15" s="54" t="s">
        <v>4382</v>
      </c>
      <c r="B15" s="54" t="s">
        <v>4383</v>
      </c>
      <c r="C15" s="54" t="str">
        <f>VLOOKUP(A15,RecNamesAll!A:C,3,FALSE)</f>
        <v>GPR42</v>
      </c>
      <c r="D15" s="60">
        <v>228</v>
      </c>
      <c r="E15" s="54" t="s">
        <v>4382</v>
      </c>
      <c r="F15" s="54" t="s">
        <v>4381</v>
      </c>
      <c r="G15" s="54" t="s">
        <v>3428</v>
      </c>
      <c r="H15" s="54" t="s">
        <v>3557</v>
      </c>
      <c r="I15" s="54" t="s">
        <v>3638</v>
      </c>
      <c r="Q15" s="57" t="str">
        <f t="shared" si="0"/>
        <v/>
      </c>
      <c r="R15" s="56" t="str">
        <f t="shared" si="1"/>
        <v/>
      </c>
      <c r="S15" s="56" t="str">
        <f t="shared" si="2"/>
        <v/>
      </c>
      <c r="T15" s="56" t="str">
        <f t="shared" si="3"/>
        <v/>
      </c>
      <c r="U15" s="57">
        <f t="shared" si="4"/>
        <v>0</v>
      </c>
      <c r="V15" s="57">
        <f t="shared" si="5"/>
        <v>0</v>
      </c>
      <c r="W15" s="57">
        <f t="shared" si="6"/>
        <v>0</v>
      </c>
      <c r="X15" s="57">
        <f t="shared" si="7"/>
        <v>0</v>
      </c>
      <c r="Y15" s="57" t="str">
        <f t="shared" si="11"/>
        <v>nc</v>
      </c>
      <c r="Z15" s="56" t="str">
        <f t="shared" si="12"/>
        <v>nc</v>
      </c>
      <c r="AA15" s="56" t="str">
        <f t="shared" si="13"/>
        <v>nc</v>
      </c>
      <c r="AB15" s="56" t="str">
        <f t="shared" si="14"/>
        <v>nc</v>
      </c>
      <c r="AC15" s="56" t="str">
        <f t="shared" si="9"/>
        <v/>
      </c>
      <c r="AD15" s="54">
        <f t="shared" si="10"/>
        <v>0</v>
      </c>
    </row>
    <row r="16" spans="1:30">
      <c r="A16" s="54" t="s">
        <v>195</v>
      </c>
      <c r="B16" s="54" t="s">
        <v>2005</v>
      </c>
      <c r="C16" s="54" t="str">
        <f>VLOOKUP(A16,RecNamesAll!A:C,3,FALSE)</f>
        <v>P2Y12</v>
      </c>
      <c r="D16" s="60">
        <v>328</v>
      </c>
      <c r="E16" s="54" t="s">
        <v>4380</v>
      </c>
      <c r="F16" s="54" t="s">
        <v>4379</v>
      </c>
      <c r="G16" s="54" t="s">
        <v>3428</v>
      </c>
      <c r="H16" s="54" t="s">
        <v>3532</v>
      </c>
      <c r="I16" s="54" t="s">
        <v>3531</v>
      </c>
      <c r="L16" s="54" t="s">
        <v>3327</v>
      </c>
      <c r="M16" s="54" t="s">
        <v>3515</v>
      </c>
      <c r="N16" s="54">
        <v>14573771</v>
      </c>
      <c r="P16" s="59">
        <v>4.1666666666666664E-2</v>
      </c>
      <c r="Q16" s="57" t="str">
        <f t="shared" si="0"/>
        <v/>
      </c>
      <c r="R16" s="56" t="str">
        <f t="shared" si="1"/>
        <v/>
      </c>
      <c r="S16" s="56" t="str">
        <f t="shared" si="2"/>
        <v/>
      </c>
      <c r="T16" s="56" t="str">
        <f t="shared" si="3"/>
        <v/>
      </c>
      <c r="U16" s="57">
        <f t="shared" si="4"/>
        <v>0</v>
      </c>
      <c r="V16" s="57">
        <f t="shared" si="5"/>
        <v>0</v>
      </c>
      <c r="W16" s="57">
        <f t="shared" si="6"/>
        <v>0</v>
      </c>
      <c r="X16" s="57">
        <f t="shared" si="7"/>
        <v>0</v>
      </c>
      <c r="Y16" s="57" t="str">
        <f t="shared" si="11"/>
        <v>nc</v>
      </c>
      <c r="Z16" s="56" t="str">
        <f t="shared" si="12"/>
        <v>nc</v>
      </c>
      <c r="AA16" s="56" t="str">
        <f t="shared" si="13"/>
        <v>nc</v>
      </c>
      <c r="AB16" s="56" t="str">
        <f t="shared" si="14"/>
        <v>nc</v>
      </c>
      <c r="AC16" s="56" t="str">
        <f t="shared" si="9"/>
        <v/>
      </c>
      <c r="AD16" s="54">
        <f t="shared" si="10"/>
        <v>0</v>
      </c>
    </row>
    <row r="17" spans="1:30">
      <c r="A17" s="54" t="s">
        <v>2754</v>
      </c>
      <c r="B17" s="54" t="s">
        <v>4378</v>
      </c>
      <c r="C17" s="54" t="str">
        <f>VLOOKUP(A17,RecNamesAll!A:C,3,FALSE)</f>
        <v>Rhodopsin</v>
      </c>
      <c r="D17" s="60">
        <v>2963</v>
      </c>
      <c r="E17" s="54" t="s">
        <v>4377</v>
      </c>
      <c r="F17" s="54" t="s">
        <v>4376</v>
      </c>
      <c r="G17" s="54" t="s">
        <v>3428</v>
      </c>
      <c r="H17" s="54" t="s">
        <v>3499</v>
      </c>
      <c r="I17" s="54" t="s">
        <v>3498</v>
      </c>
      <c r="Q17" s="57" t="str">
        <f t="shared" si="0"/>
        <v/>
      </c>
      <c r="R17" s="56" t="str">
        <f t="shared" si="1"/>
        <v/>
      </c>
      <c r="S17" s="56" t="str">
        <f t="shared" si="2"/>
        <v/>
      </c>
      <c r="T17" s="56" t="str">
        <f t="shared" si="3"/>
        <v/>
      </c>
      <c r="U17" s="57">
        <f t="shared" si="4"/>
        <v>0</v>
      </c>
      <c r="V17" s="57">
        <f t="shared" si="5"/>
        <v>0</v>
      </c>
      <c r="W17" s="57">
        <f t="shared" si="6"/>
        <v>0</v>
      </c>
      <c r="X17" s="57">
        <f t="shared" si="7"/>
        <v>0</v>
      </c>
      <c r="Y17" s="57" t="str">
        <f t="shared" si="11"/>
        <v>nc</v>
      </c>
      <c r="Z17" s="56" t="str">
        <f t="shared" si="12"/>
        <v>nc</v>
      </c>
      <c r="AA17" s="56" t="str">
        <f t="shared" si="13"/>
        <v>nc</v>
      </c>
      <c r="AB17" s="56" t="str">
        <f t="shared" si="14"/>
        <v>nc</v>
      </c>
      <c r="AC17" s="56" t="str">
        <f t="shared" si="9"/>
        <v/>
      </c>
      <c r="AD17" s="54">
        <f t="shared" si="10"/>
        <v>0</v>
      </c>
    </row>
    <row r="18" spans="1:30">
      <c r="A18" s="54" t="s">
        <v>4374</v>
      </c>
      <c r="B18" s="54" t="s">
        <v>4375</v>
      </c>
      <c r="C18" s="54" t="str">
        <f>VLOOKUP(A18,RecNamesAll!A:C,3,FALSE)</f>
        <v>OPN3</v>
      </c>
      <c r="D18" s="60">
        <v>160</v>
      </c>
      <c r="E18" s="54" t="s">
        <v>4374</v>
      </c>
      <c r="F18" s="54" t="s">
        <v>4373</v>
      </c>
      <c r="G18" s="54" t="s">
        <v>3428</v>
      </c>
      <c r="H18" s="54" t="s">
        <v>3499</v>
      </c>
      <c r="I18" s="54" t="s">
        <v>3498</v>
      </c>
      <c r="Q18" s="57" t="str">
        <f t="shared" si="0"/>
        <v/>
      </c>
      <c r="R18" s="56" t="str">
        <f t="shared" si="1"/>
        <v/>
      </c>
      <c r="S18" s="56" t="str">
        <f t="shared" si="2"/>
        <v/>
      </c>
      <c r="T18" s="56" t="str">
        <f t="shared" si="3"/>
        <v/>
      </c>
      <c r="U18" s="57">
        <f t="shared" si="4"/>
        <v>0</v>
      </c>
      <c r="V18" s="57">
        <f t="shared" si="5"/>
        <v>0</v>
      </c>
      <c r="W18" s="57">
        <f t="shared" si="6"/>
        <v>0</v>
      </c>
      <c r="X18" s="57">
        <f t="shared" si="7"/>
        <v>0</v>
      </c>
      <c r="Y18" s="57" t="str">
        <f t="shared" si="11"/>
        <v>nc</v>
      </c>
      <c r="Z18" s="56" t="str">
        <f t="shared" si="12"/>
        <v>nc</v>
      </c>
      <c r="AA18" s="56" t="str">
        <f t="shared" si="13"/>
        <v>nc</v>
      </c>
      <c r="AB18" s="56" t="str">
        <f t="shared" si="14"/>
        <v>nc</v>
      </c>
      <c r="AC18" s="56" t="str">
        <f t="shared" si="9"/>
        <v/>
      </c>
      <c r="AD18" s="54">
        <f t="shared" si="10"/>
        <v>0</v>
      </c>
    </row>
    <row r="19" spans="1:30">
      <c r="A19" s="54" t="s">
        <v>4372</v>
      </c>
      <c r="B19" s="54" t="s">
        <v>4371</v>
      </c>
      <c r="C19" s="54" t="str">
        <f>VLOOKUP(A19,RecNamesAll!A:C,3,FALSE)</f>
        <v>OPN1SW</v>
      </c>
      <c r="D19" s="60">
        <v>2960</v>
      </c>
      <c r="E19" s="54" t="s">
        <v>4370</v>
      </c>
      <c r="F19" s="54" t="s">
        <v>4369</v>
      </c>
      <c r="G19" s="54" t="s">
        <v>3428</v>
      </c>
      <c r="H19" s="54" t="s">
        <v>3499</v>
      </c>
      <c r="I19" s="54" t="s">
        <v>3498</v>
      </c>
      <c r="Q19" s="57" t="str">
        <f t="shared" si="0"/>
        <v/>
      </c>
      <c r="R19" s="56" t="str">
        <f t="shared" si="1"/>
        <v/>
      </c>
      <c r="S19" s="56" t="str">
        <f t="shared" si="2"/>
        <v/>
      </c>
      <c r="T19" s="56" t="str">
        <f t="shared" si="3"/>
        <v/>
      </c>
      <c r="U19" s="57">
        <f t="shared" si="4"/>
        <v>0</v>
      </c>
      <c r="V19" s="57">
        <f t="shared" si="5"/>
        <v>0</v>
      </c>
      <c r="W19" s="57">
        <f t="shared" si="6"/>
        <v>0</v>
      </c>
      <c r="X19" s="57">
        <f t="shared" si="7"/>
        <v>0</v>
      </c>
      <c r="Y19" s="57" t="str">
        <f t="shared" si="11"/>
        <v>nc</v>
      </c>
      <c r="Z19" s="56" t="str">
        <f t="shared" si="12"/>
        <v>nc</v>
      </c>
      <c r="AA19" s="56" t="str">
        <f t="shared" si="13"/>
        <v>nc</v>
      </c>
      <c r="AB19" s="56" t="str">
        <f t="shared" si="14"/>
        <v>nc</v>
      </c>
      <c r="AC19" s="56" t="str">
        <f t="shared" si="9"/>
        <v/>
      </c>
      <c r="AD19" s="54">
        <f t="shared" si="10"/>
        <v>0</v>
      </c>
    </row>
    <row r="20" spans="1:30">
      <c r="A20" s="54" t="s">
        <v>4368</v>
      </c>
      <c r="B20" s="54" t="s">
        <v>4367</v>
      </c>
      <c r="C20" s="54" t="str">
        <f>VLOOKUP(A20,RecNamesAll!A:C,3,FALSE)</f>
        <v>OPN1MW</v>
      </c>
      <c r="D20" s="60">
        <v>2962</v>
      </c>
      <c r="E20" s="54" t="s">
        <v>4366</v>
      </c>
      <c r="F20" s="54" t="s">
        <v>4365</v>
      </c>
      <c r="G20" s="54" t="s">
        <v>3428</v>
      </c>
      <c r="H20" s="54" t="s">
        <v>3499</v>
      </c>
      <c r="I20" s="54" t="s">
        <v>3498</v>
      </c>
      <c r="Q20" s="57" t="str">
        <f t="shared" si="0"/>
        <v/>
      </c>
      <c r="R20" s="56" t="str">
        <f t="shared" si="1"/>
        <v/>
      </c>
      <c r="S20" s="56" t="str">
        <f t="shared" si="2"/>
        <v/>
      </c>
      <c r="T20" s="56" t="str">
        <f t="shared" si="3"/>
        <v/>
      </c>
      <c r="U20" s="57">
        <f t="shared" si="4"/>
        <v>0</v>
      </c>
      <c r="V20" s="57">
        <f t="shared" si="5"/>
        <v>0</v>
      </c>
      <c r="W20" s="57">
        <f t="shared" si="6"/>
        <v>0</v>
      </c>
      <c r="X20" s="57">
        <f t="shared" si="7"/>
        <v>0</v>
      </c>
      <c r="Y20" s="57" t="str">
        <f t="shared" si="11"/>
        <v>nc</v>
      </c>
      <c r="Z20" s="56" t="str">
        <f t="shared" si="12"/>
        <v>nc</v>
      </c>
      <c r="AA20" s="56" t="str">
        <f t="shared" si="13"/>
        <v>nc</v>
      </c>
      <c r="AB20" s="56" t="str">
        <f t="shared" si="14"/>
        <v>nc</v>
      </c>
      <c r="AC20" s="56" t="str">
        <f t="shared" si="9"/>
        <v/>
      </c>
      <c r="AD20" s="54">
        <f t="shared" si="10"/>
        <v>0</v>
      </c>
    </row>
    <row r="21" spans="1:30">
      <c r="A21" s="54" t="s">
        <v>4364</v>
      </c>
      <c r="B21" s="54" t="s">
        <v>4363</v>
      </c>
      <c r="C21" s="54" t="str">
        <f>VLOOKUP(A21,RecNamesAll!A:C,3,FALSE)</f>
        <v>OPN1LW</v>
      </c>
      <c r="D21" s="60">
        <v>2961</v>
      </c>
      <c r="E21" s="54" t="s">
        <v>4362</v>
      </c>
      <c r="F21" s="54" t="s">
        <v>4361</v>
      </c>
      <c r="G21" s="54" t="s">
        <v>3428</v>
      </c>
      <c r="H21" s="54" t="s">
        <v>3499</v>
      </c>
      <c r="I21" s="54" t="s">
        <v>3498</v>
      </c>
      <c r="Q21" s="57" t="str">
        <f t="shared" si="0"/>
        <v/>
      </c>
      <c r="R21" s="56" t="str">
        <f t="shared" si="1"/>
        <v/>
      </c>
      <c r="S21" s="56" t="str">
        <f t="shared" si="2"/>
        <v/>
      </c>
      <c r="T21" s="56" t="str">
        <f t="shared" si="3"/>
        <v/>
      </c>
      <c r="U21" s="57">
        <f t="shared" si="4"/>
        <v>0</v>
      </c>
      <c r="V21" s="57">
        <f t="shared" si="5"/>
        <v>0</v>
      </c>
      <c r="W21" s="57">
        <f t="shared" si="6"/>
        <v>0</v>
      </c>
      <c r="X21" s="57">
        <f t="shared" si="7"/>
        <v>0</v>
      </c>
      <c r="Y21" s="57" t="str">
        <f t="shared" si="11"/>
        <v>nc</v>
      </c>
      <c r="Z21" s="56" t="str">
        <f t="shared" si="12"/>
        <v>nc</v>
      </c>
      <c r="AA21" s="56" t="str">
        <f t="shared" si="13"/>
        <v>nc</v>
      </c>
      <c r="AB21" s="56" t="str">
        <f t="shared" si="14"/>
        <v>nc</v>
      </c>
      <c r="AC21" s="56" t="str">
        <f t="shared" si="9"/>
        <v/>
      </c>
      <c r="AD21" s="54">
        <f t="shared" si="10"/>
        <v>0</v>
      </c>
    </row>
    <row r="22" spans="1:30">
      <c r="A22" s="54" t="s">
        <v>4360</v>
      </c>
      <c r="B22" s="54" t="s">
        <v>1433</v>
      </c>
      <c r="C22" s="54" t="str">
        <f>VLOOKUP(A22,RecNamesAll!A:C,3,FALSE)</f>
        <v>GPR1</v>
      </c>
      <c r="D22" s="60">
        <v>82</v>
      </c>
      <c r="E22" s="54" t="s">
        <v>4360</v>
      </c>
      <c r="G22" s="54" t="s">
        <v>3428</v>
      </c>
      <c r="H22" s="54" t="s">
        <v>3322</v>
      </c>
      <c r="I22" s="54" t="s">
        <v>3427</v>
      </c>
      <c r="Q22" s="57" t="str">
        <f t="shared" si="0"/>
        <v/>
      </c>
      <c r="R22" s="56" t="str">
        <f t="shared" si="1"/>
        <v/>
      </c>
      <c r="S22" s="56" t="str">
        <f t="shared" si="2"/>
        <v/>
      </c>
      <c r="T22" s="56" t="str">
        <f t="shared" si="3"/>
        <v/>
      </c>
      <c r="U22" s="57">
        <f t="shared" si="4"/>
        <v>0</v>
      </c>
      <c r="V22" s="57">
        <f t="shared" si="5"/>
        <v>0</v>
      </c>
      <c r="W22" s="57">
        <f t="shared" si="6"/>
        <v>0</v>
      </c>
      <c r="X22" s="57">
        <f t="shared" si="7"/>
        <v>0</v>
      </c>
      <c r="Y22" s="57" t="str">
        <f t="shared" si="11"/>
        <v>nc</v>
      </c>
      <c r="Z22" s="56" t="str">
        <f t="shared" si="12"/>
        <v>nc</v>
      </c>
      <c r="AA22" s="56" t="str">
        <f t="shared" si="13"/>
        <v>nc</v>
      </c>
      <c r="AB22" s="56" t="str">
        <f t="shared" si="14"/>
        <v>nc</v>
      </c>
      <c r="AC22" s="56" t="str">
        <f t="shared" si="9"/>
        <v/>
      </c>
      <c r="AD22" s="54">
        <f t="shared" si="10"/>
        <v>0</v>
      </c>
    </row>
    <row r="23" spans="1:30">
      <c r="A23" s="54" t="s">
        <v>4358</v>
      </c>
      <c r="B23" s="54" t="s">
        <v>4359</v>
      </c>
      <c r="C23" s="54" t="str">
        <f>VLOOKUP(A23,RecNamesAll!A:C,3,FALSE)</f>
        <v>GPR15</v>
      </c>
      <c r="D23" s="60">
        <v>87</v>
      </c>
      <c r="E23" s="54" t="s">
        <v>4358</v>
      </c>
      <c r="G23" s="54" t="s">
        <v>3428</v>
      </c>
      <c r="H23" s="54" t="s">
        <v>3322</v>
      </c>
      <c r="I23" s="54" t="s">
        <v>3427</v>
      </c>
      <c r="Q23" s="57" t="str">
        <f t="shared" si="0"/>
        <v/>
      </c>
      <c r="R23" s="56" t="str">
        <f t="shared" si="1"/>
        <v/>
      </c>
      <c r="S23" s="56" t="str">
        <f t="shared" si="2"/>
        <v/>
      </c>
      <c r="T23" s="56" t="str">
        <f t="shared" si="3"/>
        <v/>
      </c>
      <c r="U23" s="57">
        <f t="shared" si="4"/>
        <v>0</v>
      </c>
      <c r="V23" s="57">
        <f t="shared" si="5"/>
        <v>0</v>
      </c>
      <c r="W23" s="57">
        <f t="shared" si="6"/>
        <v>0</v>
      </c>
      <c r="X23" s="57">
        <f t="shared" si="7"/>
        <v>0</v>
      </c>
      <c r="Y23" s="57" t="str">
        <f t="shared" si="11"/>
        <v>nc</v>
      </c>
      <c r="Z23" s="56" t="str">
        <f t="shared" si="12"/>
        <v>nc</v>
      </c>
      <c r="AA23" s="56" t="str">
        <f t="shared" si="13"/>
        <v>nc</v>
      </c>
      <c r="AB23" s="56" t="str">
        <f t="shared" si="14"/>
        <v>nc</v>
      </c>
      <c r="AC23" s="56" t="str">
        <f t="shared" si="9"/>
        <v/>
      </c>
      <c r="AD23" s="54">
        <f t="shared" si="10"/>
        <v>0</v>
      </c>
    </row>
    <row r="24" spans="1:30">
      <c r="A24" s="54" t="s">
        <v>3494</v>
      </c>
      <c r="B24" s="54" t="s">
        <v>4357</v>
      </c>
      <c r="C24" s="54" t="str">
        <f>VLOOKUP(A24,RecNamesAll!A:C,3,FALSE)</f>
        <v>GPR19</v>
      </c>
      <c r="D24" s="60">
        <v>90</v>
      </c>
      <c r="E24" s="54" t="s">
        <v>3494</v>
      </c>
      <c r="G24" s="54" t="s">
        <v>3428</v>
      </c>
      <c r="H24" s="54" t="s">
        <v>3322</v>
      </c>
      <c r="I24" s="54" t="s">
        <v>3427</v>
      </c>
      <c r="Q24" s="57" t="str">
        <f t="shared" si="0"/>
        <v/>
      </c>
      <c r="R24" s="56" t="str">
        <f t="shared" si="1"/>
        <v/>
      </c>
      <c r="S24" s="56" t="str">
        <f t="shared" si="2"/>
        <v/>
      </c>
      <c r="T24" s="56" t="str">
        <f t="shared" si="3"/>
        <v/>
      </c>
      <c r="U24" s="57">
        <f t="shared" si="4"/>
        <v>0</v>
      </c>
      <c r="V24" s="57">
        <f t="shared" si="5"/>
        <v>0</v>
      </c>
      <c r="W24" s="57">
        <f t="shared" si="6"/>
        <v>0</v>
      </c>
      <c r="X24" s="57">
        <f t="shared" si="7"/>
        <v>0</v>
      </c>
      <c r="Y24" s="57" t="str">
        <f t="shared" si="11"/>
        <v>nc</v>
      </c>
      <c r="Z24" s="56" t="str">
        <f t="shared" si="12"/>
        <v>nc</v>
      </c>
      <c r="AA24" s="56" t="str">
        <f t="shared" si="13"/>
        <v>nc</v>
      </c>
      <c r="AB24" s="56" t="str">
        <f t="shared" si="14"/>
        <v>nc</v>
      </c>
      <c r="AC24" s="56" t="str">
        <f t="shared" si="9"/>
        <v/>
      </c>
      <c r="AD24" s="54">
        <f t="shared" si="10"/>
        <v>0</v>
      </c>
    </row>
    <row r="25" spans="1:30">
      <c r="A25" s="54" t="s">
        <v>4355</v>
      </c>
      <c r="B25" s="54" t="s">
        <v>4356</v>
      </c>
      <c r="C25" s="54" t="str">
        <f>VLOOKUP(A25,RecNamesAll!A:C,3,FALSE)</f>
        <v>GPR21</v>
      </c>
      <c r="D25" s="60">
        <v>92</v>
      </c>
      <c r="E25" s="54" t="s">
        <v>4355</v>
      </c>
      <c r="G25" s="54" t="s">
        <v>3428</v>
      </c>
      <c r="H25" s="54" t="s">
        <v>3322</v>
      </c>
      <c r="I25" s="54" t="s">
        <v>3427</v>
      </c>
      <c r="N25" s="54">
        <v>15090189</v>
      </c>
      <c r="P25" s="59">
        <v>4.1666666666666664E-2</v>
      </c>
      <c r="Q25" s="57" t="str">
        <f t="shared" si="0"/>
        <v/>
      </c>
      <c r="R25" s="56" t="str">
        <f t="shared" si="1"/>
        <v/>
      </c>
      <c r="S25" s="56" t="str">
        <f t="shared" si="2"/>
        <v/>
      </c>
      <c r="T25" s="56" t="str">
        <f t="shared" si="3"/>
        <v/>
      </c>
      <c r="U25" s="57">
        <f t="shared" si="4"/>
        <v>0</v>
      </c>
      <c r="V25" s="57">
        <f t="shared" si="5"/>
        <v>0</v>
      </c>
      <c r="W25" s="57">
        <f t="shared" si="6"/>
        <v>0</v>
      </c>
      <c r="X25" s="57">
        <f t="shared" si="7"/>
        <v>0</v>
      </c>
      <c r="Y25" s="57" t="str">
        <f t="shared" si="11"/>
        <v>nc</v>
      </c>
      <c r="Z25" s="56" t="str">
        <f t="shared" si="12"/>
        <v>nc</v>
      </c>
      <c r="AA25" s="56" t="str">
        <f t="shared" si="13"/>
        <v>nc</v>
      </c>
      <c r="AB25" s="56" t="str">
        <f t="shared" si="14"/>
        <v>nc</v>
      </c>
      <c r="AC25" s="56" t="str">
        <f t="shared" si="9"/>
        <v/>
      </c>
      <c r="AD25" s="54">
        <f t="shared" si="10"/>
        <v>0</v>
      </c>
    </row>
    <row r="26" spans="1:30">
      <c r="A26" s="54" t="s">
        <v>4353</v>
      </c>
      <c r="B26" s="54" t="s">
        <v>4354</v>
      </c>
      <c r="C26" s="54" t="str">
        <f>VLOOKUP(A26,RecNamesAll!A:C,3,FALSE)</f>
        <v>GPR25</v>
      </c>
      <c r="D26" s="60">
        <v>95</v>
      </c>
      <c r="E26" s="54" t="s">
        <v>4353</v>
      </c>
      <c r="G26" s="54" t="s">
        <v>3428</v>
      </c>
      <c r="H26" s="54" t="s">
        <v>3322</v>
      </c>
      <c r="I26" s="54" t="s">
        <v>3427</v>
      </c>
      <c r="Q26" s="57" t="str">
        <f t="shared" si="0"/>
        <v/>
      </c>
      <c r="R26" s="56" t="str">
        <f t="shared" si="1"/>
        <v/>
      </c>
      <c r="S26" s="56" t="str">
        <f t="shared" si="2"/>
        <v/>
      </c>
      <c r="T26" s="56" t="str">
        <f t="shared" si="3"/>
        <v/>
      </c>
      <c r="U26" s="57">
        <f t="shared" si="4"/>
        <v>0</v>
      </c>
      <c r="V26" s="57">
        <f t="shared" si="5"/>
        <v>0</v>
      </c>
      <c r="W26" s="57">
        <f t="shared" si="6"/>
        <v>0</v>
      </c>
      <c r="X26" s="57">
        <f t="shared" si="7"/>
        <v>0</v>
      </c>
      <c r="Y26" s="57" t="str">
        <f t="shared" si="11"/>
        <v>nc</v>
      </c>
      <c r="Z26" s="56" t="str">
        <f t="shared" si="12"/>
        <v>nc</v>
      </c>
      <c r="AA26" s="56" t="str">
        <f t="shared" si="13"/>
        <v>nc</v>
      </c>
      <c r="AB26" s="56" t="str">
        <f t="shared" si="14"/>
        <v>nc</v>
      </c>
      <c r="AC26" s="56" t="str">
        <f t="shared" si="9"/>
        <v/>
      </c>
      <c r="AD26" s="54">
        <f t="shared" si="10"/>
        <v>0</v>
      </c>
    </row>
    <row r="27" spans="1:30">
      <c r="A27" s="54" t="s">
        <v>4352</v>
      </c>
      <c r="B27" s="54" t="s">
        <v>1479</v>
      </c>
      <c r="C27" s="54" t="str">
        <f>VLOOKUP(A27,RecNamesAll!A:C,3,FALSE)</f>
        <v>GPR32</v>
      </c>
      <c r="D27" s="60">
        <v>99</v>
      </c>
      <c r="E27" s="54" t="s">
        <v>4352</v>
      </c>
      <c r="G27" s="54" t="s">
        <v>3428</v>
      </c>
      <c r="H27" s="54" t="s">
        <v>3322</v>
      </c>
      <c r="I27" s="54" t="s">
        <v>3427</v>
      </c>
      <c r="Q27" s="57" t="str">
        <f t="shared" si="0"/>
        <v/>
      </c>
      <c r="R27" s="56" t="str">
        <f t="shared" si="1"/>
        <v/>
      </c>
      <c r="S27" s="56" t="str">
        <f t="shared" si="2"/>
        <v/>
      </c>
      <c r="T27" s="56" t="str">
        <f t="shared" si="3"/>
        <v/>
      </c>
      <c r="U27" s="57">
        <f t="shared" si="4"/>
        <v>0</v>
      </c>
      <c r="V27" s="57">
        <f t="shared" si="5"/>
        <v>0</v>
      </c>
      <c r="W27" s="57">
        <f t="shared" si="6"/>
        <v>0</v>
      </c>
      <c r="X27" s="57">
        <f t="shared" si="7"/>
        <v>0</v>
      </c>
      <c r="Y27" s="57" t="str">
        <f t="shared" si="11"/>
        <v>nc</v>
      </c>
      <c r="Z27" s="56" t="str">
        <f t="shared" si="12"/>
        <v>nc</v>
      </c>
      <c r="AA27" s="56" t="str">
        <f t="shared" si="13"/>
        <v>nc</v>
      </c>
      <c r="AB27" s="56" t="str">
        <f t="shared" si="14"/>
        <v>nc</v>
      </c>
      <c r="AC27" s="56" t="str">
        <f t="shared" si="9"/>
        <v/>
      </c>
      <c r="AD27" s="54">
        <f t="shared" si="10"/>
        <v>0</v>
      </c>
    </row>
    <row r="28" spans="1:30">
      <c r="A28" s="54" t="s">
        <v>90</v>
      </c>
      <c r="B28" s="54" t="s">
        <v>1483</v>
      </c>
      <c r="C28" s="54" t="str">
        <f>VLOOKUP(A28,RecNamesAll!A:C,3,FALSE)</f>
        <v>GPR35</v>
      </c>
      <c r="D28" s="60">
        <v>102</v>
      </c>
      <c r="E28" s="54" t="s">
        <v>90</v>
      </c>
      <c r="G28" s="54" t="s">
        <v>3428</v>
      </c>
      <c r="H28" s="54" t="s">
        <v>3322</v>
      </c>
      <c r="I28" s="54" t="s">
        <v>3427</v>
      </c>
      <c r="Q28" s="57" t="str">
        <f t="shared" si="0"/>
        <v/>
      </c>
      <c r="R28" s="56" t="str">
        <f t="shared" si="1"/>
        <v/>
      </c>
      <c r="S28" s="56" t="str">
        <f t="shared" si="2"/>
        <v/>
      </c>
      <c r="T28" s="56" t="str">
        <f t="shared" si="3"/>
        <v/>
      </c>
      <c r="U28" s="57">
        <f t="shared" si="4"/>
        <v>0</v>
      </c>
      <c r="V28" s="57">
        <f t="shared" si="5"/>
        <v>0</v>
      </c>
      <c r="W28" s="57">
        <f t="shared" si="6"/>
        <v>0</v>
      </c>
      <c r="X28" s="57">
        <f t="shared" si="7"/>
        <v>0</v>
      </c>
      <c r="Y28" s="57" t="str">
        <f t="shared" si="11"/>
        <v>nc</v>
      </c>
      <c r="Z28" s="56" t="str">
        <f t="shared" si="12"/>
        <v>nc</v>
      </c>
      <c r="AA28" s="56" t="str">
        <f t="shared" si="13"/>
        <v>nc</v>
      </c>
      <c r="AB28" s="56" t="str">
        <f t="shared" si="14"/>
        <v>nc</v>
      </c>
      <c r="AC28" s="56" t="str">
        <f t="shared" si="9"/>
        <v/>
      </c>
      <c r="AD28" s="54">
        <f t="shared" si="10"/>
        <v>0</v>
      </c>
    </row>
    <row r="29" spans="1:30">
      <c r="A29" s="54" t="s">
        <v>4350</v>
      </c>
      <c r="B29" s="54" t="s">
        <v>4351</v>
      </c>
      <c r="C29" s="54" t="str">
        <f>VLOOKUP(A29,RecNamesAll!A:C,3,FALSE)</f>
        <v>GPR45</v>
      </c>
      <c r="D29" s="60">
        <v>106</v>
      </c>
      <c r="E29" s="54" t="s">
        <v>4350</v>
      </c>
      <c r="G29" s="54" t="s">
        <v>3428</v>
      </c>
      <c r="H29" s="54" t="s">
        <v>3322</v>
      </c>
      <c r="I29" s="54" t="s">
        <v>3427</v>
      </c>
      <c r="Q29" s="57" t="str">
        <f t="shared" si="0"/>
        <v/>
      </c>
      <c r="R29" s="56" t="str">
        <f t="shared" si="1"/>
        <v/>
      </c>
      <c r="S29" s="56" t="str">
        <f t="shared" si="2"/>
        <v/>
      </c>
      <c r="T29" s="56" t="str">
        <f t="shared" si="3"/>
        <v/>
      </c>
      <c r="U29" s="57">
        <f t="shared" si="4"/>
        <v>0</v>
      </c>
      <c r="V29" s="57">
        <f t="shared" si="5"/>
        <v>0</v>
      </c>
      <c r="W29" s="57">
        <f t="shared" si="6"/>
        <v>0</v>
      </c>
      <c r="X29" s="57">
        <f t="shared" si="7"/>
        <v>0</v>
      </c>
      <c r="Y29" s="57" t="str">
        <f t="shared" si="11"/>
        <v>nc</v>
      </c>
      <c r="Z29" s="56" t="str">
        <f t="shared" si="12"/>
        <v>nc</v>
      </c>
      <c r="AA29" s="56" t="str">
        <f t="shared" si="13"/>
        <v>nc</v>
      </c>
      <c r="AB29" s="56" t="str">
        <f t="shared" si="14"/>
        <v>nc</v>
      </c>
      <c r="AC29" s="56" t="str">
        <f t="shared" si="9"/>
        <v/>
      </c>
      <c r="AD29" s="54">
        <f t="shared" si="10"/>
        <v>0</v>
      </c>
    </row>
    <row r="30" spans="1:30">
      <c r="A30" s="54" t="s">
        <v>4349</v>
      </c>
      <c r="B30" s="54" t="s">
        <v>4348</v>
      </c>
      <c r="C30" s="54" t="str">
        <f>VLOOKUP(A30,RecNamesAll!A:C,3,FALSE)</f>
        <v>GPR50</v>
      </c>
      <c r="D30" s="60">
        <v>107</v>
      </c>
      <c r="E30" s="54" t="s">
        <v>4347</v>
      </c>
      <c r="G30" s="54" t="s">
        <v>3428</v>
      </c>
      <c r="H30" s="54" t="s">
        <v>3322</v>
      </c>
      <c r="I30" s="54" t="s">
        <v>3427</v>
      </c>
      <c r="Q30" s="57" t="str">
        <f t="shared" si="0"/>
        <v/>
      </c>
      <c r="R30" s="56" t="str">
        <f t="shared" si="1"/>
        <v/>
      </c>
      <c r="S30" s="56" t="str">
        <f t="shared" si="2"/>
        <v/>
      </c>
      <c r="T30" s="56" t="str">
        <f t="shared" si="3"/>
        <v/>
      </c>
      <c r="U30" s="57">
        <f t="shared" si="4"/>
        <v>0</v>
      </c>
      <c r="V30" s="57">
        <f t="shared" si="5"/>
        <v>0</v>
      </c>
      <c r="W30" s="57">
        <f t="shared" si="6"/>
        <v>0</v>
      </c>
      <c r="X30" s="57">
        <f t="shared" si="7"/>
        <v>0</v>
      </c>
      <c r="Y30" s="57" t="str">
        <f t="shared" si="11"/>
        <v>nc</v>
      </c>
      <c r="Z30" s="56" t="str">
        <f t="shared" si="12"/>
        <v>nc</v>
      </c>
      <c r="AA30" s="56" t="str">
        <f t="shared" si="13"/>
        <v>nc</v>
      </c>
      <c r="AB30" s="56" t="str">
        <f t="shared" si="14"/>
        <v>nc</v>
      </c>
      <c r="AC30" s="56" t="str">
        <f t="shared" si="9"/>
        <v/>
      </c>
      <c r="AD30" s="54">
        <f t="shared" si="10"/>
        <v>0</v>
      </c>
    </row>
    <row r="31" spans="1:30">
      <c r="A31" s="54" t="s">
        <v>3254</v>
      </c>
      <c r="B31" s="54" t="s">
        <v>4346</v>
      </c>
      <c r="C31" s="54" t="str">
        <f>VLOOKUP(A31,RecNamesAll!A:C,3,FALSE)</f>
        <v>GPR52</v>
      </c>
      <c r="D31" s="60">
        <v>108</v>
      </c>
      <c r="E31" s="54" t="s">
        <v>3254</v>
      </c>
      <c r="G31" s="54" t="s">
        <v>3428</v>
      </c>
      <c r="H31" s="54" t="s">
        <v>3322</v>
      </c>
      <c r="I31" s="54" t="s">
        <v>3427</v>
      </c>
      <c r="Q31" s="57" t="str">
        <f t="shared" si="0"/>
        <v/>
      </c>
      <c r="R31" s="56" t="str">
        <f t="shared" si="1"/>
        <v/>
      </c>
      <c r="S31" s="56" t="str">
        <f t="shared" si="2"/>
        <v/>
      </c>
      <c r="T31" s="56" t="str">
        <f t="shared" si="3"/>
        <v/>
      </c>
      <c r="U31" s="57">
        <f t="shared" si="4"/>
        <v>0</v>
      </c>
      <c r="V31" s="57">
        <f t="shared" si="5"/>
        <v>0</v>
      </c>
      <c r="W31" s="57">
        <f t="shared" si="6"/>
        <v>0</v>
      </c>
      <c r="X31" s="57">
        <f t="shared" si="7"/>
        <v>0</v>
      </c>
      <c r="Y31" s="57" t="str">
        <f t="shared" si="11"/>
        <v>nc</v>
      </c>
      <c r="Z31" s="56" t="str">
        <f t="shared" si="12"/>
        <v>nc</v>
      </c>
      <c r="AA31" s="56" t="str">
        <f t="shared" si="13"/>
        <v>nc</v>
      </c>
      <c r="AB31" s="56" t="str">
        <f t="shared" si="14"/>
        <v>nc</v>
      </c>
      <c r="AC31" s="56" t="str">
        <f t="shared" si="9"/>
        <v/>
      </c>
      <c r="AD31" s="54">
        <f t="shared" si="10"/>
        <v>0</v>
      </c>
    </row>
    <row r="32" spans="1:30">
      <c r="A32" s="54" t="s">
        <v>4344</v>
      </c>
      <c r="B32" s="54" t="s">
        <v>4345</v>
      </c>
      <c r="C32" s="54" t="str">
        <f>VLOOKUP(A32,RecNamesAll!A:C,3,FALSE)</f>
        <v>GPR61</v>
      </c>
      <c r="D32" s="60">
        <v>110</v>
      </c>
      <c r="E32" s="54" t="s">
        <v>4344</v>
      </c>
      <c r="F32" s="54" t="s">
        <v>4343</v>
      </c>
      <c r="G32" s="54" t="s">
        <v>3428</v>
      </c>
      <c r="H32" s="54" t="s">
        <v>3322</v>
      </c>
      <c r="I32" s="54" t="s">
        <v>3427</v>
      </c>
      <c r="N32" s="54">
        <v>19025769</v>
      </c>
      <c r="P32" s="59">
        <v>4.1666666666666664E-2</v>
      </c>
      <c r="Q32" s="57" t="str">
        <f t="shared" si="0"/>
        <v/>
      </c>
      <c r="R32" s="56" t="str">
        <f t="shared" si="1"/>
        <v/>
      </c>
      <c r="S32" s="56" t="str">
        <f t="shared" si="2"/>
        <v/>
      </c>
      <c r="T32" s="56" t="str">
        <f t="shared" si="3"/>
        <v/>
      </c>
      <c r="U32" s="57">
        <f t="shared" si="4"/>
        <v>0</v>
      </c>
      <c r="V32" s="57">
        <f t="shared" si="5"/>
        <v>0</v>
      </c>
      <c r="W32" s="57">
        <f t="shared" si="6"/>
        <v>0</v>
      </c>
      <c r="X32" s="57">
        <f t="shared" si="7"/>
        <v>0</v>
      </c>
      <c r="Y32" s="57" t="str">
        <f t="shared" si="11"/>
        <v>nc</v>
      </c>
      <c r="Z32" s="56" t="str">
        <f t="shared" si="12"/>
        <v>nc</v>
      </c>
      <c r="AA32" s="56" t="str">
        <f t="shared" si="13"/>
        <v>nc</v>
      </c>
      <c r="AB32" s="56" t="str">
        <f t="shared" si="14"/>
        <v>nc</v>
      </c>
      <c r="AC32" s="56" t="str">
        <f t="shared" si="9"/>
        <v/>
      </c>
      <c r="AD32" s="54">
        <f t="shared" si="10"/>
        <v>0</v>
      </c>
    </row>
    <row r="33" spans="1:30">
      <c r="A33" s="54" t="s">
        <v>4341</v>
      </c>
      <c r="B33" s="54" t="s">
        <v>4342</v>
      </c>
      <c r="C33" s="54" t="str">
        <f>VLOOKUP(A33,RecNamesAll!A:C,3,FALSE)</f>
        <v>GPR62</v>
      </c>
      <c r="D33" s="60">
        <v>111</v>
      </c>
      <c r="E33" s="54" t="s">
        <v>4341</v>
      </c>
      <c r="G33" s="54" t="s">
        <v>3428</v>
      </c>
      <c r="H33" s="54" t="s">
        <v>3322</v>
      </c>
      <c r="I33" s="54" t="s">
        <v>3427</v>
      </c>
      <c r="Q33" s="57" t="str">
        <f t="shared" si="0"/>
        <v/>
      </c>
      <c r="R33" s="56" t="str">
        <f t="shared" si="1"/>
        <v/>
      </c>
      <c r="S33" s="56" t="str">
        <f t="shared" si="2"/>
        <v/>
      </c>
      <c r="T33" s="56" t="str">
        <f t="shared" si="3"/>
        <v/>
      </c>
      <c r="U33" s="57">
        <f t="shared" si="4"/>
        <v>0</v>
      </c>
      <c r="V33" s="57">
        <f t="shared" si="5"/>
        <v>0</v>
      </c>
      <c r="W33" s="57">
        <f t="shared" si="6"/>
        <v>0</v>
      </c>
      <c r="X33" s="57">
        <f t="shared" si="7"/>
        <v>0</v>
      </c>
      <c r="Y33" s="57" t="str">
        <f t="shared" si="11"/>
        <v>nc</v>
      </c>
      <c r="Z33" s="56" t="str">
        <f t="shared" si="12"/>
        <v>nc</v>
      </c>
      <c r="AA33" s="56" t="str">
        <f t="shared" si="13"/>
        <v>nc</v>
      </c>
      <c r="AB33" s="56" t="str">
        <f t="shared" si="14"/>
        <v>nc</v>
      </c>
      <c r="AC33" s="56" t="str">
        <f t="shared" si="9"/>
        <v/>
      </c>
      <c r="AD33" s="54">
        <f t="shared" si="10"/>
        <v>0</v>
      </c>
    </row>
    <row r="34" spans="1:30">
      <c r="A34" s="54" t="s">
        <v>4340</v>
      </c>
      <c r="B34" s="54" t="s">
        <v>1512</v>
      </c>
      <c r="C34" s="54" t="str">
        <f>VLOOKUP(A34,RecNamesAll!A:C,3,FALSE)</f>
        <v>GPR63</v>
      </c>
      <c r="D34" s="60">
        <v>112</v>
      </c>
      <c r="E34" s="54" t="s">
        <v>4340</v>
      </c>
      <c r="F34" s="54" t="s">
        <v>4339</v>
      </c>
      <c r="G34" s="54" t="s">
        <v>3428</v>
      </c>
      <c r="H34" s="54" t="s">
        <v>3322</v>
      </c>
      <c r="I34" s="54" t="s">
        <v>3427</v>
      </c>
      <c r="Q34" s="57" t="str">
        <f t="shared" si="0"/>
        <v/>
      </c>
      <c r="R34" s="56" t="str">
        <f t="shared" si="1"/>
        <v/>
      </c>
      <c r="S34" s="56" t="str">
        <f t="shared" si="2"/>
        <v/>
      </c>
      <c r="T34" s="56" t="str">
        <f t="shared" si="3"/>
        <v/>
      </c>
      <c r="U34" s="57">
        <f t="shared" si="4"/>
        <v>0</v>
      </c>
      <c r="V34" s="57">
        <f t="shared" si="5"/>
        <v>0</v>
      </c>
      <c r="W34" s="57">
        <f t="shared" si="6"/>
        <v>0</v>
      </c>
      <c r="X34" s="57">
        <f t="shared" si="7"/>
        <v>0</v>
      </c>
      <c r="Y34" s="57" t="str">
        <f t="shared" si="11"/>
        <v>nc</v>
      </c>
      <c r="Z34" s="56" t="str">
        <f t="shared" si="12"/>
        <v>nc</v>
      </c>
      <c r="AA34" s="56" t="str">
        <f t="shared" si="13"/>
        <v>nc</v>
      </c>
      <c r="AB34" s="56" t="str">
        <f t="shared" si="14"/>
        <v>nc</v>
      </c>
      <c r="AC34" s="56" t="str">
        <f t="shared" si="9"/>
        <v/>
      </c>
      <c r="AD34" s="54">
        <f t="shared" si="10"/>
        <v>0</v>
      </c>
    </row>
    <row r="35" spans="1:30">
      <c r="A35" s="54" t="s">
        <v>4337</v>
      </c>
      <c r="B35" s="54" t="s">
        <v>4338</v>
      </c>
      <c r="C35" s="54" t="str">
        <f>VLOOKUP(A35,RecNamesAll!A:C,3,FALSE)</f>
        <v>GPR82</v>
      </c>
      <c r="D35" s="60">
        <v>118</v>
      </c>
      <c r="E35" s="54" t="s">
        <v>4337</v>
      </c>
      <c r="G35" s="54" t="s">
        <v>3428</v>
      </c>
      <c r="H35" s="54" t="s">
        <v>3322</v>
      </c>
      <c r="I35" s="54" t="s">
        <v>3427</v>
      </c>
      <c r="Q35" s="57" t="str">
        <f t="shared" si="0"/>
        <v/>
      </c>
      <c r="R35" s="56" t="str">
        <f t="shared" si="1"/>
        <v/>
      </c>
      <c r="S35" s="56" t="str">
        <f t="shared" si="2"/>
        <v/>
      </c>
      <c r="T35" s="56" t="str">
        <f t="shared" si="3"/>
        <v/>
      </c>
      <c r="U35" s="57">
        <f t="shared" si="4"/>
        <v>0</v>
      </c>
      <c r="V35" s="57">
        <f t="shared" si="5"/>
        <v>0</v>
      </c>
      <c r="W35" s="57">
        <f t="shared" si="6"/>
        <v>0</v>
      </c>
      <c r="X35" s="57">
        <f t="shared" si="7"/>
        <v>0</v>
      </c>
      <c r="Y35" s="57" t="str">
        <f t="shared" si="11"/>
        <v>nc</v>
      </c>
      <c r="Z35" s="56" t="str">
        <f t="shared" si="12"/>
        <v>nc</v>
      </c>
      <c r="AA35" s="56" t="str">
        <f t="shared" si="13"/>
        <v>nc</v>
      </c>
      <c r="AB35" s="56" t="str">
        <f t="shared" si="14"/>
        <v>nc</v>
      </c>
      <c r="AC35" s="56" t="str">
        <f t="shared" si="9"/>
        <v/>
      </c>
      <c r="AD35" s="54">
        <f t="shared" si="10"/>
        <v>0</v>
      </c>
    </row>
    <row r="36" spans="1:30">
      <c r="A36" s="54" t="s">
        <v>4335</v>
      </c>
      <c r="B36" s="54" t="s">
        <v>4336</v>
      </c>
      <c r="C36" s="54" t="str">
        <f>VLOOKUP(A36,RecNamesAll!A:C,3,FALSE)</f>
        <v>GPR83</v>
      </c>
      <c r="D36" s="60">
        <v>119</v>
      </c>
      <c r="E36" s="54" t="s">
        <v>4335</v>
      </c>
      <c r="F36" s="54" t="s">
        <v>4334</v>
      </c>
      <c r="G36" s="54" t="s">
        <v>3428</v>
      </c>
      <c r="H36" s="54" t="s">
        <v>3322</v>
      </c>
      <c r="I36" s="54" t="s">
        <v>3427</v>
      </c>
      <c r="Q36" s="57" t="str">
        <f t="shared" si="0"/>
        <v/>
      </c>
      <c r="R36" s="56" t="str">
        <f t="shared" si="1"/>
        <v/>
      </c>
      <c r="S36" s="56" t="str">
        <f t="shared" si="2"/>
        <v/>
      </c>
      <c r="T36" s="56" t="str">
        <f t="shared" si="3"/>
        <v/>
      </c>
      <c r="U36" s="57">
        <f t="shared" si="4"/>
        <v>0</v>
      </c>
      <c r="V36" s="57">
        <f t="shared" si="5"/>
        <v>0</v>
      </c>
      <c r="W36" s="57">
        <f t="shared" si="6"/>
        <v>0</v>
      </c>
      <c r="X36" s="57">
        <f t="shared" si="7"/>
        <v>0</v>
      </c>
      <c r="Y36" s="57" t="str">
        <f t="shared" si="11"/>
        <v>nc</v>
      </c>
      <c r="Z36" s="56" t="str">
        <f t="shared" si="12"/>
        <v>nc</v>
      </c>
      <c r="AA36" s="56" t="str">
        <f t="shared" si="13"/>
        <v>nc</v>
      </c>
      <c r="AB36" s="56" t="str">
        <f t="shared" si="14"/>
        <v>nc</v>
      </c>
      <c r="AC36" s="56" t="str">
        <f t="shared" si="9"/>
        <v/>
      </c>
      <c r="AD36" s="54">
        <f t="shared" si="10"/>
        <v>0</v>
      </c>
    </row>
    <row r="37" spans="1:30">
      <c r="A37" s="54" t="s">
        <v>4332</v>
      </c>
      <c r="B37" s="54" t="s">
        <v>4333</v>
      </c>
      <c r="C37" s="54" t="str">
        <f>VLOOKUP(A37,RecNamesAll!A:C,3,FALSE)</f>
        <v>GPR85</v>
      </c>
      <c r="D37" s="60">
        <v>121</v>
      </c>
      <c r="E37" s="54" t="s">
        <v>4332</v>
      </c>
      <c r="F37" s="54" t="s">
        <v>4331</v>
      </c>
      <c r="G37" s="54" t="s">
        <v>3428</v>
      </c>
      <c r="H37" s="54" t="s">
        <v>3322</v>
      </c>
      <c r="I37" s="54" t="s">
        <v>3427</v>
      </c>
      <c r="Q37" s="57" t="str">
        <f t="shared" si="0"/>
        <v/>
      </c>
      <c r="R37" s="56" t="str">
        <f t="shared" si="1"/>
        <v/>
      </c>
      <c r="S37" s="56" t="str">
        <f t="shared" si="2"/>
        <v/>
      </c>
      <c r="T37" s="56" t="str">
        <f t="shared" si="3"/>
        <v/>
      </c>
      <c r="U37" s="57">
        <f t="shared" si="4"/>
        <v>0</v>
      </c>
      <c r="V37" s="57">
        <f t="shared" si="5"/>
        <v>0</v>
      </c>
      <c r="W37" s="57">
        <f t="shared" si="6"/>
        <v>0</v>
      </c>
      <c r="X37" s="57">
        <f t="shared" si="7"/>
        <v>0</v>
      </c>
      <c r="Y37" s="57" t="str">
        <f t="shared" si="11"/>
        <v>nc</v>
      </c>
      <c r="Z37" s="56" t="str">
        <f t="shared" si="12"/>
        <v>nc</v>
      </c>
      <c r="AA37" s="56" t="str">
        <f t="shared" si="13"/>
        <v>nc</v>
      </c>
      <c r="AB37" s="56" t="str">
        <f t="shared" si="14"/>
        <v>nc</v>
      </c>
      <c r="AC37" s="56" t="str">
        <f t="shared" si="9"/>
        <v/>
      </c>
      <c r="AD37" s="54">
        <f t="shared" si="10"/>
        <v>0</v>
      </c>
    </row>
    <row r="38" spans="1:30">
      <c r="A38" s="54" t="s">
        <v>4330</v>
      </c>
      <c r="B38" s="54" t="s">
        <v>1526</v>
      </c>
      <c r="C38" s="54" t="str">
        <f>VLOOKUP(A38,RecNamesAll!A:C,3,FALSE)</f>
        <v>GPR87</v>
      </c>
      <c r="D38" s="60">
        <v>122</v>
      </c>
      <c r="E38" s="54" t="s">
        <v>4330</v>
      </c>
      <c r="F38" s="54" t="s">
        <v>4329</v>
      </c>
      <c r="G38" s="54" t="s">
        <v>3428</v>
      </c>
      <c r="H38" s="54" t="s">
        <v>3322</v>
      </c>
      <c r="I38" s="54" t="s">
        <v>3427</v>
      </c>
      <c r="Q38" s="57" t="str">
        <f t="shared" si="0"/>
        <v/>
      </c>
      <c r="R38" s="56" t="str">
        <f t="shared" si="1"/>
        <v/>
      </c>
      <c r="S38" s="56" t="str">
        <f t="shared" si="2"/>
        <v/>
      </c>
      <c r="T38" s="56" t="str">
        <f t="shared" si="3"/>
        <v/>
      </c>
      <c r="U38" s="57">
        <f t="shared" si="4"/>
        <v>0</v>
      </c>
      <c r="V38" s="57">
        <f t="shared" si="5"/>
        <v>0</v>
      </c>
      <c r="W38" s="57">
        <f t="shared" si="6"/>
        <v>0</v>
      </c>
      <c r="X38" s="57">
        <f t="shared" si="7"/>
        <v>0</v>
      </c>
      <c r="Y38" s="57" t="str">
        <f t="shared" si="11"/>
        <v>nc</v>
      </c>
      <c r="Z38" s="56" t="str">
        <f t="shared" si="12"/>
        <v>nc</v>
      </c>
      <c r="AA38" s="56" t="str">
        <f t="shared" si="13"/>
        <v>nc</v>
      </c>
      <c r="AB38" s="56" t="str">
        <f t="shared" si="14"/>
        <v>nc</v>
      </c>
      <c r="AC38" s="56" t="str">
        <f t="shared" si="9"/>
        <v/>
      </c>
      <c r="AD38" s="54">
        <f t="shared" si="10"/>
        <v>0</v>
      </c>
    </row>
    <row r="39" spans="1:30">
      <c r="A39" s="54" t="s">
        <v>4327</v>
      </c>
      <c r="B39" s="54" t="s">
        <v>4328</v>
      </c>
      <c r="C39" s="54" t="str">
        <f>VLOOKUP(A39,RecNamesAll!A:C,3,FALSE)</f>
        <v>GPR88</v>
      </c>
      <c r="D39" s="60">
        <v>123</v>
      </c>
      <c r="E39" s="54" t="s">
        <v>4327</v>
      </c>
      <c r="F39" s="54" t="s">
        <v>4326</v>
      </c>
      <c r="G39" s="54" t="s">
        <v>3428</v>
      </c>
      <c r="H39" s="54" t="s">
        <v>3322</v>
      </c>
      <c r="I39" s="54" t="s">
        <v>3427</v>
      </c>
      <c r="Q39" s="57" t="str">
        <f t="shared" si="0"/>
        <v/>
      </c>
      <c r="R39" s="56" t="str">
        <f t="shared" si="1"/>
        <v/>
      </c>
      <c r="S39" s="56" t="str">
        <f t="shared" si="2"/>
        <v/>
      </c>
      <c r="T39" s="56" t="str">
        <f t="shared" si="3"/>
        <v/>
      </c>
      <c r="U39" s="57">
        <f t="shared" si="4"/>
        <v>0</v>
      </c>
      <c r="V39" s="57">
        <f t="shared" si="5"/>
        <v>0</v>
      </c>
      <c r="W39" s="57">
        <f t="shared" si="6"/>
        <v>0</v>
      </c>
      <c r="X39" s="57">
        <f t="shared" si="7"/>
        <v>0</v>
      </c>
      <c r="Y39" s="57" t="str">
        <f t="shared" si="11"/>
        <v>nc</v>
      </c>
      <c r="Z39" s="56" t="str">
        <f t="shared" si="12"/>
        <v>nc</v>
      </c>
      <c r="AA39" s="56" t="str">
        <f t="shared" si="13"/>
        <v>nc</v>
      </c>
      <c r="AB39" s="56" t="str">
        <f t="shared" si="14"/>
        <v>nc</v>
      </c>
      <c r="AC39" s="56" t="str">
        <f t="shared" si="9"/>
        <v/>
      </c>
      <c r="AD39" s="54">
        <f t="shared" si="10"/>
        <v>0</v>
      </c>
    </row>
    <row r="40" spans="1:30">
      <c r="A40" s="54" t="s">
        <v>82</v>
      </c>
      <c r="B40" s="54" t="s">
        <v>1291</v>
      </c>
      <c r="C40" s="54" t="str">
        <f>VLOOKUP(A40,RecNamesAll!A:C,3,FALSE)</f>
        <v>GPR132</v>
      </c>
      <c r="D40" s="60">
        <v>128</v>
      </c>
      <c r="E40" s="54" t="s">
        <v>83</v>
      </c>
      <c r="F40" s="54" t="s">
        <v>4325</v>
      </c>
      <c r="G40" s="54" t="s">
        <v>3428</v>
      </c>
      <c r="H40" s="54" t="s">
        <v>3322</v>
      </c>
      <c r="I40" s="54" t="s">
        <v>3427</v>
      </c>
      <c r="L40" s="54" t="s">
        <v>3298</v>
      </c>
      <c r="N40" s="54" t="s">
        <v>4324</v>
      </c>
      <c r="P40" s="59">
        <v>8.3333333333333329E-2</v>
      </c>
      <c r="Q40" s="57" t="str">
        <f t="shared" si="0"/>
        <v/>
      </c>
      <c r="R40" s="56" t="str">
        <f t="shared" si="1"/>
        <v/>
      </c>
      <c r="S40" s="56" t="str">
        <f t="shared" si="2"/>
        <v/>
      </c>
      <c r="T40" s="56" t="str">
        <f t="shared" si="3"/>
        <v/>
      </c>
      <c r="U40" s="57">
        <f t="shared" si="4"/>
        <v>0</v>
      </c>
      <c r="V40" s="57">
        <f t="shared" si="5"/>
        <v>0</v>
      </c>
      <c r="W40" s="57">
        <f t="shared" si="6"/>
        <v>0</v>
      </c>
      <c r="X40" s="57">
        <f t="shared" si="7"/>
        <v>0</v>
      </c>
      <c r="Y40" s="57" t="str">
        <f t="shared" si="11"/>
        <v>nc</v>
      </c>
      <c r="Z40" s="56" t="str">
        <f t="shared" si="12"/>
        <v>nc</v>
      </c>
      <c r="AA40" s="56" t="str">
        <f t="shared" si="13"/>
        <v>nc</v>
      </c>
      <c r="AB40" s="56" t="str">
        <f t="shared" si="14"/>
        <v>nc</v>
      </c>
      <c r="AC40" s="56" t="str">
        <f t="shared" si="9"/>
        <v/>
      </c>
      <c r="AD40" s="54">
        <f t="shared" si="10"/>
        <v>0</v>
      </c>
    </row>
    <row r="41" spans="1:30">
      <c r="A41" s="54" t="s">
        <v>4323</v>
      </c>
      <c r="B41" s="54" t="s">
        <v>4322</v>
      </c>
      <c r="C41" s="54" t="str">
        <f>VLOOKUP(A41,RecNamesAll!A:C,3,FALSE)</f>
        <v>GPR135</v>
      </c>
      <c r="D41" s="60">
        <v>129</v>
      </c>
      <c r="E41" s="54" t="s">
        <v>4321</v>
      </c>
      <c r="G41" s="54" t="s">
        <v>3428</v>
      </c>
      <c r="H41" s="54" t="s">
        <v>3322</v>
      </c>
      <c r="I41" s="54" t="s">
        <v>3427</v>
      </c>
      <c r="Q41" s="57" t="str">
        <f t="shared" si="0"/>
        <v/>
      </c>
      <c r="R41" s="56" t="str">
        <f t="shared" si="1"/>
        <v/>
      </c>
      <c r="S41" s="56" t="str">
        <f t="shared" si="2"/>
        <v/>
      </c>
      <c r="T41" s="56" t="str">
        <f t="shared" si="3"/>
        <v/>
      </c>
      <c r="U41" s="57">
        <f t="shared" si="4"/>
        <v>0</v>
      </c>
      <c r="V41" s="57">
        <f t="shared" si="5"/>
        <v>0</v>
      </c>
      <c r="W41" s="57">
        <f t="shared" si="6"/>
        <v>0</v>
      </c>
      <c r="X41" s="57">
        <f t="shared" si="7"/>
        <v>0</v>
      </c>
      <c r="Y41" s="57" t="str">
        <f t="shared" si="11"/>
        <v>nc</v>
      </c>
      <c r="Z41" s="56" t="str">
        <f t="shared" si="12"/>
        <v>nc</v>
      </c>
      <c r="AA41" s="56" t="str">
        <f t="shared" si="13"/>
        <v>nc</v>
      </c>
      <c r="AB41" s="56" t="str">
        <f t="shared" si="14"/>
        <v>nc</v>
      </c>
      <c r="AC41" s="56" t="str">
        <f t="shared" si="9"/>
        <v/>
      </c>
      <c r="AD41" s="54">
        <f t="shared" si="10"/>
        <v>0</v>
      </c>
    </row>
    <row r="42" spans="1:30">
      <c r="A42" s="54" t="s">
        <v>4320</v>
      </c>
      <c r="B42" s="54" t="s">
        <v>4319</v>
      </c>
      <c r="C42" s="54" t="str">
        <f>VLOOKUP(A42,RecNamesAll!A:C,3,FALSE)</f>
        <v>GPR141</v>
      </c>
      <c r="D42" s="61"/>
      <c r="E42" s="54" t="s">
        <v>4318</v>
      </c>
      <c r="F42" s="54" t="s">
        <v>4317</v>
      </c>
      <c r="G42" s="54" t="s">
        <v>3428</v>
      </c>
      <c r="H42" s="54" t="s">
        <v>3322</v>
      </c>
      <c r="I42" s="54" t="s">
        <v>3427</v>
      </c>
      <c r="Q42" s="57" t="str">
        <f t="shared" si="0"/>
        <v/>
      </c>
      <c r="R42" s="56" t="str">
        <f t="shared" si="1"/>
        <v/>
      </c>
      <c r="S42" s="56" t="str">
        <f t="shared" si="2"/>
        <v/>
      </c>
      <c r="T42" s="56" t="str">
        <f t="shared" si="3"/>
        <v/>
      </c>
      <c r="U42" s="57">
        <f t="shared" si="4"/>
        <v>0</v>
      </c>
      <c r="V42" s="57">
        <f t="shared" si="5"/>
        <v>0</v>
      </c>
      <c r="W42" s="57">
        <f t="shared" si="6"/>
        <v>0</v>
      </c>
      <c r="X42" s="57">
        <f t="shared" si="7"/>
        <v>0</v>
      </c>
      <c r="Y42" s="57" t="str">
        <f t="shared" si="11"/>
        <v>nc</v>
      </c>
      <c r="Z42" s="56" t="str">
        <f t="shared" si="12"/>
        <v>nc</v>
      </c>
      <c r="AA42" s="56" t="str">
        <f t="shared" si="13"/>
        <v>nc</v>
      </c>
      <c r="AB42" s="56" t="str">
        <f t="shared" si="14"/>
        <v>nc</v>
      </c>
      <c r="AC42" s="56" t="str">
        <f t="shared" si="9"/>
        <v/>
      </c>
      <c r="AD42" s="54">
        <f t="shared" si="10"/>
        <v>0</v>
      </c>
    </row>
    <row r="43" spans="1:30">
      <c r="A43" s="54" t="s">
        <v>4316</v>
      </c>
      <c r="B43" s="54" t="s">
        <v>4315</v>
      </c>
      <c r="C43" s="54" t="str">
        <f>VLOOKUP(A43,RecNamesAll!A:C,3,FALSE)</f>
        <v>GPR142</v>
      </c>
      <c r="D43" s="60">
        <v>132</v>
      </c>
      <c r="E43" s="54" t="s">
        <v>4314</v>
      </c>
      <c r="F43" s="54" t="s">
        <v>4313</v>
      </c>
      <c r="G43" s="54" t="s">
        <v>3428</v>
      </c>
      <c r="H43" s="54" t="s">
        <v>3322</v>
      </c>
      <c r="I43" s="54" t="s">
        <v>3427</v>
      </c>
      <c r="Q43" s="57" t="str">
        <f t="shared" si="0"/>
        <v/>
      </c>
      <c r="R43" s="56" t="str">
        <f t="shared" si="1"/>
        <v/>
      </c>
      <c r="S43" s="56" t="str">
        <f t="shared" si="2"/>
        <v/>
      </c>
      <c r="T43" s="56" t="str">
        <f t="shared" si="3"/>
        <v/>
      </c>
      <c r="U43" s="57">
        <f t="shared" si="4"/>
        <v>0</v>
      </c>
      <c r="V43" s="57">
        <f t="shared" si="5"/>
        <v>0</v>
      </c>
      <c r="W43" s="57">
        <f t="shared" si="6"/>
        <v>0</v>
      </c>
      <c r="X43" s="57">
        <f t="shared" si="7"/>
        <v>0</v>
      </c>
      <c r="Y43" s="57" t="str">
        <f t="shared" si="11"/>
        <v>nc</v>
      </c>
      <c r="Z43" s="56" t="str">
        <f t="shared" si="12"/>
        <v>nc</v>
      </c>
      <c r="AA43" s="56" t="str">
        <f t="shared" si="13"/>
        <v>nc</v>
      </c>
      <c r="AB43" s="56" t="str">
        <f t="shared" si="14"/>
        <v>nc</v>
      </c>
      <c r="AC43" s="56" t="str">
        <f t="shared" si="9"/>
        <v/>
      </c>
      <c r="AD43" s="54">
        <f t="shared" si="10"/>
        <v>0</v>
      </c>
    </row>
    <row r="44" spans="1:30">
      <c r="A44" s="54" t="s">
        <v>4312</v>
      </c>
      <c r="B44" s="54" t="s">
        <v>4311</v>
      </c>
      <c r="C44" s="54" t="str">
        <f>VLOOKUP(A44,RecNamesAll!A:C,3,FALSE)</f>
        <v>GPR146</v>
      </c>
      <c r="D44" s="60">
        <v>133</v>
      </c>
      <c r="E44" s="54" t="s">
        <v>4310</v>
      </c>
      <c r="F44" s="54" t="s">
        <v>4309</v>
      </c>
      <c r="G44" s="54" t="s">
        <v>3428</v>
      </c>
      <c r="H44" s="54" t="s">
        <v>3322</v>
      </c>
      <c r="I44" s="54" t="s">
        <v>3427</v>
      </c>
      <c r="Q44" s="57" t="str">
        <f t="shared" si="0"/>
        <v/>
      </c>
      <c r="R44" s="56" t="str">
        <f t="shared" si="1"/>
        <v/>
      </c>
      <c r="S44" s="56" t="str">
        <f t="shared" si="2"/>
        <v/>
      </c>
      <c r="T44" s="56" t="str">
        <f t="shared" si="3"/>
        <v/>
      </c>
      <c r="U44" s="57">
        <f t="shared" si="4"/>
        <v>0</v>
      </c>
      <c r="V44" s="57">
        <f t="shared" si="5"/>
        <v>0</v>
      </c>
      <c r="W44" s="57">
        <f t="shared" si="6"/>
        <v>0</v>
      </c>
      <c r="X44" s="57">
        <f t="shared" si="7"/>
        <v>0</v>
      </c>
      <c r="Y44" s="57" t="str">
        <f t="shared" si="11"/>
        <v>nc</v>
      </c>
      <c r="Z44" s="56" t="str">
        <f t="shared" si="12"/>
        <v>nc</v>
      </c>
      <c r="AA44" s="56" t="str">
        <f t="shared" si="13"/>
        <v>nc</v>
      </c>
      <c r="AB44" s="56" t="str">
        <f t="shared" si="14"/>
        <v>nc</v>
      </c>
      <c r="AC44" s="56" t="str">
        <f t="shared" si="9"/>
        <v/>
      </c>
      <c r="AD44" s="54">
        <f t="shared" si="10"/>
        <v>0</v>
      </c>
    </row>
    <row r="45" spans="1:30">
      <c r="A45" s="54" t="s">
        <v>4308</v>
      </c>
      <c r="B45" s="54" t="s">
        <v>4307</v>
      </c>
      <c r="C45" s="54" t="str">
        <f>VLOOKUP(A45,RecNamesAll!A:C,3,FALSE)</f>
        <v>GPR148</v>
      </c>
      <c r="D45" s="60">
        <v>134</v>
      </c>
      <c r="E45" s="54" t="s">
        <v>4306</v>
      </c>
      <c r="F45" s="54" t="s">
        <v>4305</v>
      </c>
      <c r="G45" s="54" t="s">
        <v>3428</v>
      </c>
      <c r="H45" s="54" t="s">
        <v>3322</v>
      </c>
      <c r="I45" s="54" t="s">
        <v>3427</v>
      </c>
      <c r="Q45" s="57" t="str">
        <f t="shared" si="0"/>
        <v/>
      </c>
      <c r="R45" s="56" t="str">
        <f t="shared" si="1"/>
        <v/>
      </c>
      <c r="S45" s="56" t="str">
        <f t="shared" si="2"/>
        <v/>
      </c>
      <c r="T45" s="56" t="str">
        <f t="shared" si="3"/>
        <v/>
      </c>
      <c r="U45" s="57">
        <f t="shared" si="4"/>
        <v>0</v>
      </c>
      <c r="V45" s="57">
        <f t="shared" si="5"/>
        <v>0</v>
      </c>
      <c r="W45" s="57">
        <f t="shared" si="6"/>
        <v>0</v>
      </c>
      <c r="X45" s="57">
        <f t="shared" si="7"/>
        <v>0</v>
      </c>
      <c r="Y45" s="57" t="str">
        <f t="shared" si="11"/>
        <v>nc</v>
      </c>
      <c r="Z45" s="56" t="str">
        <f t="shared" si="12"/>
        <v>nc</v>
      </c>
      <c r="AA45" s="56" t="str">
        <f t="shared" si="13"/>
        <v>nc</v>
      </c>
      <c r="AB45" s="56" t="str">
        <f t="shared" si="14"/>
        <v>nc</v>
      </c>
      <c r="AC45" s="56" t="str">
        <f t="shared" si="9"/>
        <v/>
      </c>
      <c r="AD45" s="54">
        <f t="shared" si="10"/>
        <v>0</v>
      </c>
    </row>
    <row r="46" spans="1:30">
      <c r="A46" s="54" t="s">
        <v>4304</v>
      </c>
      <c r="B46" s="54" t="s">
        <v>4303</v>
      </c>
      <c r="C46" s="54" t="str">
        <f>VLOOKUP(A46,RecNamesAll!A:C,3,FALSE)</f>
        <v>GPR149</v>
      </c>
      <c r="D46" s="61"/>
      <c r="E46" s="54" t="s">
        <v>4302</v>
      </c>
      <c r="F46" s="54" t="s">
        <v>4301</v>
      </c>
      <c r="G46" s="54" t="s">
        <v>3428</v>
      </c>
      <c r="H46" s="54" t="s">
        <v>3322</v>
      </c>
      <c r="I46" s="54" t="s">
        <v>3427</v>
      </c>
      <c r="Q46" s="57" t="str">
        <f t="shared" si="0"/>
        <v/>
      </c>
      <c r="R46" s="56" t="str">
        <f t="shared" si="1"/>
        <v/>
      </c>
      <c r="S46" s="56" t="str">
        <f t="shared" si="2"/>
        <v/>
      </c>
      <c r="T46" s="56" t="str">
        <f t="shared" si="3"/>
        <v/>
      </c>
      <c r="U46" s="57">
        <f t="shared" si="4"/>
        <v>0</v>
      </c>
      <c r="V46" s="57">
        <f t="shared" si="5"/>
        <v>0</v>
      </c>
      <c r="W46" s="57">
        <f t="shared" si="6"/>
        <v>0</v>
      </c>
      <c r="X46" s="57">
        <f t="shared" si="7"/>
        <v>0</v>
      </c>
      <c r="Y46" s="57" t="str">
        <f t="shared" si="11"/>
        <v>nc</v>
      </c>
      <c r="Z46" s="56" t="str">
        <f t="shared" si="12"/>
        <v>nc</v>
      </c>
      <c r="AA46" s="56" t="str">
        <f t="shared" si="13"/>
        <v>nc</v>
      </c>
      <c r="AB46" s="56" t="str">
        <f t="shared" si="14"/>
        <v>nc</v>
      </c>
      <c r="AC46" s="56" t="str">
        <f t="shared" si="9"/>
        <v/>
      </c>
      <c r="AD46" s="54">
        <f t="shared" si="10"/>
        <v>0</v>
      </c>
    </row>
    <row r="47" spans="1:30">
      <c r="A47" s="54" t="s">
        <v>4300</v>
      </c>
      <c r="B47" s="54" t="s">
        <v>4299</v>
      </c>
      <c r="C47" s="54" t="str">
        <f>VLOOKUP(A47,RecNamesAll!A:C,3,FALSE)</f>
        <v>GPR150</v>
      </c>
      <c r="D47" s="61"/>
      <c r="E47" s="54" t="s">
        <v>4298</v>
      </c>
      <c r="G47" s="54" t="s">
        <v>3428</v>
      </c>
      <c r="H47" s="54" t="s">
        <v>3322</v>
      </c>
      <c r="I47" s="54" t="s">
        <v>3427</v>
      </c>
      <c r="Q47" s="57" t="str">
        <f t="shared" si="0"/>
        <v/>
      </c>
      <c r="R47" s="56" t="str">
        <f t="shared" si="1"/>
        <v/>
      </c>
      <c r="S47" s="56" t="str">
        <f t="shared" si="2"/>
        <v/>
      </c>
      <c r="T47" s="56" t="str">
        <f t="shared" si="3"/>
        <v/>
      </c>
      <c r="U47" s="57">
        <f t="shared" si="4"/>
        <v>0</v>
      </c>
      <c r="V47" s="57">
        <f t="shared" si="5"/>
        <v>0</v>
      </c>
      <c r="W47" s="57">
        <f t="shared" si="6"/>
        <v>0</v>
      </c>
      <c r="X47" s="57">
        <f t="shared" si="7"/>
        <v>0</v>
      </c>
      <c r="Y47" s="57" t="str">
        <f t="shared" si="11"/>
        <v>nc</v>
      </c>
      <c r="Z47" s="56" t="str">
        <f t="shared" si="12"/>
        <v>nc</v>
      </c>
      <c r="AA47" s="56" t="str">
        <f t="shared" si="13"/>
        <v>nc</v>
      </c>
      <c r="AB47" s="56" t="str">
        <f t="shared" si="14"/>
        <v>nc</v>
      </c>
      <c r="AC47" s="56" t="str">
        <f t="shared" si="9"/>
        <v/>
      </c>
      <c r="AD47" s="54">
        <f t="shared" si="10"/>
        <v>0</v>
      </c>
    </row>
    <row r="48" spans="1:30">
      <c r="A48" s="54" t="s">
        <v>4297</v>
      </c>
      <c r="B48" s="54" t="s">
        <v>4296</v>
      </c>
      <c r="C48" s="54" t="str">
        <f>VLOOKUP(A48,RecNamesAll!A:C,3,FALSE)</f>
        <v>GPR151</v>
      </c>
      <c r="D48" s="60">
        <v>137</v>
      </c>
      <c r="E48" s="54" t="s">
        <v>4295</v>
      </c>
      <c r="F48" s="54" t="s">
        <v>4294</v>
      </c>
      <c r="G48" s="54" t="s">
        <v>3428</v>
      </c>
      <c r="H48" s="54" t="s">
        <v>3322</v>
      </c>
      <c r="I48" s="54" t="s">
        <v>3427</v>
      </c>
      <c r="Q48" s="57" t="str">
        <f t="shared" si="0"/>
        <v/>
      </c>
      <c r="R48" s="56" t="str">
        <f t="shared" si="1"/>
        <v/>
      </c>
      <c r="S48" s="56" t="str">
        <f t="shared" si="2"/>
        <v/>
      </c>
      <c r="T48" s="56" t="str">
        <f t="shared" si="3"/>
        <v/>
      </c>
      <c r="U48" s="57">
        <f t="shared" si="4"/>
        <v>0</v>
      </c>
      <c r="V48" s="57">
        <f t="shared" si="5"/>
        <v>0</v>
      </c>
      <c r="W48" s="57">
        <f t="shared" si="6"/>
        <v>0</v>
      </c>
      <c r="X48" s="57">
        <f t="shared" si="7"/>
        <v>0</v>
      </c>
      <c r="Y48" s="57" t="str">
        <f t="shared" si="11"/>
        <v>nc</v>
      </c>
      <c r="Z48" s="56" t="str">
        <f t="shared" si="12"/>
        <v>nc</v>
      </c>
      <c r="AA48" s="56" t="str">
        <f t="shared" si="13"/>
        <v>nc</v>
      </c>
      <c r="AB48" s="56" t="str">
        <f t="shared" si="14"/>
        <v>nc</v>
      </c>
      <c r="AC48" s="56" t="str">
        <f t="shared" si="9"/>
        <v/>
      </c>
      <c r="AD48" s="54">
        <f t="shared" si="10"/>
        <v>0</v>
      </c>
    </row>
    <row r="49" spans="1:30">
      <c r="A49" s="54" t="s">
        <v>4293</v>
      </c>
      <c r="B49" s="54" t="s">
        <v>4292</v>
      </c>
      <c r="C49" s="54" t="str">
        <f>VLOOKUP(A49,RecNamesAll!A:C,3,FALSE)</f>
        <v>GPR152</v>
      </c>
      <c r="D49" s="60">
        <v>138</v>
      </c>
      <c r="E49" s="54" t="s">
        <v>4291</v>
      </c>
      <c r="F49" s="54" t="s">
        <v>4290</v>
      </c>
      <c r="G49" s="54" t="s">
        <v>3428</v>
      </c>
      <c r="H49" s="54" t="s">
        <v>3322</v>
      </c>
      <c r="I49" s="54" t="s">
        <v>3427</v>
      </c>
      <c r="Q49" s="57" t="str">
        <f t="shared" si="0"/>
        <v/>
      </c>
      <c r="R49" s="56" t="str">
        <f t="shared" si="1"/>
        <v/>
      </c>
      <c r="S49" s="56" t="str">
        <f t="shared" si="2"/>
        <v/>
      </c>
      <c r="T49" s="56" t="str">
        <f t="shared" si="3"/>
        <v/>
      </c>
      <c r="U49" s="57">
        <f t="shared" si="4"/>
        <v>0</v>
      </c>
      <c r="V49" s="57">
        <f t="shared" si="5"/>
        <v>0</v>
      </c>
      <c r="W49" s="57">
        <f t="shared" si="6"/>
        <v>0</v>
      </c>
      <c r="X49" s="57">
        <f t="shared" si="7"/>
        <v>0</v>
      </c>
      <c r="Y49" s="57" t="str">
        <f t="shared" si="11"/>
        <v>nc</v>
      </c>
      <c r="Z49" s="56" t="str">
        <f t="shared" si="12"/>
        <v>nc</v>
      </c>
      <c r="AA49" s="56" t="str">
        <f t="shared" si="13"/>
        <v>nc</v>
      </c>
      <c r="AB49" s="56" t="str">
        <f t="shared" si="14"/>
        <v>nc</v>
      </c>
      <c r="AC49" s="56" t="str">
        <f t="shared" si="9"/>
        <v/>
      </c>
      <c r="AD49" s="54">
        <f t="shared" si="10"/>
        <v>0</v>
      </c>
    </row>
    <row r="50" spans="1:30">
      <c r="A50" s="54" t="s">
        <v>4289</v>
      </c>
      <c r="B50" s="54" t="s">
        <v>4288</v>
      </c>
      <c r="C50" s="54" t="str">
        <f>VLOOKUP(A50,RecNamesAll!A:C,3,FALSE)</f>
        <v>GPR153</v>
      </c>
      <c r="D50" s="60">
        <v>139</v>
      </c>
      <c r="E50" s="54" t="s">
        <v>4287</v>
      </c>
      <c r="F50" s="54" t="s">
        <v>4286</v>
      </c>
      <c r="G50" s="54" t="s">
        <v>3428</v>
      </c>
      <c r="H50" s="54" t="s">
        <v>3322</v>
      </c>
      <c r="I50" s="54" t="s">
        <v>3427</v>
      </c>
      <c r="Q50" s="57" t="str">
        <f t="shared" si="0"/>
        <v/>
      </c>
      <c r="R50" s="56" t="str">
        <f t="shared" si="1"/>
        <v/>
      </c>
      <c r="S50" s="56" t="str">
        <f t="shared" si="2"/>
        <v/>
      </c>
      <c r="T50" s="56" t="str">
        <f t="shared" si="3"/>
        <v/>
      </c>
      <c r="U50" s="57">
        <f t="shared" si="4"/>
        <v>0</v>
      </c>
      <c r="V50" s="57">
        <f t="shared" si="5"/>
        <v>0</v>
      </c>
      <c r="W50" s="57">
        <f t="shared" si="6"/>
        <v>0</v>
      </c>
      <c r="X50" s="57">
        <f t="shared" si="7"/>
        <v>0</v>
      </c>
      <c r="Y50" s="57" t="str">
        <f t="shared" si="11"/>
        <v>nc</v>
      </c>
      <c r="Z50" s="56" t="str">
        <f t="shared" si="12"/>
        <v>nc</v>
      </c>
      <c r="AA50" s="56" t="str">
        <f t="shared" si="13"/>
        <v>nc</v>
      </c>
      <c r="AB50" s="56" t="str">
        <f t="shared" si="14"/>
        <v>nc</v>
      </c>
      <c r="AC50" s="56" t="str">
        <f t="shared" si="9"/>
        <v/>
      </c>
      <c r="AD50" s="54">
        <f t="shared" si="10"/>
        <v>0</v>
      </c>
    </row>
    <row r="51" spans="1:30">
      <c r="A51" s="54" t="s">
        <v>4285</v>
      </c>
      <c r="B51" s="54" t="s">
        <v>4284</v>
      </c>
      <c r="C51" s="54" t="str">
        <f>VLOOKUP(A51,RecNamesAll!A:C,3,FALSE)</f>
        <v>GPR160</v>
      </c>
      <c r="D51" s="60">
        <v>140</v>
      </c>
      <c r="E51" s="54" t="s">
        <v>4283</v>
      </c>
      <c r="F51" s="54" t="s">
        <v>4282</v>
      </c>
      <c r="G51" s="54" t="s">
        <v>3428</v>
      </c>
      <c r="H51" s="54" t="s">
        <v>3322</v>
      </c>
      <c r="I51" s="54" t="s">
        <v>3427</v>
      </c>
      <c r="Q51" s="57" t="str">
        <f t="shared" si="0"/>
        <v/>
      </c>
      <c r="R51" s="56" t="str">
        <f t="shared" si="1"/>
        <v/>
      </c>
      <c r="S51" s="56" t="str">
        <f t="shared" si="2"/>
        <v/>
      </c>
      <c r="T51" s="56" t="str">
        <f t="shared" si="3"/>
        <v/>
      </c>
      <c r="U51" s="57">
        <f t="shared" si="4"/>
        <v>0</v>
      </c>
      <c r="V51" s="57">
        <f t="shared" si="5"/>
        <v>0</v>
      </c>
      <c r="W51" s="57">
        <f t="shared" si="6"/>
        <v>0</v>
      </c>
      <c r="X51" s="57">
        <f t="shared" si="7"/>
        <v>0</v>
      </c>
      <c r="Y51" s="57" t="str">
        <f t="shared" si="11"/>
        <v>nc</v>
      </c>
      <c r="Z51" s="56" t="str">
        <f t="shared" si="12"/>
        <v>nc</v>
      </c>
      <c r="AA51" s="56" t="str">
        <f t="shared" si="13"/>
        <v>nc</v>
      </c>
      <c r="AB51" s="56" t="str">
        <f t="shared" si="14"/>
        <v>nc</v>
      </c>
      <c r="AC51" s="56" t="str">
        <f t="shared" si="9"/>
        <v/>
      </c>
      <c r="AD51" s="54">
        <f t="shared" si="10"/>
        <v>0</v>
      </c>
    </row>
    <row r="52" spans="1:30">
      <c r="A52" s="54" t="s">
        <v>4281</v>
      </c>
      <c r="B52" s="54" t="s">
        <v>4280</v>
      </c>
      <c r="C52" s="54" t="str">
        <f>VLOOKUP(A52,RecNamesAll!A:C,3,FALSE)</f>
        <v>GPR161</v>
      </c>
      <c r="D52" s="60">
        <v>141</v>
      </c>
      <c r="E52" s="54" t="s">
        <v>4279</v>
      </c>
      <c r="G52" s="54" t="s">
        <v>3428</v>
      </c>
      <c r="H52" s="54" t="s">
        <v>3322</v>
      </c>
      <c r="I52" s="54" t="s">
        <v>3427</v>
      </c>
      <c r="Q52" s="57" t="str">
        <f t="shared" si="0"/>
        <v/>
      </c>
      <c r="R52" s="56" t="str">
        <f t="shared" si="1"/>
        <v/>
      </c>
      <c r="S52" s="56" t="str">
        <f t="shared" si="2"/>
        <v/>
      </c>
      <c r="T52" s="56" t="str">
        <f t="shared" si="3"/>
        <v/>
      </c>
      <c r="U52" s="57">
        <f t="shared" si="4"/>
        <v>0</v>
      </c>
      <c r="V52" s="57">
        <f t="shared" si="5"/>
        <v>0</v>
      </c>
      <c r="W52" s="57">
        <f t="shared" si="6"/>
        <v>0</v>
      </c>
      <c r="X52" s="57">
        <f t="shared" si="7"/>
        <v>0</v>
      </c>
      <c r="Y52" s="57" t="str">
        <f t="shared" si="11"/>
        <v>nc</v>
      </c>
      <c r="Z52" s="56" t="str">
        <f t="shared" si="12"/>
        <v>nc</v>
      </c>
      <c r="AA52" s="56" t="str">
        <f t="shared" si="13"/>
        <v>nc</v>
      </c>
      <c r="AB52" s="56" t="str">
        <f t="shared" si="14"/>
        <v>nc</v>
      </c>
      <c r="AC52" s="56" t="str">
        <f t="shared" si="9"/>
        <v/>
      </c>
      <c r="AD52" s="54">
        <f t="shared" si="10"/>
        <v>0</v>
      </c>
    </row>
    <row r="53" spans="1:30">
      <c r="A53" s="54" t="s">
        <v>4278</v>
      </c>
      <c r="B53" s="54" t="s">
        <v>4277</v>
      </c>
      <c r="C53" s="54" t="str">
        <f>VLOOKUP(A53,RecNamesAll!A:C,3,FALSE)</f>
        <v>GPR162</v>
      </c>
      <c r="D53" s="60">
        <v>142</v>
      </c>
      <c r="E53" s="54" t="s">
        <v>4276</v>
      </c>
      <c r="F53" s="54" t="s">
        <v>4275</v>
      </c>
      <c r="G53" s="54" t="s">
        <v>3428</v>
      </c>
      <c r="H53" s="54" t="s">
        <v>3322</v>
      </c>
      <c r="I53" s="54" t="s">
        <v>3427</v>
      </c>
      <c r="Q53" s="57" t="str">
        <f t="shared" si="0"/>
        <v/>
      </c>
      <c r="R53" s="56" t="str">
        <f t="shared" si="1"/>
        <v/>
      </c>
      <c r="S53" s="56" t="str">
        <f t="shared" si="2"/>
        <v/>
      </c>
      <c r="T53" s="56" t="str">
        <f t="shared" si="3"/>
        <v/>
      </c>
      <c r="U53" s="57">
        <f t="shared" si="4"/>
        <v>0</v>
      </c>
      <c r="V53" s="57">
        <f t="shared" si="5"/>
        <v>0</v>
      </c>
      <c r="W53" s="57">
        <f t="shared" si="6"/>
        <v>0</v>
      </c>
      <c r="X53" s="57">
        <f t="shared" si="7"/>
        <v>0</v>
      </c>
      <c r="Y53" s="57" t="str">
        <f t="shared" si="11"/>
        <v>nc</v>
      </c>
      <c r="Z53" s="56" t="str">
        <f t="shared" si="12"/>
        <v>nc</v>
      </c>
      <c r="AA53" s="56" t="str">
        <f t="shared" si="13"/>
        <v>nc</v>
      </c>
      <c r="AB53" s="56" t="str">
        <f t="shared" si="14"/>
        <v>nc</v>
      </c>
      <c r="AC53" s="56" t="str">
        <f t="shared" si="9"/>
        <v/>
      </c>
      <c r="AD53" s="54">
        <f t="shared" si="10"/>
        <v>0</v>
      </c>
    </row>
    <row r="54" spans="1:30">
      <c r="A54" s="54" t="s">
        <v>4274</v>
      </c>
      <c r="B54" s="54" t="s">
        <v>4273</v>
      </c>
      <c r="C54" s="54" t="str">
        <f>VLOOKUP(A54,RecNamesAll!A:C,3,FALSE)</f>
        <v>GPR171</v>
      </c>
      <c r="D54" s="60">
        <v>143</v>
      </c>
      <c r="E54" s="54" t="s">
        <v>4272</v>
      </c>
      <c r="F54" s="54" t="s">
        <v>4271</v>
      </c>
      <c r="G54" s="54" t="s">
        <v>3428</v>
      </c>
      <c r="H54" s="54" t="s">
        <v>3322</v>
      </c>
      <c r="I54" s="54" t="s">
        <v>3427</v>
      </c>
      <c r="Q54" s="57" t="str">
        <f t="shared" si="0"/>
        <v/>
      </c>
      <c r="R54" s="56" t="str">
        <f t="shared" si="1"/>
        <v/>
      </c>
      <c r="S54" s="56" t="str">
        <f t="shared" si="2"/>
        <v/>
      </c>
      <c r="T54" s="56" t="str">
        <f t="shared" si="3"/>
        <v/>
      </c>
      <c r="U54" s="57">
        <f t="shared" si="4"/>
        <v>0</v>
      </c>
      <c r="V54" s="57">
        <f t="shared" si="5"/>
        <v>0</v>
      </c>
      <c r="W54" s="57">
        <f t="shared" si="6"/>
        <v>0</v>
      </c>
      <c r="X54" s="57">
        <f t="shared" si="7"/>
        <v>0</v>
      </c>
      <c r="Y54" s="57" t="str">
        <f t="shared" si="11"/>
        <v>nc</v>
      </c>
      <c r="Z54" s="56" t="str">
        <f t="shared" si="12"/>
        <v>nc</v>
      </c>
      <c r="AA54" s="56" t="str">
        <f t="shared" si="13"/>
        <v>nc</v>
      </c>
      <c r="AB54" s="56" t="str">
        <f t="shared" si="14"/>
        <v>nc</v>
      </c>
      <c r="AC54" s="56" t="str">
        <f t="shared" si="9"/>
        <v/>
      </c>
      <c r="AD54" s="54">
        <f t="shared" si="10"/>
        <v>0</v>
      </c>
    </row>
    <row r="55" spans="1:30">
      <c r="A55" s="54" t="s">
        <v>4270</v>
      </c>
      <c r="B55" s="54" t="s">
        <v>4269</v>
      </c>
      <c r="C55" s="54" t="str">
        <f>VLOOKUP(A55,RecNamesAll!A:C,3,FALSE)</f>
        <v>GPR173</v>
      </c>
      <c r="D55" s="60">
        <v>144</v>
      </c>
      <c r="E55" s="54" t="s">
        <v>4268</v>
      </c>
      <c r="F55" s="54" t="s">
        <v>4267</v>
      </c>
      <c r="G55" s="54" t="s">
        <v>3428</v>
      </c>
      <c r="H55" s="54" t="s">
        <v>3322</v>
      </c>
      <c r="I55" s="54" t="s">
        <v>3427</v>
      </c>
      <c r="Q55" s="57" t="str">
        <f t="shared" si="0"/>
        <v/>
      </c>
      <c r="R55" s="56" t="str">
        <f t="shared" si="1"/>
        <v/>
      </c>
      <c r="S55" s="56" t="str">
        <f t="shared" si="2"/>
        <v/>
      </c>
      <c r="T55" s="56" t="str">
        <f t="shared" si="3"/>
        <v/>
      </c>
      <c r="U55" s="57">
        <f t="shared" si="4"/>
        <v>0</v>
      </c>
      <c r="V55" s="57">
        <f t="shared" si="5"/>
        <v>0</v>
      </c>
      <c r="W55" s="57">
        <f t="shared" si="6"/>
        <v>0</v>
      </c>
      <c r="X55" s="57">
        <f t="shared" si="7"/>
        <v>0</v>
      </c>
      <c r="Y55" s="57" t="str">
        <f t="shared" si="11"/>
        <v>nc</v>
      </c>
      <c r="Z55" s="56" t="str">
        <f t="shared" si="12"/>
        <v>nc</v>
      </c>
      <c r="AA55" s="56" t="str">
        <f t="shared" si="13"/>
        <v>nc</v>
      </c>
      <c r="AB55" s="56" t="str">
        <f t="shared" si="14"/>
        <v>nc</v>
      </c>
      <c r="AC55" s="56" t="str">
        <f t="shared" si="9"/>
        <v/>
      </c>
      <c r="AD55" s="54">
        <f t="shared" si="10"/>
        <v>0</v>
      </c>
    </row>
    <row r="56" spans="1:30">
      <c r="A56" s="54" t="s">
        <v>84</v>
      </c>
      <c r="B56" s="54" t="s">
        <v>1313</v>
      </c>
      <c r="C56" s="54" t="str">
        <f>VLOOKUP(A56,RecNamesAll!A:C,3,FALSE)</f>
        <v>GPR174</v>
      </c>
      <c r="D56" s="60">
        <v>145</v>
      </c>
      <c r="E56" s="54" t="s">
        <v>85</v>
      </c>
      <c r="F56" s="54" t="s">
        <v>4266</v>
      </c>
      <c r="G56" s="54" t="s">
        <v>3428</v>
      </c>
      <c r="H56" s="54" t="s">
        <v>3322</v>
      </c>
      <c r="I56" s="54" t="s">
        <v>3427</v>
      </c>
      <c r="Q56" s="57" t="str">
        <f t="shared" si="0"/>
        <v/>
      </c>
      <c r="R56" s="56" t="str">
        <f t="shared" si="1"/>
        <v/>
      </c>
      <c r="S56" s="56" t="str">
        <f t="shared" si="2"/>
        <v/>
      </c>
      <c r="T56" s="56" t="str">
        <f t="shared" si="3"/>
        <v/>
      </c>
      <c r="U56" s="57">
        <f t="shared" si="4"/>
        <v>0</v>
      </c>
      <c r="V56" s="57">
        <f t="shared" si="5"/>
        <v>0</v>
      </c>
      <c r="W56" s="57">
        <f t="shared" si="6"/>
        <v>0</v>
      </c>
      <c r="X56" s="57">
        <f t="shared" si="7"/>
        <v>0</v>
      </c>
      <c r="Y56" s="57" t="str">
        <f t="shared" si="11"/>
        <v>nc</v>
      </c>
      <c r="Z56" s="56" t="str">
        <f t="shared" si="12"/>
        <v>nc</v>
      </c>
      <c r="AA56" s="56" t="str">
        <f t="shared" si="13"/>
        <v>nc</v>
      </c>
      <c r="AB56" s="56" t="str">
        <f t="shared" si="14"/>
        <v>nc</v>
      </c>
      <c r="AC56" s="56" t="str">
        <f t="shared" si="9"/>
        <v/>
      </c>
      <c r="AD56" s="54">
        <f t="shared" si="10"/>
        <v>0</v>
      </c>
    </row>
    <row r="57" spans="1:30">
      <c r="A57" s="54" t="s">
        <v>4265</v>
      </c>
      <c r="B57" s="54" t="s">
        <v>4264</v>
      </c>
      <c r="C57" s="54" t="str">
        <f>VLOOKUP(A57,RecNamesAll!A:C,3,FALSE)</f>
        <v>GPR176</v>
      </c>
      <c r="D57" s="60">
        <v>637</v>
      </c>
      <c r="E57" s="54" t="s">
        <v>4263</v>
      </c>
      <c r="G57" s="54" t="s">
        <v>3428</v>
      </c>
      <c r="H57" s="54" t="s">
        <v>3322</v>
      </c>
      <c r="I57" s="54" t="s">
        <v>3427</v>
      </c>
      <c r="Q57" s="57" t="str">
        <f t="shared" si="0"/>
        <v/>
      </c>
      <c r="R57" s="56" t="str">
        <f t="shared" si="1"/>
        <v/>
      </c>
      <c r="S57" s="56" t="str">
        <f t="shared" si="2"/>
        <v/>
      </c>
      <c r="T57" s="56" t="str">
        <f t="shared" si="3"/>
        <v/>
      </c>
      <c r="U57" s="57">
        <f t="shared" si="4"/>
        <v>0</v>
      </c>
      <c r="V57" s="57">
        <f t="shared" si="5"/>
        <v>0</v>
      </c>
      <c r="W57" s="57">
        <f t="shared" si="6"/>
        <v>0</v>
      </c>
      <c r="X57" s="57">
        <f t="shared" si="7"/>
        <v>0</v>
      </c>
      <c r="Y57" s="57" t="str">
        <f t="shared" si="11"/>
        <v>nc</v>
      </c>
      <c r="Z57" s="56" t="str">
        <f t="shared" si="12"/>
        <v>nc</v>
      </c>
      <c r="AA57" s="56" t="str">
        <f t="shared" si="13"/>
        <v>nc</v>
      </c>
      <c r="AB57" s="56" t="str">
        <f t="shared" si="14"/>
        <v>nc</v>
      </c>
      <c r="AC57" s="56" t="str">
        <f t="shared" si="9"/>
        <v/>
      </c>
      <c r="AD57" s="54">
        <f t="shared" si="10"/>
        <v>0</v>
      </c>
    </row>
    <row r="58" spans="1:30">
      <c r="A58" s="54" t="s">
        <v>4262</v>
      </c>
      <c r="B58" s="54" t="s">
        <v>4261</v>
      </c>
      <c r="C58" s="54" t="str">
        <f>VLOOKUP(A58,RecNamesAll!A:C,3,FALSE)</f>
        <v>GPR182</v>
      </c>
      <c r="D58" s="60">
        <v>146</v>
      </c>
      <c r="E58" s="54" t="s">
        <v>4260</v>
      </c>
      <c r="F58" s="54" t="s">
        <v>4259</v>
      </c>
      <c r="G58" s="54" t="s">
        <v>3428</v>
      </c>
      <c r="H58" s="54" t="s">
        <v>3322</v>
      </c>
      <c r="I58" s="54" t="s">
        <v>3427</v>
      </c>
      <c r="Q58" s="57" t="str">
        <f t="shared" si="0"/>
        <v/>
      </c>
      <c r="R58" s="56" t="str">
        <f t="shared" si="1"/>
        <v/>
      </c>
      <c r="S58" s="56" t="str">
        <f t="shared" si="2"/>
        <v/>
      </c>
      <c r="T58" s="56" t="str">
        <f t="shared" si="3"/>
        <v/>
      </c>
      <c r="U58" s="57">
        <f t="shared" si="4"/>
        <v>0</v>
      </c>
      <c r="V58" s="57">
        <f t="shared" si="5"/>
        <v>0</v>
      </c>
      <c r="W58" s="57">
        <f t="shared" si="6"/>
        <v>0</v>
      </c>
      <c r="X58" s="57">
        <f t="shared" si="7"/>
        <v>0</v>
      </c>
      <c r="Y58" s="57" t="str">
        <f t="shared" si="11"/>
        <v>nc</v>
      </c>
      <c r="Z58" s="56" t="str">
        <f t="shared" si="12"/>
        <v>nc</v>
      </c>
      <c r="AA58" s="56" t="str">
        <f t="shared" si="13"/>
        <v>nc</v>
      </c>
      <c r="AB58" s="56" t="str">
        <f t="shared" si="14"/>
        <v>nc</v>
      </c>
      <c r="AC58" s="56" t="str">
        <f t="shared" si="9"/>
        <v/>
      </c>
      <c r="AD58" s="54">
        <f t="shared" si="10"/>
        <v>0</v>
      </c>
    </row>
    <row r="59" spans="1:30">
      <c r="A59" s="54" t="s">
        <v>4258</v>
      </c>
      <c r="B59" s="54" t="s">
        <v>1620</v>
      </c>
      <c r="C59" s="54" t="str">
        <f>VLOOKUP(A59,RecNamesAll!A:C,3,FALSE)</f>
        <v>LGR4</v>
      </c>
      <c r="D59" s="60">
        <v>147</v>
      </c>
      <c r="E59" s="54" t="s">
        <v>4258</v>
      </c>
      <c r="F59" s="54" t="s">
        <v>4257</v>
      </c>
      <c r="G59" s="54" t="s">
        <v>3428</v>
      </c>
      <c r="H59" s="54" t="s">
        <v>3322</v>
      </c>
      <c r="I59" s="54" t="s">
        <v>3427</v>
      </c>
      <c r="L59" s="54" t="s">
        <v>3327</v>
      </c>
      <c r="N59" s="54" t="s">
        <v>4256</v>
      </c>
      <c r="P59" s="59">
        <v>8.3333333333333329E-2</v>
      </c>
      <c r="Q59" s="57" t="str">
        <f t="shared" si="0"/>
        <v/>
      </c>
      <c r="R59" s="56" t="str">
        <f t="shared" si="1"/>
        <v/>
      </c>
      <c r="S59" s="56" t="str">
        <f t="shared" si="2"/>
        <v/>
      </c>
      <c r="T59" s="56" t="str">
        <f t="shared" si="3"/>
        <v/>
      </c>
      <c r="U59" s="57">
        <f t="shared" si="4"/>
        <v>0</v>
      </c>
      <c r="V59" s="57">
        <f t="shared" si="5"/>
        <v>0</v>
      </c>
      <c r="W59" s="57">
        <f t="shared" si="6"/>
        <v>0</v>
      </c>
      <c r="X59" s="57">
        <f t="shared" si="7"/>
        <v>0</v>
      </c>
      <c r="Y59" s="57" t="str">
        <f t="shared" si="11"/>
        <v>nc</v>
      </c>
      <c r="Z59" s="56" t="str">
        <f t="shared" si="12"/>
        <v>nc</v>
      </c>
      <c r="AA59" s="56" t="str">
        <f t="shared" si="13"/>
        <v>nc</v>
      </c>
      <c r="AB59" s="56" t="str">
        <f t="shared" si="14"/>
        <v>nc</v>
      </c>
      <c r="AC59" s="56" t="str">
        <f t="shared" si="9"/>
        <v/>
      </c>
      <c r="AD59" s="54">
        <f t="shared" si="10"/>
        <v>0</v>
      </c>
    </row>
    <row r="60" spans="1:30">
      <c r="A60" s="54" t="s">
        <v>4255</v>
      </c>
      <c r="B60" s="54" t="s">
        <v>1634</v>
      </c>
      <c r="C60" s="54" t="str">
        <f>VLOOKUP(A60,RecNamesAll!A:C,3,FALSE)</f>
        <v>LGR5</v>
      </c>
      <c r="D60" s="60">
        <v>148</v>
      </c>
      <c r="E60" s="54" t="s">
        <v>4255</v>
      </c>
      <c r="F60" s="54" t="s">
        <v>4254</v>
      </c>
      <c r="G60" s="54" t="s">
        <v>3428</v>
      </c>
      <c r="H60" s="54" t="s">
        <v>3322</v>
      </c>
      <c r="I60" s="54" t="s">
        <v>3427</v>
      </c>
      <c r="Q60" s="57" t="str">
        <f t="shared" si="0"/>
        <v/>
      </c>
      <c r="R60" s="56" t="str">
        <f t="shared" si="1"/>
        <v/>
      </c>
      <c r="S60" s="56" t="str">
        <f t="shared" si="2"/>
        <v/>
      </c>
      <c r="T60" s="56" t="str">
        <f t="shared" si="3"/>
        <v/>
      </c>
      <c r="U60" s="57">
        <f t="shared" si="4"/>
        <v>0</v>
      </c>
      <c r="V60" s="57">
        <f t="shared" si="5"/>
        <v>0</v>
      </c>
      <c r="W60" s="57">
        <f t="shared" si="6"/>
        <v>0</v>
      </c>
      <c r="X60" s="57">
        <f t="shared" si="7"/>
        <v>0</v>
      </c>
      <c r="Y60" s="57" t="str">
        <f t="shared" si="11"/>
        <v>nc</v>
      </c>
      <c r="Z60" s="56" t="str">
        <f t="shared" si="12"/>
        <v>nc</v>
      </c>
      <c r="AA60" s="56" t="str">
        <f t="shared" si="13"/>
        <v>nc</v>
      </c>
      <c r="AB60" s="56" t="str">
        <f t="shared" si="14"/>
        <v>nc</v>
      </c>
      <c r="AC60" s="56" t="str">
        <f t="shared" si="9"/>
        <v/>
      </c>
      <c r="AD60" s="54">
        <f t="shared" si="10"/>
        <v>0</v>
      </c>
    </row>
    <row r="61" spans="1:30">
      <c r="A61" s="54" t="s">
        <v>4252</v>
      </c>
      <c r="B61" s="54" t="s">
        <v>4253</v>
      </c>
      <c r="C61" s="54" t="str">
        <f>VLOOKUP(A61,RecNamesAll!A:C,3,FALSE)</f>
        <v>TAAR8</v>
      </c>
      <c r="D61" s="60">
        <v>172</v>
      </c>
      <c r="E61" s="54" t="s">
        <v>4252</v>
      </c>
      <c r="F61" s="54" t="s">
        <v>4251</v>
      </c>
      <c r="G61" s="54" t="s">
        <v>3428</v>
      </c>
      <c r="H61" s="54" t="s">
        <v>3322</v>
      </c>
      <c r="I61" s="54" t="s">
        <v>3427</v>
      </c>
      <c r="Q61" s="57" t="str">
        <f t="shared" si="0"/>
        <v/>
      </c>
      <c r="R61" s="56" t="str">
        <f t="shared" si="1"/>
        <v/>
      </c>
      <c r="S61" s="56" t="str">
        <f t="shared" si="2"/>
        <v/>
      </c>
      <c r="T61" s="56" t="str">
        <f t="shared" si="3"/>
        <v/>
      </c>
      <c r="U61" s="57">
        <f t="shared" si="4"/>
        <v>0</v>
      </c>
      <c r="V61" s="57">
        <f t="shared" si="5"/>
        <v>0</v>
      </c>
      <c r="W61" s="57">
        <f t="shared" si="6"/>
        <v>0</v>
      </c>
      <c r="X61" s="57">
        <f t="shared" si="7"/>
        <v>0</v>
      </c>
      <c r="Y61" s="57" t="str">
        <f t="shared" si="11"/>
        <v>nc</v>
      </c>
      <c r="Z61" s="56" t="str">
        <f t="shared" si="12"/>
        <v>nc</v>
      </c>
      <c r="AA61" s="56" t="str">
        <f t="shared" si="13"/>
        <v>nc</v>
      </c>
      <c r="AB61" s="56" t="str">
        <f t="shared" si="14"/>
        <v>nc</v>
      </c>
      <c r="AC61" s="56" t="str">
        <f t="shared" si="9"/>
        <v/>
      </c>
      <c r="AD61" s="54">
        <f t="shared" si="10"/>
        <v>0</v>
      </c>
    </row>
    <row r="62" spans="1:30">
      <c r="A62" s="54" t="s">
        <v>4250</v>
      </c>
      <c r="B62" s="54" t="s">
        <v>1636</v>
      </c>
      <c r="C62" s="54" t="str">
        <f>VLOOKUP(A62,RecNamesAll!A:C,3,FALSE)</f>
        <v>LGR6</v>
      </c>
      <c r="D62" s="60">
        <v>149</v>
      </c>
      <c r="E62" s="54" t="s">
        <v>4250</v>
      </c>
      <c r="F62" s="54" t="s">
        <v>4249</v>
      </c>
      <c r="G62" s="54" t="s">
        <v>3428</v>
      </c>
      <c r="H62" s="54" t="s">
        <v>3322</v>
      </c>
      <c r="I62" s="54" t="s">
        <v>3427</v>
      </c>
      <c r="Q62" s="57" t="str">
        <f t="shared" si="0"/>
        <v/>
      </c>
      <c r="R62" s="56" t="str">
        <f t="shared" si="1"/>
        <v/>
      </c>
      <c r="S62" s="56" t="str">
        <f t="shared" si="2"/>
        <v/>
      </c>
      <c r="T62" s="56" t="str">
        <f t="shared" si="3"/>
        <v/>
      </c>
      <c r="U62" s="57">
        <f t="shared" si="4"/>
        <v>0</v>
      </c>
      <c r="V62" s="57">
        <f t="shared" si="5"/>
        <v>0</v>
      </c>
      <c r="W62" s="57">
        <f t="shared" si="6"/>
        <v>0</v>
      </c>
      <c r="X62" s="57">
        <f t="shared" si="7"/>
        <v>0</v>
      </c>
      <c r="Y62" s="57" t="str">
        <f t="shared" si="11"/>
        <v>nc</v>
      </c>
      <c r="Z62" s="56" t="str">
        <f t="shared" si="12"/>
        <v>nc</v>
      </c>
      <c r="AA62" s="56" t="str">
        <f t="shared" si="13"/>
        <v>nc</v>
      </c>
      <c r="AB62" s="56" t="str">
        <f t="shared" si="14"/>
        <v>nc</v>
      </c>
      <c r="AC62" s="56" t="str">
        <f t="shared" si="9"/>
        <v/>
      </c>
      <c r="AD62" s="54">
        <f t="shared" si="10"/>
        <v>0</v>
      </c>
    </row>
    <row r="63" spans="1:30">
      <c r="A63" s="54" t="s">
        <v>4247</v>
      </c>
      <c r="B63" s="54" t="s">
        <v>4248</v>
      </c>
      <c r="C63" s="54" t="str">
        <f>VLOOKUP(A63,RecNamesAll!A:C,3,FALSE)</f>
        <v>MAS1L</v>
      </c>
      <c r="D63" s="60">
        <v>151</v>
      </c>
      <c r="E63" s="54" t="s">
        <v>4247</v>
      </c>
      <c r="F63" s="54" t="s">
        <v>4246</v>
      </c>
      <c r="G63" s="54" t="s">
        <v>3428</v>
      </c>
      <c r="H63" s="54" t="s">
        <v>3322</v>
      </c>
      <c r="I63" s="54" t="s">
        <v>3427</v>
      </c>
      <c r="Q63" s="57" t="str">
        <f t="shared" si="0"/>
        <v/>
      </c>
      <c r="R63" s="56" t="str">
        <f t="shared" si="1"/>
        <v/>
      </c>
      <c r="S63" s="56" t="str">
        <f t="shared" si="2"/>
        <v/>
      </c>
      <c r="T63" s="56" t="str">
        <f t="shared" si="3"/>
        <v/>
      </c>
      <c r="U63" s="57">
        <f t="shared" si="4"/>
        <v>0</v>
      </c>
      <c r="V63" s="57">
        <f t="shared" si="5"/>
        <v>0</v>
      </c>
      <c r="W63" s="57">
        <f t="shared" si="6"/>
        <v>0</v>
      </c>
      <c r="X63" s="57">
        <f t="shared" si="7"/>
        <v>0</v>
      </c>
      <c r="Y63" s="57" t="str">
        <f t="shared" si="11"/>
        <v>nc</v>
      </c>
      <c r="Z63" s="56" t="str">
        <f t="shared" si="12"/>
        <v>nc</v>
      </c>
      <c r="AA63" s="56" t="str">
        <f t="shared" si="13"/>
        <v>nc</v>
      </c>
      <c r="AB63" s="56" t="str">
        <f t="shared" si="14"/>
        <v>nc</v>
      </c>
      <c r="AC63" s="56" t="str">
        <f t="shared" si="9"/>
        <v/>
      </c>
      <c r="AD63" s="54">
        <f t="shared" si="10"/>
        <v>0</v>
      </c>
    </row>
    <row r="64" spans="1:30">
      <c r="A64" s="54" t="s">
        <v>4245</v>
      </c>
      <c r="B64" s="54" t="s">
        <v>4244</v>
      </c>
      <c r="C64" s="54" t="str">
        <f>VLOOKUP(A64,RecNamesAll!A:C,3,FALSE)</f>
        <v>MRGPRE</v>
      </c>
      <c r="D64" s="60">
        <v>153</v>
      </c>
      <c r="E64" s="54" t="s">
        <v>4243</v>
      </c>
      <c r="F64" s="54" t="s">
        <v>4242</v>
      </c>
      <c r="G64" s="54" t="s">
        <v>3428</v>
      </c>
      <c r="H64" s="54" t="s">
        <v>3322</v>
      </c>
      <c r="I64" s="54" t="s">
        <v>3427</v>
      </c>
      <c r="Q64" s="57" t="str">
        <f t="shared" si="0"/>
        <v/>
      </c>
      <c r="R64" s="56" t="str">
        <f t="shared" si="1"/>
        <v/>
      </c>
      <c r="S64" s="56" t="str">
        <f t="shared" si="2"/>
        <v/>
      </c>
      <c r="T64" s="56" t="str">
        <f t="shared" si="3"/>
        <v/>
      </c>
      <c r="U64" s="57">
        <f t="shared" si="4"/>
        <v>0</v>
      </c>
      <c r="V64" s="57">
        <f t="shared" si="5"/>
        <v>0</v>
      </c>
      <c r="W64" s="57">
        <f t="shared" si="6"/>
        <v>0</v>
      </c>
      <c r="X64" s="57">
        <f t="shared" si="7"/>
        <v>0</v>
      </c>
      <c r="Y64" s="57" t="str">
        <f t="shared" si="11"/>
        <v>nc</v>
      </c>
      <c r="Z64" s="56" t="str">
        <f t="shared" si="12"/>
        <v>nc</v>
      </c>
      <c r="AA64" s="56" t="str">
        <f t="shared" si="13"/>
        <v>nc</v>
      </c>
      <c r="AB64" s="56" t="str">
        <f t="shared" si="14"/>
        <v>nc</v>
      </c>
      <c r="AC64" s="56" t="str">
        <f t="shared" si="9"/>
        <v/>
      </c>
      <c r="AD64" s="54">
        <f t="shared" si="10"/>
        <v>0</v>
      </c>
    </row>
    <row r="65" spans="1:30">
      <c r="A65" s="54" t="s">
        <v>4241</v>
      </c>
      <c r="B65" s="54" t="s">
        <v>4240</v>
      </c>
      <c r="C65" s="54" t="str">
        <f>VLOOKUP(A65,RecNamesAll!A:C,3,FALSE)</f>
        <v>MRGPRF</v>
      </c>
      <c r="D65" s="60">
        <v>154</v>
      </c>
      <c r="E65" s="54" t="s">
        <v>4239</v>
      </c>
      <c r="F65" s="54" t="s">
        <v>4238</v>
      </c>
      <c r="G65" s="54" t="s">
        <v>3428</v>
      </c>
      <c r="H65" s="54" t="s">
        <v>3322</v>
      </c>
      <c r="I65" s="54" t="s">
        <v>3427</v>
      </c>
      <c r="Q65" s="57" t="str">
        <f t="shared" si="0"/>
        <v/>
      </c>
      <c r="R65" s="56" t="str">
        <f t="shared" si="1"/>
        <v/>
      </c>
      <c r="S65" s="56" t="str">
        <f t="shared" si="2"/>
        <v/>
      </c>
      <c r="T65" s="56" t="str">
        <f t="shared" si="3"/>
        <v/>
      </c>
      <c r="U65" s="57">
        <f t="shared" si="4"/>
        <v>0</v>
      </c>
      <c r="V65" s="57">
        <f t="shared" si="5"/>
        <v>0</v>
      </c>
      <c r="W65" s="57">
        <f t="shared" si="6"/>
        <v>0</v>
      </c>
      <c r="X65" s="57">
        <f t="shared" si="7"/>
        <v>0</v>
      </c>
      <c r="Y65" s="57" t="str">
        <f t="shared" si="11"/>
        <v>nc</v>
      </c>
      <c r="Z65" s="56" t="str">
        <f t="shared" si="12"/>
        <v>nc</v>
      </c>
      <c r="AA65" s="56" t="str">
        <f t="shared" si="13"/>
        <v>nc</v>
      </c>
      <c r="AB65" s="56" t="str">
        <f t="shared" si="14"/>
        <v>nc</v>
      </c>
      <c r="AC65" s="56" t="str">
        <f t="shared" si="9"/>
        <v/>
      </c>
      <c r="AD65" s="54">
        <f t="shared" si="10"/>
        <v>0</v>
      </c>
    </row>
    <row r="66" spans="1:30">
      <c r="A66" s="54" t="s">
        <v>4237</v>
      </c>
      <c r="B66" s="54" t="s">
        <v>4236</v>
      </c>
      <c r="C66" s="54" t="str">
        <f>VLOOKUP(A66,RecNamesAll!A:C,3,FALSE)</f>
        <v>MRGPRG</v>
      </c>
      <c r="D66" s="60">
        <v>155</v>
      </c>
      <c r="E66" s="54" t="s">
        <v>4235</v>
      </c>
      <c r="F66" s="54" t="s">
        <v>4234</v>
      </c>
      <c r="G66" s="54" t="s">
        <v>3428</v>
      </c>
      <c r="H66" s="54" t="s">
        <v>3322</v>
      </c>
      <c r="I66" s="54" t="s">
        <v>3427</v>
      </c>
      <c r="Q66" s="57" t="str">
        <f t="shared" ref="Q66:Q129" si="15">IF(OR(ISNUMBER(SEARCH("Gs",$J66)),ISNUMBER(SEARCH("Gs",$K66))),"Gs","")</f>
        <v/>
      </c>
      <c r="R66" s="56" t="str">
        <f t="shared" ref="R66:R129" si="16">IF(OR(ISNUMBER(SEARCH("Gi/o",$J66)),ISNUMBER(SEARCH("Gi/o",$K66))),"Gi/o","")</f>
        <v/>
      </c>
      <c r="S66" s="56" t="str">
        <f t="shared" ref="S66:S129" si="17">IF(OR(ISNUMBER(SEARCH("Gq/11",$J66)),ISNUMBER(SEARCH("Gq/11",$K66))),"Gq/11","")</f>
        <v/>
      </c>
      <c r="T66" s="56" t="str">
        <f t="shared" ref="T66:T129" si="18">IF(OR(ISNUMBER(SEARCH("G12/13",$J66)),ISNUMBER(SEARCH("G12/13",$K66))),"G12/13","")</f>
        <v/>
      </c>
      <c r="U66" s="57">
        <f t="shared" ref="U66:U129" si="19">IF(ISNUMBER(SEARCH("Gs",$J66)),1,IF(ISNUMBER(SEARCH("Gs",$K66)),2,0))</f>
        <v>0</v>
      </c>
      <c r="V66" s="57">
        <f t="shared" ref="V66:V129" si="20">IF(ISNUMBER(SEARCH("Gi/o",$J66)),1,IF(ISNUMBER(SEARCH("Gi/o",$K66)),2,0))</f>
        <v>0</v>
      </c>
      <c r="W66" s="57">
        <f t="shared" ref="W66:W129" si="21">IF(ISNUMBER(SEARCH("Gq/11",$J66)),1,IF(ISNUMBER(SEARCH("Gq/11",$K66)),2,0))</f>
        <v>0</v>
      </c>
      <c r="X66" s="57">
        <f t="shared" ref="X66:X129" si="22">IF(ISNUMBER(SEARCH("G12/13",$J66)),1,IF(ISNUMBER(SEARCH("G12/13",$K66)),2,0))</f>
        <v>0</v>
      </c>
      <c r="Y66" s="57" t="str">
        <f t="shared" si="11"/>
        <v>nc</v>
      </c>
      <c r="Z66" s="56" t="str">
        <f t="shared" si="12"/>
        <v>nc</v>
      </c>
      <c r="AA66" s="56" t="str">
        <f t="shared" si="13"/>
        <v>nc</v>
      </c>
      <c r="AB66" s="56" t="str">
        <f t="shared" si="14"/>
        <v>nc</v>
      </c>
      <c r="AC66" s="56" t="str">
        <f t="shared" ref="AC66:AC129" si="23">IF(SUM(U66:X66)&gt;0,COUNTIF(U66:X66,"0"),"")</f>
        <v/>
      </c>
      <c r="AD66" s="54">
        <f t="shared" ref="AD66:AD129" si="24">IF(SUM(U66:X66)&gt;0,1,0)</f>
        <v>0</v>
      </c>
    </row>
    <row r="67" spans="1:30">
      <c r="A67" s="54" t="s">
        <v>4232</v>
      </c>
      <c r="B67" s="54" t="s">
        <v>4233</v>
      </c>
      <c r="C67" s="54" t="str">
        <f>VLOOKUP(A67,RecNamesAll!A:C,3,FALSE)</f>
        <v>P2RY8</v>
      </c>
      <c r="D67" s="60">
        <v>164</v>
      </c>
      <c r="E67" s="54" t="s">
        <v>4232</v>
      </c>
      <c r="G67" s="54" t="s">
        <v>3428</v>
      </c>
      <c r="H67" s="54" t="s">
        <v>3322</v>
      </c>
      <c r="I67" s="54" t="s">
        <v>3427</v>
      </c>
      <c r="Q67" s="57" t="str">
        <f t="shared" si="15"/>
        <v/>
      </c>
      <c r="R67" s="56" t="str">
        <f t="shared" si="16"/>
        <v/>
      </c>
      <c r="S67" s="56" t="str">
        <f t="shared" si="17"/>
        <v/>
      </c>
      <c r="T67" s="56" t="str">
        <f t="shared" si="18"/>
        <v/>
      </c>
      <c r="U67" s="57">
        <f t="shared" si="19"/>
        <v>0</v>
      </c>
      <c r="V67" s="57">
        <f t="shared" si="20"/>
        <v>0</v>
      </c>
      <c r="W67" s="57">
        <f t="shared" si="21"/>
        <v>0</v>
      </c>
      <c r="X67" s="57">
        <f t="shared" si="22"/>
        <v>0</v>
      </c>
      <c r="Y67" s="57" t="str">
        <f t="shared" ref="Y67:Y130" si="25">IF(U67&gt;0,"c","nc")</f>
        <v>nc</v>
      </c>
      <c r="Z67" s="56" t="str">
        <f t="shared" ref="Z67:Z130" si="26">IF(V67&gt;0,"c","nc")</f>
        <v>nc</v>
      </c>
      <c r="AA67" s="56" t="str">
        <f t="shared" ref="AA67:AA130" si="27">IF(W67&gt;0,"c","nc")</f>
        <v>nc</v>
      </c>
      <c r="AB67" s="56" t="str">
        <f t="shared" ref="AB67:AB130" si="28">IF(X67&gt;0,"c","nc")</f>
        <v>nc</v>
      </c>
      <c r="AC67" s="56" t="str">
        <f t="shared" si="23"/>
        <v/>
      </c>
      <c r="AD67" s="54">
        <f t="shared" si="24"/>
        <v>0</v>
      </c>
    </row>
    <row r="68" spans="1:30">
      <c r="A68" s="54" t="s">
        <v>100</v>
      </c>
      <c r="B68" s="54" t="s">
        <v>2001</v>
      </c>
      <c r="C68" s="54" t="str">
        <f>VLOOKUP(A68,RecNamesAll!A:C,3,FALSE)</f>
        <v>P2RY10</v>
      </c>
      <c r="D68" s="60">
        <v>165</v>
      </c>
      <c r="E68" s="54" t="s">
        <v>4231</v>
      </c>
      <c r="G68" s="54" t="s">
        <v>3428</v>
      </c>
      <c r="H68" s="54" t="s">
        <v>3322</v>
      </c>
      <c r="I68" s="54" t="s">
        <v>3427</v>
      </c>
      <c r="Q68" s="57" t="str">
        <f t="shared" si="15"/>
        <v/>
      </c>
      <c r="R68" s="56" t="str">
        <f t="shared" si="16"/>
        <v/>
      </c>
      <c r="S68" s="56" t="str">
        <f t="shared" si="17"/>
        <v/>
      </c>
      <c r="T68" s="56" t="str">
        <f t="shared" si="18"/>
        <v/>
      </c>
      <c r="U68" s="57">
        <f t="shared" si="19"/>
        <v>0</v>
      </c>
      <c r="V68" s="57">
        <f t="shared" si="20"/>
        <v>0</v>
      </c>
      <c r="W68" s="57">
        <f t="shared" si="21"/>
        <v>0</v>
      </c>
      <c r="X68" s="57">
        <f t="shared" si="22"/>
        <v>0</v>
      </c>
      <c r="Y68" s="57" t="str">
        <f t="shared" si="25"/>
        <v>nc</v>
      </c>
      <c r="Z68" s="56" t="str">
        <f t="shared" si="26"/>
        <v>nc</v>
      </c>
      <c r="AA68" s="56" t="str">
        <f t="shared" si="27"/>
        <v>nc</v>
      </c>
      <c r="AB68" s="56" t="str">
        <f t="shared" si="28"/>
        <v>nc</v>
      </c>
      <c r="AC68" s="56" t="str">
        <f t="shared" si="23"/>
        <v/>
      </c>
      <c r="AD68" s="54">
        <f t="shared" si="24"/>
        <v>0</v>
      </c>
    </row>
    <row r="69" spans="1:30">
      <c r="A69" s="54" t="s">
        <v>4229</v>
      </c>
      <c r="B69" s="54" t="s">
        <v>4230</v>
      </c>
      <c r="C69" s="54" t="str">
        <f>VLOOKUP(A69,RecNamesAll!A:C,3,FALSE)</f>
        <v>TAAR2</v>
      </c>
      <c r="D69" s="60">
        <v>167</v>
      </c>
      <c r="E69" s="54" t="s">
        <v>4229</v>
      </c>
      <c r="F69" s="54" t="s">
        <v>4228</v>
      </c>
      <c r="G69" s="54" t="s">
        <v>3428</v>
      </c>
      <c r="H69" s="54" t="s">
        <v>3322</v>
      </c>
      <c r="I69" s="54" t="s">
        <v>3427</v>
      </c>
      <c r="N69" s="54">
        <v>16878137</v>
      </c>
      <c r="P69" s="59">
        <v>4.1666666666666664E-2</v>
      </c>
      <c r="Q69" s="57" t="str">
        <f t="shared" si="15"/>
        <v/>
      </c>
      <c r="R69" s="56" t="str">
        <f t="shared" si="16"/>
        <v/>
      </c>
      <c r="S69" s="56" t="str">
        <f t="shared" si="17"/>
        <v/>
      </c>
      <c r="T69" s="56" t="str">
        <f t="shared" si="18"/>
        <v/>
      </c>
      <c r="U69" s="57">
        <f t="shared" si="19"/>
        <v>0</v>
      </c>
      <c r="V69" s="57">
        <f t="shared" si="20"/>
        <v>0</v>
      </c>
      <c r="W69" s="57">
        <f t="shared" si="21"/>
        <v>0</v>
      </c>
      <c r="X69" s="57">
        <f t="shared" si="22"/>
        <v>0</v>
      </c>
      <c r="Y69" s="57" t="str">
        <f t="shared" si="25"/>
        <v>nc</v>
      </c>
      <c r="Z69" s="56" t="str">
        <f t="shared" si="26"/>
        <v>nc</v>
      </c>
      <c r="AA69" s="56" t="str">
        <f t="shared" si="27"/>
        <v>nc</v>
      </c>
      <c r="AB69" s="56" t="str">
        <f t="shared" si="28"/>
        <v>nc</v>
      </c>
      <c r="AC69" s="56" t="str">
        <f t="shared" si="23"/>
        <v/>
      </c>
      <c r="AD69" s="54">
        <f t="shared" si="24"/>
        <v>0</v>
      </c>
    </row>
    <row r="70" spans="1:30">
      <c r="A70" s="54" t="s">
        <v>4227</v>
      </c>
      <c r="B70" s="54" t="s">
        <v>2238</v>
      </c>
      <c r="C70" s="54" t="str">
        <f>VLOOKUP(A70,RecNamesAll!A:C,3,FALSE)</f>
        <v>TAAR3</v>
      </c>
      <c r="D70" s="60">
        <v>168</v>
      </c>
      <c r="E70" s="54" t="s">
        <v>4226</v>
      </c>
      <c r="F70" s="54" t="s">
        <v>4225</v>
      </c>
      <c r="G70" s="54" t="s">
        <v>3428</v>
      </c>
      <c r="H70" s="54" t="s">
        <v>3322</v>
      </c>
      <c r="I70" s="54" t="s">
        <v>3427</v>
      </c>
      <c r="Q70" s="57" t="str">
        <f t="shared" si="15"/>
        <v/>
      </c>
      <c r="R70" s="56" t="str">
        <f t="shared" si="16"/>
        <v/>
      </c>
      <c r="S70" s="56" t="str">
        <f t="shared" si="17"/>
        <v/>
      </c>
      <c r="T70" s="56" t="str">
        <f t="shared" si="18"/>
        <v/>
      </c>
      <c r="U70" s="57">
        <f t="shared" si="19"/>
        <v>0</v>
      </c>
      <c r="V70" s="57">
        <f t="shared" si="20"/>
        <v>0</v>
      </c>
      <c r="W70" s="57">
        <f t="shared" si="21"/>
        <v>0</v>
      </c>
      <c r="X70" s="57">
        <f t="shared" si="22"/>
        <v>0</v>
      </c>
      <c r="Y70" s="57" t="str">
        <f t="shared" si="25"/>
        <v>nc</v>
      </c>
      <c r="Z70" s="56" t="str">
        <f t="shared" si="26"/>
        <v>nc</v>
      </c>
      <c r="AA70" s="56" t="str">
        <f t="shared" si="27"/>
        <v>nc</v>
      </c>
      <c r="AB70" s="56" t="str">
        <f t="shared" si="28"/>
        <v>nc</v>
      </c>
      <c r="AC70" s="56" t="str">
        <f t="shared" si="23"/>
        <v/>
      </c>
      <c r="AD70" s="54">
        <f t="shared" si="24"/>
        <v>0</v>
      </c>
    </row>
    <row r="71" spans="1:30">
      <c r="A71" s="54" t="s">
        <v>4223</v>
      </c>
      <c r="B71" s="54" t="s">
        <v>4224</v>
      </c>
      <c r="C71" s="54" t="str">
        <f>VLOOKUP(A71,RecNamesAll!A:C,3,FALSE)</f>
        <v>TAAR5</v>
      </c>
      <c r="D71" s="60">
        <v>170</v>
      </c>
      <c r="E71" s="54" t="s">
        <v>4223</v>
      </c>
      <c r="F71" s="54" t="s">
        <v>4222</v>
      </c>
      <c r="G71" s="54" t="s">
        <v>3428</v>
      </c>
      <c r="H71" s="54" t="s">
        <v>3322</v>
      </c>
      <c r="I71" s="54" t="s">
        <v>3427</v>
      </c>
      <c r="Q71" s="57" t="str">
        <f t="shared" si="15"/>
        <v/>
      </c>
      <c r="R71" s="56" t="str">
        <f t="shared" si="16"/>
        <v/>
      </c>
      <c r="S71" s="56" t="str">
        <f t="shared" si="17"/>
        <v/>
      </c>
      <c r="T71" s="56" t="str">
        <f t="shared" si="18"/>
        <v/>
      </c>
      <c r="U71" s="57">
        <f t="shared" si="19"/>
        <v>0</v>
      </c>
      <c r="V71" s="57">
        <f t="shared" si="20"/>
        <v>0</v>
      </c>
      <c r="W71" s="57">
        <f t="shared" si="21"/>
        <v>0</v>
      </c>
      <c r="X71" s="57">
        <f t="shared" si="22"/>
        <v>0</v>
      </c>
      <c r="Y71" s="57" t="str">
        <f t="shared" si="25"/>
        <v>nc</v>
      </c>
      <c r="Z71" s="56" t="str">
        <f t="shared" si="26"/>
        <v>nc</v>
      </c>
      <c r="AA71" s="56" t="str">
        <f t="shared" si="27"/>
        <v>nc</v>
      </c>
      <c r="AB71" s="56" t="str">
        <f t="shared" si="28"/>
        <v>nc</v>
      </c>
      <c r="AC71" s="56" t="str">
        <f t="shared" si="23"/>
        <v/>
      </c>
      <c r="AD71" s="54">
        <f t="shared" si="24"/>
        <v>0</v>
      </c>
    </row>
    <row r="72" spans="1:30">
      <c r="A72" s="54" t="s">
        <v>4220</v>
      </c>
      <c r="B72" s="54" t="s">
        <v>4221</v>
      </c>
      <c r="C72" s="54" t="str">
        <f>VLOOKUP(A72,RecNamesAll!A:C,3,FALSE)</f>
        <v>TAAR6</v>
      </c>
      <c r="D72" s="60">
        <v>171</v>
      </c>
      <c r="E72" s="54" t="s">
        <v>4220</v>
      </c>
      <c r="F72" s="54" t="s">
        <v>4219</v>
      </c>
      <c r="G72" s="54" t="s">
        <v>3428</v>
      </c>
      <c r="H72" s="54" t="s">
        <v>3322</v>
      </c>
      <c r="I72" s="54" t="s">
        <v>3427</v>
      </c>
      <c r="Q72" s="57" t="str">
        <f t="shared" si="15"/>
        <v/>
      </c>
      <c r="R72" s="56" t="str">
        <f t="shared" si="16"/>
        <v/>
      </c>
      <c r="S72" s="56" t="str">
        <f t="shared" si="17"/>
        <v/>
      </c>
      <c r="T72" s="56" t="str">
        <f t="shared" si="18"/>
        <v/>
      </c>
      <c r="U72" s="57">
        <f t="shared" si="19"/>
        <v>0</v>
      </c>
      <c r="V72" s="57">
        <f t="shared" si="20"/>
        <v>0</v>
      </c>
      <c r="W72" s="57">
        <f t="shared" si="21"/>
        <v>0</v>
      </c>
      <c r="X72" s="57">
        <f t="shared" si="22"/>
        <v>0</v>
      </c>
      <c r="Y72" s="57" t="str">
        <f t="shared" si="25"/>
        <v>nc</v>
      </c>
      <c r="Z72" s="56" t="str">
        <f t="shared" si="26"/>
        <v>nc</v>
      </c>
      <c r="AA72" s="56" t="str">
        <f t="shared" si="27"/>
        <v>nc</v>
      </c>
      <c r="AB72" s="56" t="str">
        <f t="shared" si="28"/>
        <v>nc</v>
      </c>
      <c r="AC72" s="56" t="str">
        <f t="shared" si="23"/>
        <v/>
      </c>
      <c r="AD72" s="54">
        <f t="shared" si="24"/>
        <v>0</v>
      </c>
    </row>
    <row r="73" spans="1:30">
      <c r="A73" s="54" t="s">
        <v>4217</v>
      </c>
      <c r="B73" s="54" t="s">
        <v>4218</v>
      </c>
      <c r="C73" s="54" t="str">
        <f>VLOOKUP(A73,RecNamesAll!A:C,3,FALSE)</f>
        <v>TAAR9</v>
      </c>
      <c r="D73" s="60">
        <v>173</v>
      </c>
      <c r="E73" s="54" t="s">
        <v>4217</v>
      </c>
      <c r="F73" s="54" t="s">
        <v>4216</v>
      </c>
      <c r="G73" s="54" t="s">
        <v>3428</v>
      </c>
      <c r="H73" s="54" t="s">
        <v>3322</v>
      </c>
      <c r="I73" s="54" t="s">
        <v>3427</v>
      </c>
      <c r="Q73" s="57" t="str">
        <f t="shared" si="15"/>
        <v/>
      </c>
      <c r="R73" s="56" t="str">
        <f t="shared" si="16"/>
        <v/>
      </c>
      <c r="S73" s="56" t="str">
        <f t="shared" si="17"/>
        <v/>
      </c>
      <c r="T73" s="56" t="str">
        <f t="shared" si="18"/>
        <v/>
      </c>
      <c r="U73" s="57">
        <f t="shared" si="19"/>
        <v>0</v>
      </c>
      <c r="V73" s="57">
        <f t="shared" si="20"/>
        <v>0</v>
      </c>
      <c r="W73" s="57">
        <f t="shared" si="21"/>
        <v>0</v>
      </c>
      <c r="X73" s="57">
        <f t="shared" si="22"/>
        <v>0</v>
      </c>
      <c r="Y73" s="57" t="str">
        <f t="shared" si="25"/>
        <v>nc</v>
      </c>
      <c r="Z73" s="56" t="str">
        <f t="shared" si="26"/>
        <v>nc</v>
      </c>
      <c r="AA73" s="56" t="str">
        <f t="shared" si="27"/>
        <v>nc</v>
      </c>
      <c r="AB73" s="56" t="str">
        <f t="shared" si="28"/>
        <v>nc</v>
      </c>
      <c r="AC73" s="56" t="str">
        <f t="shared" si="23"/>
        <v/>
      </c>
      <c r="AD73" s="54">
        <f t="shared" si="24"/>
        <v>0</v>
      </c>
    </row>
    <row r="74" spans="1:30">
      <c r="A74" s="54" t="s">
        <v>2919</v>
      </c>
      <c r="B74" s="54" t="s">
        <v>4215</v>
      </c>
      <c r="C74" s="54" t="str">
        <f>VLOOKUP(A74,RecNamesAll!A:C,3,FALSE)</f>
        <v>Calcitonin receptor-like</v>
      </c>
      <c r="D74" s="60">
        <v>47</v>
      </c>
      <c r="E74" s="54" t="s">
        <v>2918</v>
      </c>
      <c r="F74" s="54" t="s">
        <v>4214</v>
      </c>
      <c r="G74" s="54" t="s">
        <v>3283</v>
      </c>
      <c r="H74" s="54" t="s">
        <v>3403</v>
      </c>
      <c r="I74" s="54" t="s">
        <v>3282</v>
      </c>
      <c r="Q74" s="57" t="str">
        <f t="shared" si="15"/>
        <v/>
      </c>
      <c r="R74" s="56" t="str">
        <f t="shared" si="16"/>
        <v/>
      </c>
      <c r="S74" s="56" t="str">
        <f t="shared" si="17"/>
        <v/>
      </c>
      <c r="T74" s="56" t="str">
        <f t="shared" si="18"/>
        <v/>
      </c>
      <c r="U74" s="57">
        <f t="shared" si="19"/>
        <v>0</v>
      </c>
      <c r="V74" s="57">
        <f t="shared" si="20"/>
        <v>0</v>
      </c>
      <c r="W74" s="57">
        <f t="shared" si="21"/>
        <v>0</v>
      </c>
      <c r="X74" s="57">
        <f t="shared" si="22"/>
        <v>0</v>
      </c>
      <c r="Y74" s="57" t="str">
        <f t="shared" si="25"/>
        <v>nc</v>
      </c>
      <c r="Z74" s="56" t="str">
        <f t="shared" si="26"/>
        <v>nc</v>
      </c>
      <c r="AA74" s="56" t="str">
        <f t="shared" si="27"/>
        <v>nc</v>
      </c>
      <c r="AB74" s="56" t="str">
        <f t="shared" si="28"/>
        <v>nc</v>
      </c>
      <c r="AC74" s="56" t="str">
        <f t="shared" si="23"/>
        <v/>
      </c>
      <c r="AD74" s="54">
        <f t="shared" si="24"/>
        <v>0</v>
      </c>
    </row>
    <row r="75" spans="1:30">
      <c r="A75" s="54" t="s">
        <v>199</v>
      </c>
      <c r="B75" s="54" t="s">
        <v>2131</v>
      </c>
      <c r="C75" s="54" t="str">
        <f>VLOOKUP(A75,RecNamesAll!A:C,3,FALSE)</f>
        <v>PTH2</v>
      </c>
      <c r="D75" s="60">
        <v>332</v>
      </c>
      <c r="E75" s="54" t="s">
        <v>199</v>
      </c>
      <c r="F75" s="54" t="s">
        <v>4213</v>
      </c>
      <c r="G75" s="54" t="s">
        <v>3283</v>
      </c>
      <c r="H75" s="54" t="s">
        <v>3403</v>
      </c>
      <c r="I75" s="54" t="s">
        <v>3413</v>
      </c>
      <c r="Q75" s="57" t="str">
        <f t="shared" si="15"/>
        <v/>
      </c>
      <c r="R75" s="56" t="str">
        <f t="shared" si="16"/>
        <v/>
      </c>
      <c r="S75" s="56" t="str">
        <f t="shared" si="17"/>
        <v/>
      </c>
      <c r="T75" s="56" t="str">
        <f t="shared" si="18"/>
        <v/>
      </c>
      <c r="U75" s="57">
        <f t="shared" si="19"/>
        <v>0</v>
      </c>
      <c r="V75" s="57">
        <f t="shared" si="20"/>
        <v>0</v>
      </c>
      <c r="W75" s="57">
        <f t="shared" si="21"/>
        <v>0</v>
      </c>
      <c r="X75" s="57">
        <f t="shared" si="22"/>
        <v>0</v>
      </c>
      <c r="Y75" s="57" t="str">
        <f t="shared" si="25"/>
        <v>nc</v>
      </c>
      <c r="Z75" s="56" t="str">
        <f t="shared" si="26"/>
        <v>nc</v>
      </c>
      <c r="AA75" s="56" t="str">
        <f t="shared" si="27"/>
        <v>nc</v>
      </c>
      <c r="AB75" s="56" t="str">
        <f t="shared" si="28"/>
        <v>nc</v>
      </c>
      <c r="AC75" s="56" t="str">
        <f t="shared" si="23"/>
        <v/>
      </c>
      <c r="AD75" s="54">
        <f t="shared" si="24"/>
        <v>0</v>
      </c>
    </row>
    <row r="76" spans="1:30">
      <c r="A76" s="54" t="s">
        <v>4212</v>
      </c>
      <c r="B76" s="54" t="s">
        <v>4211</v>
      </c>
      <c r="C76" s="54" t="str">
        <f>VLOOKUP(A76,RecNamesAll!A:C,3,FALSE)</f>
        <v>ADGRL2</v>
      </c>
      <c r="D76" s="60">
        <v>207</v>
      </c>
      <c r="E76" s="54" t="s">
        <v>4210</v>
      </c>
      <c r="F76" s="54" t="s">
        <v>4209</v>
      </c>
      <c r="G76" s="54" t="s">
        <v>3364</v>
      </c>
      <c r="H76" s="54" t="s">
        <v>3363</v>
      </c>
      <c r="I76" s="54" t="s">
        <v>3397</v>
      </c>
      <c r="Q76" s="57" t="str">
        <f t="shared" si="15"/>
        <v/>
      </c>
      <c r="R76" s="56" t="str">
        <f t="shared" si="16"/>
        <v/>
      </c>
      <c r="S76" s="56" t="str">
        <f t="shared" si="17"/>
        <v/>
      </c>
      <c r="T76" s="56" t="str">
        <f t="shared" si="18"/>
        <v/>
      </c>
      <c r="U76" s="57">
        <f t="shared" si="19"/>
        <v>0</v>
      </c>
      <c r="V76" s="57">
        <f t="shared" si="20"/>
        <v>0</v>
      </c>
      <c r="W76" s="57">
        <f t="shared" si="21"/>
        <v>0</v>
      </c>
      <c r="X76" s="57">
        <f t="shared" si="22"/>
        <v>0</v>
      </c>
      <c r="Y76" s="57" t="str">
        <f t="shared" si="25"/>
        <v>nc</v>
      </c>
      <c r="Z76" s="56" t="str">
        <f t="shared" si="26"/>
        <v>nc</v>
      </c>
      <c r="AA76" s="56" t="str">
        <f t="shared" si="27"/>
        <v>nc</v>
      </c>
      <c r="AB76" s="56" t="str">
        <f t="shared" si="28"/>
        <v>nc</v>
      </c>
      <c r="AC76" s="56" t="str">
        <f t="shared" si="23"/>
        <v/>
      </c>
      <c r="AD76" s="54">
        <f t="shared" si="24"/>
        <v>0</v>
      </c>
    </row>
    <row r="77" spans="1:30">
      <c r="A77" s="54" t="s">
        <v>4208</v>
      </c>
      <c r="B77" s="54" t="s">
        <v>4207</v>
      </c>
      <c r="C77" s="54" t="str">
        <f>VLOOKUP(A77,RecNamesAll!A:C,3,FALSE)</f>
        <v>ADGRL3</v>
      </c>
      <c r="D77" s="61"/>
      <c r="E77" s="54" t="s">
        <v>4206</v>
      </c>
      <c r="F77" s="54" t="s">
        <v>4205</v>
      </c>
      <c r="G77" s="54" t="s">
        <v>3364</v>
      </c>
      <c r="H77" s="54" t="s">
        <v>3363</v>
      </c>
      <c r="I77" s="54" t="s">
        <v>3397</v>
      </c>
      <c r="Q77" s="57" t="str">
        <f t="shared" si="15"/>
        <v/>
      </c>
      <c r="R77" s="56" t="str">
        <f t="shared" si="16"/>
        <v/>
      </c>
      <c r="S77" s="56" t="str">
        <f t="shared" si="17"/>
        <v/>
      </c>
      <c r="T77" s="56" t="str">
        <f t="shared" si="18"/>
        <v/>
      </c>
      <c r="U77" s="57">
        <f t="shared" si="19"/>
        <v>0</v>
      </c>
      <c r="V77" s="57">
        <f t="shared" si="20"/>
        <v>0</v>
      </c>
      <c r="W77" s="57">
        <f t="shared" si="21"/>
        <v>0</v>
      </c>
      <c r="X77" s="57">
        <f t="shared" si="22"/>
        <v>0</v>
      </c>
      <c r="Y77" s="57" t="str">
        <f t="shared" si="25"/>
        <v>nc</v>
      </c>
      <c r="Z77" s="56" t="str">
        <f t="shared" si="26"/>
        <v>nc</v>
      </c>
      <c r="AA77" s="56" t="str">
        <f t="shared" si="27"/>
        <v>nc</v>
      </c>
      <c r="AB77" s="56" t="str">
        <f t="shared" si="28"/>
        <v>nc</v>
      </c>
      <c r="AC77" s="56" t="str">
        <f t="shared" si="23"/>
        <v/>
      </c>
      <c r="AD77" s="54">
        <f t="shared" si="24"/>
        <v>0</v>
      </c>
    </row>
    <row r="78" spans="1:30">
      <c r="A78" s="54" t="s">
        <v>4204</v>
      </c>
      <c r="B78" s="54" t="s">
        <v>4203</v>
      </c>
      <c r="C78" s="54" t="str">
        <f>VLOOKUP(A78,RecNamesAll!A:C,3,FALSE)</f>
        <v>ADGRL4</v>
      </c>
      <c r="D78" s="60">
        <v>181</v>
      </c>
      <c r="E78" s="54" t="s">
        <v>4202</v>
      </c>
      <c r="F78" s="54" t="s">
        <v>4201</v>
      </c>
      <c r="G78" s="54" t="s">
        <v>3364</v>
      </c>
      <c r="H78" s="54" t="s">
        <v>3363</v>
      </c>
      <c r="I78" s="54" t="s">
        <v>3397</v>
      </c>
      <c r="Q78" s="57" t="str">
        <f t="shared" si="15"/>
        <v/>
      </c>
      <c r="R78" s="56" t="str">
        <f t="shared" si="16"/>
        <v/>
      </c>
      <c r="S78" s="56" t="str">
        <f t="shared" si="17"/>
        <v/>
      </c>
      <c r="T78" s="56" t="str">
        <f t="shared" si="18"/>
        <v/>
      </c>
      <c r="U78" s="57">
        <f t="shared" si="19"/>
        <v>0</v>
      </c>
      <c r="V78" s="57">
        <f t="shared" si="20"/>
        <v>0</v>
      </c>
      <c r="W78" s="57">
        <f t="shared" si="21"/>
        <v>0</v>
      </c>
      <c r="X78" s="57">
        <f t="shared" si="22"/>
        <v>0</v>
      </c>
      <c r="Y78" s="57" t="str">
        <f t="shared" si="25"/>
        <v>nc</v>
      </c>
      <c r="Z78" s="56" t="str">
        <f t="shared" si="26"/>
        <v>nc</v>
      </c>
      <c r="AA78" s="56" t="str">
        <f t="shared" si="27"/>
        <v>nc</v>
      </c>
      <c r="AB78" s="56" t="str">
        <f t="shared" si="28"/>
        <v>nc</v>
      </c>
      <c r="AC78" s="56" t="str">
        <f t="shared" si="23"/>
        <v/>
      </c>
      <c r="AD78" s="54">
        <f t="shared" si="24"/>
        <v>0</v>
      </c>
    </row>
    <row r="79" spans="1:30">
      <c r="A79" s="54" t="s">
        <v>4200</v>
      </c>
      <c r="B79" s="54" t="s">
        <v>4199</v>
      </c>
      <c r="C79" s="54" t="str">
        <f>VLOOKUP(A79,RecNamesAll!A:C,3,FALSE)</f>
        <v>ADGRE1</v>
      </c>
      <c r="D79" s="60">
        <v>182</v>
      </c>
      <c r="E79" s="54" t="s">
        <v>4198</v>
      </c>
      <c r="F79" s="54" t="s">
        <v>4197</v>
      </c>
      <c r="G79" s="54" t="s">
        <v>3364</v>
      </c>
      <c r="H79" s="54" t="s">
        <v>3363</v>
      </c>
      <c r="I79" s="54" t="s">
        <v>3386</v>
      </c>
      <c r="Q79" s="57" t="str">
        <f t="shared" si="15"/>
        <v/>
      </c>
      <c r="R79" s="56" t="str">
        <f t="shared" si="16"/>
        <v/>
      </c>
      <c r="S79" s="56" t="str">
        <f t="shared" si="17"/>
        <v/>
      </c>
      <c r="T79" s="56" t="str">
        <f t="shared" si="18"/>
        <v/>
      </c>
      <c r="U79" s="57">
        <f t="shared" si="19"/>
        <v>0</v>
      </c>
      <c r="V79" s="57">
        <f t="shared" si="20"/>
        <v>0</v>
      </c>
      <c r="W79" s="57">
        <f t="shared" si="21"/>
        <v>0</v>
      </c>
      <c r="X79" s="57">
        <f t="shared" si="22"/>
        <v>0</v>
      </c>
      <c r="Y79" s="57" t="str">
        <f t="shared" si="25"/>
        <v>nc</v>
      </c>
      <c r="Z79" s="56" t="str">
        <f t="shared" si="26"/>
        <v>nc</v>
      </c>
      <c r="AA79" s="56" t="str">
        <f t="shared" si="27"/>
        <v>nc</v>
      </c>
      <c r="AB79" s="56" t="str">
        <f t="shared" si="28"/>
        <v>nc</v>
      </c>
      <c r="AC79" s="56" t="str">
        <f t="shared" si="23"/>
        <v/>
      </c>
      <c r="AD79" s="54">
        <f t="shared" si="24"/>
        <v>0</v>
      </c>
    </row>
    <row r="80" spans="1:30">
      <c r="A80" s="54" t="s">
        <v>4196</v>
      </c>
      <c r="B80" s="54" t="s">
        <v>4195</v>
      </c>
      <c r="C80" s="54" t="str">
        <f>VLOOKUP(A80,RecNamesAll!A:C,3,FALSE)</f>
        <v>ADGRE3</v>
      </c>
      <c r="D80" s="60">
        <v>184</v>
      </c>
      <c r="E80" s="54" t="s">
        <v>4194</v>
      </c>
      <c r="F80" s="54" t="s">
        <v>4193</v>
      </c>
      <c r="G80" s="54" t="s">
        <v>3364</v>
      </c>
      <c r="H80" s="54" t="s">
        <v>3363</v>
      </c>
      <c r="I80" s="54" t="s">
        <v>3386</v>
      </c>
      <c r="Q80" s="57" t="str">
        <f t="shared" si="15"/>
        <v/>
      </c>
      <c r="R80" s="56" t="str">
        <f t="shared" si="16"/>
        <v/>
      </c>
      <c r="S80" s="56" t="str">
        <f t="shared" si="17"/>
        <v/>
      </c>
      <c r="T80" s="56" t="str">
        <f t="shared" si="18"/>
        <v/>
      </c>
      <c r="U80" s="57">
        <f t="shared" si="19"/>
        <v>0</v>
      </c>
      <c r="V80" s="57">
        <f t="shared" si="20"/>
        <v>0</v>
      </c>
      <c r="W80" s="57">
        <f t="shared" si="21"/>
        <v>0</v>
      </c>
      <c r="X80" s="57">
        <f t="shared" si="22"/>
        <v>0</v>
      </c>
      <c r="Y80" s="57" t="str">
        <f t="shared" si="25"/>
        <v>nc</v>
      </c>
      <c r="Z80" s="56" t="str">
        <f t="shared" si="26"/>
        <v>nc</v>
      </c>
      <c r="AA80" s="56" t="str">
        <f t="shared" si="27"/>
        <v>nc</v>
      </c>
      <c r="AB80" s="56" t="str">
        <f t="shared" si="28"/>
        <v>nc</v>
      </c>
      <c r="AC80" s="56" t="str">
        <f t="shared" si="23"/>
        <v/>
      </c>
      <c r="AD80" s="54">
        <f t="shared" si="24"/>
        <v>0</v>
      </c>
    </row>
    <row r="81" spans="1:30">
      <c r="A81" s="54" t="s">
        <v>4192</v>
      </c>
      <c r="B81" s="54" t="s">
        <v>4191</v>
      </c>
      <c r="C81" s="54" t="str">
        <f>VLOOKUP(A81,RecNamesAll!A:C,3,FALSE)</f>
        <v>ADGRE4P</v>
      </c>
      <c r="D81" s="60">
        <v>185</v>
      </c>
      <c r="E81" s="54" t="s">
        <v>4190</v>
      </c>
      <c r="F81" s="54" t="s">
        <v>4189</v>
      </c>
      <c r="G81" s="54" t="s">
        <v>3364</v>
      </c>
      <c r="H81" s="54" t="s">
        <v>3363</v>
      </c>
      <c r="I81" s="54" t="s">
        <v>3386</v>
      </c>
      <c r="Q81" s="57" t="str">
        <f t="shared" si="15"/>
        <v/>
      </c>
      <c r="R81" s="56" t="str">
        <f t="shared" si="16"/>
        <v/>
      </c>
      <c r="S81" s="56" t="str">
        <f t="shared" si="17"/>
        <v/>
      </c>
      <c r="T81" s="56" t="str">
        <f t="shared" si="18"/>
        <v/>
      </c>
      <c r="U81" s="57">
        <f t="shared" si="19"/>
        <v>0</v>
      </c>
      <c r="V81" s="57">
        <f t="shared" si="20"/>
        <v>0</v>
      </c>
      <c r="W81" s="57">
        <f t="shared" si="21"/>
        <v>0</v>
      </c>
      <c r="X81" s="57">
        <f t="shared" si="22"/>
        <v>0</v>
      </c>
      <c r="Y81" s="57" t="str">
        <f t="shared" si="25"/>
        <v>nc</v>
      </c>
      <c r="Z81" s="56" t="str">
        <f t="shared" si="26"/>
        <v>nc</v>
      </c>
      <c r="AA81" s="56" t="str">
        <f t="shared" si="27"/>
        <v>nc</v>
      </c>
      <c r="AB81" s="56" t="str">
        <f t="shared" si="28"/>
        <v>nc</v>
      </c>
      <c r="AC81" s="56" t="str">
        <f t="shared" si="23"/>
        <v/>
      </c>
      <c r="AD81" s="54">
        <f t="shared" si="24"/>
        <v>0</v>
      </c>
    </row>
    <row r="82" spans="1:30">
      <c r="A82" s="54" t="s">
        <v>4188</v>
      </c>
      <c r="B82" s="54" t="s">
        <v>4187</v>
      </c>
      <c r="C82" s="54" t="str">
        <f>VLOOKUP(A82,RecNamesAll!A:C,3,FALSE)</f>
        <v>ADGRA1</v>
      </c>
      <c r="D82" s="60">
        <v>197</v>
      </c>
      <c r="E82" s="54" t="s">
        <v>4186</v>
      </c>
      <c r="F82" s="54" t="s">
        <v>4185</v>
      </c>
      <c r="G82" s="54" t="s">
        <v>3364</v>
      </c>
      <c r="H82" s="54" t="s">
        <v>3363</v>
      </c>
      <c r="I82" s="54" t="s">
        <v>4176</v>
      </c>
      <c r="J82" s="54" t="s">
        <v>3396</v>
      </c>
      <c r="K82" s="54" t="s">
        <v>3396</v>
      </c>
      <c r="Q82" s="57" t="str">
        <f t="shared" si="15"/>
        <v/>
      </c>
      <c r="R82" s="56" t="str">
        <f t="shared" si="16"/>
        <v/>
      </c>
      <c r="S82" s="56" t="str">
        <f t="shared" si="17"/>
        <v/>
      </c>
      <c r="T82" s="56" t="str">
        <f t="shared" si="18"/>
        <v/>
      </c>
      <c r="U82" s="57">
        <f t="shared" si="19"/>
        <v>0</v>
      </c>
      <c r="V82" s="57">
        <f t="shared" si="20"/>
        <v>0</v>
      </c>
      <c r="W82" s="57">
        <f t="shared" si="21"/>
        <v>0</v>
      </c>
      <c r="X82" s="57">
        <f t="shared" si="22"/>
        <v>0</v>
      </c>
      <c r="Y82" s="57" t="str">
        <f t="shared" si="25"/>
        <v>nc</v>
      </c>
      <c r="Z82" s="56" t="str">
        <f t="shared" si="26"/>
        <v>nc</v>
      </c>
      <c r="AA82" s="56" t="str">
        <f t="shared" si="27"/>
        <v>nc</v>
      </c>
      <c r="AB82" s="56" t="str">
        <f t="shared" si="28"/>
        <v>nc</v>
      </c>
      <c r="AC82" s="56" t="str">
        <f t="shared" si="23"/>
        <v/>
      </c>
      <c r="AD82" s="54">
        <f t="shared" si="24"/>
        <v>0</v>
      </c>
    </row>
    <row r="83" spans="1:30">
      <c r="A83" s="54" t="s">
        <v>4184</v>
      </c>
      <c r="B83" s="54" t="s">
        <v>4183</v>
      </c>
      <c r="C83" s="54" t="str">
        <f>VLOOKUP(A83,RecNamesAll!A:C,3,FALSE)</f>
        <v>ADGRA2</v>
      </c>
      <c r="D83" s="60">
        <v>198</v>
      </c>
      <c r="E83" s="54" t="s">
        <v>4182</v>
      </c>
      <c r="F83" s="54" t="s">
        <v>4181</v>
      </c>
      <c r="G83" s="54" t="s">
        <v>3364</v>
      </c>
      <c r="H83" s="54" t="s">
        <v>3363</v>
      </c>
      <c r="I83" s="54" t="s">
        <v>4176</v>
      </c>
      <c r="J83" s="54" t="s">
        <v>3396</v>
      </c>
      <c r="K83" s="54" t="s">
        <v>3396</v>
      </c>
      <c r="Q83" s="57" t="str">
        <f t="shared" si="15"/>
        <v/>
      </c>
      <c r="R83" s="56" t="str">
        <f t="shared" si="16"/>
        <v/>
      </c>
      <c r="S83" s="56" t="str">
        <f t="shared" si="17"/>
        <v/>
      </c>
      <c r="T83" s="56" t="str">
        <f t="shared" si="18"/>
        <v/>
      </c>
      <c r="U83" s="57">
        <f t="shared" si="19"/>
        <v>0</v>
      </c>
      <c r="V83" s="57">
        <f t="shared" si="20"/>
        <v>0</v>
      </c>
      <c r="W83" s="57">
        <f t="shared" si="21"/>
        <v>0</v>
      </c>
      <c r="X83" s="57">
        <f t="shared" si="22"/>
        <v>0</v>
      </c>
      <c r="Y83" s="57" t="str">
        <f t="shared" si="25"/>
        <v>nc</v>
      </c>
      <c r="Z83" s="56" t="str">
        <f t="shared" si="26"/>
        <v>nc</v>
      </c>
      <c r="AA83" s="56" t="str">
        <f t="shared" si="27"/>
        <v>nc</v>
      </c>
      <c r="AB83" s="56" t="str">
        <f t="shared" si="28"/>
        <v>nc</v>
      </c>
      <c r="AC83" s="56" t="str">
        <f t="shared" si="23"/>
        <v/>
      </c>
      <c r="AD83" s="54">
        <f t="shared" si="24"/>
        <v>0</v>
      </c>
    </row>
    <row r="84" spans="1:30">
      <c r="A84" s="54" t="s">
        <v>4180</v>
      </c>
      <c r="B84" s="54" t="s">
        <v>4179</v>
      </c>
      <c r="C84" s="54" t="str">
        <f>VLOOKUP(A84,RecNamesAll!A:C,3,FALSE)</f>
        <v>ADGRA3</v>
      </c>
      <c r="D84" s="60">
        <v>199</v>
      </c>
      <c r="E84" s="54" t="s">
        <v>4178</v>
      </c>
      <c r="F84" s="54" t="s">
        <v>4177</v>
      </c>
      <c r="G84" s="54" t="s">
        <v>3364</v>
      </c>
      <c r="H84" s="54" t="s">
        <v>3363</v>
      </c>
      <c r="I84" s="54" t="s">
        <v>4176</v>
      </c>
      <c r="J84" s="54" t="s">
        <v>3396</v>
      </c>
      <c r="K84" s="54" t="s">
        <v>3396</v>
      </c>
      <c r="Q84" s="57" t="str">
        <f t="shared" si="15"/>
        <v/>
      </c>
      <c r="R84" s="56" t="str">
        <f t="shared" si="16"/>
        <v/>
      </c>
      <c r="S84" s="56" t="str">
        <f t="shared" si="17"/>
        <v/>
      </c>
      <c r="T84" s="56" t="str">
        <f t="shared" si="18"/>
        <v/>
      </c>
      <c r="U84" s="57">
        <f t="shared" si="19"/>
        <v>0</v>
      </c>
      <c r="V84" s="57">
        <f t="shared" si="20"/>
        <v>0</v>
      </c>
      <c r="W84" s="57">
        <f t="shared" si="21"/>
        <v>0</v>
      </c>
      <c r="X84" s="57">
        <f t="shared" si="22"/>
        <v>0</v>
      </c>
      <c r="Y84" s="57" t="str">
        <f t="shared" si="25"/>
        <v>nc</v>
      </c>
      <c r="Z84" s="56" t="str">
        <f t="shared" si="26"/>
        <v>nc</v>
      </c>
      <c r="AA84" s="56" t="str">
        <f t="shared" si="27"/>
        <v>nc</v>
      </c>
      <c r="AB84" s="56" t="str">
        <f t="shared" si="28"/>
        <v>nc</v>
      </c>
      <c r="AC84" s="56" t="str">
        <f t="shared" si="23"/>
        <v/>
      </c>
      <c r="AD84" s="54">
        <f t="shared" si="24"/>
        <v>0</v>
      </c>
    </row>
    <row r="85" spans="1:30">
      <c r="A85" s="54" t="s">
        <v>4175</v>
      </c>
      <c r="B85" s="54" t="s">
        <v>4174</v>
      </c>
      <c r="C85" s="54" t="str">
        <f>VLOOKUP(A85,RecNamesAll!A:C,3,FALSE)</f>
        <v>CELSR1</v>
      </c>
      <c r="D85" s="60">
        <v>178</v>
      </c>
      <c r="E85" s="54" t="s">
        <v>4173</v>
      </c>
      <c r="F85" s="54" t="s">
        <v>4172</v>
      </c>
      <c r="G85" s="54" t="s">
        <v>3364</v>
      </c>
      <c r="H85" s="54" t="s">
        <v>3363</v>
      </c>
      <c r="I85" s="54" t="s">
        <v>4163</v>
      </c>
      <c r="L85" s="54" t="s">
        <v>3298</v>
      </c>
      <c r="Q85" s="57" t="str">
        <f t="shared" si="15"/>
        <v/>
      </c>
      <c r="R85" s="56" t="str">
        <f t="shared" si="16"/>
        <v/>
      </c>
      <c r="S85" s="56" t="str">
        <f t="shared" si="17"/>
        <v/>
      </c>
      <c r="T85" s="56" t="str">
        <f t="shared" si="18"/>
        <v/>
      </c>
      <c r="U85" s="57">
        <f t="shared" si="19"/>
        <v>0</v>
      </c>
      <c r="V85" s="57">
        <f t="shared" si="20"/>
        <v>0</v>
      </c>
      <c r="W85" s="57">
        <f t="shared" si="21"/>
        <v>0</v>
      </c>
      <c r="X85" s="57">
        <f t="shared" si="22"/>
        <v>0</v>
      </c>
      <c r="Y85" s="57" t="str">
        <f t="shared" si="25"/>
        <v>nc</v>
      </c>
      <c r="Z85" s="56" t="str">
        <f t="shared" si="26"/>
        <v>nc</v>
      </c>
      <c r="AA85" s="56" t="str">
        <f t="shared" si="27"/>
        <v>nc</v>
      </c>
      <c r="AB85" s="56" t="str">
        <f t="shared" si="28"/>
        <v>nc</v>
      </c>
      <c r="AC85" s="56" t="str">
        <f t="shared" si="23"/>
        <v/>
      </c>
      <c r="AD85" s="54">
        <f t="shared" si="24"/>
        <v>0</v>
      </c>
    </row>
    <row r="86" spans="1:30">
      <c r="A86" s="54" t="s">
        <v>4171</v>
      </c>
      <c r="B86" s="54" t="s">
        <v>4170</v>
      </c>
      <c r="C86" s="54" t="str">
        <f>VLOOKUP(A86,RecNamesAll!A:C,3,FALSE)</f>
        <v>CELSR2</v>
      </c>
      <c r="D86" s="60">
        <v>179</v>
      </c>
      <c r="E86" s="54" t="s">
        <v>4169</v>
      </c>
      <c r="F86" s="54" t="s">
        <v>4168</v>
      </c>
      <c r="G86" s="54" t="s">
        <v>3364</v>
      </c>
      <c r="H86" s="54" t="s">
        <v>3363</v>
      </c>
      <c r="I86" s="54" t="s">
        <v>4163</v>
      </c>
      <c r="L86" s="54" t="s">
        <v>3298</v>
      </c>
      <c r="Q86" s="57" t="str">
        <f t="shared" si="15"/>
        <v/>
      </c>
      <c r="R86" s="56" t="str">
        <f t="shared" si="16"/>
        <v/>
      </c>
      <c r="S86" s="56" t="str">
        <f t="shared" si="17"/>
        <v/>
      </c>
      <c r="T86" s="56" t="str">
        <f t="shared" si="18"/>
        <v/>
      </c>
      <c r="U86" s="57">
        <f t="shared" si="19"/>
        <v>0</v>
      </c>
      <c r="V86" s="57">
        <f t="shared" si="20"/>
        <v>0</v>
      </c>
      <c r="W86" s="57">
        <f t="shared" si="21"/>
        <v>0</v>
      </c>
      <c r="X86" s="57">
        <f t="shared" si="22"/>
        <v>0</v>
      </c>
      <c r="Y86" s="57" t="str">
        <f t="shared" si="25"/>
        <v>nc</v>
      </c>
      <c r="Z86" s="56" t="str">
        <f t="shared" si="26"/>
        <v>nc</v>
      </c>
      <c r="AA86" s="56" t="str">
        <f t="shared" si="27"/>
        <v>nc</v>
      </c>
      <c r="AB86" s="56" t="str">
        <f t="shared" si="28"/>
        <v>nc</v>
      </c>
      <c r="AC86" s="56" t="str">
        <f t="shared" si="23"/>
        <v/>
      </c>
      <c r="AD86" s="54">
        <f t="shared" si="24"/>
        <v>0</v>
      </c>
    </row>
    <row r="87" spans="1:30">
      <c r="A87" s="54" t="s">
        <v>4167</v>
      </c>
      <c r="B87" s="54" t="s">
        <v>4166</v>
      </c>
      <c r="C87" s="54" t="str">
        <f>VLOOKUP(A87,RecNamesAll!A:C,3,FALSE)</f>
        <v>CELSR3</v>
      </c>
      <c r="D87" s="60">
        <v>180</v>
      </c>
      <c r="E87" s="54" t="s">
        <v>4165</v>
      </c>
      <c r="F87" s="54" t="s">
        <v>4164</v>
      </c>
      <c r="G87" s="54" t="s">
        <v>3364</v>
      </c>
      <c r="H87" s="54" t="s">
        <v>3363</v>
      </c>
      <c r="I87" s="54" t="s">
        <v>4163</v>
      </c>
      <c r="L87" s="54" t="s">
        <v>3298</v>
      </c>
      <c r="Q87" s="57" t="str">
        <f t="shared" si="15"/>
        <v/>
      </c>
      <c r="R87" s="56" t="str">
        <f t="shared" si="16"/>
        <v/>
      </c>
      <c r="S87" s="56" t="str">
        <f t="shared" si="17"/>
        <v/>
      </c>
      <c r="T87" s="56" t="str">
        <f t="shared" si="18"/>
        <v/>
      </c>
      <c r="U87" s="57">
        <f t="shared" si="19"/>
        <v>0</v>
      </c>
      <c r="V87" s="57">
        <f t="shared" si="20"/>
        <v>0</v>
      </c>
      <c r="W87" s="57">
        <f t="shared" si="21"/>
        <v>0</v>
      </c>
      <c r="X87" s="57">
        <f t="shared" si="22"/>
        <v>0</v>
      </c>
      <c r="Y87" s="57" t="str">
        <f t="shared" si="25"/>
        <v>nc</v>
      </c>
      <c r="Z87" s="56" t="str">
        <f t="shared" si="26"/>
        <v>nc</v>
      </c>
      <c r="AA87" s="56" t="str">
        <f t="shared" si="27"/>
        <v>nc</v>
      </c>
      <c r="AB87" s="56" t="str">
        <f t="shared" si="28"/>
        <v>nc</v>
      </c>
      <c r="AC87" s="56" t="str">
        <f t="shared" si="23"/>
        <v/>
      </c>
      <c r="AD87" s="54">
        <f t="shared" si="24"/>
        <v>0</v>
      </c>
    </row>
    <row r="88" spans="1:30">
      <c r="A88" s="54" t="s">
        <v>4162</v>
      </c>
      <c r="B88" s="54" t="s">
        <v>4161</v>
      </c>
      <c r="C88" s="54" t="str">
        <f>VLOOKUP(A88,RecNamesAll!A:C,3,FALSE)</f>
        <v>ADGRD2</v>
      </c>
      <c r="D88" s="60">
        <v>204</v>
      </c>
      <c r="E88" s="54" t="s">
        <v>4160</v>
      </c>
      <c r="F88" s="54" t="s">
        <v>4159</v>
      </c>
      <c r="G88" s="54" t="s">
        <v>3364</v>
      </c>
      <c r="H88" s="54" t="s">
        <v>3363</v>
      </c>
      <c r="I88" s="54" t="s">
        <v>3380</v>
      </c>
      <c r="J88" s="54" t="s">
        <v>3396</v>
      </c>
      <c r="K88" s="54" t="s">
        <v>3396</v>
      </c>
      <c r="Q88" s="57" t="str">
        <f t="shared" si="15"/>
        <v/>
      </c>
      <c r="R88" s="56" t="str">
        <f t="shared" si="16"/>
        <v/>
      </c>
      <c r="S88" s="56" t="str">
        <f t="shared" si="17"/>
        <v/>
      </c>
      <c r="T88" s="56" t="str">
        <f t="shared" si="18"/>
        <v/>
      </c>
      <c r="U88" s="57">
        <f t="shared" si="19"/>
        <v>0</v>
      </c>
      <c r="V88" s="57">
        <f t="shared" si="20"/>
        <v>0</v>
      </c>
      <c r="W88" s="57">
        <f t="shared" si="21"/>
        <v>0</v>
      </c>
      <c r="X88" s="57">
        <f t="shared" si="22"/>
        <v>0</v>
      </c>
      <c r="Y88" s="57" t="str">
        <f t="shared" si="25"/>
        <v>nc</v>
      </c>
      <c r="Z88" s="56" t="str">
        <f t="shared" si="26"/>
        <v>nc</v>
      </c>
      <c r="AA88" s="56" t="str">
        <f t="shared" si="27"/>
        <v>nc</v>
      </c>
      <c r="AB88" s="56" t="str">
        <f t="shared" si="28"/>
        <v>nc</v>
      </c>
      <c r="AC88" s="56" t="str">
        <f t="shared" si="23"/>
        <v/>
      </c>
      <c r="AD88" s="54">
        <f t="shared" si="24"/>
        <v>0</v>
      </c>
    </row>
    <row r="89" spans="1:30">
      <c r="A89" s="54" t="s">
        <v>4158</v>
      </c>
      <c r="B89" s="54" t="s">
        <v>4157</v>
      </c>
      <c r="C89" s="54" t="str">
        <f>VLOOKUP(A89,RecNamesAll!A:C,3,FALSE)</f>
        <v>ADGRF1</v>
      </c>
      <c r="D89" s="60">
        <v>190</v>
      </c>
      <c r="E89" s="54" t="s">
        <v>4156</v>
      </c>
      <c r="F89" s="54" t="s">
        <v>4155</v>
      </c>
      <c r="G89" s="54" t="s">
        <v>3364</v>
      </c>
      <c r="H89" s="54" t="s">
        <v>3363</v>
      </c>
      <c r="I89" s="54" t="s">
        <v>4138</v>
      </c>
      <c r="Q89" s="57" t="str">
        <f t="shared" si="15"/>
        <v/>
      </c>
      <c r="R89" s="56" t="str">
        <f t="shared" si="16"/>
        <v/>
      </c>
      <c r="S89" s="56" t="str">
        <f t="shared" si="17"/>
        <v/>
      </c>
      <c r="T89" s="56" t="str">
        <f t="shared" si="18"/>
        <v/>
      </c>
      <c r="U89" s="57">
        <f t="shared" si="19"/>
        <v>0</v>
      </c>
      <c r="V89" s="57">
        <f t="shared" si="20"/>
        <v>0</v>
      </c>
      <c r="W89" s="57">
        <f t="shared" si="21"/>
        <v>0</v>
      </c>
      <c r="X89" s="57">
        <f t="shared" si="22"/>
        <v>0</v>
      </c>
      <c r="Y89" s="57" t="str">
        <f t="shared" si="25"/>
        <v>nc</v>
      </c>
      <c r="Z89" s="56" t="str">
        <f t="shared" si="26"/>
        <v>nc</v>
      </c>
      <c r="AA89" s="56" t="str">
        <f t="shared" si="27"/>
        <v>nc</v>
      </c>
      <c r="AB89" s="56" t="str">
        <f t="shared" si="28"/>
        <v>nc</v>
      </c>
      <c r="AC89" s="56" t="str">
        <f t="shared" si="23"/>
        <v/>
      </c>
      <c r="AD89" s="54">
        <f t="shared" si="24"/>
        <v>0</v>
      </c>
    </row>
    <row r="90" spans="1:30">
      <c r="A90" s="54" t="s">
        <v>4154</v>
      </c>
      <c r="B90" s="54" t="s">
        <v>4153</v>
      </c>
      <c r="C90" s="54" t="str">
        <f>VLOOKUP(A90,RecNamesAll!A:C,3,FALSE)</f>
        <v>ADGRF2</v>
      </c>
      <c r="D90" s="60">
        <v>191</v>
      </c>
      <c r="E90" s="54" t="s">
        <v>4152</v>
      </c>
      <c r="F90" s="54" t="s">
        <v>4151</v>
      </c>
      <c r="G90" s="54" t="s">
        <v>3364</v>
      </c>
      <c r="H90" s="54" t="s">
        <v>3363</v>
      </c>
      <c r="I90" s="54" t="s">
        <v>4138</v>
      </c>
      <c r="Q90" s="57" t="str">
        <f t="shared" si="15"/>
        <v/>
      </c>
      <c r="R90" s="56" t="str">
        <f t="shared" si="16"/>
        <v/>
      </c>
      <c r="S90" s="56" t="str">
        <f t="shared" si="17"/>
        <v/>
      </c>
      <c r="T90" s="56" t="str">
        <f t="shared" si="18"/>
        <v/>
      </c>
      <c r="U90" s="57">
        <f t="shared" si="19"/>
        <v>0</v>
      </c>
      <c r="V90" s="57">
        <f t="shared" si="20"/>
        <v>0</v>
      </c>
      <c r="W90" s="57">
        <f t="shared" si="21"/>
        <v>0</v>
      </c>
      <c r="X90" s="57">
        <f t="shared" si="22"/>
        <v>0</v>
      </c>
      <c r="Y90" s="57" t="str">
        <f t="shared" si="25"/>
        <v>nc</v>
      </c>
      <c r="Z90" s="56" t="str">
        <f t="shared" si="26"/>
        <v>nc</v>
      </c>
      <c r="AA90" s="56" t="str">
        <f t="shared" si="27"/>
        <v>nc</v>
      </c>
      <c r="AB90" s="56" t="str">
        <f t="shared" si="28"/>
        <v>nc</v>
      </c>
      <c r="AC90" s="56" t="str">
        <f t="shared" si="23"/>
        <v/>
      </c>
      <c r="AD90" s="54">
        <f t="shared" si="24"/>
        <v>0</v>
      </c>
    </row>
    <row r="91" spans="1:30">
      <c r="A91" s="54" t="s">
        <v>4150</v>
      </c>
      <c r="B91" s="54" t="s">
        <v>4149</v>
      </c>
      <c r="C91" s="54" t="str">
        <f>VLOOKUP(A91,RecNamesAll!A:C,3,FALSE)</f>
        <v>ADGRF3</v>
      </c>
      <c r="D91" s="60">
        <v>193</v>
      </c>
      <c r="E91" s="54" t="s">
        <v>4148</v>
      </c>
      <c r="F91" s="54" t="s">
        <v>4147</v>
      </c>
      <c r="G91" s="54" t="s">
        <v>3364</v>
      </c>
      <c r="H91" s="54" t="s">
        <v>3363</v>
      </c>
      <c r="I91" s="54" t="s">
        <v>4138</v>
      </c>
      <c r="Q91" s="57" t="str">
        <f t="shared" si="15"/>
        <v/>
      </c>
      <c r="R91" s="56" t="str">
        <f t="shared" si="16"/>
        <v/>
      </c>
      <c r="S91" s="56" t="str">
        <f t="shared" si="17"/>
        <v/>
      </c>
      <c r="T91" s="56" t="str">
        <f t="shared" si="18"/>
        <v/>
      </c>
      <c r="U91" s="57">
        <f t="shared" si="19"/>
        <v>0</v>
      </c>
      <c r="V91" s="57">
        <f t="shared" si="20"/>
        <v>0</v>
      </c>
      <c r="W91" s="57">
        <f t="shared" si="21"/>
        <v>0</v>
      </c>
      <c r="X91" s="57">
        <f t="shared" si="22"/>
        <v>0</v>
      </c>
      <c r="Y91" s="57" t="str">
        <f t="shared" si="25"/>
        <v>nc</v>
      </c>
      <c r="Z91" s="56" t="str">
        <f t="shared" si="26"/>
        <v>nc</v>
      </c>
      <c r="AA91" s="56" t="str">
        <f t="shared" si="27"/>
        <v>nc</v>
      </c>
      <c r="AB91" s="56" t="str">
        <f t="shared" si="28"/>
        <v>nc</v>
      </c>
      <c r="AC91" s="56" t="str">
        <f t="shared" si="23"/>
        <v/>
      </c>
      <c r="AD91" s="54">
        <f t="shared" si="24"/>
        <v>0</v>
      </c>
    </row>
    <row r="92" spans="1:30">
      <c r="A92" s="54" t="s">
        <v>4146</v>
      </c>
      <c r="B92" s="54" t="s">
        <v>4145</v>
      </c>
      <c r="C92" s="54" t="str">
        <f>VLOOKUP(A92,RecNamesAll!A:C,3,FALSE)</f>
        <v>ADGRF4</v>
      </c>
      <c r="D92" s="60">
        <v>195</v>
      </c>
      <c r="E92" s="54" t="s">
        <v>4144</v>
      </c>
      <c r="F92" s="54" t="s">
        <v>4143</v>
      </c>
      <c r="G92" s="54" t="s">
        <v>3364</v>
      </c>
      <c r="H92" s="54" t="s">
        <v>3363</v>
      </c>
      <c r="I92" s="54" t="s">
        <v>4138</v>
      </c>
      <c r="Q92" s="57" t="str">
        <f t="shared" si="15"/>
        <v/>
      </c>
      <c r="R92" s="56" t="str">
        <f t="shared" si="16"/>
        <v/>
      </c>
      <c r="S92" s="56" t="str">
        <f t="shared" si="17"/>
        <v/>
      </c>
      <c r="T92" s="56" t="str">
        <f t="shared" si="18"/>
        <v/>
      </c>
      <c r="U92" s="57">
        <f t="shared" si="19"/>
        <v>0</v>
      </c>
      <c r="V92" s="57">
        <f t="shared" si="20"/>
        <v>0</v>
      </c>
      <c r="W92" s="57">
        <f t="shared" si="21"/>
        <v>0</v>
      </c>
      <c r="X92" s="57">
        <f t="shared" si="22"/>
        <v>0</v>
      </c>
      <c r="Y92" s="57" t="str">
        <f t="shared" si="25"/>
        <v>nc</v>
      </c>
      <c r="Z92" s="56" t="str">
        <f t="shared" si="26"/>
        <v>nc</v>
      </c>
      <c r="AA92" s="56" t="str">
        <f t="shared" si="27"/>
        <v>nc</v>
      </c>
      <c r="AB92" s="56" t="str">
        <f t="shared" si="28"/>
        <v>nc</v>
      </c>
      <c r="AC92" s="56" t="str">
        <f t="shared" si="23"/>
        <v/>
      </c>
      <c r="AD92" s="54">
        <f t="shared" si="24"/>
        <v>0</v>
      </c>
    </row>
    <row r="93" spans="1:30">
      <c r="A93" s="54" t="s">
        <v>4142</v>
      </c>
      <c r="B93" s="54" t="s">
        <v>4141</v>
      </c>
      <c r="C93" s="54" t="str">
        <f>VLOOKUP(A93,RecNamesAll!A:C,3,FALSE)</f>
        <v>ADGRF5</v>
      </c>
      <c r="D93" s="60">
        <v>196</v>
      </c>
      <c r="E93" s="54" t="s">
        <v>4140</v>
      </c>
      <c r="F93" s="54" t="s">
        <v>4139</v>
      </c>
      <c r="G93" s="54" t="s">
        <v>3364</v>
      </c>
      <c r="H93" s="54" t="s">
        <v>3363</v>
      </c>
      <c r="I93" s="54" t="s">
        <v>4138</v>
      </c>
      <c r="Q93" s="57" t="str">
        <f t="shared" si="15"/>
        <v/>
      </c>
      <c r="R93" s="56" t="str">
        <f t="shared" si="16"/>
        <v/>
      </c>
      <c r="S93" s="56" t="str">
        <f t="shared" si="17"/>
        <v/>
      </c>
      <c r="T93" s="56" t="str">
        <f t="shared" si="18"/>
        <v/>
      </c>
      <c r="U93" s="57">
        <f t="shared" si="19"/>
        <v>0</v>
      </c>
      <c r="V93" s="57">
        <f t="shared" si="20"/>
        <v>0</v>
      </c>
      <c r="W93" s="57">
        <f t="shared" si="21"/>
        <v>0</v>
      </c>
      <c r="X93" s="57">
        <f t="shared" si="22"/>
        <v>0</v>
      </c>
      <c r="Y93" s="57" t="str">
        <f t="shared" si="25"/>
        <v>nc</v>
      </c>
      <c r="Z93" s="56" t="str">
        <f t="shared" si="26"/>
        <v>nc</v>
      </c>
      <c r="AA93" s="56" t="str">
        <f t="shared" si="27"/>
        <v>nc</v>
      </c>
      <c r="AB93" s="56" t="str">
        <f t="shared" si="28"/>
        <v>nc</v>
      </c>
      <c r="AC93" s="56" t="str">
        <f t="shared" si="23"/>
        <v/>
      </c>
      <c r="AD93" s="54">
        <f t="shared" si="24"/>
        <v>0</v>
      </c>
    </row>
    <row r="94" spans="1:30">
      <c r="A94" s="54" t="s">
        <v>4137</v>
      </c>
      <c r="B94" s="54" t="s">
        <v>711</v>
      </c>
      <c r="C94" s="54" t="str">
        <f>VLOOKUP(A94,RecNamesAll!A:C,3,FALSE)</f>
        <v>ADGRB1</v>
      </c>
      <c r="D94" s="60">
        <v>174</v>
      </c>
      <c r="E94" s="54" t="s">
        <v>4136</v>
      </c>
      <c r="G94" s="54" t="s">
        <v>3364</v>
      </c>
      <c r="H94" s="54" t="s">
        <v>3363</v>
      </c>
      <c r="I94" s="54" t="s">
        <v>4127</v>
      </c>
      <c r="Q94" s="57" t="str">
        <f t="shared" si="15"/>
        <v/>
      </c>
      <c r="R94" s="56" t="str">
        <f t="shared" si="16"/>
        <v/>
      </c>
      <c r="S94" s="56" t="str">
        <f t="shared" si="17"/>
        <v/>
      </c>
      <c r="T94" s="56" t="str">
        <f t="shared" si="18"/>
        <v/>
      </c>
      <c r="U94" s="57">
        <f t="shared" si="19"/>
        <v>0</v>
      </c>
      <c r="V94" s="57">
        <f t="shared" si="20"/>
        <v>0</v>
      </c>
      <c r="W94" s="57">
        <f t="shared" si="21"/>
        <v>0</v>
      </c>
      <c r="X94" s="57">
        <f t="shared" si="22"/>
        <v>0</v>
      </c>
      <c r="Y94" s="57" t="str">
        <f t="shared" si="25"/>
        <v>nc</v>
      </c>
      <c r="Z94" s="56" t="str">
        <f t="shared" si="26"/>
        <v>nc</v>
      </c>
      <c r="AA94" s="56" t="str">
        <f t="shared" si="27"/>
        <v>nc</v>
      </c>
      <c r="AB94" s="56" t="str">
        <f t="shared" si="28"/>
        <v>nc</v>
      </c>
      <c r="AC94" s="56" t="str">
        <f t="shared" si="23"/>
        <v/>
      </c>
      <c r="AD94" s="54">
        <f t="shared" si="24"/>
        <v>0</v>
      </c>
    </row>
    <row r="95" spans="1:30">
      <c r="A95" s="54" t="s">
        <v>4135</v>
      </c>
      <c r="B95" s="54" t="s">
        <v>4134</v>
      </c>
      <c r="C95" s="54" t="str">
        <f>VLOOKUP(A95,RecNamesAll!A:C,3,FALSE)</f>
        <v>ADGRB2</v>
      </c>
      <c r="D95" s="60">
        <v>175</v>
      </c>
      <c r="E95" s="54" t="s">
        <v>4133</v>
      </c>
      <c r="F95" s="54" t="s">
        <v>4132</v>
      </c>
      <c r="G95" s="54" t="s">
        <v>3364</v>
      </c>
      <c r="H95" s="54" t="s">
        <v>3363</v>
      </c>
      <c r="I95" s="54" t="s">
        <v>4127</v>
      </c>
      <c r="Q95" s="57" t="str">
        <f t="shared" si="15"/>
        <v/>
      </c>
      <c r="R95" s="56" t="str">
        <f t="shared" si="16"/>
        <v/>
      </c>
      <c r="S95" s="56" t="str">
        <f t="shared" si="17"/>
        <v/>
      </c>
      <c r="T95" s="56" t="str">
        <f t="shared" si="18"/>
        <v/>
      </c>
      <c r="U95" s="57">
        <f t="shared" si="19"/>
        <v>0</v>
      </c>
      <c r="V95" s="57">
        <f t="shared" si="20"/>
        <v>0</v>
      </c>
      <c r="W95" s="57">
        <f t="shared" si="21"/>
        <v>0</v>
      </c>
      <c r="X95" s="57">
        <f t="shared" si="22"/>
        <v>0</v>
      </c>
      <c r="Y95" s="57" t="str">
        <f t="shared" si="25"/>
        <v>nc</v>
      </c>
      <c r="Z95" s="56" t="str">
        <f t="shared" si="26"/>
        <v>nc</v>
      </c>
      <c r="AA95" s="56" t="str">
        <f t="shared" si="27"/>
        <v>nc</v>
      </c>
      <c r="AB95" s="56" t="str">
        <f t="shared" si="28"/>
        <v>nc</v>
      </c>
      <c r="AC95" s="56" t="str">
        <f t="shared" si="23"/>
        <v/>
      </c>
      <c r="AD95" s="54">
        <f t="shared" si="24"/>
        <v>0</v>
      </c>
    </row>
    <row r="96" spans="1:30">
      <c r="A96" s="54" t="s">
        <v>4131</v>
      </c>
      <c r="B96" s="54" t="s">
        <v>4130</v>
      </c>
      <c r="C96" s="54" t="str">
        <f>VLOOKUP(A96,RecNamesAll!A:C,3,FALSE)</f>
        <v>ADGRB3</v>
      </c>
      <c r="D96" s="60">
        <v>176</v>
      </c>
      <c r="E96" s="54" t="s">
        <v>4129</v>
      </c>
      <c r="F96" s="54" t="s">
        <v>4128</v>
      </c>
      <c r="G96" s="54" t="s">
        <v>3364</v>
      </c>
      <c r="H96" s="54" t="s">
        <v>3363</v>
      </c>
      <c r="I96" s="54" t="s">
        <v>4127</v>
      </c>
      <c r="Q96" s="57" t="str">
        <f t="shared" si="15"/>
        <v/>
      </c>
      <c r="R96" s="56" t="str">
        <f t="shared" si="16"/>
        <v/>
      </c>
      <c r="S96" s="56" t="str">
        <f t="shared" si="17"/>
        <v/>
      </c>
      <c r="T96" s="56" t="str">
        <f t="shared" si="18"/>
        <v/>
      </c>
      <c r="U96" s="57">
        <f t="shared" si="19"/>
        <v>0</v>
      </c>
      <c r="V96" s="57">
        <f t="shared" si="20"/>
        <v>0</v>
      </c>
      <c r="W96" s="57">
        <f t="shared" si="21"/>
        <v>0</v>
      </c>
      <c r="X96" s="57">
        <f t="shared" si="22"/>
        <v>0</v>
      </c>
      <c r="Y96" s="57" t="str">
        <f t="shared" si="25"/>
        <v>nc</v>
      </c>
      <c r="Z96" s="56" t="str">
        <f t="shared" si="26"/>
        <v>nc</v>
      </c>
      <c r="AA96" s="56" t="str">
        <f t="shared" si="27"/>
        <v>nc</v>
      </c>
      <c r="AB96" s="56" t="str">
        <f t="shared" si="28"/>
        <v>nc</v>
      </c>
      <c r="AC96" s="56" t="str">
        <f t="shared" si="23"/>
        <v/>
      </c>
      <c r="AD96" s="54">
        <f t="shared" si="24"/>
        <v>0</v>
      </c>
    </row>
    <row r="97" spans="1:30">
      <c r="A97" s="54" t="s">
        <v>4126</v>
      </c>
      <c r="B97" s="54" t="s">
        <v>4125</v>
      </c>
      <c r="C97" s="54" t="str">
        <f>VLOOKUP(A97,RecNamesAll!A:C,3,FALSE)</f>
        <v>ADGRG4</v>
      </c>
      <c r="D97" s="60">
        <v>192</v>
      </c>
      <c r="E97" s="54" t="s">
        <v>4124</v>
      </c>
      <c r="F97" s="54" t="s">
        <v>4123</v>
      </c>
      <c r="G97" s="54" t="s">
        <v>3364</v>
      </c>
      <c r="H97" s="54" t="s">
        <v>3363</v>
      </c>
      <c r="I97" s="54" t="s">
        <v>3362</v>
      </c>
      <c r="Q97" s="57" t="str">
        <f t="shared" si="15"/>
        <v/>
      </c>
      <c r="R97" s="56" t="str">
        <f t="shared" si="16"/>
        <v/>
      </c>
      <c r="S97" s="56" t="str">
        <f t="shared" si="17"/>
        <v/>
      </c>
      <c r="T97" s="56" t="str">
        <f t="shared" si="18"/>
        <v/>
      </c>
      <c r="U97" s="57">
        <f t="shared" si="19"/>
        <v>0</v>
      </c>
      <c r="V97" s="57">
        <f t="shared" si="20"/>
        <v>0</v>
      </c>
      <c r="W97" s="57">
        <f t="shared" si="21"/>
        <v>0</v>
      </c>
      <c r="X97" s="57">
        <f t="shared" si="22"/>
        <v>0</v>
      </c>
      <c r="Y97" s="57" t="str">
        <f t="shared" si="25"/>
        <v>nc</v>
      </c>
      <c r="Z97" s="56" t="str">
        <f t="shared" si="26"/>
        <v>nc</v>
      </c>
      <c r="AA97" s="56" t="str">
        <f t="shared" si="27"/>
        <v>nc</v>
      </c>
      <c r="AB97" s="56" t="str">
        <f t="shared" si="28"/>
        <v>nc</v>
      </c>
      <c r="AC97" s="56" t="str">
        <f t="shared" si="23"/>
        <v/>
      </c>
      <c r="AD97" s="54">
        <f t="shared" si="24"/>
        <v>0</v>
      </c>
    </row>
    <row r="98" spans="1:30">
      <c r="A98" s="54" t="s">
        <v>4122</v>
      </c>
      <c r="B98" s="54" t="s">
        <v>4121</v>
      </c>
      <c r="C98" s="54" t="str">
        <f>VLOOKUP(A98,RecNamesAll!A:C,3,FALSE)</f>
        <v>ADGRG5</v>
      </c>
      <c r="D98" s="60">
        <v>194</v>
      </c>
      <c r="E98" s="54" t="s">
        <v>4120</v>
      </c>
      <c r="F98" s="54" t="s">
        <v>4119</v>
      </c>
      <c r="G98" s="54" t="s">
        <v>3364</v>
      </c>
      <c r="H98" s="54" t="s">
        <v>3363</v>
      </c>
      <c r="I98" s="54" t="s">
        <v>3362</v>
      </c>
      <c r="Q98" s="57" t="str">
        <f t="shared" si="15"/>
        <v/>
      </c>
      <c r="R98" s="56" t="str">
        <f t="shared" si="16"/>
        <v/>
      </c>
      <c r="S98" s="56" t="str">
        <f t="shared" si="17"/>
        <v/>
      </c>
      <c r="T98" s="56" t="str">
        <f t="shared" si="18"/>
        <v/>
      </c>
      <c r="U98" s="57">
        <f t="shared" si="19"/>
        <v>0</v>
      </c>
      <c r="V98" s="57">
        <f t="shared" si="20"/>
        <v>0</v>
      </c>
      <c r="W98" s="57">
        <f t="shared" si="21"/>
        <v>0</v>
      </c>
      <c r="X98" s="57">
        <f t="shared" si="22"/>
        <v>0</v>
      </c>
      <c r="Y98" s="57" t="str">
        <f t="shared" si="25"/>
        <v>nc</v>
      </c>
      <c r="Z98" s="56" t="str">
        <f t="shared" si="26"/>
        <v>nc</v>
      </c>
      <c r="AA98" s="56" t="str">
        <f t="shared" si="27"/>
        <v>nc</v>
      </c>
      <c r="AB98" s="56" t="str">
        <f t="shared" si="28"/>
        <v>nc</v>
      </c>
      <c r="AC98" s="56" t="str">
        <f t="shared" si="23"/>
        <v/>
      </c>
      <c r="AD98" s="54">
        <f t="shared" si="24"/>
        <v>0</v>
      </c>
    </row>
    <row r="99" spans="1:30">
      <c r="A99" s="54" t="s">
        <v>4118</v>
      </c>
      <c r="B99" s="54" t="s">
        <v>4117</v>
      </c>
      <c r="C99" s="54" t="str">
        <f>VLOOKUP(A99,RecNamesAll!A:C,3,FALSE)</f>
        <v>ADGRG6</v>
      </c>
      <c r="D99" s="61"/>
      <c r="E99" s="54" t="s">
        <v>4116</v>
      </c>
      <c r="F99" s="54" t="s">
        <v>4115</v>
      </c>
      <c r="G99" s="54" t="s">
        <v>3364</v>
      </c>
      <c r="H99" s="54" t="s">
        <v>3363</v>
      </c>
      <c r="I99" s="54" t="s">
        <v>3362</v>
      </c>
      <c r="Q99" s="57" t="str">
        <f t="shared" si="15"/>
        <v/>
      </c>
      <c r="R99" s="56" t="str">
        <f t="shared" si="16"/>
        <v/>
      </c>
      <c r="S99" s="56" t="str">
        <f t="shared" si="17"/>
        <v/>
      </c>
      <c r="T99" s="56" t="str">
        <f t="shared" si="18"/>
        <v/>
      </c>
      <c r="U99" s="57">
        <f t="shared" si="19"/>
        <v>0</v>
      </c>
      <c r="V99" s="57">
        <f t="shared" si="20"/>
        <v>0</v>
      </c>
      <c r="W99" s="57">
        <f t="shared" si="21"/>
        <v>0</v>
      </c>
      <c r="X99" s="57">
        <f t="shared" si="22"/>
        <v>0</v>
      </c>
      <c r="Y99" s="57" t="str">
        <f t="shared" si="25"/>
        <v>nc</v>
      </c>
      <c r="Z99" s="56" t="str">
        <f t="shared" si="26"/>
        <v>nc</v>
      </c>
      <c r="AA99" s="56" t="str">
        <f t="shared" si="27"/>
        <v>nc</v>
      </c>
      <c r="AB99" s="56" t="str">
        <f t="shared" si="28"/>
        <v>nc</v>
      </c>
      <c r="AC99" s="56" t="str">
        <f t="shared" si="23"/>
        <v/>
      </c>
      <c r="AD99" s="54">
        <f t="shared" si="24"/>
        <v>0</v>
      </c>
    </row>
    <row r="100" spans="1:30">
      <c r="A100" s="54" t="s">
        <v>4114</v>
      </c>
      <c r="B100" s="54" t="s">
        <v>4113</v>
      </c>
      <c r="C100" s="54" t="str">
        <f>VLOOKUP(A100,RecNamesAll!A:C,3,FALSE)</f>
        <v>ADGRG7</v>
      </c>
      <c r="D100" s="60">
        <v>201</v>
      </c>
      <c r="E100" s="54" t="s">
        <v>4112</v>
      </c>
      <c r="F100" s="54" t="s">
        <v>4111</v>
      </c>
      <c r="G100" s="54" t="s">
        <v>3364</v>
      </c>
      <c r="H100" s="54" t="s">
        <v>3363</v>
      </c>
      <c r="I100" s="54" t="s">
        <v>3362</v>
      </c>
      <c r="Q100" s="57" t="str">
        <f t="shared" si="15"/>
        <v/>
      </c>
      <c r="R100" s="56" t="str">
        <f t="shared" si="16"/>
        <v/>
      </c>
      <c r="S100" s="56" t="str">
        <f t="shared" si="17"/>
        <v/>
      </c>
      <c r="T100" s="56" t="str">
        <f t="shared" si="18"/>
        <v/>
      </c>
      <c r="U100" s="57">
        <f t="shared" si="19"/>
        <v>0</v>
      </c>
      <c r="V100" s="57">
        <f t="shared" si="20"/>
        <v>0</v>
      </c>
      <c r="W100" s="57">
        <f t="shared" si="21"/>
        <v>0</v>
      </c>
      <c r="X100" s="57">
        <f t="shared" si="22"/>
        <v>0</v>
      </c>
      <c r="Y100" s="57" t="str">
        <f t="shared" si="25"/>
        <v>nc</v>
      </c>
      <c r="Z100" s="56" t="str">
        <f t="shared" si="26"/>
        <v>nc</v>
      </c>
      <c r="AA100" s="56" t="str">
        <f t="shared" si="27"/>
        <v>nc</v>
      </c>
      <c r="AB100" s="56" t="str">
        <f t="shared" si="28"/>
        <v>nc</v>
      </c>
      <c r="AC100" s="56" t="str">
        <f t="shared" si="23"/>
        <v/>
      </c>
      <c r="AD100" s="54">
        <f t="shared" si="24"/>
        <v>0</v>
      </c>
    </row>
    <row r="101" spans="1:30">
      <c r="A101" s="54" t="s">
        <v>4110</v>
      </c>
      <c r="B101" s="54" t="s">
        <v>4109</v>
      </c>
      <c r="C101" s="54" t="str">
        <f>VLOOKUP(A101,RecNamesAll!A:C,3,FALSE)</f>
        <v>ADGRV1</v>
      </c>
      <c r="D101" s="61"/>
      <c r="E101" s="54" t="s">
        <v>4108</v>
      </c>
      <c r="F101" s="54" t="s">
        <v>4107</v>
      </c>
      <c r="G101" s="54" t="s">
        <v>3364</v>
      </c>
      <c r="H101" s="54" t="s">
        <v>3363</v>
      </c>
      <c r="I101" s="54" t="s">
        <v>4106</v>
      </c>
      <c r="Q101" s="57" t="str">
        <f t="shared" si="15"/>
        <v/>
      </c>
      <c r="R101" s="56" t="str">
        <f t="shared" si="16"/>
        <v/>
      </c>
      <c r="S101" s="56" t="str">
        <f t="shared" si="17"/>
        <v/>
      </c>
      <c r="T101" s="56" t="str">
        <f t="shared" si="18"/>
        <v/>
      </c>
      <c r="U101" s="57">
        <f t="shared" si="19"/>
        <v>0</v>
      </c>
      <c r="V101" s="57">
        <f t="shared" si="20"/>
        <v>0</v>
      </c>
      <c r="W101" s="57">
        <f t="shared" si="21"/>
        <v>0</v>
      </c>
      <c r="X101" s="57">
        <f t="shared" si="22"/>
        <v>0</v>
      </c>
      <c r="Y101" s="57" t="str">
        <f t="shared" si="25"/>
        <v>nc</v>
      </c>
      <c r="Z101" s="56" t="str">
        <f t="shared" si="26"/>
        <v>nc</v>
      </c>
      <c r="AA101" s="56" t="str">
        <f t="shared" si="27"/>
        <v>nc</v>
      </c>
      <c r="AB101" s="56" t="str">
        <f t="shared" si="28"/>
        <v>nc</v>
      </c>
      <c r="AC101" s="56" t="str">
        <f t="shared" si="23"/>
        <v/>
      </c>
      <c r="AD101" s="54">
        <f t="shared" si="24"/>
        <v>0</v>
      </c>
    </row>
    <row r="102" spans="1:30">
      <c r="A102" s="54" t="s">
        <v>4105</v>
      </c>
      <c r="B102" s="54" t="s">
        <v>1202</v>
      </c>
      <c r="C102" s="54" t="str">
        <f>VLOOKUP(A102,RecNamesAll!A:C,3,FALSE)</f>
        <v>GABAB1</v>
      </c>
      <c r="D102" s="60">
        <v>240</v>
      </c>
      <c r="E102" s="54" t="s">
        <v>4104</v>
      </c>
      <c r="F102" s="54" t="s">
        <v>4103</v>
      </c>
      <c r="G102" s="54" t="s">
        <v>3323</v>
      </c>
      <c r="H102" s="54" t="s">
        <v>3329</v>
      </c>
      <c r="I102" s="54" t="s">
        <v>4098</v>
      </c>
      <c r="N102" s="54">
        <v>15240800</v>
      </c>
      <c r="P102" s="59">
        <v>4.1666666666666664E-2</v>
      </c>
      <c r="Q102" s="57" t="str">
        <f t="shared" si="15"/>
        <v/>
      </c>
      <c r="R102" s="56" t="str">
        <f t="shared" si="16"/>
        <v/>
      </c>
      <c r="S102" s="56" t="str">
        <f t="shared" si="17"/>
        <v/>
      </c>
      <c r="T102" s="56" t="str">
        <f t="shared" si="18"/>
        <v/>
      </c>
      <c r="U102" s="57">
        <f t="shared" si="19"/>
        <v>0</v>
      </c>
      <c r="V102" s="57">
        <f t="shared" si="20"/>
        <v>0</v>
      </c>
      <c r="W102" s="57">
        <f t="shared" si="21"/>
        <v>0</v>
      </c>
      <c r="X102" s="57">
        <f t="shared" si="22"/>
        <v>0</v>
      </c>
      <c r="Y102" s="57" t="str">
        <f t="shared" si="25"/>
        <v>nc</v>
      </c>
      <c r="Z102" s="56" t="str">
        <f t="shared" si="26"/>
        <v>nc</v>
      </c>
      <c r="AA102" s="56" t="str">
        <f t="shared" si="27"/>
        <v>nc</v>
      </c>
      <c r="AB102" s="56" t="str">
        <f t="shared" si="28"/>
        <v>nc</v>
      </c>
      <c r="AC102" s="56" t="str">
        <f t="shared" si="23"/>
        <v/>
      </c>
      <c r="AD102" s="54">
        <f t="shared" si="24"/>
        <v>0</v>
      </c>
    </row>
    <row r="103" spans="1:30">
      <c r="A103" s="54" t="s">
        <v>4102</v>
      </c>
      <c r="B103" s="54" t="s">
        <v>4101</v>
      </c>
      <c r="C103" s="54" t="str">
        <f>VLOOKUP(A103,RecNamesAll!A:C,3,FALSE)</f>
        <v>GABAB2</v>
      </c>
      <c r="D103" s="60">
        <v>241</v>
      </c>
      <c r="E103" s="54" t="s">
        <v>4100</v>
      </c>
      <c r="F103" s="54" t="s">
        <v>4099</v>
      </c>
      <c r="G103" s="54" t="s">
        <v>3323</v>
      </c>
      <c r="H103" s="54" t="s">
        <v>3329</v>
      </c>
      <c r="I103" s="54" t="s">
        <v>4098</v>
      </c>
      <c r="N103" s="54" t="s">
        <v>4097</v>
      </c>
      <c r="P103" s="59">
        <v>8.3333333333333329E-2</v>
      </c>
      <c r="Q103" s="57" t="str">
        <f t="shared" si="15"/>
        <v/>
      </c>
      <c r="R103" s="56" t="str">
        <f t="shared" si="16"/>
        <v/>
      </c>
      <c r="S103" s="56" t="str">
        <f t="shared" si="17"/>
        <v/>
      </c>
      <c r="T103" s="56" t="str">
        <f t="shared" si="18"/>
        <v/>
      </c>
      <c r="U103" s="57">
        <f t="shared" si="19"/>
        <v>0</v>
      </c>
      <c r="V103" s="57">
        <f t="shared" si="20"/>
        <v>0</v>
      </c>
      <c r="W103" s="57">
        <f t="shared" si="21"/>
        <v>0</v>
      </c>
      <c r="X103" s="57">
        <f t="shared" si="22"/>
        <v>0</v>
      </c>
      <c r="Y103" s="57" t="str">
        <f t="shared" si="25"/>
        <v>nc</v>
      </c>
      <c r="Z103" s="56" t="str">
        <f t="shared" si="26"/>
        <v>nc</v>
      </c>
      <c r="AA103" s="56" t="str">
        <f t="shared" si="27"/>
        <v>nc</v>
      </c>
      <c r="AB103" s="56" t="str">
        <f t="shared" si="28"/>
        <v>nc</v>
      </c>
      <c r="AC103" s="56" t="str">
        <f t="shared" si="23"/>
        <v/>
      </c>
      <c r="AD103" s="54">
        <f t="shared" si="24"/>
        <v>0</v>
      </c>
    </row>
    <row r="104" spans="1:30">
      <c r="A104" s="54" t="s">
        <v>4096</v>
      </c>
      <c r="B104" s="54" t="s">
        <v>4095</v>
      </c>
      <c r="C104" s="54" t="str">
        <f>VLOOKUP(A104,RecNamesAll!A:C,3,FALSE)</f>
        <v>TAS1R1</v>
      </c>
      <c r="D104" s="60">
        <v>656</v>
      </c>
      <c r="E104" s="54" t="s">
        <v>4094</v>
      </c>
      <c r="F104" s="54" t="s">
        <v>4093</v>
      </c>
      <c r="G104" s="54" t="s">
        <v>3323</v>
      </c>
      <c r="H104" s="54" t="s">
        <v>3499</v>
      </c>
      <c r="I104" s="54" t="s">
        <v>4084</v>
      </c>
      <c r="Q104" s="57" t="str">
        <f t="shared" si="15"/>
        <v/>
      </c>
      <c r="R104" s="56" t="str">
        <f t="shared" si="16"/>
        <v/>
      </c>
      <c r="S104" s="56" t="str">
        <f t="shared" si="17"/>
        <v/>
      </c>
      <c r="T104" s="56" t="str">
        <f t="shared" si="18"/>
        <v/>
      </c>
      <c r="U104" s="57">
        <f t="shared" si="19"/>
        <v>0</v>
      </c>
      <c r="V104" s="57">
        <f t="shared" si="20"/>
        <v>0</v>
      </c>
      <c r="W104" s="57">
        <f t="shared" si="21"/>
        <v>0</v>
      </c>
      <c r="X104" s="57">
        <f t="shared" si="22"/>
        <v>0</v>
      </c>
      <c r="Y104" s="57" t="str">
        <f t="shared" si="25"/>
        <v>nc</v>
      </c>
      <c r="Z104" s="56" t="str">
        <f t="shared" si="26"/>
        <v>nc</v>
      </c>
      <c r="AA104" s="56" t="str">
        <f t="shared" si="27"/>
        <v>nc</v>
      </c>
      <c r="AB104" s="56" t="str">
        <f t="shared" si="28"/>
        <v>nc</v>
      </c>
      <c r="AC104" s="56" t="str">
        <f t="shared" si="23"/>
        <v/>
      </c>
      <c r="AD104" s="54">
        <f t="shared" si="24"/>
        <v>0</v>
      </c>
    </row>
    <row r="105" spans="1:30">
      <c r="A105" s="54" t="s">
        <v>4092</v>
      </c>
      <c r="B105" s="54" t="s">
        <v>4091</v>
      </c>
      <c r="C105" s="54" t="str">
        <f>VLOOKUP(A105,RecNamesAll!A:C,3,FALSE)</f>
        <v>TAS1R2</v>
      </c>
      <c r="D105" s="60">
        <v>657</v>
      </c>
      <c r="E105" s="54" t="s">
        <v>4090</v>
      </c>
      <c r="F105" s="54" t="s">
        <v>4089</v>
      </c>
      <c r="G105" s="54" t="s">
        <v>3323</v>
      </c>
      <c r="H105" s="54" t="s">
        <v>3499</v>
      </c>
      <c r="I105" s="54" t="s">
        <v>4084</v>
      </c>
      <c r="Q105" s="57" t="str">
        <f t="shared" si="15"/>
        <v/>
      </c>
      <c r="R105" s="56" t="str">
        <f t="shared" si="16"/>
        <v/>
      </c>
      <c r="S105" s="56" t="str">
        <f t="shared" si="17"/>
        <v/>
      </c>
      <c r="T105" s="56" t="str">
        <f t="shared" si="18"/>
        <v/>
      </c>
      <c r="U105" s="57">
        <f t="shared" si="19"/>
        <v>0</v>
      </c>
      <c r="V105" s="57">
        <f t="shared" si="20"/>
        <v>0</v>
      </c>
      <c r="W105" s="57">
        <f t="shared" si="21"/>
        <v>0</v>
      </c>
      <c r="X105" s="57">
        <f t="shared" si="22"/>
        <v>0</v>
      </c>
      <c r="Y105" s="57" t="str">
        <f t="shared" si="25"/>
        <v>nc</v>
      </c>
      <c r="Z105" s="56" t="str">
        <f t="shared" si="26"/>
        <v>nc</v>
      </c>
      <c r="AA105" s="56" t="str">
        <f t="shared" si="27"/>
        <v>nc</v>
      </c>
      <c r="AB105" s="56" t="str">
        <f t="shared" si="28"/>
        <v>nc</v>
      </c>
      <c r="AC105" s="56" t="str">
        <f t="shared" si="23"/>
        <v/>
      </c>
      <c r="AD105" s="54">
        <f t="shared" si="24"/>
        <v>0</v>
      </c>
    </row>
    <row r="106" spans="1:30">
      <c r="A106" s="54" t="s">
        <v>4088</v>
      </c>
      <c r="B106" s="54" t="s">
        <v>4087</v>
      </c>
      <c r="C106" s="54" t="str">
        <f>VLOOKUP(A106,RecNamesAll!A:C,3,FALSE)</f>
        <v>TAS1R3</v>
      </c>
      <c r="D106" s="60">
        <v>658</v>
      </c>
      <c r="E106" s="54" t="s">
        <v>4086</v>
      </c>
      <c r="F106" s="54" t="s">
        <v>4085</v>
      </c>
      <c r="G106" s="54" t="s">
        <v>3323</v>
      </c>
      <c r="H106" s="54" t="s">
        <v>3499</v>
      </c>
      <c r="I106" s="54" t="s">
        <v>4084</v>
      </c>
      <c r="Q106" s="57" t="str">
        <f t="shared" si="15"/>
        <v/>
      </c>
      <c r="R106" s="56" t="str">
        <f t="shared" si="16"/>
        <v/>
      </c>
      <c r="S106" s="56" t="str">
        <f t="shared" si="17"/>
        <v/>
      </c>
      <c r="T106" s="56" t="str">
        <f t="shared" si="18"/>
        <v/>
      </c>
      <c r="U106" s="57">
        <f t="shared" si="19"/>
        <v>0</v>
      </c>
      <c r="V106" s="57">
        <f t="shared" si="20"/>
        <v>0</v>
      </c>
      <c r="W106" s="57">
        <f t="shared" si="21"/>
        <v>0</v>
      </c>
      <c r="X106" s="57">
        <f t="shared" si="22"/>
        <v>0</v>
      </c>
      <c r="Y106" s="57" t="str">
        <f t="shared" si="25"/>
        <v>nc</v>
      </c>
      <c r="Z106" s="56" t="str">
        <f t="shared" si="26"/>
        <v>nc</v>
      </c>
      <c r="AA106" s="56" t="str">
        <f t="shared" si="27"/>
        <v>nc</v>
      </c>
      <c r="AB106" s="56" t="str">
        <f t="shared" si="28"/>
        <v>nc</v>
      </c>
      <c r="AC106" s="56" t="str">
        <f t="shared" si="23"/>
        <v/>
      </c>
      <c r="AD106" s="54">
        <f t="shared" si="24"/>
        <v>0</v>
      </c>
    </row>
    <row r="107" spans="1:30">
      <c r="A107" s="54" t="s">
        <v>4083</v>
      </c>
      <c r="B107" s="54" t="s">
        <v>4082</v>
      </c>
      <c r="C107" s="54" t="str">
        <f>VLOOKUP(A107,RecNamesAll!A:C,3,FALSE)</f>
        <v>GPR156</v>
      </c>
      <c r="D107" s="61"/>
      <c r="E107" s="54" t="s">
        <v>4081</v>
      </c>
      <c r="F107" s="54" t="s">
        <v>4080</v>
      </c>
      <c r="G107" s="54" t="s">
        <v>3323</v>
      </c>
      <c r="H107" s="54" t="s">
        <v>3322</v>
      </c>
      <c r="I107" s="54" t="s">
        <v>3321</v>
      </c>
      <c r="Q107" s="57" t="str">
        <f t="shared" si="15"/>
        <v/>
      </c>
      <c r="R107" s="56" t="str">
        <f t="shared" si="16"/>
        <v/>
      </c>
      <c r="S107" s="56" t="str">
        <f t="shared" si="17"/>
        <v/>
      </c>
      <c r="T107" s="56" t="str">
        <f t="shared" si="18"/>
        <v/>
      </c>
      <c r="U107" s="57">
        <f t="shared" si="19"/>
        <v>0</v>
      </c>
      <c r="V107" s="57">
        <f t="shared" si="20"/>
        <v>0</v>
      </c>
      <c r="W107" s="57">
        <f t="shared" si="21"/>
        <v>0</v>
      </c>
      <c r="X107" s="57">
        <f t="shared" si="22"/>
        <v>0</v>
      </c>
      <c r="Y107" s="57" t="str">
        <f t="shared" si="25"/>
        <v>nc</v>
      </c>
      <c r="Z107" s="56" t="str">
        <f t="shared" si="26"/>
        <v>nc</v>
      </c>
      <c r="AA107" s="56" t="str">
        <f t="shared" si="27"/>
        <v>nc</v>
      </c>
      <c r="AB107" s="56" t="str">
        <f t="shared" si="28"/>
        <v>nc</v>
      </c>
      <c r="AC107" s="56" t="str">
        <f t="shared" si="23"/>
        <v/>
      </c>
      <c r="AD107" s="54">
        <f t="shared" si="24"/>
        <v>0</v>
      </c>
    </row>
    <row r="108" spans="1:30">
      <c r="A108" s="54" t="s">
        <v>5925</v>
      </c>
      <c r="B108" s="54" t="s">
        <v>4078</v>
      </c>
      <c r="C108" s="54" t="str">
        <f>VLOOKUP(A108,RecNamesAll!A:C,3,FALSE)</f>
        <v>GPR158</v>
      </c>
      <c r="D108" s="61"/>
      <c r="E108" s="54" t="s">
        <v>4077</v>
      </c>
      <c r="F108" s="54" t="s">
        <v>4076</v>
      </c>
      <c r="G108" s="54" t="s">
        <v>3323</v>
      </c>
      <c r="H108" s="54" t="s">
        <v>3322</v>
      </c>
      <c r="I108" s="54" t="s">
        <v>3321</v>
      </c>
      <c r="Q108" s="57" t="str">
        <f t="shared" si="15"/>
        <v/>
      </c>
      <c r="R108" s="56" t="str">
        <f t="shared" si="16"/>
        <v/>
      </c>
      <c r="S108" s="56" t="str">
        <f t="shared" si="17"/>
        <v/>
      </c>
      <c r="T108" s="56" t="str">
        <f t="shared" si="18"/>
        <v/>
      </c>
      <c r="U108" s="57">
        <f t="shared" si="19"/>
        <v>0</v>
      </c>
      <c r="V108" s="57">
        <f t="shared" si="20"/>
        <v>0</v>
      </c>
      <c r="W108" s="57">
        <f t="shared" si="21"/>
        <v>0</v>
      </c>
      <c r="X108" s="57">
        <f t="shared" si="22"/>
        <v>0</v>
      </c>
      <c r="Y108" s="57" t="str">
        <f t="shared" si="25"/>
        <v>nc</v>
      </c>
      <c r="Z108" s="56" t="str">
        <f t="shared" si="26"/>
        <v>nc</v>
      </c>
      <c r="AA108" s="56" t="str">
        <f t="shared" si="27"/>
        <v>nc</v>
      </c>
      <c r="AB108" s="56" t="str">
        <f t="shared" si="28"/>
        <v>nc</v>
      </c>
      <c r="AC108" s="56" t="str">
        <f t="shared" si="23"/>
        <v/>
      </c>
      <c r="AD108" s="54">
        <f t="shared" si="24"/>
        <v>0</v>
      </c>
    </row>
    <row r="109" spans="1:30">
      <c r="A109" s="54" t="s">
        <v>4075</v>
      </c>
      <c r="B109" s="54" t="s">
        <v>4074</v>
      </c>
      <c r="C109" s="54" t="str">
        <f>VLOOKUP(A109,RecNamesAll!A:C,3,FALSE)</f>
        <v>GPR179</v>
      </c>
      <c r="D109" s="61"/>
      <c r="E109" s="54" t="s">
        <v>4073</v>
      </c>
      <c r="F109" s="54" t="s">
        <v>4072</v>
      </c>
      <c r="G109" s="54" t="s">
        <v>3323</v>
      </c>
      <c r="H109" s="54" t="s">
        <v>3322</v>
      </c>
      <c r="I109" s="54" t="s">
        <v>3321</v>
      </c>
      <c r="Q109" s="57" t="str">
        <f t="shared" si="15"/>
        <v/>
      </c>
      <c r="R109" s="56" t="str">
        <f t="shared" si="16"/>
        <v/>
      </c>
      <c r="S109" s="56" t="str">
        <f t="shared" si="17"/>
        <v/>
      </c>
      <c r="T109" s="56" t="str">
        <f t="shared" si="18"/>
        <v/>
      </c>
      <c r="U109" s="57">
        <f t="shared" si="19"/>
        <v>0</v>
      </c>
      <c r="V109" s="57">
        <f t="shared" si="20"/>
        <v>0</v>
      </c>
      <c r="W109" s="57">
        <f t="shared" si="21"/>
        <v>0</v>
      </c>
      <c r="X109" s="57">
        <f t="shared" si="22"/>
        <v>0</v>
      </c>
      <c r="Y109" s="57" t="str">
        <f t="shared" si="25"/>
        <v>nc</v>
      </c>
      <c r="Z109" s="56" t="str">
        <f t="shared" si="26"/>
        <v>nc</v>
      </c>
      <c r="AA109" s="56" t="str">
        <f t="shared" si="27"/>
        <v>nc</v>
      </c>
      <c r="AB109" s="56" t="str">
        <f t="shared" si="28"/>
        <v>nc</v>
      </c>
      <c r="AC109" s="56" t="str">
        <f t="shared" si="23"/>
        <v/>
      </c>
      <c r="AD109" s="54">
        <f t="shared" si="24"/>
        <v>0</v>
      </c>
    </row>
    <row r="110" spans="1:30">
      <c r="A110" s="54" t="s">
        <v>4071</v>
      </c>
      <c r="B110" s="54" t="s">
        <v>4070</v>
      </c>
      <c r="C110" s="54" t="str">
        <f>VLOOKUP(A110,RecNamesAll!A:C,3,FALSE)</f>
        <v>GPRC5A</v>
      </c>
      <c r="D110" s="61"/>
      <c r="E110" s="54" t="s">
        <v>4069</v>
      </c>
      <c r="F110" s="54" t="s">
        <v>4068</v>
      </c>
      <c r="G110" s="54" t="s">
        <v>3323</v>
      </c>
      <c r="H110" s="54" t="s">
        <v>3322</v>
      </c>
      <c r="I110" s="54" t="s">
        <v>3321</v>
      </c>
      <c r="Q110" s="57" t="str">
        <f t="shared" si="15"/>
        <v/>
      </c>
      <c r="R110" s="56" t="str">
        <f t="shared" si="16"/>
        <v/>
      </c>
      <c r="S110" s="56" t="str">
        <f t="shared" si="17"/>
        <v/>
      </c>
      <c r="T110" s="56" t="str">
        <f t="shared" si="18"/>
        <v/>
      </c>
      <c r="U110" s="57">
        <f t="shared" si="19"/>
        <v>0</v>
      </c>
      <c r="V110" s="57">
        <f t="shared" si="20"/>
        <v>0</v>
      </c>
      <c r="W110" s="57">
        <f t="shared" si="21"/>
        <v>0</v>
      </c>
      <c r="X110" s="57">
        <f t="shared" si="22"/>
        <v>0</v>
      </c>
      <c r="Y110" s="57" t="str">
        <f t="shared" si="25"/>
        <v>nc</v>
      </c>
      <c r="Z110" s="56" t="str">
        <f t="shared" si="26"/>
        <v>nc</v>
      </c>
      <c r="AA110" s="56" t="str">
        <f t="shared" si="27"/>
        <v>nc</v>
      </c>
      <c r="AB110" s="56" t="str">
        <f t="shared" si="28"/>
        <v>nc</v>
      </c>
      <c r="AC110" s="56" t="str">
        <f t="shared" si="23"/>
        <v/>
      </c>
      <c r="AD110" s="54">
        <f t="shared" si="24"/>
        <v>0</v>
      </c>
    </row>
    <row r="111" spans="1:30">
      <c r="A111" s="54" t="s">
        <v>4067</v>
      </c>
      <c r="B111" s="54" t="s">
        <v>4066</v>
      </c>
      <c r="C111" s="54" t="str">
        <f>VLOOKUP(A111,RecNamesAll!A:C,3,FALSE)</f>
        <v>GPRC5B</v>
      </c>
      <c r="D111" s="61"/>
      <c r="E111" s="54" t="s">
        <v>4065</v>
      </c>
      <c r="F111" s="54" t="s">
        <v>4064</v>
      </c>
      <c r="G111" s="54" t="s">
        <v>3323</v>
      </c>
      <c r="H111" s="54" t="s">
        <v>3322</v>
      </c>
      <c r="I111" s="54" t="s">
        <v>3321</v>
      </c>
      <c r="Q111" s="57" t="str">
        <f t="shared" si="15"/>
        <v/>
      </c>
      <c r="R111" s="56" t="str">
        <f t="shared" si="16"/>
        <v/>
      </c>
      <c r="S111" s="56" t="str">
        <f t="shared" si="17"/>
        <v/>
      </c>
      <c r="T111" s="56" t="str">
        <f t="shared" si="18"/>
        <v/>
      </c>
      <c r="U111" s="57">
        <f t="shared" si="19"/>
        <v>0</v>
      </c>
      <c r="V111" s="57">
        <f t="shared" si="20"/>
        <v>0</v>
      </c>
      <c r="W111" s="57">
        <f t="shared" si="21"/>
        <v>0</v>
      </c>
      <c r="X111" s="57">
        <f t="shared" si="22"/>
        <v>0</v>
      </c>
      <c r="Y111" s="57" t="str">
        <f t="shared" si="25"/>
        <v>nc</v>
      </c>
      <c r="Z111" s="56" t="str">
        <f t="shared" si="26"/>
        <v>nc</v>
      </c>
      <c r="AA111" s="56" t="str">
        <f t="shared" si="27"/>
        <v>nc</v>
      </c>
      <c r="AB111" s="56" t="str">
        <f t="shared" si="28"/>
        <v>nc</v>
      </c>
      <c r="AC111" s="56" t="str">
        <f t="shared" si="23"/>
        <v/>
      </c>
      <c r="AD111" s="54">
        <f t="shared" si="24"/>
        <v>0</v>
      </c>
    </row>
    <row r="112" spans="1:30">
      <c r="A112" s="54" t="s">
        <v>4063</v>
      </c>
      <c r="B112" s="54" t="s">
        <v>4062</v>
      </c>
      <c r="C112" s="54" t="str">
        <f>VLOOKUP(A112,RecNamesAll!A:C,3,FALSE)</f>
        <v>GPRC5C</v>
      </c>
      <c r="D112" s="61"/>
      <c r="E112" s="54" t="s">
        <v>4061</v>
      </c>
      <c r="F112" s="54" t="s">
        <v>4060</v>
      </c>
      <c r="G112" s="54" t="s">
        <v>3323</v>
      </c>
      <c r="H112" s="54" t="s">
        <v>3322</v>
      </c>
      <c r="I112" s="54" t="s">
        <v>3321</v>
      </c>
      <c r="Q112" s="57" t="str">
        <f t="shared" si="15"/>
        <v/>
      </c>
      <c r="R112" s="56" t="str">
        <f t="shared" si="16"/>
        <v/>
      </c>
      <c r="S112" s="56" t="str">
        <f t="shared" si="17"/>
        <v/>
      </c>
      <c r="T112" s="56" t="str">
        <f t="shared" si="18"/>
        <v/>
      </c>
      <c r="U112" s="57">
        <f t="shared" si="19"/>
        <v>0</v>
      </c>
      <c r="V112" s="57">
        <f t="shared" si="20"/>
        <v>0</v>
      </c>
      <c r="W112" s="57">
        <f t="shared" si="21"/>
        <v>0</v>
      </c>
      <c r="X112" s="57">
        <f t="shared" si="22"/>
        <v>0</v>
      </c>
      <c r="Y112" s="57" t="str">
        <f t="shared" si="25"/>
        <v>nc</v>
      </c>
      <c r="Z112" s="56" t="str">
        <f t="shared" si="26"/>
        <v>nc</v>
      </c>
      <c r="AA112" s="56" t="str">
        <f t="shared" si="27"/>
        <v>nc</v>
      </c>
      <c r="AB112" s="56" t="str">
        <f t="shared" si="28"/>
        <v>nc</v>
      </c>
      <c r="AC112" s="56" t="str">
        <f t="shared" si="23"/>
        <v/>
      </c>
      <c r="AD112" s="54">
        <f t="shared" si="24"/>
        <v>0</v>
      </c>
    </row>
    <row r="113" spans="1:30">
      <c r="A113" s="54" t="s">
        <v>4059</v>
      </c>
      <c r="B113" s="54" t="s">
        <v>4058</v>
      </c>
      <c r="C113" s="54" t="str">
        <f>VLOOKUP(A113,RecNamesAll!A:C,3,FALSE)</f>
        <v>GPRC5D</v>
      </c>
      <c r="D113" s="61"/>
      <c r="E113" s="54" t="s">
        <v>4057</v>
      </c>
      <c r="G113" s="54" t="s">
        <v>3323</v>
      </c>
      <c r="H113" s="54" t="s">
        <v>3322</v>
      </c>
      <c r="I113" s="54" t="s">
        <v>3321</v>
      </c>
      <c r="Q113" s="57" t="str">
        <f t="shared" si="15"/>
        <v/>
      </c>
      <c r="R113" s="56" t="str">
        <f t="shared" si="16"/>
        <v/>
      </c>
      <c r="S113" s="56" t="str">
        <f t="shared" si="17"/>
        <v/>
      </c>
      <c r="T113" s="56" t="str">
        <f t="shared" si="18"/>
        <v/>
      </c>
      <c r="U113" s="57">
        <f t="shared" si="19"/>
        <v>0</v>
      </c>
      <c r="V113" s="57">
        <f t="shared" si="20"/>
        <v>0</v>
      </c>
      <c r="W113" s="57">
        <f t="shared" si="21"/>
        <v>0</v>
      </c>
      <c r="X113" s="57">
        <f t="shared" si="22"/>
        <v>0</v>
      </c>
      <c r="Y113" s="57" t="str">
        <f t="shared" si="25"/>
        <v>nc</v>
      </c>
      <c r="Z113" s="56" t="str">
        <f t="shared" si="26"/>
        <v>nc</v>
      </c>
      <c r="AA113" s="56" t="str">
        <f t="shared" si="27"/>
        <v>nc</v>
      </c>
      <c r="AB113" s="56" t="str">
        <f t="shared" si="28"/>
        <v>nc</v>
      </c>
      <c r="AC113" s="56" t="str">
        <f t="shared" si="23"/>
        <v/>
      </c>
      <c r="AD113" s="54">
        <f t="shared" si="24"/>
        <v>0</v>
      </c>
    </row>
    <row r="114" spans="1:30">
      <c r="A114" s="54" t="s">
        <v>4055</v>
      </c>
      <c r="B114" s="54" t="s">
        <v>4056</v>
      </c>
      <c r="C114" s="54" t="str">
        <f>VLOOKUP(A114,RecNamesAll!A:C,3,FALSE)</f>
        <v>FZD5</v>
      </c>
      <c r="D114" s="60">
        <v>233</v>
      </c>
      <c r="E114" s="54" t="s">
        <v>4055</v>
      </c>
      <c r="F114" s="54" t="s">
        <v>4054</v>
      </c>
      <c r="G114" s="54" t="s">
        <v>3289</v>
      </c>
      <c r="H114" s="54" t="s">
        <v>3288</v>
      </c>
      <c r="I114" s="54" t="s">
        <v>3287</v>
      </c>
      <c r="Q114" s="57" t="str">
        <f t="shared" si="15"/>
        <v/>
      </c>
      <c r="R114" s="56" t="str">
        <f t="shared" si="16"/>
        <v/>
      </c>
      <c r="S114" s="56" t="str">
        <f t="shared" si="17"/>
        <v/>
      </c>
      <c r="T114" s="56" t="str">
        <f t="shared" si="18"/>
        <v/>
      </c>
      <c r="U114" s="57">
        <f t="shared" si="19"/>
        <v>0</v>
      </c>
      <c r="V114" s="57">
        <f t="shared" si="20"/>
        <v>0</v>
      </c>
      <c r="W114" s="57">
        <f t="shared" si="21"/>
        <v>0</v>
      </c>
      <c r="X114" s="57">
        <f t="shared" si="22"/>
        <v>0</v>
      </c>
      <c r="Y114" s="57" t="str">
        <f t="shared" si="25"/>
        <v>nc</v>
      </c>
      <c r="Z114" s="56" t="str">
        <f t="shared" si="26"/>
        <v>nc</v>
      </c>
      <c r="AA114" s="56" t="str">
        <f t="shared" si="27"/>
        <v>nc</v>
      </c>
      <c r="AB114" s="56" t="str">
        <f t="shared" si="28"/>
        <v>nc</v>
      </c>
      <c r="AC114" s="56" t="str">
        <f t="shared" si="23"/>
        <v/>
      </c>
      <c r="AD114" s="54">
        <f t="shared" si="24"/>
        <v>0</v>
      </c>
    </row>
    <row r="115" spans="1:30">
      <c r="A115" s="54" t="s">
        <v>4052</v>
      </c>
      <c r="B115" s="54" t="s">
        <v>4053</v>
      </c>
      <c r="C115" s="54" t="str">
        <f>VLOOKUP(A115,RecNamesAll!A:C,3,FALSE)</f>
        <v>FZD8</v>
      </c>
      <c r="D115" s="60">
        <v>236</v>
      </c>
      <c r="E115" s="54" t="s">
        <v>4052</v>
      </c>
      <c r="G115" s="54" t="s">
        <v>3289</v>
      </c>
      <c r="H115" s="54" t="s">
        <v>3288</v>
      </c>
      <c r="I115" s="54" t="s">
        <v>3287</v>
      </c>
      <c r="J115" s="54" t="s">
        <v>3396</v>
      </c>
      <c r="L115" s="54" t="s">
        <v>3298</v>
      </c>
      <c r="Q115" s="57" t="str">
        <f t="shared" si="15"/>
        <v/>
      </c>
      <c r="R115" s="56" t="str">
        <f t="shared" si="16"/>
        <v/>
      </c>
      <c r="S115" s="56" t="str">
        <f t="shared" si="17"/>
        <v/>
      </c>
      <c r="T115" s="56" t="str">
        <f t="shared" si="18"/>
        <v/>
      </c>
      <c r="U115" s="57">
        <f t="shared" si="19"/>
        <v>0</v>
      </c>
      <c r="V115" s="57">
        <f t="shared" si="20"/>
        <v>0</v>
      </c>
      <c r="W115" s="57">
        <f t="shared" si="21"/>
        <v>0</v>
      </c>
      <c r="X115" s="57">
        <f t="shared" si="22"/>
        <v>0</v>
      </c>
      <c r="Y115" s="57" t="str">
        <f t="shared" si="25"/>
        <v>nc</v>
      </c>
      <c r="Z115" s="56" t="str">
        <f t="shared" si="26"/>
        <v>nc</v>
      </c>
      <c r="AA115" s="56" t="str">
        <f t="shared" si="27"/>
        <v>nc</v>
      </c>
      <c r="AB115" s="56" t="str">
        <f t="shared" si="28"/>
        <v>nc</v>
      </c>
      <c r="AC115" s="56" t="str">
        <f t="shared" si="23"/>
        <v/>
      </c>
      <c r="AD115" s="54">
        <f t="shared" si="24"/>
        <v>0</v>
      </c>
    </row>
    <row r="116" spans="1:30">
      <c r="A116" s="54" t="s">
        <v>4051</v>
      </c>
      <c r="B116" s="54" t="s">
        <v>4050</v>
      </c>
      <c r="C116" s="54" t="str">
        <f>VLOOKUP(A116,RecNamesAll!A:C,3,FALSE)</f>
        <v>TAS2R9</v>
      </c>
      <c r="D116" s="60">
        <v>665</v>
      </c>
      <c r="E116" s="54" t="s">
        <v>4049</v>
      </c>
      <c r="G116" s="54" t="s">
        <v>3968</v>
      </c>
      <c r="H116" s="54" t="s">
        <v>3499</v>
      </c>
      <c r="I116" s="54" t="s">
        <v>3967</v>
      </c>
      <c r="Q116" s="57" t="str">
        <f t="shared" si="15"/>
        <v/>
      </c>
      <c r="R116" s="56" t="str">
        <f t="shared" si="16"/>
        <v/>
      </c>
      <c r="S116" s="56" t="str">
        <f t="shared" si="17"/>
        <v/>
      </c>
      <c r="T116" s="56" t="str">
        <f t="shared" si="18"/>
        <v/>
      </c>
      <c r="U116" s="57">
        <f t="shared" si="19"/>
        <v>0</v>
      </c>
      <c r="V116" s="57">
        <f t="shared" si="20"/>
        <v>0</v>
      </c>
      <c r="W116" s="57">
        <f t="shared" si="21"/>
        <v>0</v>
      </c>
      <c r="X116" s="57">
        <f t="shared" si="22"/>
        <v>0</v>
      </c>
      <c r="Y116" s="57" t="str">
        <f t="shared" si="25"/>
        <v>nc</v>
      </c>
      <c r="Z116" s="56" t="str">
        <f t="shared" si="26"/>
        <v>nc</v>
      </c>
      <c r="AA116" s="56" t="str">
        <f t="shared" si="27"/>
        <v>nc</v>
      </c>
      <c r="AB116" s="56" t="str">
        <f t="shared" si="28"/>
        <v>nc</v>
      </c>
      <c r="AC116" s="56" t="str">
        <f t="shared" si="23"/>
        <v/>
      </c>
      <c r="AD116" s="54">
        <f t="shared" si="24"/>
        <v>0</v>
      </c>
    </row>
    <row r="117" spans="1:30">
      <c r="A117" s="54" t="s">
        <v>4048</v>
      </c>
      <c r="B117" s="54" t="s">
        <v>4047</v>
      </c>
      <c r="C117" s="54" t="str">
        <f>VLOOKUP(A117,RecNamesAll!A:C,3,FALSE)</f>
        <v>TAS2R10</v>
      </c>
      <c r="D117" s="60">
        <v>666</v>
      </c>
      <c r="E117" s="54" t="s">
        <v>4046</v>
      </c>
      <c r="G117" s="54" t="s">
        <v>3968</v>
      </c>
      <c r="H117" s="54" t="s">
        <v>3499</v>
      </c>
      <c r="I117" s="54" t="s">
        <v>3967</v>
      </c>
      <c r="Q117" s="57" t="str">
        <f t="shared" si="15"/>
        <v/>
      </c>
      <c r="R117" s="56" t="str">
        <f t="shared" si="16"/>
        <v/>
      </c>
      <c r="S117" s="56" t="str">
        <f t="shared" si="17"/>
        <v/>
      </c>
      <c r="T117" s="56" t="str">
        <f t="shared" si="18"/>
        <v/>
      </c>
      <c r="U117" s="57">
        <f t="shared" si="19"/>
        <v>0</v>
      </c>
      <c r="V117" s="57">
        <f t="shared" si="20"/>
        <v>0</v>
      </c>
      <c r="W117" s="57">
        <f t="shared" si="21"/>
        <v>0</v>
      </c>
      <c r="X117" s="57">
        <f t="shared" si="22"/>
        <v>0</v>
      </c>
      <c r="Y117" s="57" t="str">
        <f t="shared" si="25"/>
        <v>nc</v>
      </c>
      <c r="Z117" s="56" t="str">
        <f t="shared" si="26"/>
        <v>nc</v>
      </c>
      <c r="AA117" s="56" t="str">
        <f t="shared" si="27"/>
        <v>nc</v>
      </c>
      <c r="AB117" s="56" t="str">
        <f t="shared" si="28"/>
        <v>nc</v>
      </c>
      <c r="AC117" s="56" t="str">
        <f t="shared" si="23"/>
        <v/>
      </c>
      <c r="AD117" s="54">
        <f t="shared" si="24"/>
        <v>0</v>
      </c>
    </row>
    <row r="118" spans="1:30">
      <c r="A118" s="54" t="s">
        <v>4045</v>
      </c>
      <c r="B118" s="54" t="s">
        <v>4044</v>
      </c>
      <c r="C118" s="54" t="str">
        <f>VLOOKUP(A118,RecNamesAll!A:C,3,FALSE)</f>
        <v>TAS2R8</v>
      </c>
      <c r="D118" s="60">
        <v>664</v>
      </c>
      <c r="E118" s="54" t="s">
        <v>4043</v>
      </c>
      <c r="G118" s="54" t="s">
        <v>3968</v>
      </c>
      <c r="H118" s="54" t="s">
        <v>3499</v>
      </c>
      <c r="I118" s="54" t="s">
        <v>3967</v>
      </c>
      <c r="Q118" s="57" t="str">
        <f t="shared" si="15"/>
        <v/>
      </c>
      <c r="R118" s="56" t="str">
        <f t="shared" si="16"/>
        <v/>
      </c>
      <c r="S118" s="56" t="str">
        <f t="shared" si="17"/>
        <v/>
      </c>
      <c r="T118" s="56" t="str">
        <f t="shared" si="18"/>
        <v/>
      </c>
      <c r="U118" s="57">
        <f t="shared" si="19"/>
        <v>0</v>
      </c>
      <c r="V118" s="57">
        <f t="shared" si="20"/>
        <v>0</v>
      </c>
      <c r="W118" s="57">
        <f t="shared" si="21"/>
        <v>0</v>
      </c>
      <c r="X118" s="57">
        <f t="shared" si="22"/>
        <v>0</v>
      </c>
      <c r="Y118" s="57" t="str">
        <f t="shared" si="25"/>
        <v>nc</v>
      </c>
      <c r="Z118" s="56" t="str">
        <f t="shared" si="26"/>
        <v>nc</v>
      </c>
      <c r="AA118" s="56" t="str">
        <f t="shared" si="27"/>
        <v>nc</v>
      </c>
      <c r="AB118" s="56" t="str">
        <f t="shared" si="28"/>
        <v>nc</v>
      </c>
      <c r="AC118" s="56" t="str">
        <f t="shared" si="23"/>
        <v/>
      </c>
      <c r="AD118" s="54">
        <f t="shared" si="24"/>
        <v>0</v>
      </c>
    </row>
    <row r="119" spans="1:30">
      <c r="A119" s="54" t="s">
        <v>4042</v>
      </c>
      <c r="B119" s="54" t="s">
        <v>4041</v>
      </c>
      <c r="C119" s="54" t="str">
        <f>VLOOKUP(A119,RecNamesAll!A:C,3,FALSE)</f>
        <v>TAS2R1</v>
      </c>
      <c r="D119" s="60">
        <v>659</v>
      </c>
      <c r="E119" s="54" t="s">
        <v>4040</v>
      </c>
      <c r="G119" s="54" t="s">
        <v>3968</v>
      </c>
      <c r="H119" s="54" t="s">
        <v>3499</v>
      </c>
      <c r="I119" s="54" t="s">
        <v>3967</v>
      </c>
      <c r="Q119" s="57" t="str">
        <f t="shared" si="15"/>
        <v/>
      </c>
      <c r="R119" s="56" t="str">
        <f t="shared" si="16"/>
        <v/>
      </c>
      <c r="S119" s="56" t="str">
        <f t="shared" si="17"/>
        <v/>
      </c>
      <c r="T119" s="56" t="str">
        <f t="shared" si="18"/>
        <v/>
      </c>
      <c r="U119" s="57">
        <f t="shared" si="19"/>
        <v>0</v>
      </c>
      <c r="V119" s="57">
        <f t="shared" si="20"/>
        <v>0</v>
      </c>
      <c r="W119" s="57">
        <f t="shared" si="21"/>
        <v>0</v>
      </c>
      <c r="X119" s="57">
        <f t="shared" si="22"/>
        <v>0</v>
      </c>
      <c r="Y119" s="57" t="str">
        <f t="shared" si="25"/>
        <v>nc</v>
      </c>
      <c r="Z119" s="56" t="str">
        <f t="shared" si="26"/>
        <v>nc</v>
      </c>
      <c r="AA119" s="56" t="str">
        <f t="shared" si="27"/>
        <v>nc</v>
      </c>
      <c r="AB119" s="56" t="str">
        <f t="shared" si="28"/>
        <v>nc</v>
      </c>
      <c r="AC119" s="56" t="str">
        <f t="shared" si="23"/>
        <v/>
      </c>
      <c r="AD119" s="54">
        <f t="shared" si="24"/>
        <v>0</v>
      </c>
    </row>
    <row r="120" spans="1:30">
      <c r="A120" s="54" t="s">
        <v>4039</v>
      </c>
      <c r="B120" s="54" t="s">
        <v>4038</v>
      </c>
      <c r="C120" s="54" t="str">
        <f>VLOOKUP(A120,RecNamesAll!A:C,3,FALSE)</f>
        <v>TAS2R3</v>
      </c>
      <c r="D120" s="60">
        <v>660</v>
      </c>
      <c r="E120" s="54" t="s">
        <v>4037</v>
      </c>
      <c r="G120" s="54" t="s">
        <v>3968</v>
      </c>
      <c r="H120" s="54" t="s">
        <v>3499</v>
      </c>
      <c r="I120" s="54" t="s">
        <v>3967</v>
      </c>
      <c r="Q120" s="57" t="str">
        <f t="shared" si="15"/>
        <v/>
      </c>
      <c r="R120" s="56" t="str">
        <f t="shared" si="16"/>
        <v/>
      </c>
      <c r="S120" s="56" t="str">
        <f t="shared" si="17"/>
        <v/>
      </c>
      <c r="T120" s="56" t="str">
        <f t="shared" si="18"/>
        <v/>
      </c>
      <c r="U120" s="57">
        <f t="shared" si="19"/>
        <v>0</v>
      </c>
      <c r="V120" s="57">
        <f t="shared" si="20"/>
        <v>0</v>
      </c>
      <c r="W120" s="57">
        <f t="shared" si="21"/>
        <v>0</v>
      </c>
      <c r="X120" s="57">
        <f t="shared" si="22"/>
        <v>0</v>
      </c>
      <c r="Y120" s="57" t="str">
        <f t="shared" si="25"/>
        <v>nc</v>
      </c>
      <c r="Z120" s="56" t="str">
        <f t="shared" si="26"/>
        <v>nc</v>
      </c>
      <c r="AA120" s="56" t="str">
        <f t="shared" si="27"/>
        <v>nc</v>
      </c>
      <c r="AB120" s="56" t="str">
        <f t="shared" si="28"/>
        <v>nc</v>
      </c>
      <c r="AC120" s="56" t="str">
        <f t="shared" si="23"/>
        <v/>
      </c>
      <c r="AD120" s="54">
        <f t="shared" si="24"/>
        <v>0</v>
      </c>
    </row>
    <row r="121" spans="1:30">
      <c r="A121" s="54" t="s">
        <v>4036</v>
      </c>
      <c r="B121" s="54" t="s">
        <v>4035</v>
      </c>
      <c r="C121" s="54" t="str">
        <f>VLOOKUP(A121,RecNamesAll!A:C,3,FALSE)</f>
        <v>TAS2R4</v>
      </c>
      <c r="D121" s="60">
        <v>661</v>
      </c>
      <c r="E121" s="54" t="s">
        <v>4034</v>
      </c>
      <c r="G121" s="54" t="s">
        <v>3968</v>
      </c>
      <c r="H121" s="54" t="s">
        <v>3499</v>
      </c>
      <c r="I121" s="54" t="s">
        <v>3967</v>
      </c>
      <c r="Q121" s="57" t="str">
        <f t="shared" si="15"/>
        <v/>
      </c>
      <c r="R121" s="56" t="str">
        <f t="shared" si="16"/>
        <v/>
      </c>
      <c r="S121" s="56" t="str">
        <f t="shared" si="17"/>
        <v/>
      </c>
      <c r="T121" s="56" t="str">
        <f t="shared" si="18"/>
        <v/>
      </c>
      <c r="U121" s="57">
        <f t="shared" si="19"/>
        <v>0</v>
      </c>
      <c r="V121" s="57">
        <f t="shared" si="20"/>
        <v>0</v>
      </c>
      <c r="W121" s="57">
        <f t="shared" si="21"/>
        <v>0</v>
      </c>
      <c r="X121" s="57">
        <f t="shared" si="22"/>
        <v>0</v>
      </c>
      <c r="Y121" s="57" t="str">
        <f t="shared" si="25"/>
        <v>nc</v>
      </c>
      <c r="Z121" s="56" t="str">
        <f t="shared" si="26"/>
        <v>nc</v>
      </c>
      <c r="AA121" s="56" t="str">
        <f t="shared" si="27"/>
        <v>nc</v>
      </c>
      <c r="AB121" s="56" t="str">
        <f t="shared" si="28"/>
        <v>nc</v>
      </c>
      <c r="AC121" s="56" t="str">
        <f t="shared" si="23"/>
        <v/>
      </c>
      <c r="AD121" s="54">
        <f t="shared" si="24"/>
        <v>0</v>
      </c>
    </row>
    <row r="122" spans="1:30">
      <c r="A122" s="54" t="s">
        <v>4033</v>
      </c>
      <c r="B122" s="54" t="s">
        <v>4032</v>
      </c>
      <c r="C122" s="54" t="str">
        <f>VLOOKUP(A122,RecNamesAll!A:C,3,FALSE)</f>
        <v>TAS2R5</v>
      </c>
      <c r="D122" s="60">
        <v>662</v>
      </c>
      <c r="E122" s="54" t="s">
        <v>4031</v>
      </c>
      <c r="G122" s="54" t="s">
        <v>3968</v>
      </c>
      <c r="H122" s="54" t="s">
        <v>3499</v>
      </c>
      <c r="I122" s="54" t="s">
        <v>3967</v>
      </c>
      <c r="Q122" s="57" t="str">
        <f t="shared" si="15"/>
        <v/>
      </c>
      <c r="R122" s="56" t="str">
        <f t="shared" si="16"/>
        <v/>
      </c>
      <c r="S122" s="56" t="str">
        <f t="shared" si="17"/>
        <v/>
      </c>
      <c r="T122" s="56" t="str">
        <f t="shared" si="18"/>
        <v/>
      </c>
      <c r="U122" s="57">
        <f t="shared" si="19"/>
        <v>0</v>
      </c>
      <c r="V122" s="57">
        <f t="shared" si="20"/>
        <v>0</v>
      </c>
      <c r="W122" s="57">
        <f t="shared" si="21"/>
        <v>0</v>
      </c>
      <c r="X122" s="57">
        <f t="shared" si="22"/>
        <v>0</v>
      </c>
      <c r="Y122" s="57" t="str">
        <f t="shared" si="25"/>
        <v>nc</v>
      </c>
      <c r="Z122" s="56" t="str">
        <f t="shared" si="26"/>
        <v>nc</v>
      </c>
      <c r="AA122" s="56" t="str">
        <f t="shared" si="27"/>
        <v>nc</v>
      </c>
      <c r="AB122" s="56" t="str">
        <f t="shared" si="28"/>
        <v>nc</v>
      </c>
      <c r="AC122" s="56" t="str">
        <f t="shared" si="23"/>
        <v/>
      </c>
      <c r="AD122" s="54">
        <f t="shared" si="24"/>
        <v>0</v>
      </c>
    </row>
    <row r="123" spans="1:30">
      <c r="A123" s="54" t="s">
        <v>4030</v>
      </c>
      <c r="B123" s="54" t="s">
        <v>4029</v>
      </c>
      <c r="C123" s="54" t="str">
        <f>VLOOKUP(A123,RecNamesAll!A:C,3,FALSE)</f>
        <v>TAS2R7</v>
      </c>
      <c r="D123" s="60">
        <v>663</v>
      </c>
      <c r="E123" s="54" t="s">
        <v>4028</v>
      </c>
      <c r="G123" s="54" t="s">
        <v>3968</v>
      </c>
      <c r="H123" s="54" t="s">
        <v>3499</v>
      </c>
      <c r="I123" s="54" t="s">
        <v>3967</v>
      </c>
      <c r="Q123" s="57" t="str">
        <f t="shared" si="15"/>
        <v/>
      </c>
      <c r="R123" s="56" t="str">
        <f t="shared" si="16"/>
        <v/>
      </c>
      <c r="S123" s="56" t="str">
        <f t="shared" si="17"/>
        <v/>
      </c>
      <c r="T123" s="56" t="str">
        <f t="shared" si="18"/>
        <v/>
      </c>
      <c r="U123" s="57">
        <f t="shared" si="19"/>
        <v>0</v>
      </c>
      <c r="V123" s="57">
        <f t="shared" si="20"/>
        <v>0</v>
      </c>
      <c r="W123" s="57">
        <f t="shared" si="21"/>
        <v>0</v>
      </c>
      <c r="X123" s="57">
        <f t="shared" si="22"/>
        <v>0</v>
      </c>
      <c r="Y123" s="57" t="str">
        <f t="shared" si="25"/>
        <v>nc</v>
      </c>
      <c r="Z123" s="56" t="str">
        <f t="shared" si="26"/>
        <v>nc</v>
      </c>
      <c r="AA123" s="56" t="str">
        <f t="shared" si="27"/>
        <v>nc</v>
      </c>
      <c r="AB123" s="56" t="str">
        <f t="shared" si="28"/>
        <v>nc</v>
      </c>
      <c r="AC123" s="56" t="str">
        <f t="shared" si="23"/>
        <v/>
      </c>
      <c r="AD123" s="54">
        <f t="shared" si="24"/>
        <v>0</v>
      </c>
    </row>
    <row r="124" spans="1:30">
      <c r="A124" s="54" t="s">
        <v>4027</v>
      </c>
      <c r="B124" s="54" t="s">
        <v>4026</v>
      </c>
      <c r="C124" s="54" t="str">
        <f>VLOOKUP(A124,RecNamesAll!A:C,3,FALSE)</f>
        <v>TAS2R13</v>
      </c>
      <c r="D124" s="60">
        <v>667</v>
      </c>
      <c r="E124" s="54" t="s">
        <v>4025</v>
      </c>
      <c r="G124" s="54" t="s">
        <v>3968</v>
      </c>
      <c r="H124" s="54" t="s">
        <v>3499</v>
      </c>
      <c r="I124" s="54" t="s">
        <v>3967</v>
      </c>
      <c r="Q124" s="57" t="str">
        <f t="shared" si="15"/>
        <v/>
      </c>
      <c r="R124" s="56" t="str">
        <f t="shared" si="16"/>
        <v/>
      </c>
      <c r="S124" s="56" t="str">
        <f t="shared" si="17"/>
        <v/>
      </c>
      <c r="T124" s="56" t="str">
        <f t="shared" si="18"/>
        <v/>
      </c>
      <c r="U124" s="57">
        <f t="shared" si="19"/>
        <v>0</v>
      </c>
      <c r="V124" s="57">
        <f t="shared" si="20"/>
        <v>0</v>
      </c>
      <c r="W124" s="57">
        <f t="shared" si="21"/>
        <v>0</v>
      </c>
      <c r="X124" s="57">
        <f t="shared" si="22"/>
        <v>0</v>
      </c>
      <c r="Y124" s="57" t="str">
        <f t="shared" si="25"/>
        <v>nc</v>
      </c>
      <c r="Z124" s="56" t="str">
        <f t="shared" si="26"/>
        <v>nc</v>
      </c>
      <c r="AA124" s="56" t="str">
        <f t="shared" si="27"/>
        <v>nc</v>
      </c>
      <c r="AB124" s="56" t="str">
        <f t="shared" si="28"/>
        <v>nc</v>
      </c>
      <c r="AC124" s="56" t="str">
        <f t="shared" si="23"/>
        <v/>
      </c>
      <c r="AD124" s="54">
        <f t="shared" si="24"/>
        <v>0</v>
      </c>
    </row>
    <row r="125" spans="1:30">
      <c r="A125" s="54" t="s">
        <v>4024</v>
      </c>
      <c r="B125" s="54" t="s">
        <v>4023</v>
      </c>
      <c r="C125" s="54" t="str">
        <f>VLOOKUP(A125,RecNamesAll!A:C,3,FALSE)</f>
        <v>TAS2R14</v>
      </c>
      <c r="D125" s="60">
        <v>668</v>
      </c>
      <c r="E125" s="54" t="s">
        <v>4022</v>
      </c>
      <c r="G125" s="54" t="s">
        <v>3968</v>
      </c>
      <c r="H125" s="54" t="s">
        <v>3499</v>
      </c>
      <c r="I125" s="54" t="s">
        <v>3967</v>
      </c>
      <c r="Q125" s="57" t="str">
        <f t="shared" si="15"/>
        <v/>
      </c>
      <c r="R125" s="56" t="str">
        <f t="shared" si="16"/>
        <v/>
      </c>
      <c r="S125" s="56" t="str">
        <f t="shared" si="17"/>
        <v/>
      </c>
      <c r="T125" s="56" t="str">
        <f t="shared" si="18"/>
        <v/>
      </c>
      <c r="U125" s="57">
        <f t="shared" si="19"/>
        <v>0</v>
      </c>
      <c r="V125" s="57">
        <f t="shared" si="20"/>
        <v>0</v>
      </c>
      <c r="W125" s="57">
        <f t="shared" si="21"/>
        <v>0</v>
      </c>
      <c r="X125" s="57">
        <f t="shared" si="22"/>
        <v>0</v>
      </c>
      <c r="Y125" s="57" t="str">
        <f t="shared" si="25"/>
        <v>nc</v>
      </c>
      <c r="Z125" s="56" t="str">
        <f t="shared" si="26"/>
        <v>nc</v>
      </c>
      <c r="AA125" s="56" t="str">
        <f t="shared" si="27"/>
        <v>nc</v>
      </c>
      <c r="AB125" s="56" t="str">
        <f t="shared" si="28"/>
        <v>nc</v>
      </c>
      <c r="AC125" s="56" t="str">
        <f t="shared" si="23"/>
        <v/>
      </c>
      <c r="AD125" s="54">
        <f t="shared" si="24"/>
        <v>0</v>
      </c>
    </row>
    <row r="126" spans="1:30">
      <c r="A126" s="54" t="s">
        <v>4021</v>
      </c>
      <c r="B126" s="54" t="s">
        <v>4020</v>
      </c>
      <c r="C126" s="54" t="str">
        <f>VLOOKUP(A126,RecNamesAll!A:C,3,FALSE)</f>
        <v>TAS2R16</v>
      </c>
      <c r="D126" s="60">
        <v>669</v>
      </c>
      <c r="E126" s="54" t="s">
        <v>4019</v>
      </c>
      <c r="G126" s="54" t="s">
        <v>3968</v>
      </c>
      <c r="H126" s="54" t="s">
        <v>3499</v>
      </c>
      <c r="I126" s="54" t="s">
        <v>3967</v>
      </c>
      <c r="Q126" s="57" t="str">
        <f t="shared" si="15"/>
        <v/>
      </c>
      <c r="R126" s="56" t="str">
        <f t="shared" si="16"/>
        <v/>
      </c>
      <c r="S126" s="56" t="str">
        <f t="shared" si="17"/>
        <v/>
      </c>
      <c r="T126" s="56" t="str">
        <f t="shared" si="18"/>
        <v/>
      </c>
      <c r="U126" s="57">
        <f t="shared" si="19"/>
        <v>0</v>
      </c>
      <c r="V126" s="57">
        <f t="shared" si="20"/>
        <v>0</v>
      </c>
      <c r="W126" s="57">
        <f t="shared" si="21"/>
        <v>0</v>
      </c>
      <c r="X126" s="57">
        <f t="shared" si="22"/>
        <v>0</v>
      </c>
      <c r="Y126" s="57" t="str">
        <f t="shared" si="25"/>
        <v>nc</v>
      </c>
      <c r="Z126" s="56" t="str">
        <f t="shared" si="26"/>
        <v>nc</v>
      </c>
      <c r="AA126" s="56" t="str">
        <f t="shared" si="27"/>
        <v>nc</v>
      </c>
      <c r="AB126" s="56" t="str">
        <f t="shared" si="28"/>
        <v>nc</v>
      </c>
      <c r="AC126" s="56" t="str">
        <f t="shared" si="23"/>
        <v/>
      </c>
      <c r="AD126" s="54">
        <f t="shared" si="24"/>
        <v>0</v>
      </c>
    </row>
    <row r="127" spans="1:30">
      <c r="A127" s="54" t="s">
        <v>4018</v>
      </c>
      <c r="B127" s="54" t="s">
        <v>4017</v>
      </c>
      <c r="C127" s="54" t="str">
        <f>VLOOKUP(A127,RecNamesAll!A:C,3,FALSE)</f>
        <v>TAS2R19</v>
      </c>
      <c r="D127" s="60">
        <v>670</v>
      </c>
      <c r="E127" s="54" t="s">
        <v>4016</v>
      </c>
      <c r="F127" s="54" t="s">
        <v>4015</v>
      </c>
      <c r="G127" s="54" t="s">
        <v>3968</v>
      </c>
      <c r="H127" s="54" t="s">
        <v>3499</v>
      </c>
      <c r="I127" s="54" t="s">
        <v>3967</v>
      </c>
      <c r="Q127" s="57" t="str">
        <f t="shared" si="15"/>
        <v/>
      </c>
      <c r="R127" s="56" t="str">
        <f t="shared" si="16"/>
        <v/>
      </c>
      <c r="S127" s="56" t="str">
        <f t="shared" si="17"/>
        <v/>
      </c>
      <c r="T127" s="56" t="str">
        <f t="shared" si="18"/>
        <v/>
      </c>
      <c r="U127" s="57">
        <f t="shared" si="19"/>
        <v>0</v>
      </c>
      <c r="V127" s="57">
        <f t="shared" si="20"/>
        <v>0</v>
      </c>
      <c r="W127" s="57">
        <f t="shared" si="21"/>
        <v>0</v>
      </c>
      <c r="X127" s="57">
        <f t="shared" si="22"/>
        <v>0</v>
      </c>
      <c r="Y127" s="57" t="str">
        <f t="shared" si="25"/>
        <v>nc</v>
      </c>
      <c r="Z127" s="56" t="str">
        <f t="shared" si="26"/>
        <v>nc</v>
      </c>
      <c r="AA127" s="56" t="str">
        <f t="shared" si="27"/>
        <v>nc</v>
      </c>
      <c r="AB127" s="56" t="str">
        <f t="shared" si="28"/>
        <v>nc</v>
      </c>
      <c r="AC127" s="56" t="str">
        <f t="shared" si="23"/>
        <v/>
      </c>
      <c r="AD127" s="54">
        <f t="shared" si="24"/>
        <v>0</v>
      </c>
    </row>
    <row r="128" spans="1:30">
      <c r="A128" s="54" t="s">
        <v>4014</v>
      </c>
      <c r="B128" s="54" t="s">
        <v>4013</v>
      </c>
      <c r="C128" s="54" t="str">
        <f>VLOOKUP(A128,RecNamesAll!A:C,3,FALSE)</f>
        <v>TAS2R20</v>
      </c>
      <c r="D128" s="60">
        <v>671</v>
      </c>
      <c r="E128" s="54" t="s">
        <v>4012</v>
      </c>
      <c r="F128" s="54" t="s">
        <v>4011</v>
      </c>
      <c r="G128" s="54" t="s">
        <v>3968</v>
      </c>
      <c r="H128" s="54" t="s">
        <v>3499</v>
      </c>
      <c r="I128" s="54" t="s">
        <v>3967</v>
      </c>
      <c r="Q128" s="57" t="str">
        <f t="shared" si="15"/>
        <v/>
      </c>
      <c r="R128" s="56" t="str">
        <f t="shared" si="16"/>
        <v/>
      </c>
      <c r="S128" s="56" t="str">
        <f t="shared" si="17"/>
        <v/>
      </c>
      <c r="T128" s="56" t="str">
        <f t="shared" si="18"/>
        <v/>
      </c>
      <c r="U128" s="57">
        <f t="shared" si="19"/>
        <v>0</v>
      </c>
      <c r="V128" s="57">
        <f t="shared" si="20"/>
        <v>0</v>
      </c>
      <c r="W128" s="57">
        <f t="shared" si="21"/>
        <v>0</v>
      </c>
      <c r="X128" s="57">
        <f t="shared" si="22"/>
        <v>0</v>
      </c>
      <c r="Y128" s="57" t="str">
        <f t="shared" si="25"/>
        <v>nc</v>
      </c>
      <c r="Z128" s="56" t="str">
        <f t="shared" si="26"/>
        <v>nc</v>
      </c>
      <c r="AA128" s="56" t="str">
        <f t="shared" si="27"/>
        <v>nc</v>
      </c>
      <c r="AB128" s="56" t="str">
        <f t="shared" si="28"/>
        <v>nc</v>
      </c>
      <c r="AC128" s="56" t="str">
        <f t="shared" si="23"/>
        <v/>
      </c>
      <c r="AD128" s="54">
        <f t="shared" si="24"/>
        <v>0</v>
      </c>
    </row>
    <row r="129" spans="1:30">
      <c r="A129" s="54" t="s">
        <v>4010</v>
      </c>
      <c r="B129" s="54" t="s">
        <v>4009</v>
      </c>
      <c r="C129" s="54" t="str">
        <f>VLOOKUP(A129,RecNamesAll!A:C,3,FALSE)</f>
        <v>TAS2R30</v>
      </c>
      <c r="D129" s="60">
        <v>673</v>
      </c>
      <c r="E129" s="54" t="s">
        <v>4008</v>
      </c>
      <c r="F129" s="54" t="s">
        <v>4007</v>
      </c>
      <c r="G129" s="54" t="s">
        <v>3968</v>
      </c>
      <c r="H129" s="54" t="s">
        <v>3499</v>
      </c>
      <c r="I129" s="54" t="s">
        <v>3967</v>
      </c>
      <c r="Q129" s="57" t="str">
        <f t="shared" si="15"/>
        <v/>
      </c>
      <c r="R129" s="56" t="str">
        <f t="shared" si="16"/>
        <v/>
      </c>
      <c r="S129" s="56" t="str">
        <f t="shared" si="17"/>
        <v/>
      </c>
      <c r="T129" s="56" t="str">
        <f t="shared" si="18"/>
        <v/>
      </c>
      <c r="U129" s="57">
        <f t="shared" si="19"/>
        <v>0</v>
      </c>
      <c r="V129" s="57">
        <f t="shared" si="20"/>
        <v>0</v>
      </c>
      <c r="W129" s="57">
        <f t="shared" si="21"/>
        <v>0</v>
      </c>
      <c r="X129" s="57">
        <f t="shared" si="22"/>
        <v>0</v>
      </c>
      <c r="Y129" s="57" t="str">
        <f t="shared" si="25"/>
        <v>nc</v>
      </c>
      <c r="Z129" s="56" t="str">
        <f t="shared" si="26"/>
        <v>nc</v>
      </c>
      <c r="AA129" s="56" t="str">
        <f t="shared" si="27"/>
        <v>nc</v>
      </c>
      <c r="AB129" s="56" t="str">
        <f t="shared" si="28"/>
        <v>nc</v>
      </c>
      <c r="AC129" s="56" t="str">
        <f t="shared" si="23"/>
        <v/>
      </c>
      <c r="AD129" s="54">
        <f t="shared" si="24"/>
        <v>0</v>
      </c>
    </row>
    <row r="130" spans="1:30">
      <c r="A130" s="54" t="s">
        <v>4006</v>
      </c>
      <c r="B130" s="54" t="s">
        <v>4005</v>
      </c>
      <c r="C130" s="54" t="str">
        <f>VLOOKUP(A130,RecNamesAll!A:C,3,FALSE)</f>
        <v>TAS2R31</v>
      </c>
      <c r="D130" s="60">
        <v>674</v>
      </c>
      <c r="E130" s="54" t="s">
        <v>4004</v>
      </c>
      <c r="F130" s="54" t="s">
        <v>4003</v>
      </c>
      <c r="G130" s="54" t="s">
        <v>3968</v>
      </c>
      <c r="H130" s="54" t="s">
        <v>3499</v>
      </c>
      <c r="I130" s="54" t="s">
        <v>3967</v>
      </c>
      <c r="Q130" s="57" t="str">
        <f t="shared" ref="Q130:Q193" si="29">IF(OR(ISNUMBER(SEARCH("Gs",$J130)),ISNUMBER(SEARCH("Gs",$K130))),"Gs","")</f>
        <v/>
      </c>
      <c r="R130" s="56" t="str">
        <f t="shared" ref="R130:R193" si="30">IF(OR(ISNUMBER(SEARCH("Gi/o",$J130)),ISNUMBER(SEARCH("Gi/o",$K130))),"Gi/o","")</f>
        <v/>
      </c>
      <c r="S130" s="56" t="str">
        <f t="shared" ref="S130:S193" si="31">IF(OR(ISNUMBER(SEARCH("Gq/11",$J130)),ISNUMBER(SEARCH("Gq/11",$K130))),"Gq/11","")</f>
        <v/>
      </c>
      <c r="T130" s="56" t="str">
        <f t="shared" ref="T130:T193" si="32">IF(OR(ISNUMBER(SEARCH("G12/13",$J130)),ISNUMBER(SEARCH("G12/13",$K130))),"G12/13","")</f>
        <v/>
      </c>
      <c r="U130" s="57">
        <f t="shared" ref="U130:U193" si="33">IF(ISNUMBER(SEARCH("Gs",$J130)),1,IF(ISNUMBER(SEARCH("Gs",$K130)),2,0))</f>
        <v>0</v>
      </c>
      <c r="V130" s="57">
        <f t="shared" ref="V130:V193" si="34">IF(ISNUMBER(SEARCH("Gi/o",$J130)),1,IF(ISNUMBER(SEARCH("Gi/o",$K130)),2,0))</f>
        <v>0</v>
      </c>
      <c r="W130" s="57">
        <f t="shared" ref="W130:W193" si="35">IF(ISNUMBER(SEARCH("Gq/11",$J130)),1,IF(ISNUMBER(SEARCH("Gq/11",$K130)),2,0))</f>
        <v>0</v>
      </c>
      <c r="X130" s="57">
        <f t="shared" ref="X130:X193" si="36">IF(ISNUMBER(SEARCH("G12/13",$J130)),1,IF(ISNUMBER(SEARCH("G12/13",$K130)),2,0))</f>
        <v>0</v>
      </c>
      <c r="Y130" s="57" t="str">
        <f t="shared" si="25"/>
        <v>nc</v>
      </c>
      <c r="Z130" s="56" t="str">
        <f t="shared" si="26"/>
        <v>nc</v>
      </c>
      <c r="AA130" s="56" t="str">
        <f t="shared" si="27"/>
        <v>nc</v>
      </c>
      <c r="AB130" s="56" t="str">
        <f t="shared" si="28"/>
        <v>nc</v>
      </c>
      <c r="AC130" s="56" t="str">
        <f t="shared" ref="AC130:AC193" si="37">IF(SUM(U130:X130)&gt;0,COUNTIF(U130:X130,"0"),"")</f>
        <v/>
      </c>
      <c r="AD130" s="54">
        <f t="shared" ref="AD130:AD193" si="38">IF(SUM(U130:X130)&gt;0,1,0)</f>
        <v>0</v>
      </c>
    </row>
    <row r="131" spans="1:30">
      <c r="A131" s="54" t="s">
        <v>4002</v>
      </c>
      <c r="B131" s="54" t="s">
        <v>4001</v>
      </c>
      <c r="C131" s="54" t="str">
        <f>VLOOKUP(A131,RecNamesAll!A:C,3,FALSE)</f>
        <v>TAS2R38</v>
      </c>
      <c r="D131" s="60">
        <v>682</v>
      </c>
      <c r="E131" s="54" t="s">
        <v>4000</v>
      </c>
      <c r="F131" s="54" t="s">
        <v>3999</v>
      </c>
      <c r="G131" s="54" t="s">
        <v>3968</v>
      </c>
      <c r="H131" s="54" t="s">
        <v>3499</v>
      </c>
      <c r="I131" s="54" t="s">
        <v>3967</v>
      </c>
      <c r="Q131" s="57" t="str">
        <f t="shared" si="29"/>
        <v/>
      </c>
      <c r="R131" s="56" t="str">
        <f t="shared" si="30"/>
        <v/>
      </c>
      <c r="S131" s="56" t="str">
        <f t="shared" si="31"/>
        <v/>
      </c>
      <c r="T131" s="56" t="str">
        <f t="shared" si="32"/>
        <v/>
      </c>
      <c r="U131" s="57">
        <f t="shared" si="33"/>
        <v>0</v>
      </c>
      <c r="V131" s="57">
        <f t="shared" si="34"/>
        <v>0</v>
      </c>
      <c r="W131" s="57">
        <f t="shared" si="35"/>
        <v>0</v>
      </c>
      <c r="X131" s="57">
        <f t="shared" si="36"/>
        <v>0</v>
      </c>
      <c r="Y131" s="57" t="str">
        <f t="shared" ref="Y131:Y194" si="39">IF(U131&gt;0,"c","nc")</f>
        <v>nc</v>
      </c>
      <c r="Z131" s="56" t="str">
        <f t="shared" ref="Z131:Z194" si="40">IF(V131&gt;0,"c","nc")</f>
        <v>nc</v>
      </c>
      <c r="AA131" s="56" t="str">
        <f t="shared" ref="AA131:AA194" si="41">IF(W131&gt;0,"c","nc")</f>
        <v>nc</v>
      </c>
      <c r="AB131" s="56" t="str">
        <f t="shared" ref="AB131:AB194" si="42">IF(X131&gt;0,"c","nc")</f>
        <v>nc</v>
      </c>
      <c r="AC131" s="56" t="str">
        <f t="shared" si="37"/>
        <v/>
      </c>
      <c r="AD131" s="54">
        <f t="shared" si="38"/>
        <v>0</v>
      </c>
    </row>
    <row r="132" spans="1:30">
      <c r="A132" s="54" t="s">
        <v>3998</v>
      </c>
      <c r="B132" s="54" t="s">
        <v>3997</v>
      </c>
      <c r="C132" s="54" t="str">
        <f>VLOOKUP(A132,RecNamesAll!A:C,3,FALSE)</f>
        <v>TAS2R39</v>
      </c>
      <c r="D132" s="60">
        <v>675</v>
      </c>
      <c r="E132" s="54" t="s">
        <v>3996</v>
      </c>
      <c r="G132" s="54" t="s">
        <v>3968</v>
      </c>
      <c r="H132" s="54" t="s">
        <v>3499</v>
      </c>
      <c r="I132" s="54" t="s">
        <v>3967</v>
      </c>
      <c r="Q132" s="57" t="str">
        <f t="shared" si="29"/>
        <v/>
      </c>
      <c r="R132" s="56" t="str">
        <f t="shared" si="30"/>
        <v/>
      </c>
      <c r="S132" s="56" t="str">
        <f t="shared" si="31"/>
        <v/>
      </c>
      <c r="T132" s="56" t="str">
        <f t="shared" si="32"/>
        <v/>
      </c>
      <c r="U132" s="57">
        <f t="shared" si="33"/>
        <v>0</v>
      </c>
      <c r="V132" s="57">
        <f t="shared" si="34"/>
        <v>0</v>
      </c>
      <c r="W132" s="57">
        <f t="shared" si="35"/>
        <v>0</v>
      </c>
      <c r="X132" s="57">
        <f t="shared" si="36"/>
        <v>0</v>
      </c>
      <c r="Y132" s="57" t="str">
        <f t="shared" si="39"/>
        <v>nc</v>
      </c>
      <c r="Z132" s="56" t="str">
        <f t="shared" si="40"/>
        <v>nc</v>
      </c>
      <c r="AA132" s="56" t="str">
        <f t="shared" si="41"/>
        <v>nc</v>
      </c>
      <c r="AB132" s="56" t="str">
        <f t="shared" si="42"/>
        <v>nc</v>
      </c>
      <c r="AC132" s="56" t="str">
        <f t="shared" si="37"/>
        <v/>
      </c>
      <c r="AD132" s="54">
        <f t="shared" si="38"/>
        <v>0</v>
      </c>
    </row>
    <row r="133" spans="1:30">
      <c r="A133" s="54" t="s">
        <v>3995</v>
      </c>
      <c r="B133" s="54" t="s">
        <v>3994</v>
      </c>
      <c r="C133" s="54" t="str">
        <f>VLOOKUP(A133,RecNamesAll!A:C,3,FALSE)</f>
        <v>TAS2R40</v>
      </c>
      <c r="D133" s="60">
        <v>676</v>
      </c>
      <c r="E133" s="54" t="s">
        <v>3993</v>
      </c>
      <c r="F133" s="54" t="s">
        <v>3992</v>
      </c>
      <c r="G133" s="54" t="s">
        <v>3968</v>
      </c>
      <c r="H133" s="54" t="s">
        <v>3499</v>
      </c>
      <c r="I133" s="54" t="s">
        <v>3967</v>
      </c>
      <c r="Q133" s="57" t="str">
        <f t="shared" si="29"/>
        <v/>
      </c>
      <c r="R133" s="56" t="str">
        <f t="shared" si="30"/>
        <v/>
      </c>
      <c r="S133" s="56" t="str">
        <f t="shared" si="31"/>
        <v/>
      </c>
      <c r="T133" s="56" t="str">
        <f t="shared" si="32"/>
        <v/>
      </c>
      <c r="U133" s="57">
        <f t="shared" si="33"/>
        <v>0</v>
      </c>
      <c r="V133" s="57">
        <f t="shared" si="34"/>
        <v>0</v>
      </c>
      <c r="W133" s="57">
        <f t="shared" si="35"/>
        <v>0</v>
      </c>
      <c r="X133" s="57">
        <f t="shared" si="36"/>
        <v>0</v>
      </c>
      <c r="Y133" s="57" t="str">
        <f t="shared" si="39"/>
        <v>nc</v>
      </c>
      <c r="Z133" s="56" t="str">
        <f t="shared" si="40"/>
        <v>nc</v>
      </c>
      <c r="AA133" s="56" t="str">
        <f t="shared" si="41"/>
        <v>nc</v>
      </c>
      <c r="AB133" s="56" t="str">
        <f t="shared" si="42"/>
        <v>nc</v>
      </c>
      <c r="AC133" s="56" t="str">
        <f t="shared" si="37"/>
        <v/>
      </c>
      <c r="AD133" s="54">
        <f t="shared" si="38"/>
        <v>0</v>
      </c>
    </row>
    <row r="134" spans="1:30">
      <c r="A134" s="54" t="s">
        <v>3991</v>
      </c>
      <c r="B134" s="54" t="s">
        <v>3990</v>
      </c>
      <c r="C134" s="54" t="str">
        <f>VLOOKUP(A134,RecNamesAll!A:C,3,FALSE)</f>
        <v>TAS2R41</v>
      </c>
      <c r="D134" s="60">
        <v>680</v>
      </c>
      <c r="E134" s="54" t="s">
        <v>3989</v>
      </c>
      <c r="G134" s="54" t="s">
        <v>3968</v>
      </c>
      <c r="H134" s="54" t="s">
        <v>3499</v>
      </c>
      <c r="I134" s="54" t="s">
        <v>3967</v>
      </c>
      <c r="Q134" s="57" t="str">
        <f t="shared" si="29"/>
        <v/>
      </c>
      <c r="R134" s="56" t="str">
        <f t="shared" si="30"/>
        <v/>
      </c>
      <c r="S134" s="56" t="str">
        <f t="shared" si="31"/>
        <v/>
      </c>
      <c r="T134" s="56" t="str">
        <f t="shared" si="32"/>
        <v/>
      </c>
      <c r="U134" s="57">
        <f t="shared" si="33"/>
        <v>0</v>
      </c>
      <c r="V134" s="57">
        <f t="shared" si="34"/>
        <v>0</v>
      </c>
      <c r="W134" s="57">
        <f t="shared" si="35"/>
        <v>0</v>
      </c>
      <c r="X134" s="57">
        <f t="shared" si="36"/>
        <v>0</v>
      </c>
      <c r="Y134" s="57" t="str">
        <f t="shared" si="39"/>
        <v>nc</v>
      </c>
      <c r="Z134" s="56" t="str">
        <f t="shared" si="40"/>
        <v>nc</v>
      </c>
      <c r="AA134" s="56" t="str">
        <f t="shared" si="41"/>
        <v>nc</v>
      </c>
      <c r="AB134" s="56" t="str">
        <f t="shared" si="42"/>
        <v>nc</v>
      </c>
      <c r="AC134" s="56" t="str">
        <f t="shared" si="37"/>
        <v/>
      </c>
      <c r="AD134" s="54">
        <f t="shared" si="38"/>
        <v>0</v>
      </c>
    </row>
    <row r="135" spans="1:30">
      <c r="A135" s="54" t="s">
        <v>3988</v>
      </c>
      <c r="B135" s="54" t="s">
        <v>3987</v>
      </c>
      <c r="C135" s="54" t="str">
        <f>VLOOKUP(A135,RecNamesAll!A:C,3,FALSE)</f>
        <v>TAS2R42</v>
      </c>
      <c r="D135" s="60">
        <v>672</v>
      </c>
      <c r="E135" s="54" t="s">
        <v>3986</v>
      </c>
      <c r="F135" s="54" t="s">
        <v>3985</v>
      </c>
      <c r="G135" s="54" t="s">
        <v>3968</v>
      </c>
      <c r="H135" s="54" t="s">
        <v>3499</v>
      </c>
      <c r="I135" s="54" t="s">
        <v>3967</v>
      </c>
      <c r="Q135" s="57" t="str">
        <f t="shared" si="29"/>
        <v/>
      </c>
      <c r="R135" s="56" t="str">
        <f t="shared" si="30"/>
        <v/>
      </c>
      <c r="S135" s="56" t="str">
        <f t="shared" si="31"/>
        <v/>
      </c>
      <c r="T135" s="56" t="str">
        <f t="shared" si="32"/>
        <v/>
      </c>
      <c r="U135" s="57">
        <f t="shared" si="33"/>
        <v>0</v>
      </c>
      <c r="V135" s="57">
        <f t="shared" si="34"/>
        <v>0</v>
      </c>
      <c r="W135" s="57">
        <f t="shared" si="35"/>
        <v>0</v>
      </c>
      <c r="X135" s="57">
        <f t="shared" si="36"/>
        <v>0</v>
      </c>
      <c r="Y135" s="57" t="str">
        <f t="shared" si="39"/>
        <v>nc</v>
      </c>
      <c r="Z135" s="56" t="str">
        <f t="shared" si="40"/>
        <v>nc</v>
      </c>
      <c r="AA135" s="56" t="str">
        <f t="shared" si="41"/>
        <v>nc</v>
      </c>
      <c r="AB135" s="56" t="str">
        <f t="shared" si="42"/>
        <v>nc</v>
      </c>
      <c r="AC135" s="56" t="str">
        <f t="shared" si="37"/>
        <v/>
      </c>
      <c r="AD135" s="54">
        <f t="shared" si="38"/>
        <v>0</v>
      </c>
    </row>
    <row r="136" spans="1:30">
      <c r="A136" s="54" t="s">
        <v>3984</v>
      </c>
      <c r="B136" s="54" t="s">
        <v>3983</v>
      </c>
      <c r="C136" s="54" t="str">
        <f>VLOOKUP(A136,RecNamesAll!A:C,3,FALSE)</f>
        <v>TAS2R43</v>
      </c>
      <c r="D136" s="60">
        <v>678</v>
      </c>
      <c r="E136" s="54" t="s">
        <v>3982</v>
      </c>
      <c r="G136" s="54" t="s">
        <v>3968</v>
      </c>
      <c r="H136" s="54" t="s">
        <v>3499</v>
      </c>
      <c r="I136" s="54" t="s">
        <v>3967</v>
      </c>
      <c r="Q136" s="57" t="str">
        <f t="shared" si="29"/>
        <v/>
      </c>
      <c r="R136" s="56" t="str">
        <f t="shared" si="30"/>
        <v/>
      </c>
      <c r="S136" s="56" t="str">
        <f t="shared" si="31"/>
        <v/>
      </c>
      <c r="T136" s="56" t="str">
        <f t="shared" si="32"/>
        <v/>
      </c>
      <c r="U136" s="57">
        <f t="shared" si="33"/>
        <v>0</v>
      </c>
      <c r="V136" s="57">
        <f t="shared" si="34"/>
        <v>0</v>
      </c>
      <c r="W136" s="57">
        <f t="shared" si="35"/>
        <v>0</v>
      </c>
      <c r="X136" s="57">
        <f t="shared" si="36"/>
        <v>0</v>
      </c>
      <c r="Y136" s="57" t="str">
        <f t="shared" si="39"/>
        <v>nc</v>
      </c>
      <c r="Z136" s="56" t="str">
        <f t="shared" si="40"/>
        <v>nc</v>
      </c>
      <c r="AA136" s="56" t="str">
        <f t="shared" si="41"/>
        <v>nc</v>
      </c>
      <c r="AB136" s="56" t="str">
        <f t="shared" si="42"/>
        <v>nc</v>
      </c>
      <c r="AC136" s="56" t="str">
        <f t="shared" si="37"/>
        <v/>
      </c>
      <c r="AD136" s="54">
        <f t="shared" si="38"/>
        <v>0</v>
      </c>
    </row>
    <row r="137" spans="1:30">
      <c r="A137" s="54" t="s">
        <v>3981</v>
      </c>
      <c r="B137" s="54" t="s">
        <v>3980</v>
      </c>
      <c r="C137" s="54" t="str">
        <f>VLOOKUP(A137,RecNamesAll!A:C,3,FALSE)</f>
        <v>TAS2R45</v>
      </c>
      <c r="D137" s="61"/>
      <c r="E137" s="54" t="s">
        <v>3979</v>
      </c>
      <c r="F137" s="54" t="s">
        <v>3978</v>
      </c>
      <c r="G137" s="54" t="s">
        <v>3968</v>
      </c>
      <c r="H137" s="54" t="s">
        <v>3499</v>
      </c>
      <c r="I137" s="54" t="s">
        <v>3967</v>
      </c>
      <c r="Q137" s="57" t="str">
        <f t="shared" si="29"/>
        <v/>
      </c>
      <c r="R137" s="56" t="str">
        <f t="shared" si="30"/>
        <v/>
      </c>
      <c r="S137" s="56" t="str">
        <f t="shared" si="31"/>
        <v/>
      </c>
      <c r="T137" s="56" t="str">
        <f t="shared" si="32"/>
        <v/>
      </c>
      <c r="U137" s="57">
        <f t="shared" si="33"/>
        <v>0</v>
      </c>
      <c r="V137" s="57">
        <f t="shared" si="34"/>
        <v>0</v>
      </c>
      <c r="W137" s="57">
        <f t="shared" si="35"/>
        <v>0</v>
      </c>
      <c r="X137" s="57">
        <f t="shared" si="36"/>
        <v>0</v>
      </c>
      <c r="Y137" s="57" t="str">
        <f t="shared" si="39"/>
        <v>nc</v>
      </c>
      <c r="Z137" s="56" t="str">
        <f t="shared" si="40"/>
        <v>nc</v>
      </c>
      <c r="AA137" s="56" t="str">
        <f t="shared" si="41"/>
        <v>nc</v>
      </c>
      <c r="AB137" s="56" t="str">
        <f t="shared" si="42"/>
        <v>nc</v>
      </c>
      <c r="AC137" s="56" t="str">
        <f t="shared" si="37"/>
        <v/>
      </c>
      <c r="AD137" s="54">
        <f t="shared" si="38"/>
        <v>0</v>
      </c>
    </row>
    <row r="138" spans="1:30">
      <c r="A138" s="54" t="s">
        <v>3977</v>
      </c>
      <c r="B138" s="54" t="s">
        <v>3976</v>
      </c>
      <c r="C138" s="54" t="str">
        <f>VLOOKUP(A138,RecNamesAll!A:C,3,FALSE)</f>
        <v>TAS2R46</v>
      </c>
      <c r="D138" s="60">
        <v>679</v>
      </c>
      <c r="E138" s="54" t="s">
        <v>3975</v>
      </c>
      <c r="G138" s="54" t="s">
        <v>3968</v>
      </c>
      <c r="H138" s="54" t="s">
        <v>3499</v>
      </c>
      <c r="I138" s="54" t="s">
        <v>3967</v>
      </c>
      <c r="Q138" s="57" t="str">
        <f t="shared" si="29"/>
        <v/>
      </c>
      <c r="R138" s="56" t="str">
        <f t="shared" si="30"/>
        <v/>
      </c>
      <c r="S138" s="56" t="str">
        <f t="shared" si="31"/>
        <v/>
      </c>
      <c r="T138" s="56" t="str">
        <f t="shared" si="32"/>
        <v/>
      </c>
      <c r="U138" s="57">
        <f t="shared" si="33"/>
        <v>0</v>
      </c>
      <c r="V138" s="57">
        <f t="shared" si="34"/>
        <v>0</v>
      </c>
      <c r="W138" s="57">
        <f t="shared" si="35"/>
        <v>0</v>
      </c>
      <c r="X138" s="57">
        <f t="shared" si="36"/>
        <v>0</v>
      </c>
      <c r="Y138" s="57" t="str">
        <f t="shared" si="39"/>
        <v>nc</v>
      </c>
      <c r="Z138" s="56" t="str">
        <f t="shared" si="40"/>
        <v>nc</v>
      </c>
      <c r="AA138" s="56" t="str">
        <f t="shared" si="41"/>
        <v>nc</v>
      </c>
      <c r="AB138" s="56" t="str">
        <f t="shared" si="42"/>
        <v>nc</v>
      </c>
      <c r="AC138" s="56" t="str">
        <f t="shared" si="37"/>
        <v/>
      </c>
      <c r="AD138" s="54">
        <f t="shared" si="38"/>
        <v>0</v>
      </c>
    </row>
    <row r="139" spans="1:30">
      <c r="A139" s="54" t="s">
        <v>3974</v>
      </c>
      <c r="B139" s="54" t="s">
        <v>3973</v>
      </c>
      <c r="C139" s="54" t="str">
        <f>VLOOKUP(A139,RecNamesAll!A:C,3,FALSE)</f>
        <v>TAS2R50</v>
      </c>
      <c r="D139" s="60">
        <v>677</v>
      </c>
      <c r="E139" s="54" t="s">
        <v>3972</v>
      </c>
      <c r="G139" s="54" t="s">
        <v>3968</v>
      </c>
      <c r="H139" s="54" t="s">
        <v>3499</v>
      </c>
      <c r="I139" s="54" t="s">
        <v>3967</v>
      </c>
      <c r="Q139" s="57" t="str">
        <f t="shared" si="29"/>
        <v/>
      </c>
      <c r="R139" s="56" t="str">
        <f t="shared" si="30"/>
        <v/>
      </c>
      <c r="S139" s="56" t="str">
        <f t="shared" si="31"/>
        <v/>
      </c>
      <c r="T139" s="56" t="str">
        <f t="shared" si="32"/>
        <v/>
      </c>
      <c r="U139" s="57">
        <f t="shared" si="33"/>
        <v>0</v>
      </c>
      <c r="V139" s="57">
        <f t="shared" si="34"/>
        <v>0</v>
      </c>
      <c r="W139" s="57">
        <f t="shared" si="35"/>
        <v>0</v>
      </c>
      <c r="X139" s="57">
        <f t="shared" si="36"/>
        <v>0</v>
      </c>
      <c r="Y139" s="57" t="str">
        <f t="shared" si="39"/>
        <v>nc</v>
      </c>
      <c r="Z139" s="56" t="str">
        <f t="shared" si="40"/>
        <v>nc</v>
      </c>
      <c r="AA139" s="56" t="str">
        <f t="shared" si="41"/>
        <v>nc</v>
      </c>
      <c r="AB139" s="56" t="str">
        <f t="shared" si="42"/>
        <v>nc</v>
      </c>
      <c r="AC139" s="56" t="str">
        <f t="shared" si="37"/>
        <v/>
      </c>
      <c r="AD139" s="54">
        <f t="shared" si="38"/>
        <v>0</v>
      </c>
    </row>
    <row r="140" spans="1:30">
      <c r="A140" s="54" t="s">
        <v>3971</v>
      </c>
      <c r="B140" s="54" t="s">
        <v>3970</v>
      </c>
      <c r="C140" s="54" t="str">
        <f>VLOOKUP(A140,RecNamesAll!A:C,3,FALSE)</f>
        <v>TAS2R60</v>
      </c>
      <c r="D140" s="61"/>
      <c r="E140" s="54" t="s">
        <v>3969</v>
      </c>
      <c r="G140" s="54" t="s">
        <v>3968</v>
      </c>
      <c r="H140" s="54" t="s">
        <v>3499</v>
      </c>
      <c r="I140" s="54" t="s">
        <v>3967</v>
      </c>
      <c r="Q140" s="57" t="str">
        <f t="shared" si="29"/>
        <v/>
      </c>
      <c r="R140" s="56" t="str">
        <f t="shared" si="30"/>
        <v/>
      </c>
      <c r="S140" s="56" t="str">
        <f t="shared" si="31"/>
        <v/>
      </c>
      <c r="T140" s="56" t="str">
        <f t="shared" si="32"/>
        <v/>
      </c>
      <c r="U140" s="57">
        <f t="shared" si="33"/>
        <v>0</v>
      </c>
      <c r="V140" s="57">
        <f t="shared" si="34"/>
        <v>0</v>
      </c>
      <c r="W140" s="57">
        <f t="shared" si="35"/>
        <v>0</v>
      </c>
      <c r="X140" s="57">
        <f t="shared" si="36"/>
        <v>0</v>
      </c>
      <c r="Y140" s="57" t="str">
        <f t="shared" si="39"/>
        <v>nc</v>
      </c>
      <c r="Z140" s="56" t="str">
        <f t="shared" si="40"/>
        <v>nc</v>
      </c>
      <c r="AA140" s="56" t="str">
        <f t="shared" si="41"/>
        <v>nc</v>
      </c>
      <c r="AB140" s="56" t="str">
        <f t="shared" si="42"/>
        <v>nc</v>
      </c>
      <c r="AC140" s="56" t="str">
        <f t="shared" si="37"/>
        <v/>
      </c>
      <c r="AD140" s="54">
        <f t="shared" si="38"/>
        <v>0</v>
      </c>
    </row>
    <row r="141" spans="1:30">
      <c r="A141" s="54" t="s">
        <v>3966</v>
      </c>
      <c r="B141" s="54" t="s">
        <v>1269</v>
      </c>
      <c r="C141" s="54" t="str">
        <f>VLOOKUP(A141,RecNamesAll!A:C,3,FALSE)</f>
        <v>GPR107</v>
      </c>
      <c r="D141" s="61"/>
      <c r="E141" s="54" t="s">
        <v>3965</v>
      </c>
      <c r="F141" s="54" t="s">
        <v>3964</v>
      </c>
      <c r="G141" s="54" t="s">
        <v>3946</v>
      </c>
      <c r="H141" s="54" t="s">
        <v>3322</v>
      </c>
      <c r="I141" s="54" t="s">
        <v>3945</v>
      </c>
      <c r="Q141" s="57" t="str">
        <f t="shared" si="29"/>
        <v/>
      </c>
      <c r="R141" s="56" t="str">
        <f t="shared" si="30"/>
        <v/>
      </c>
      <c r="S141" s="56" t="str">
        <f t="shared" si="31"/>
        <v/>
      </c>
      <c r="T141" s="56" t="str">
        <f t="shared" si="32"/>
        <v/>
      </c>
      <c r="U141" s="57">
        <f t="shared" si="33"/>
        <v>0</v>
      </c>
      <c r="V141" s="57">
        <f t="shared" si="34"/>
        <v>0</v>
      </c>
      <c r="W141" s="57">
        <f t="shared" si="35"/>
        <v>0</v>
      </c>
      <c r="X141" s="57">
        <f t="shared" si="36"/>
        <v>0</v>
      </c>
      <c r="Y141" s="57" t="str">
        <f t="shared" si="39"/>
        <v>nc</v>
      </c>
      <c r="Z141" s="56" t="str">
        <f t="shared" si="40"/>
        <v>nc</v>
      </c>
      <c r="AA141" s="56" t="str">
        <f t="shared" si="41"/>
        <v>nc</v>
      </c>
      <c r="AB141" s="56" t="str">
        <f t="shared" si="42"/>
        <v>nc</v>
      </c>
      <c r="AC141" s="56" t="str">
        <f t="shared" si="37"/>
        <v/>
      </c>
      <c r="AD141" s="54">
        <f t="shared" si="38"/>
        <v>0</v>
      </c>
    </row>
    <row r="142" spans="1:30">
      <c r="A142" s="54" t="s">
        <v>3963</v>
      </c>
      <c r="B142" s="54" t="s">
        <v>3962</v>
      </c>
      <c r="C142" s="54" t="str">
        <f>VLOOKUP(A142,RecNamesAll!A:C,3,FALSE)</f>
        <v>GPR137</v>
      </c>
      <c r="D142" s="61"/>
      <c r="E142" s="54" t="s">
        <v>3961</v>
      </c>
      <c r="F142" s="54" t="s">
        <v>3960</v>
      </c>
      <c r="G142" s="54" t="s">
        <v>3946</v>
      </c>
      <c r="H142" s="54" t="s">
        <v>3322</v>
      </c>
      <c r="I142" s="54" t="s">
        <v>3945</v>
      </c>
      <c r="Q142" s="57" t="str">
        <f t="shared" si="29"/>
        <v/>
      </c>
      <c r="R142" s="56" t="str">
        <f t="shared" si="30"/>
        <v/>
      </c>
      <c r="S142" s="56" t="str">
        <f t="shared" si="31"/>
        <v/>
      </c>
      <c r="T142" s="56" t="str">
        <f t="shared" si="32"/>
        <v/>
      </c>
      <c r="U142" s="57">
        <f t="shared" si="33"/>
        <v>0</v>
      </c>
      <c r="V142" s="57">
        <f t="shared" si="34"/>
        <v>0</v>
      </c>
      <c r="W142" s="57">
        <f t="shared" si="35"/>
        <v>0</v>
      </c>
      <c r="X142" s="57">
        <f t="shared" si="36"/>
        <v>0</v>
      </c>
      <c r="Y142" s="57" t="str">
        <f t="shared" si="39"/>
        <v>nc</v>
      </c>
      <c r="Z142" s="56" t="str">
        <f t="shared" si="40"/>
        <v>nc</v>
      </c>
      <c r="AA142" s="56" t="str">
        <f t="shared" si="41"/>
        <v>nc</v>
      </c>
      <c r="AB142" s="56" t="str">
        <f t="shared" si="42"/>
        <v>nc</v>
      </c>
      <c r="AC142" s="56" t="str">
        <f t="shared" si="37"/>
        <v/>
      </c>
      <c r="AD142" s="54">
        <f t="shared" si="38"/>
        <v>0</v>
      </c>
    </row>
    <row r="143" spans="1:30">
      <c r="A143" s="54" t="s">
        <v>3959</v>
      </c>
      <c r="B143" s="54" t="s">
        <v>3958</v>
      </c>
      <c r="C143" s="54" t="e">
        <f>VLOOKUP(A143,RecNamesAll!A:C,3,FALSE)</f>
        <v>#N/A</v>
      </c>
      <c r="D143" s="61"/>
      <c r="E143" s="54" t="s">
        <v>3957</v>
      </c>
      <c r="F143" s="54" t="s">
        <v>3956</v>
      </c>
      <c r="G143" s="54" t="s">
        <v>3946</v>
      </c>
      <c r="H143" s="54" t="s">
        <v>3322</v>
      </c>
      <c r="I143" s="54" t="s">
        <v>3945</v>
      </c>
      <c r="Q143" s="57" t="str">
        <f t="shared" si="29"/>
        <v/>
      </c>
      <c r="R143" s="56" t="str">
        <f t="shared" si="30"/>
        <v/>
      </c>
      <c r="S143" s="56" t="str">
        <f t="shared" si="31"/>
        <v/>
      </c>
      <c r="T143" s="56" t="str">
        <f t="shared" si="32"/>
        <v/>
      </c>
      <c r="U143" s="57">
        <f t="shared" si="33"/>
        <v>0</v>
      </c>
      <c r="V143" s="57">
        <f t="shared" si="34"/>
        <v>0</v>
      </c>
      <c r="W143" s="57">
        <f t="shared" si="35"/>
        <v>0</v>
      </c>
      <c r="X143" s="57">
        <f t="shared" si="36"/>
        <v>0</v>
      </c>
      <c r="Y143" s="57" t="str">
        <f t="shared" si="39"/>
        <v>nc</v>
      </c>
      <c r="Z143" s="56" t="str">
        <f t="shared" si="40"/>
        <v>nc</v>
      </c>
      <c r="AA143" s="56" t="str">
        <f t="shared" si="41"/>
        <v>nc</v>
      </c>
      <c r="AB143" s="56" t="str">
        <f t="shared" si="42"/>
        <v>nc</v>
      </c>
      <c r="AC143" s="56" t="str">
        <f t="shared" si="37"/>
        <v/>
      </c>
      <c r="AD143" s="54">
        <f t="shared" si="38"/>
        <v>0</v>
      </c>
    </row>
    <row r="144" spans="1:30">
      <c r="A144" s="54" t="s">
        <v>3954</v>
      </c>
      <c r="B144" s="54" t="s">
        <v>3955</v>
      </c>
      <c r="C144" s="54" t="str">
        <f>VLOOKUP(A144,RecNamesAll!A:C,3,FALSE)</f>
        <v>TPRA1</v>
      </c>
      <c r="D144" s="61"/>
      <c r="E144" s="54" t="s">
        <v>3954</v>
      </c>
      <c r="F144" s="54" t="s">
        <v>3953</v>
      </c>
      <c r="G144" s="54" t="s">
        <v>3946</v>
      </c>
      <c r="H144" s="54" t="s">
        <v>3322</v>
      </c>
      <c r="I144" s="54" t="s">
        <v>3945</v>
      </c>
      <c r="Q144" s="57" t="str">
        <f t="shared" si="29"/>
        <v/>
      </c>
      <c r="R144" s="56" t="str">
        <f t="shared" si="30"/>
        <v/>
      </c>
      <c r="S144" s="56" t="str">
        <f t="shared" si="31"/>
        <v/>
      </c>
      <c r="T144" s="56" t="str">
        <f t="shared" si="32"/>
        <v/>
      </c>
      <c r="U144" s="57">
        <f t="shared" si="33"/>
        <v>0</v>
      </c>
      <c r="V144" s="57">
        <f t="shared" si="34"/>
        <v>0</v>
      </c>
      <c r="W144" s="57">
        <f t="shared" si="35"/>
        <v>0</v>
      </c>
      <c r="X144" s="57">
        <f t="shared" si="36"/>
        <v>0</v>
      </c>
      <c r="Y144" s="57" t="str">
        <f t="shared" si="39"/>
        <v>nc</v>
      </c>
      <c r="Z144" s="56" t="str">
        <f t="shared" si="40"/>
        <v>nc</v>
      </c>
      <c r="AA144" s="56" t="str">
        <f t="shared" si="41"/>
        <v>nc</v>
      </c>
      <c r="AB144" s="56" t="str">
        <f t="shared" si="42"/>
        <v>nc</v>
      </c>
      <c r="AC144" s="56" t="str">
        <f t="shared" si="37"/>
        <v/>
      </c>
      <c r="AD144" s="54">
        <f t="shared" si="38"/>
        <v>0</v>
      </c>
    </row>
    <row r="145" spans="1:30">
      <c r="A145" s="54" t="s">
        <v>3952</v>
      </c>
      <c r="B145" s="54" t="s">
        <v>1306</v>
      </c>
      <c r="C145" s="54" t="str">
        <f>VLOOKUP(A145,RecNamesAll!A:C,3,FALSE)</f>
        <v>GPR143</v>
      </c>
      <c r="D145" s="61"/>
      <c r="E145" s="54" t="s">
        <v>3951</v>
      </c>
      <c r="F145" s="54" t="s">
        <v>3950</v>
      </c>
      <c r="G145" s="54" t="s">
        <v>3946</v>
      </c>
      <c r="H145" s="54" t="s">
        <v>3322</v>
      </c>
      <c r="I145" s="54" t="s">
        <v>3945</v>
      </c>
      <c r="Q145" s="57" t="str">
        <f t="shared" si="29"/>
        <v/>
      </c>
      <c r="R145" s="56" t="str">
        <f t="shared" si="30"/>
        <v/>
      </c>
      <c r="S145" s="56" t="str">
        <f t="shared" si="31"/>
        <v/>
      </c>
      <c r="T145" s="56" t="str">
        <f t="shared" si="32"/>
        <v/>
      </c>
      <c r="U145" s="57">
        <f t="shared" si="33"/>
        <v>0</v>
      </c>
      <c r="V145" s="57">
        <f t="shared" si="34"/>
        <v>0</v>
      </c>
      <c r="W145" s="57">
        <f t="shared" si="35"/>
        <v>0</v>
      </c>
      <c r="X145" s="57">
        <f t="shared" si="36"/>
        <v>0</v>
      </c>
      <c r="Y145" s="57" t="str">
        <f t="shared" si="39"/>
        <v>nc</v>
      </c>
      <c r="Z145" s="56" t="str">
        <f t="shared" si="40"/>
        <v>nc</v>
      </c>
      <c r="AA145" s="56" t="str">
        <f t="shared" si="41"/>
        <v>nc</v>
      </c>
      <c r="AB145" s="56" t="str">
        <f t="shared" si="42"/>
        <v>nc</v>
      </c>
      <c r="AC145" s="56" t="str">
        <f t="shared" si="37"/>
        <v/>
      </c>
      <c r="AD145" s="54">
        <f t="shared" si="38"/>
        <v>0</v>
      </c>
    </row>
    <row r="146" spans="1:30">
      <c r="A146" s="54" t="s">
        <v>3949</v>
      </c>
      <c r="B146" s="54" t="s">
        <v>3948</v>
      </c>
      <c r="C146" s="54" t="str">
        <f>VLOOKUP(A146,RecNamesAll!A:C,3,FALSE)</f>
        <v>GPR157</v>
      </c>
      <c r="D146" s="61"/>
      <c r="E146" s="54" t="s">
        <v>3947</v>
      </c>
      <c r="G146" s="54" t="s">
        <v>3946</v>
      </c>
      <c r="H146" s="54" t="s">
        <v>3322</v>
      </c>
      <c r="I146" s="54" t="s">
        <v>3945</v>
      </c>
      <c r="Q146" s="57" t="str">
        <f t="shared" si="29"/>
        <v/>
      </c>
      <c r="R146" s="56" t="str">
        <f t="shared" si="30"/>
        <v/>
      </c>
      <c r="S146" s="56" t="str">
        <f t="shared" si="31"/>
        <v/>
      </c>
      <c r="T146" s="56" t="str">
        <f t="shared" si="32"/>
        <v/>
      </c>
      <c r="U146" s="57">
        <f t="shared" si="33"/>
        <v>0</v>
      </c>
      <c r="V146" s="57">
        <f t="shared" si="34"/>
        <v>0</v>
      </c>
      <c r="W146" s="57">
        <f t="shared" si="35"/>
        <v>0</v>
      </c>
      <c r="X146" s="57">
        <f t="shared" si="36"/>
        <v>0</v>
      </c>
      <c r="Y146" s="57" t="str">
        <f t="shared" si="39"/>
        <v>nc</v>
      </c>
      <c r="Z146" s="56" t="str">
        <f t="shared" si="40"/>
        <v>nc</v>
      </c>
      <c r="AA146" s="56" t="str">
        <f t="shared" si="41"/>
        <v>nc</v>
      </c>
      <c r="AB146" s="56" t="str">
        <f t="shared" si="42"/>
        <v>nc</v>
      </c>
      <c r="AC146" s="56" t="str">
        <f t="shared" si="37"/>
        <v/>
      </c>
      <c r="AD146" s="54">
        <f t="shared" si="38"/>
        <v>0</v>
      </c>
    </row>
    <row r="147" spans="1:30">
      <c r="A147" s="54" t="s">
        <v>3944</v>
      </c>
      <c r="B147" s="54" t="s">
        <v>3943</v>
      </c>
      <c r="C147" s="54" t="e">
        <f>VLOOKUP(A147,RecNamesAll!A:C,3,FALSE)</f>
        <v>#N/A</v>
      </c>
      <c r="D147" s="61"/>
      <c r="E147" s="54" t="s">
        <v>3940</v>
      </c>
      <c r="G147" s="54" t="s">
        <v>3942</v>
      </c>
      <c r="H147" s="54" t="s">
        <v>3941</v>
      </c>
      <c r="I147" s="54" t="s">
        <v>3940</v>
      </c>
      <c r="J147" s="54" t="s">
        <v>3939</v>
      </c>
      <c r="Q147" s="57" t="str">
        <f t="shared" si="29"/>
        <v/>
      </c>
      <c r="R147" s="56" t="str">
        <f t="shared" si="30"/>
        <v/>
      </c>
      <c r="S147" s="56" t="str">
        <f t="shared" si="31"/>
        <v/>
      </c>
      <c r="T147" s="56" t="str">
        <f t="shared" si="32"/>
        <v/>
      </c>
      <c r="U147" s="57">
        <f t="shared" si="33"/>
        <v>0</v>
      </c>
      <c r="V147" s="57">
        <f t="shared" si="34"/>
        <v>0</v>
      </c>
      <c r="W147" s="57">
        <f t="shared" si="35"/>
        <v>0</v>
      </c>
      <c r="X147" s="57">
        <f t="shared" si="36"/>
        <v>0</v>
      </c>
      <c r="Y147" s="57" t="str">
        <f t="shared" si="39"/>
        <v>nc</v>
      </c>
      <c r="Z147" s="56" t="str">
        <f t="shared" si="40"/>
        <v>nc</v>
      </c>
      <c r="AA147" s="56" t="str">
        <f t="shared" si="41"/>
        <v>nc</v>
      </c>
      <c r="AB147" s="56" t="str">
        <f t="shared" si="42"/>
        <v>nc</v>
      </c>
      <c r="AC147" s="56" t="str">
        <f t="shared" si="37"/>
        <v/>
      </c>
      <c r="AD147" s="54">
        <f t="shared" si="38"/>
        <v>0</v>
      </c>
    </row>
    <row r="148" spans="1:30">
      <c r="A148" s="54" t="s">
        <v>14</v>
      </c>
      <c r="B148" s="54" t="s">
        <v>256</v>
      </c>
      <c r="C148" s="54" t="str">
        <f>VLOOKUP(A148,RecNamesAll!A:C,3,FALSE)</f>
        <v>5-HT1A</v>
      </c>
      <c r="D148" s="60">
        <v>1</v>
      </c>
      <c r="E148" s="54" t="s">
        <v>3249</v>
      </c>
      <c r="F148" s="54" t="s">
        <v>3938</v>
      </c>
      <c r="G148" s="54" t="s">
        <v>3428</v>
      </c>
      <c r="H148" s="54" t="s">
        <v>3879</v>
      </c>
      <c r="I148" s="54" t="s">
        <v>3922</v>
      </c>
      <c r="J148" s="54" t="s">
        <v>2760</v>
      </c>
      <c r="L148" s="54" t="s">
        <v>3327</v>
      </c>
      <c r="M148" s="54" t="s">
        <v>3320</v>
      </c>
      <c r="N148" s="54" t="s">
        <v>3937</v>
      </c>
      <c r="O148" s="54">
        <v>2549039</v>
      </c>
      <c r="P148" s="59">
        <v>0.125</v>
      </c>
      <c r="Q148" s="57" t="str">
        <f t="shared" si="29"/>
        <v/>
      </c>
      <c r="R148" s="56" t="str">
        <f t="shared" si="30"/>
        <v>Gi/o</v>
      </c>
      <c r="S148" s="56" t="str">
        <f t="shared" si="31"/>
        <v/>
      </c>
      <c r="T148" s="56" t="str">
        <f t="shared" si="32"/>
        <v/>
      </c>
      <c r="U148" s="57">
        <f t="shared" si="33"/>
        <v>0</v>
      </c>
      <c r="V148" s="57">
        <f t="shared" si="34"/>
        <v>1</v>
      </c>
      <c r="W148" s="57">
        <f t="shared" si="35"/>
        <v>0</v>
      </c>
      <c r="X148" s="57">
        <f t="shared" si="36"/>
        <v>0</v>
      </c>
      <c r="Y148" s="57" t="str">
        <f t="shared" si="39"/>
        <v>nc</v>
      </c>
      <c r="Z148" s="56" t="str">
        <f t="shared" si="40"/>
        <v>c</v>
      </c>
      <c r="AA148" s="56" t="str">
        <f t="shared" si="41"/>
        <v>nc</v>
      </c>
      <c r="AB148" s="56" t="str">
        <f t="shared" si="42"/>
        <v>nc</v>
      </c>
      <c r="AC148" s="56">
        <f t="shared" si="37"/>
        <v>3</v>
      </c>
      <c r="AD148" s="54">
        <f t="shared" si="38"/>
        <v>1</v>
      </c>
    </row>
    <row r="149" spans="1:30">
      <c r="A149" s="54" t="s">
        <v>16</v>
      </c>
      <c r="B149" s="54" t="s">
        <v>257</v>
      </c>
      <c r="C149" s="54" t="str">
        <f>VLOOKUP(A149,RecNamesAll!A:C,3,FALSE)</f>
        <v>5-HT1B</v>
      </c>
      <c r="D149" s="60">
        <v>2</v>
      </c>
      <c r="E149" s="54" t="s">
        <v>3246</v>
      </c>
      <c r="F149" s="54" t="s">
        <v>3936</v>
      </c>
      <c r="G149" s="54" t="s">
        <v>3428</v>
      </c>
      <c r="H149" s="54" t="s">
        <v>3879</v>
      </c>
      <c r="I149" s="54" t="s">
        <v>3922</v>
      </c>
      <c r="J149" s="54" t="s">
        <v>2760</v>
      </c>
      <c r="L149" s="54" t="s">
        <v>3327</v>
      </c>
      <c r="N149" s="54" t="s">
        <v>3935</v>
      </c>
      <c r="P149" s="59">
        <v>8.3333333333333329E-2</v>
      </c>
      <c r="Q149" s="57" t="str">
        <f t="shared" si="29"/>
        <v/>
      </c>
      <c r="R149" s="56" t="str">
        <f t="shared" si="30"/>
        <v>Gi/o</v>
      </c>
      <c r="S149" s="56" t="str">
        <f t="shared" si="31"/>
        <v/>
      </c>
      <c r="T149" s="56" t="str">
        <f t="shared" si="32"/>
        <v/>
      </c>
      <c r="U149" s="57">
        <f t="shared" si="33"/>
        <v>0</v>
      </c>
      <c r="V149" s="57">
        <f t="shared" si="34"/>
        <v>1</v>
      </c>
      <c r="W149" s="57">
        <f t="shared" si="35"/>
        <v>0</v>
      </c>
      <c r="X149" s="57">
        <f t="shared" si="36"/>
        <v>0</v>
      </c>
      <c r="Y149" s="57" t="str">
        <f t="shared" si="39"/>
        <v>nc</v>
      </c>
      <c r="Z149" s="56" t="str">
        <f t="shared" si="40"/>
        <v>c</v>
      </c>
      <c r="AA149" s="56" t="str">
        <f t="shared" si="41"/>
        <v>nc</v>
      </c>
      <c r="AB149" s="56" t="str">
        <f t="shared" si="42"/>
        <v>nc</v>
      </c>
      <c r="AC149" s="56">
        <f t="shared" si="37"/>
        <v>3</v>
      </c>
      <c r="AD149" s="54">
        <f t="shared" si="38"/>
        <v>1</v>
      </c>
    </row>
    <row r="150" spans="1:30">
      <c r="A150" s="54" t="s">
        <v>17</v>
      </c>
      <c r="B150" s="54" t="s">
        <v>258</v>
      </c>
      <c r="C150" s="54" t="str">
        <f>VLOOKUP(A150,RecNamesAll!A:C,3,FALSE)</f>
        <v>5-HT1D</v>
      </c>
      <c r="D150" s="60">
        <v>3</v>
      </c>
      <c r="E150" s="54" t="s">
        <v>3243</v>
      </c>
      <c r="F150" s="54" t="s">
        <v>3934</v>
      </c>
      <c r="G150" s="54" t="s">
        <v>3428</v>
      </c>
      <c r="H150" s="54" t="s">
        <v>3879</v>
      </c>
      <c r="I150" s="54" t="s">
        <v>3922</v>
      </c>
      <c r="J150" s="54" t="s">
        <v>2760</v>
      </c>
      <c r="L150" s="54" t="s">
        <v>3327</v>
      </c>
      <c r="N150" s="54" t="s">
        <v>3933</v>
      </c>
      <c r="P150" s="59">
        <v>8.3333333333333329E-2</v>
      </c>
      <c r="Q150" s="57" t="str">
        <f t="shared" si="29"/>
        <v/>
      </c>
      <c r="R150" s="56" t="str">
        <f t="shared" si="30"/>
        <v>Gi/o</v>
      </c>
      <c r="S150" s="56" t="str">
        <f t="shared" si="31"/>
        <v/>
      </c>
      <c r="T150" s="56" t="str">
        <f t="shared" si="32"/>
        <v/>
      </c>
      <c r="U150" s="57">
        <f t="shared" si="33"/>
        <v>0</v>
      </c>
      <c r="V150" s="57">
        <f t="shared" si="34"/>
        <v>1</v>
      </c>
      <c r="W150" s="57">
        <f t="shared" si="35"/>
        <v>0</v>
      </c>
      <c r="X150" s="57">
        <f t="shared" si="36"/>
        <v>0</v>
      </c>
      <c r="Y150" s="57" t="str">
        <f t="shared" si="39"/>
        <v>nc</v>
      </c>
      <c r="Z150" s="56" t="str">
        <f t="shared" si="40"/>
        <v>c</v>
      </c>
      <c r="AA150" s="56" t="str">
        <f t="shared" si="41"/>
        <v>nc</v>
      </c>
      <c r="AB150" s="56" t="str">
        <f t="shared" si="42"/>
        <v>nc</v>
      </c>
      <c r="AC150" s="56">
        <f t="shared" si="37"/>
        <v>3</v>
      </c>
      <c r="AD150" s="54">
        <f t="shared" si="38"/>
        <v>1</v>
      </c>
    </row>
    <row r="151" spans="1:30">
      <c r="A151" s="54" t="s">
        <v>18</v>
      </c>
      <c r="B151" s="54" t="s">
        <v>615</v>
      </c>
      <c r="C151" s="54" t="str">
        <f>VLOOKUP(A151,RecNamesAll!A:C,3,FALSE)</f>
        <v>5-HT1E</v>
      </c>
      <c r="D151" s="60">
        <v>4</v>
      </c>
      <c r="E151" s="54" t="s">
        <v>3240</v>
      </c>
      <c r="G151" s="54" t="s">
        <v>3428</v>
      </c>
      <c r="H151" s="54" t="s">
        <v>3879</v>
      </c>
      <c r="I151" s="54" t="s">
        <v>3922</v>
      </c>
      <c r="J151" s="54" t="s">
        <v>2760</v>
      </c>
      <c r="L151" s="54" t="s">
        <v>3327</v>
      </c>
      <c r="N151" s="54">
        <v>7984278</v>
      </c>
      <c r="P151" s="59">
        <v>4.1666666666666664E-2</v>
      </c>
      <c r="Q151" s="57" t="str">
        <f t="shared" si="29"/>
        <v/>
      </c>
      <c r="R151" s="56" t="str">
        <f t="shared" si="30"/>
        <v>Gi/o</v>
      </c>
      <c r="S151" s="56" t="str">
        <f t="shared" si="31"/>
        <v/>
      </c>
      <c r="T151" s="56" t="str">
        <f t="shared" si="32"/>
        <v/>
      </c>
      <c r="U151" s="57">
        <f t="shared" si="33"/>
        <v>0</v>
      </c>
      <c r="V151" s="57">
        <f t="shared" si="34"/>
        <v>1</v>
      </c>
      <c r="W151" s="57">
        <f t="shared" si="35"/>
        <v>0</v>
      </c>
      <c r="X151" s="57">
        <f t="shared" si="36"/>
        <v>0</v>
      </c>
      <c r="Y151" s="57" t="str">
        <f t="shared" si="39"/>
        <v>nc</v>
      </c>
      <c r="Z151" s="56" t="str">
        <f t="shared" si="40"/>
        <v>c</v>
      </c>
      <c r="AA151" s="56" t="str">
        <f t="shared" si="41"/>
        <v>nc</v>
      </c>
      <c r="AB151" s="56" t="str">
        <f t="shared" si="42"/>
        <v>nc</v>
      </c>
      <c r="AC151" s="56">
        <f t="shared" si="37"/>
        <v>3</v>
      </c>
      <c r="AD151" s="54">
        <f t="shared" si="38"/>
        <v>1</v>
      </c>
    </row>
    <row r="152" spans="1:30">
      <c r="A152" s="54" t="s">
        <v>19</v>
      </c>
      <c r="B152" s="54" t="s">
        <v>617</v>
      </c>
      <c r="C152" s="54" t="str">
        <f>VLOOKUP(A152,RecNamesAll!A:C,3,FALSE)</f>
        <v>5-HT1F</v>
      </c>
      <c r="D152" s="60">
        <v>5</v>
      </c>
      <c r="E152" s="54" t="s">
        <v>3237</v>
      </c>
      <c r="F152" s="54" t="s">
        <v>3932</v>
      </c>
      <c r="G152" s="54" t="s">
        <v>3428</v>
      </c>
      <c r="H152" s="54" t="s">
        <v>3879</v>
      </c>
      <c r="I152" s="54" t="s">
        <v>3922</v>
      </c>
      <c r="J152" s="54" t="s">
        <v>2760</v>
      </c>
      <c r="L152" s="54" t="s">
        <v>3327</v>
      </c>
      <c r="N152" s="54">
        <v>8133900</v>
      </c>
      <c r="P152" s="59">
        <v>4.1666666666666664E-2</v>
      </c>
      <c r="Q152" s="57" t="str">
        <f t="shared" si="29"/>
        <v/>
      </c>
      <c r="R152" s="56" t="str">
        <f t="shared" si="30"/>
        <v>Gi/o</v>
      </c>
      <c r="S152" s="56" t="str">
        <f t="shared" si="31"/>
        <v/>
      </c>
      <c r="T152" s="56" t="str">
        <f t="shared" si="32"/>
        <v/>
      </c>
      <c r="U152" s="57">
        <f t="shared" si="33"/>
        <v>0</v>
      </c>
      <c r="V152" s="57">
        <f t="shared" si="34"/>
        <v>1</v>
      </c>
      <c r="W152" s="57">
        <f t="shared" si="35"/>
        <v>0</v>
      </c>
      <c r="X152" s="57">
        <f t="shared" si="36"/>
        <v>0</v>
      </c>
      <c r="Y152" s="57" t="str">
        <f t="shared" si="39"/>
        <v>nc</v>
      </c>
      <c r="Z152" s="56" t="str">
        <f t="shared" si="40"/>
        <v>c</v>
      </c>
      <c r="AA152" s="56" t="str">
        <f t="shared" si="41"/>
        <v>nc</v>
      </c>
      <c r="AB152" s="56" t="str">
        <f t="shared" si="42"/>
        <v>nc</v>
      </c>
      <c r="AC152" s="56">
        <f t="shared" si="37"/>
        <v>3</v>
      </c>
      <c r="AD152" s="54">
        <f t="shared" si="38"/>
        <v>1</v>
      </c>
    </row>
    <row r="153" spans="1:30">
      <c r="A153" s="54" t="s">
        <v>20</v>
      </c>
      <c r="B153" s="54" t="s">
        <v>259</v>
      </c>
      <c r="C153" s="54" t="str">
        <f>VLOOKUP(A153,RecNamesAll!A:C,3,FALSE)</f>
        <v>5-HT2A</v>
      </c>
      <c r="D153" s="60">
        <v>6</v>
      </c>
      <c r="E153" s="54" t="s">
        <v>3234</v>
      </c>
      <c r="F153" s="54" t="s">
        <v>3931</v>
      </c>
      <c r="G153" s="54" t="s">
        <v>3428</v>
      </c>
      <c r="H153" s="54" t="s">
        <v>3879</v>
      </c>
      <c r="I153" s="54" t="s">
        <v>3922</v>
      </c>
      <c r="J153" s="54" t="s">
        <v>2759</v>
      </c>
      <c r="K153" s="54" t="s">
        <v>2760</v>
      </c>
      <c r="L153" s="54" t="s">
        <v>3320</v>
      </c>
      <c r="M153" s="54" t="s">
        <v>3327</v>
      </c>
      <c r="N153" s="54" t="s">
        <v>3930</v>
      </c>
      <c r="O153" s="54">
        <v>7651356</v>
      </c>
      <c r="P153" s="59">
        <v>8.3333333333333329E-2</v>
      </c>
      <c r="Q153" s="57" t="str">
        <f t="shared" si="29"/>
        <v/>
      </c>
      <c r="R153" s="56" t="str">
        <f t="shared" si="30"/>
        <v>Gi/o</v>
      </c>
      <c r="S153" s="56" t="str">
        <f t="shared" si="31"/>
        <v>Gq/11</v>
      </c>
      <c r="T153" s="56" t="str">
        <f t="shared" si="32"/>
        <v/>
      </c>
      <c r="U153" s="57">
        <f t="shared" si="33"/>
        <v>0</v>
      </c>
      <c r="V153" s="57">
        <f t="shared" si="34"/>
        <v>2</v>
      </c>
      <c r="W153" s="57">
        <f t="shared" si="35"/>
        <v>1</v>
      </c>
      <c r="X153" s="57">
        <f t="shared" si="36"/>
        <v>0</v>
      </c>
      <c r="Y153" s="57" t="str">
        <f t="shared" si="39"/>
        <v>nc</v>
      </c>
      <c r="Z153" s="56" t="str">
        <f t="shared" si="40"/>
        <v>c</v>
      </c>
      <c r="AA153" s="56" t="str">
        <f t="shared" si="41"/>
        <v>c</v>
      </c>
      <c r="AB153" s="56" t="str">
        <f t="shared" si="42"/>
        <v>nc</v>
      </c>
      <c r="AC153" s="56">
        <f t="shared" si="37"/>
        <v>2</v>
      </c>
      <c r="AD153" s="54">
        <f t="shared" si="38"/>
        <v>1</v>
      </c>
    </row>
    <row r="154" spans="1:30">
      <c r="A154" s="54" t="s">
        <v>21</v>
      </c>
      <c r="B154" s="54" t="s">
        <v>260</v>
      </c>
      <c r="C154" s="54" t="str">
        <f>VLOOKUP(A154,RecNamesAll!A:C,3,FALSE)</f>
        <v>5-HT2B</v>
      </c>
      <c r="D154" s="60">
        <v>7</v>
      </c>
      <c r="E154" s="54" t="s">
        <v>3231</v>
      </c>
      <c r="G154" s="54" t="s">
        <v>3428</v>
      </c>
      <c r="H154" s="54" t="s">
        <v>3879</v>
      </c>
      <c r="I154" s="54" t="s">
        <v>3922</v>
      </c>
      <c r="J154" s="54" t="s">
        <v>2759</v>
      </c>
      <c r="N154" s="54" t="s">
        <v>3929</v>
      </c>
      <c r="P154" s="59">
        <v>8.3333333333333329E-2</v>
      </c>
      <c r="Q154" s="57" t="str">
        <f t="shared" si="29"/>
        <v/>
      </c>
      <c r="R154" s="56" t="str">
        <f t="shared" si="30"/>
        <v/>
      </c>
      <c r="S154" s="56" t="str">
        <f t="shared" si="31"/>
        <v>Gq/11</v>
      </c>
      <c r="T154" s="56" t="str">
        <f t="shared" si="32"/>
        <v/>
      </c>
      <c r="U154" s="57">
        <f t="shared" si="33"/>
        <v>0</v>
      </c>
      <c r="V154" s="57">
        <f t="shared" si="34"/>
        <v>0</v>
      </c>
      <c r="W154" s="57">
        <f t="shared" si="35"/>
        <v>1</v>
      </c>
      <c r="X154" s="57">
        <f t="shared" si="36"/>
        <v>0</v>
      </c>
      <c r="Y154" s="57" t="str">
        <f t="shared" si="39"/>
        <v>nc</v>
      </c>
      <c r="Z154" s="56" t="str">
        <f t="shared" si="40"/>
        <v>nc</v>
      </c>
      <c r="AA154" s="56" t="str">
        <f t="shared" si="41"/>
        <v>c</v>
      </c>
      <c r="AB154" s="56" t="str">
        <f t="shared" si="42"/>
        <v>nc</v>
      </c>
      <c r="AC154" s="56">
        <f t="shared" si="37"/>
        <v>3</v>
      </c>
      <c r="AD154" s="54">
        <f t="shared" si="38"/>
        <v>1</v>
      </c>
    </row>
    <row r="155" spans="1:30">
      <c r="A155" s="54" t="s">
        <v>22</v>
      </c>
      <c r="B155" s="54" t="s">
        <v>261</v>
      </c>
      <c r="C155" s="54" t="str">
        <f>VLOOKUP(A155,RecNamesAll!A:C,3,FALSE)</f>
        <v>5-HT2C</v>
      </c>
      <c r="D155" s="60">
        <v>8</v>
      </c>
      <c r="E155" s="54" t="s">
        <v>3228</v>
      </c>
      <c r="F155" s="54" t="s">
        <v>3928</v>
      </c>
      <c r="G155" s="54" t="s">
        <v>3428</v>
      </c>
      <c r="H155" s="54" t="s">
        <v>3879</v>
      </c>
      <c r="I155" s="54" t="s">
        <v>3922</v>
      </c>
      <c r="J155" s="54" t="s">
        <v>2759</v>
      </c>
      <c r="K155" s="54" t="s">
        <v>2760</v>
      </c>
      <c r="L155" s="54" t="s">
        <v>3320</v>
      </c>
      <c r="M155" s="54" t="s">
        <v>3327</v>
      </c>
      <c r="N155" s="54" t="s">
        <v>3927</v>
      </c>
      <c r="O155" s="54">
        <v>8809227</v>
      </c>
      <c r="P155" s="59">
        <v>0.125</v>
      </c>
      <c r="Q155" s="57" t="str">
        <f t="shared" si="29"/>
        <v/>
      </c>
      <c r="R155" s="56" t="str">
        <f t="shared" si="30"/>
        <v>Gi/o</v>
      </c>
      <c r="S155" s="56" t="str">
        <f t="shared" si="31"/>
        <v>Gq/11</v>
      </c>
      <c r="T155" s="56" t="str">
        <f t="shared" si="32"/>
        <v/>
      </c>
      <c r="U155" s="57">
        <f t="shared" si="33"/>
        <v>0</v>
      </c>
      <c r="V155" s="57">
        <f t="shared" si="34"/>
        <v>2</v>
      </c>
      <c r="W155" s="57">
        <f t="shared" si="35"/>
        <v>1</v>
      </c>
      <c r="X155" s="57">
        <f t="shared" si="36"/>
        <v>0</v>
      </c>
      <c r="Y155" s="57" t="str">
        <f t="shared" si="39"/>
        <v>nc</v>
      </c>
      <c r="Z155" s="56" t="str">
        <f t="shared" si="40"/>
        <v>c</v>
      </c>
      <c r="AA155" s="56" t="str">
        <f t="shared" si="41"/>
        <v>c</v>
      </c>
      <c r="AB155" s="56" t="str">
        <f t="shared" si="42"/>
        <v>nc</v>
      </c>
      <c r="AC155" s="56">
        <f t="shared" si="37"/>
        <v>2</v>
      </c>
      <c r="AD155" s="54">
        <f t="shared" si="38"/>
        <v>1</v>
      </c>
    </row>
    <row r="156" spans="1:30">
      <c r="A156" s="54" t="s">
        <v>23</v>
      </c>
      <c r="B156" s="54" t="s">
        <v>622</v>
      </c>
      <c r="C156" s="54" t="str">
        <f>VLOOKUP(A156,RecNamesAll!A:C,3,FALSE)</f>
        <v>5-HT4</v>
      </c>
      <c r="D156" s="60">
        <v>9</v>
      </c>
      <c r="E156" s="54" t="s">
        <v>3225</v>
      </c>
      <c r="G156" s="54" t="s">
        <v>3428</v>
      </c>
      <c r="H156" s="54" t="s">
        <v>3879</v>
      </c>
      <c r="I156" s="54" t="s">
        <v>3922</v>
      </c>
      <c r="J156" s="54" t="s">
        <v>2761</v>
      </c>
      <c r="K156" s="54" t="s">
        <v>2758</v>
      </c>
      <c r="L156" s="54" t="s">
        <v>3926</v>
      </c>
      <c r="M156" s="54" t="s">
        <v>3298</v>
      </c>
      <c r="N156" s="54" t="s">
        <v>3925</v>
      </c>
      <c r="O156" s="54">
        <v>11923294</v>
      </c>
      <c r="P156" s="59">
        <v>0.29166666666666669</v>
      </c>
      <c r="Q156" s="57" t="str">
        <f t="shared" si="29"/>
        <v>Gs</v>
      </c>
      <c r="R156" s="56" t="str">
        <f t="shared" si="30"/>
        <v/>
      </c>
      <c r="S156" s="56" t="str">
        <f t="shared" si="31"/>
        <v/>
      </c>
      <c r="T156" s="56" t="str">
        <f t="shared" si="32"/>
        <v>G12/13</v>
      </c>
      <c r="U156" s="57">
        <f t="shared" si="33"/>
        <v>1</v>
      </c>
      <c r="V156" s="57">
        <f t="shared" si="34"/>
        <v>0</v>
      </c>
      <c r="W156" s="57">
        <f t="shared" si="35"/>
        <v>0</v>
      </c>
      <c r="X156" s="57">
        <f t="shared" si="36"/>
        <v>2</v>
      </c>
      <c r="Y156" s="57" t="str">
        <f t="shared" si="39"/>
        <v>c</v>
      </c>
      <c r="Z156" s="56" t="str">
        <f t="shared" si="40"/>
        <v>nc</v>
      </c>
      <c r="AA156" s="56" t="str">
        <f t="shared" si="41"/>
        <v>nc</v>
      </c>
      <c r="AB156" s="56" t="str">
        <f t="shared" si="42"/>
        <v>c</v>
      </c>
      <c r="AC156" s="56">
        <f t="shared" si="37"/>
        <v>2</v>
      </c>
      <c r="AD156" s="54">
        <f t="shared" si="38"/>
        <v>1</v>
      </c>
    </row>
    <row r="157" spans="1:30">
      <c r="A157" s="54" t="s">
        <v>3924</v>
      </c>
      <c r="B157" s="54" t="s">
        <v>624</v>
      </c>
      <c r="C157" s="54" t="str">
        <f>VLOOKUP(A157,RecNamesAll!A:C,3,FALSE)</f>
        <v>5-HT5A</v>
      </c>
      <c r="D157" s="60">
        <v>10</v>
      </c>
      <c r="E157" s="54" t="s">
        <v>3222</v>
      </c>
      <c r="G157" s="54" t="s">
        <v>3428</v>
      </c>
      <c r="H157" s="54" t="s">
        <v>3879</v>
      </c>
      <c r="I157" s="54" t="s">
        <v>3922</v>
      </c>
      <c r="J157" s="54" t="s">
        <v>2760</v>
      </c>
      <c r="K157" s="54" t="s">
        <v>2759</v>
      </c>
      <c r="L157" s="54" t="s">
        <v>3327</v>
      </c>
      <c r="M157" s="54" t="s">
        <v>3320</v>
      </c>
      <c r="N157" s="54" t="s">
        <v>3923</v>
      </c>
      <c r="O157" s="54">
        <v>12558985</v>
      </c>
      <c r="P157" s="59">
        <v>8.3333333333333329E-2</v>
      </c>
      <c r="Q157" s="57" t="str">
        <f t="shared" si="29"/>
        <v/>
      </c>
      <c r="R157" s="56" t="str">
        <f t="shared" si="30"/>
        <v>Gi/o</v>
      </c>
      <c r="S157" s="56" t="str">
        <f t="shared" si="31"/>
        <v>Gq/11</v>
      </c>
      <c r="T157" s="56" t="str">
        <f t="shared" si="32"/>
        <v/>
      </c>
      <c r="U157" s="57">
        <f t="shared" si="33"/>
        <v>0</v>
      </c>
      <c r="V157" s="57">
        <f t="shared" si="34"/>
        <v>1</v>
      </c>
      <c r="W157" s="57">
        <f t="shared" si="35"/>
        <v>2</v>
      </c>
      <c r="X157" s="57">
        <f t="shared" si="36"/>
        <v>0</v>
      </c>
      <c r="Y157" s="57" t="str">
        <f t="shared" si="39"/>
        <v>nc</v>
      </c>
      <c r="Z157" s="56" t="str">
        <f t="shared" si="40"/>
        <v>c</v>
      </c>
      <c r="AA157" s="56" t="str">
        <f t="shared" si="41"/>
        <v>c</v>
      </c>
      <c r="AB157" s="56" t="str">
        <f t="shared" si="42"/>
        <v>nc</v>
      </c>
      <c r="AC157" s="56">
        <f t="shared" si="37"/>
        <v>2</v>
      </c>
      <c r="AD157" s="54">
        <f t="shared" si="38"/>
        <v>1</v>
      </c>
    </row>
    <row r="158" spans="1:30">
      <c r="A158" s="54" t="s">
        <v>24</v>
      </c>
      <c r="B158" s="54" t="s">
        <v>626</v>
      </c>
      <c r="C158" s="54" t="str">
        <f>VLOOKUP(A158,RecNamesAll!A:C,3,FALSE)</f>
        <v>5-HT6</v>
      </c>
      <c r="D158" s="60">
        <v>11</v>
      </c>
      <c r="E158" s="54" t="s">
        <v>3219</v>
      </c>
      <c r="G158" s="54" t="s">
        <v>3428</v>
      </c>
      <c r="H158" s="54" t="s">
        <v>3879</v>
      </c>
      <c r="I158" s="54" t="s">
        <v>3922</v>
      </c>
      <c r="J158" s="54" t="s">
        <v>2761</v>
      </c>
      <c r="K158" s="54" t="s">
        <v>2759</v>
      </c>
      <c r="L158" s="54" t="s">
        <v>3369</v>
      </c>
      <c r="M158" s="54" t="s">
        <v>3320</v>
      </c>
      <c r="N158" s="54">
        <v>12860470</v>
      </c>
      <c r="O158" s="54">
        <v>12860470</v>
      </c>
      <c r="P158" s="59">
        <v>4.1666666666666664E-2</v>
      </c>
      <c r="Q158" s="57" t="str">
        <f t="shared" si="29"/>
        <v>Gs</v>
      </c>
      <c r="R158" s="56" t="str">
        <f t="shared" si="30"/>
        <v/>
      </c>
      <c r="S158" s="56" t="str">
        <f t="shared" si="31"/>
        <v>Gq/11</v>
      </c>
      <c r="T158" s="56" t="str">
        <f t="shared" si="32"/>
        <v/>
      </c>
      <c r="U158" s="57">
        <f t="shared" si="33"/>
        <v>1</v>
      </c>
      <c r="V158" s="57">
        <f t="shared" si="34"/>
        <v>0</v>
      </c>
      <c r="W158" s="57">
        <f t="shared" si="35"/>
        <v>2</v>
      </c>
      <c r="X158" s="57">
        <f t="shared" si="36"/>
        <v>0</v>
      </c>
      <c r="Y158" s="57" t="str">
        <f t="shared" si="39"/>
        <v>c</v>
      </c>
      <c r="Z158" s="56" t="str">
        <f t="shared" si="40"/>
        <v>nc</v>
      </c>
      <c r="AA158" s="56" t="str">
        <f t="shared" si="41"/>
        <v>c</v>
      </c>
      <c r="AB158" s="56" t="str">
        <f t="shared" si="42"/>
        <v>nc</v>
      </c>
      <c r="AC158" s="56">
        <f t="shared" si="37"/>
        <v>2</v>
      </c>
      <c r="AD158" s="54">
        <f t="shared" si="38"/>
        <v>1</v>
      </c>
    </row>
    <row r="159" spans="1:30">
      <c r="A159" s="54" t="s">
        <v>25</v>
      </c>
      <c r="B159" s="54" t="s">
        <v>628</v>
      </c>
      <c r="C159" s="54" t="str">
        <f>VLOOKUP(A159,RecNamesAll!A:C,3,FALSE)</f>
        <v>5-HT7</v>
      </c>
      <c r="D159" s="60">
        <v>12</v>
      </c>
      <c r="E159" s="54" t="s">
        <v>3213</v>
      </c>
      <c r="G159" s="54" t="s">
        <v>3428</v>
      </c>
      <c r="H159" s="54" t="s">
        <v>3879</v>
      </c>
      <c r="I159" s="54" t="s">
        <v>3922</v>
      </c>
      <c r="J159" s="54" t="s">
        <v>2761</v>
      </c>
      <c r="L159" s="54" t="s">
        <v>3369</v>
      </c>
      <c r="N159" s="54">
        <v>9651336</v>
      </c>
      <c r="P159" s="59">
        <v>4.1666666666666664E-2</v>
      </c>
      <c r="Q159" s="57" t="str">
        <f t="shared" si="29"/>
        <v>Gs</v>
      </c>
      <c r="R159" s="56" t="str">
        <f t="shared" si="30"/>
        <v/>
      </c>
      <c r="S159" s="56" t="str">
        <f t="shared" si="31"/>
        <v/>
      </c>
      <c r="T159" s="56" t="str">
        <f t="shared" si="32"/>
        <v/>
      </c>
      <c r="U159" s="57">
        <f t="shared" si="33"/>
        <v>1</v>
      </c>
      <c r="V159" s="57">
        <f t="shared" si="34"/>
        <v>0</v>
      </c>
      <c r="W159" s="57">
        <f t="shared" si="35"/>
        <v>0</v>
      </c>
      <c r="X159" s="57">
        <f t="shared" si="36"/>
        <v>0</v>
      </c>
      <c r="Y159" s="57" t="str">
        <f t="shared" si="39"/>
        <v>c</v>
      </c>
      <c r="Z159" s="56" t="str">
        <f t="shared" si="40"/>
        <v>nc</v>
      </c>
      <c r="AA159" s="56" t="str">
        <f t="shared" si="41"/>
        <v>nc</v>
      </c>
      <c r="AB159" s="56" t="str">
        <f t="shared" si="42"/>
        <v>nc</v>
      </c>
      <c r="AC159" s="56">
        <f t="shared" si="37"/>
        <v>3</v>
      </c>
      <c r="AD159" s="54">
        <f t="shared" si="38"/>
        <v>1</v>
      </c>
    </row>
    <row r="160" spans="1:30">
      <c r="A160" s="54" t="s">
        <v>26</v>
      </c>
      <c r="B160" s="54" t="s">
        <v>262</v>
      </c>
      <c r="C160" s="54" t="str">
        <f>VLOOKUP(A160,RecNamesAll!A:C,3,FALSE)</f>
        <v>M1</v>
      </c>
      <c r="D160" s="60">
        <v>13</v>
      </c>
      <c r="E160" s="54" t="s">
        <v>3208</v>
      </c>
      <c r="G160" s="54" t="s">
        <v>3428</v>
      </c>
      <c r="H160" s="54" t="s">
        <v>3879</v>
      </c>
      <c r="I160" s="54" t="s">
        <v>3915</v>
      </c>
      <c r="J160" s="54" t="s">
        <v>2759</v>
      </c>
      <c r="L160" s="54" t="s">
        <v>3320</v>
      </c>
      <c r="N160" s="54" t="s">
        <v>3921</v>
      </c>
      <c r="P160" s="59">
        <v>0.16666666666666666</v>
      </c>
      <c r="Q160" s="57" t="str">
        <f t="shared" si="29"/>
        <v/>
      </c>
      <c r="R160" s="56" t="str">
        <f t="shared" si="30"/>
        <v/>
      </c>
      <c r="S160" s="56" t="str">
        <f t="shared" si="31"/>
        <v>Gq/11</v>
      </c>
      <c r="T160" s="56" t="str">
        <f t="shared" si="32"/>
        <v/>
      </c>
      <c r="U160" s="57">
        <f t="shared" si="33"/>
        <v>0</v>
      </c>
      <c r="V160" s="57">
        <f t="shared" si="34"/>
        <v>0</v>
      </c>
      <c r="W160" s="57">
        <f t="shared" si="35"/>
        <v>1</v>
      </c>
      <c r="X160" s="57">
        <f t="shared" si="36"/>
        <v>0</v>
      </c>
      <c r="Y160" s="57" t="str">
        <f t="shared" si="39"/>
        <v>nc</v>
      </c>
      <c r="Z160" s="56" t="str">
        <f t="shared" si="40"/>
        <v>nc</v>
      </c>
      <c r="AA160" s="56" t="str">
        <f t="shared" si="41"/>
        <v>c</v>
      </c>
      <c r="AB160" s="56" t="str">
        <f t="shared" si="42"/>
        <v>nc</v>
      </c>
      <c r="AC160" s="56">
        <f t="shared" si="37"/>
        <v>3</v>
      </c>
      <c r="AD160" s="54">
        <f t="shared" si="38"/>
        <v>1</v>
      </c>
    </row>
    <row r="161" spans="1:30">
      <c r="A161" s="54" t="s">
        <v>27</v>
      </c>
      <c r="B161" s="54" t="s">
        <v>263</v>
      </c>
      <c r="C161" s="54" t="str">
        <f>VLOOKUP(A161,RecNamesAll!A:C,3,FALSE)</f>
        <v>M2</v>
      </c>
      <c r="D161" s="60">
        <v>14</v>
      </c>
      <c r="E161" s="54" t="s">
        <v>3205</v>
      </c>
      <c r="G161" s="54" t="s">
        <v>3428</v>
      </c>
      <c r="H161" s="54" t="s">
        <v>3879</v>
      </c>
      <c r="I161" s="54" t="s">
        <v>3915</v>
      </c>
      <c r="J161" s="54" t="s">
        <v>2760</v>
      </c>
      <c r="K161" s="54" t="s">
        <v>3409</v>
      </c>
      <c r="L161" s="54" t="s">
        <v>3327</v>
      </c>
      <c r="M161" s="54" t="s">
        <v>3492</v>
      </c>
      <c r="N161" s="54" t="s">
        <v>3916</v>
      </c>
      <c r="O161" s="54" t="s">
        <v>3920</v>
      </c>
      <c r="P161" s="59">
        <v>8.3333333333333329E-2</v>
      </c>
      <c r="Q161" s="57" t="str">
        <f t="shared" si="29"/>
        <v>Gs</v>
      </c>
      <c r="R161" s="56" t="str">
        <f t="shared" si="30"/>
        <v>Gi/o</v>
      </c>
      <c r="S161" s="56" t="str">
        <f t="shared" si="31"/>
        <v>Gq/11</v>
      </c>
      <c r="T161" s="56" t="str">
        <f t="shared" si="32"/>
        <v/>
      </c>
      <c r="U161" s="57">
        <f t="shared" si="33"/>
        <v>2</v>
      </c>
      <c r="V161" s="57">
        <f t="shared" si="34"/>
        <v>1</v>
      </c>
      <c r="W161" s="57">
        <f t="shared" si="35"/>
        <v>2</v>
      </c>
      <c r="X161" s="57">
        <f t="shared" si="36"/>
        <v>0</v>
      </c>
      <c r="Y161" s="57" t="str">
        <f t="shared" si="39"/>
        <v>c</v>
      </c>
      <c r="Z161" s="56" t="str">
        <f t="shared" si="40"/>
        <v>c</v>
      </c>
      <c r="AA161" s="56" t="str">
        <f t="shared" si="41"/>
        <v>c</v>
      </c>
      <c r="AB161" s="56" t="str">
        <f t="shared" si="42"/>
        <v>nc</v>
      </c>
      <c r="AC161" s="56">
        <f t="shared" si="37"/>
        <v>1</v>
      </c>
      <c r="AD161" s="54">
        <f t="shared" si="38"/>
        <v>1</v>
      </c>
    </row>
    <row r="162" spans="1:30">
      <c r="A162" s="54" t="s">
        <v>108</v>
      </c>
      <c r="B162" s="54" t="s">
        <v>294</v>
      </c>
      <c r="C162" s="54" t="str">
        <f>VLOOKUP(A162,RecNamesAll!A:C,3,FALSE)</f>
        <v>D2</v>
      </c>
      <c r="D162" s="60">
        <v>215</v>
      </c>
      <c r="E162" s="54" t="s">
        <v>108</v>
      </c>
      <c r="G162" s="54" t="s">
        <v>3428</v>
      </c>
      <c r="H162" s="54" t="s">
        <v>3879</v>
      </c>
      <c r="I162" s="54" t="s">
        <v>3888</v>
      </c>
      <c r="J162" s="54" t="s">
        <v>2760</v>
      </c>
      <c r="L162" s="54" t="s">
        <v>3515</v>
      </c>
      <c r="M162" s="54" t="s">
        <v>3919</v>
      </c>
      <c r="N162" s="54" t="s">
        <v>3918</v>
      </c>
      <c r="O162" s="54">
        <v>2552081</v>
      </c>
      <c r="P162" s="59">
        <v>0.125</v>
      </c>
      <c r="Q162" s="57" t="str">
        <f t="shared" si="29"/>
        <v/>
      </c>
      <c r="R162" s="56" t="str">
        <f>IF(OR(ISNUMBER(SEARCH("Gi/o",$J162)),ISNUMBER(SEARCH("Gi/o",$K162))),"Gi/o","")</f>
        <v>Gi/o</v>
      </c>
      <c r="S162" s="56" t="str">
        <f t="shared" si="31"/>
        <v/>
      </c>
      <c r="T162" s="56" t="str">
        <f t="shared" si="32"/>
        <v/>
      </c>
      <c r="U162" s="57">
        <f t="shared" si="33"/>
        <v>0</v>
      </c>
      <c r="V162" s="57">
        <f t="shared" si="34"/>
        <v>1</v>
      </c>
      <c r="W162" s="57">
        <f t="shared" si="35"/>
        <v>0</v>
      </c>
      <c r="X162" s="57">
        <f t="shared" si="36"/>
        <v>0</v>
      </c>
      <c r="Y162" s="57" t="str">
        <f t="shared" si="39"/>
        <v>nc</v>
      </c>
      <c r="Z162" s="56" t="str">
        <f t="shared" si="40"/>
        <v>c</v>
      </c>
      <c r="AA162" s="56" t="str">
        <f t="shared" si="41"/>
        <v>nc</v>
      </c>
      <c r="AB162" s="56" t="str">
        <f t="shared" si="42"/>
        <v>nc</v>
      </c>
      <c r="AC162" s="56">
        <f t="shared" si="37"/>
        <v>3</v>
      </c>
      <c r="AD162" s="54">
        <f t="shared" si="38"/>
        <v>1</v>
      </c>
    </row>
    <row r="163" spans="1:30">
      <c r="A163" s="54" t="s">
        <v>28</v>
      </c>
      <c r="B163" s="54" t="s">
        <v>264</v>
      </c>
      <c r="C163" s="54" t="str">
        <f>VLOOKUP(A163,RecNamesAll!A:C,3,FALSE)</f>
        <v>M3</v>
      </c>
      <c r="D163" s="60">
        <v>15</v>
      </c>
      <c r="E163" s="54" t="s">
        <v>3202</v>
      </c>
      <c r="G163" s="54" t="s">
        <v>3428</v>
      </c>
      <c r="H163" s="54" t="s">
        <v>3879</v>
      </c>
      <c r="I163" s="54" t="s">
        <v>3915</v>
      </c>
      <c r="J163" s="54" t="s">
        <v>2759</v>
      </c>
      <c r="L163" s="54" t="s">
        <v>3320</v>
      </c>
      <c r="N163" s="54" t="s">
        <v>3917</v>
      </c>
      <c r="P163" s="59">
        <v>8.3333333333333329E-2</v>
      </c>
      <c r="Q163" s="57" t="str">
        <f t="shared" si="29"/>
        <v/>
      </c>
      <c r="R163" s="56" t="str">
        <f t="shared" si="30"/>
        <v/>
      </c>
      <c r="S163" s="56" t="str">
        <f t="shared" si="31"/>
        <v>Gq/11</v>
      </c>
      <c r="T163" s="56" t="str">
        <f t="shared" si="32"/>
        <v/>
      </c>
      <c r="U163" s="57">
        <f t="shared" si="33"/>
        <v>0</v>
      </c>
      <c r="V163" s="57">
        <f t="shared" si="34"/>
        <v>0</v>
      </c>
      <c r="W163" s="57">
        <f t="shared" si="35"/>
        <v>1</v>
      </c>
      <c r="X163" s="57">
        <f t="shared" si="36"/>
        <v>0</v>
      </c>
      <c r="Y163" s="57" t="str">
        <f t="shared" si="39"/>
        <v>nc</v>
      </c>
      <c r="Z163" s="56" t="str">
        <f t="shared" si="40"/>
        <v>nc</v>
      </c>
      <c r="AA163" s="56" t="str">
        <f t="shared" si="41"/>
        <v>c</v>
      </c>
      <c r="AB163" s="56" t="str">
        <f t="shared" si="42"/>
        <v>nc</v>
      </c>
      <c r="AC163" s="56">
        <f t="shared" si="37"/>
        <v>3</v>
      </c>
      <c r="AD163" s="54">
        <f t="shared" si="38"/>
        <v>1</v>
      </c>
    </row>
    <row r="164" spans="1:30">
      <c r="A164" s="54" t="s">
        <v>29</v>
      </c>
      <c r="B164" s="54" t="s">
        <v>265</v>
      </c>
      <c r="C164" s="54" t="str">
        <f>VLOOKUP(A164,RecNamesAll!A:C,3,FALSE)</f>
        <v>M4</v>
      </c>
      <c r="D164" s="60">
        <v>16</v>
      </c>
      <c r="E164" s="54" t="s">
        <v>3199</v>
      </c>
      <c r="G164" s="54" t="s">
        <v>3428</v>
      </c>
      <c r="H164" s="54" t="s">
        <v>3879</v>
      </c>
      <c r="I164" s="54" t="s">
        <v>3915</v>
      </c>
      <c r="J164" s="54" t="s">
        <v>2760</v>
      </c>
      <c r="L164" s="54" t="s">
        <v>3327</v>
      </c>
      <c r="N164" s="54" t="s">
        <v>3916</v>
      </c>
      <c r="P164" s="59">
        <v>8.3333333333333329E-2</v>
      </c>
      <c r="Q164" s="57" t="str">
        <f t="shared" si="29"/>
        <v/>
      </c>
      <c r="R164" s="56" t="str">
        <f t="shared" si="30"/>
        <v>Gi/o</v>
      </c>
      <c r="S164" s="56" t="str">
        <f t="shared" si="31"/>
        <v/>
      </c>
      <c r="T164" s="56" t="str">
        <f t="shared" si="32"/>
        <v/>
      </c>
      <c r="U164" s="57">
        <f t="shared" si="33"/>
        <v>0</v>
      </c>
      <c r="V164" s="57">
        <f t="shared" si="34"/>
        <v>1</v>
      </c>
      <c r="W164" s="57">
        <f t="shared" si="35"/>
        <v>0</v>
      </c>
      <c r="X164" s="57">
        <f t="shared" si="36"/>
        <v>0</v>
      </c>
      <c r="Y164" s="57" t="str">
        <f t="shared" si="39"/>
        <v>nc</v>
      </c>
      <c r="Z164" s="56" t="str">
        <f t="shared" si="40"/>
        <v>c</v>
      </c>
      <c r="AA164" s="56" t="str">
        <f t="shared" si="41"/>
        <v>nc</v>
      </c>
      <c r="AB164" s="56" t="str">
        <f t="shared" si="42"/>
        <v>nc</v>
      </c>
      <c r="AC164" s="56">
        <f t="shared" si="37"/>
        <v>3</v>
      </c>
      <c r="AD164" s="54">
        <f t="shared" si="38"/>
        <v>1</v>
      </c>
    </row>
    <row r="165" spans="1:30">
      <c r="A165" s="54" t="s">
        <v>30</v>
      </c>
      <c r="B165" s="54" t="s">
        <v>665</v>
      </c>
      <c r="C165" s="54" t="str">
        <f>VLOOKUP(A165,RecNamesAll!A:C,3,FALSE)</f>
        <v>M5</v>
      </c>
      <c r="D165" s="60">
        <v>17</v>
      </c>
      <c r="E165" s="54" t="s">
        <v>3196</v>
      </c>
      <c r="G165" s="54" t="s">
        <v>3428</v>
      </c>
      <c r="H165" s="54" t="s">
        <v>3879</v>
      </c>
      <c r="I165" s="54" t="s">
        <v>3915</v>
      </c>
      <c r="J165" s="54" t="s">
        <v>2759</v>
      </c>
      <c r="L165" s="54" t="s">
        <v>3320</v>
      </c>
      <c r="N165" s="54">
        <v>8925880</v>
      </c>
      <c r="P165" s="59">
        <v>4.1666666666666664E-2</v>
      </c>
      <c r="Q165" s="57" t="str">
        <f t="shared" si="29"/>
        <v/>
      </c>
      <c r="R165" s="56" t="str">
        <f t="shared" si="30"/>
        <v/>
      </c>
      <c r="S165" s="56" t="str">
        <f t="shared" si="31"/>
        <v>Gq/11</v>
      </c>
      <c r="T165" s="56" t="str">
        <f t="shared" si="32"/>
        <v/>
      </c>
      <c r="U165" s="57">
        <f t="shared" si="33"/>
        <v>0</v>
      </c>
      <c r="V165" s="57">
        <f t="shared" si="34"/>
        <v>0</v>
      </c>
      <c r="W165" s="57">
        <f t="shared" si="35"/>
        <v>1</v>
      </c>
      <c r="X165" s="57">
        <f t="shared" si="36"/>
        <v>0</v>
      </c>
      <c r="Y165" s="57" t="str">
        <f t="shared" si="39"/>
        <v>nc</v>
      </c>
      <c r="Z165" s="56" t="str">
        <f t="shared" si="40"/>
        <v>nc</v>
      </c>
      <c r="AA165" s="56" t="str">
        <f t="shared" si="41"/>
        <v>c</v>
      </c>
      <c r="AB165" s="56" t="str">
        <f t="shared" si="42"/>
        <v>nc</v>
      </c>
      <c r="AC165" s="56">
        <f t="shared" si="37"/>
        <v>3</v>
      </c>
      <c r="AD165" s="54">
        <f t="shared" si="38"/>
        <v>1</v>
      </c>
    </row>
    <row r="166" spans="1:30">
      <c r="A166" s="54" t="s">
        <v>34</v>
      </c>
      <c r="B166" s="54" t="s">
        <v>270</v>
      </c>
      <c r="C166" s="54" t="str">
        <f>VLOOKUP(A166,RecNamesAll!A:C,3,FALSE)</f>
        <v>α1A</v>
      </c>
      <c r="D166" s="60">
        <v>22</v>
      </c>
      <c r="E166" s="54" t="s">
        <v>3193</v>
      </c>
      <c r="F166" s="54" t="s">
        <v>3914</v>
      </c>
      <c r="G166" s="54" t="s">
        <v>3428</v>
      </c>
      <c r="H166" s="54" t="s">
        <v>3879</v>
      </c>
      <c r="I166" s="54" t="s">
        <v>3895</v>
      </c>
      <c r="J166" s="54" t="s">
        <v>2759</v>
      </c>
      <c r="K166" s="54" t="s">
        <v>2758</v>
      </c>
      <c r="L166" s="54" t="s">
        <v>3910</v>
      </c>
      <c r="M166" s="54" t="s">
        <v>3913</v>
      </c>
      <c r="N166" s="54" t="s">
        <v>3912</v>
      </c>
      <c r="O166" s="54" t="s">
        <v>3911</v>
      </c>
      <c r="P166" s="59">
        <v>8.3333333333333329E-2</v>
      </c>
      <c r="Q166" s="57" t="str">
        <f t="shared" si="29"/>
        <v/>
      </c>
      <c r="R166" s="56" t="str">
        <f t="shared" si="30"/>
        <v/>
      </c>
      <c r="S166" s="56" t="str">
        <f t="shared" si="31"/>
        <v>Gq/11</v>
      </c>
      <c r="T166" s="56" t="str">
        <f t="shared" si="32"/>
        <v>G12/13</v>
      </c>
      <c r="U166" s="57">
        <f t="shared" si="33"/>
        <v>0</v>
      </c>
      <c r="V166" s="57">
        <f t="shared" si="34"/>
        <v>0</v>
      </c>
      <c r="W166" s="57">
        <f t="shared" si="35"/>
        <v>1</v>
      </c>
      <c r="X166" s="57">
        <f t="shared" si="36"/>
        <v>2</v>
      </c>
      <c r="Y166" s="57" t="str">
        <f t="shared" si="39"/>
        <v>nc</v>
      </c>
      <c r="Z166" s="56" t="str">
        <f t="shared" si="40"/>
        <v>nc</v>
      </c>
      <c r="AA166" s="56" t="str">
        <f t="shared" si="41"/>
        <v>c</v>
      </c>
      <c r="AB166" s="56" t="str">
        <f t="shared" si="42"/>
        <v>c</v>
      </c>
      <c r="AC166" s="56">
        <f t="shared" si="37"/>
        <v>2</v>
      </c>
      <c r="AD166" s="54">
        <f t="shared" si="38"/>
        <v>1</v>
      </c>
    </row>
    <row r="167" spans="1:30">
      <c r="A167" s="54" t="s">
        <v>35</v>
      </c>
      <c r="B167" s="54" t="s">
        <v>687</v>
      </c>
      <c r="C167" s="54" t="str">
        <f>VLOOKUP(A167,RecNamesAll!A:C,3,FALSE)</f>
        <v>α1B</v>
      </c>
      <c r="D167" s="60">
        <v>23</v>
      </c>
      <c r="E167" s="54" t="s">
        <v>3190</v>
      </c>
      <c r="G167" s="54" t="s">
        <v>3428</v>
      </c>
      <c r="H167" s="54" t="s">
        <v>3879</v>
      </c>
      <c r="I167" s="54" t="s">
        <v>3895</v>
      </c>
      <c r="J167" s="54" t="s">
        <v>2759</v>
      </c>
      <c r="L167" s="54" t="s">
        <v>3910</v>
      </c>
      <c r="M167" s="54" t="s">
        <v>3909</v>
      </c>
      <c r="N167" s="54" t="s">
        <v>3908</v>
      </c>
      <c r="O167" s="54" t="s">
        <v>3908</v>
      </c>
      <c r="P167" s="59">
        <v>8.3333333333333329E-2</v>
      </c>
      <c r="Q167" s="57" t="str">
        <f t="shared" si="29"/>
        <v/>
      </c>
      <c r="R167" s="56" t="str">
        <f t="shared" si="30"/>
        <v/>
      </c>
      <c r="S167" s="56" t="str">
        <f t="shared" si="31"/>
        <v>Gq/11</v>
      </c>
      <c r="T167" s="56" t="str">
        <f t="shared" si="32"/>
        <v/>
      </c>
      <c r="U167" s="57">
        <f t="shared" si="33"/>
        <v>0</v>
      </c>
      <c r="V167" s="57">
        <f t="shared" si="34"/>
        <v>0</v>
      </c>
      <c r="W167" s="57">
        <f t="shared" si="35"/>
        <v>1</v>
      </c>
      <c r="X167" s="57">
        <f t="shared" si="36"/>
        <v>0</v>
      </c>
      <c r="Y167" s="57" t="str">
        <f t="shared" si="39"/>
        <v>nc</v>
      </c>
      <c r="Z167" s="56" t="str">
        <f t="shared" si="40"/>
        <v>nc</v>
      </c>
      <c r="AA167" s="56" t="str">
        <f t="shared" si="41"/>
        <v>c</v>
      </c>
      <c r="AB167" s="56" t="str">
        <f t="shared" si="42"/>
        <v>nc</v>
      </c>
      <c r="AC167" s="56">
        <f t="shared" si="37"/>
        <v>3</v>
      </c>
      <c r="AD167" s="54">
        <f t="shared" si="38"/>
        <v>1</v>
      </c>
    </row>
    <row r="168" spans="1:30">
      <c r="A168" s="54" t="s">
        <v>36</v>
      </c>
      <c r="B168" s="54" t="s">
        <v>689</v>
      </c>
      <c r="C168" s="54" t="str">
        <f>VLOOKUP(A168,RecNamesAll!A:C,3,FALSE)</f>
        <v>α1D</v>
      </c>
      <c r="D168" s="60">
        <v>24</v>
      </c>
      <c r="E168" s="54" t="s">
        <v>3188</v>
      </c>
      <c r="F168" s="54" t="s">
        <v>3193</v>
      </c>
      <c r="G168" s="54" t="s">
        <v>3428</v>
      </c>
      <c r="H168" s="54" t="s">
        <v>3879</v>
      </c>
      <c r="I168" s="54" t="s">
        <v>3895</v>
      </c>
      <c r="J168" s="54" t="s">
        <v>2759</v>
      </c>
      <c r="L168" s="54" t="s">
        <v>3910</v>
      </c>
      <c r="M168" s="54" t="s">
        <v>3909</v>
      </c>
      <c r="N168" s="54" t="s">
        <v>3908</v>
      </c>
      <c r="O168" s="54" t="s">
        <v>3908</v>
      </c>
      <c r="P168" s="59">
        <v>8.3333333333333329E-2</v>
      </c>
      <c r="Q168" s="57" t="str">
        <f t="shared" si="29"/>
        <v/>
      </c>
      <c r="R168" s="56" t="str">
        <f t="shared" si="30"/>
        <v/>
      </c>
      <c r="S168" s="56" t="str">
        <f t="shared" si="31"/>
        <v>Gq/11</v>
      </c>
      <c r="T168" s="56" t="str">
        <f t="shared" si="32"/>
        <v/>
      </c>
      <c r="U168" s="57">
        <f t="shared" si="33"/>
        <v>0</v>
      </c>
      <c r="V168" s="57">
        <f t="shared" si="34"/>
        <v>0</v>
      </c>
      <c r="W168" s="57">
        <f t="shared" si="35"/>
        <v>1</v>
      </c>
      <c r="X168" s="57">
        <f t="shared" si="36"/>
        <v>0</v>
      </c>
      <c r="Y168" s="57" t="str">
        <f t="shared" si="39"/>
        <v>nc</v>
      </c>
      <c r="Z168" s="56" t="str">
        <f t="shared" si="40"/>
        <v>nc</v>
      </c>
      <c r="AA168" s="56" t="str">
        <f t="shared" si="41"/>
        <v>c</v>
      </c>
      <c r="AB168" s="56" t="str">
        <f t="shared" si="42"/>
        <v>nc</v>
      </c>
      <c r="AC168" s="56">
        <f t="shared" si="37"/>
        <v>3</v>
      </c>
      <c r="AD168" s="54">
        <f t="shared" si="38"/>
        <v>1</v>
      </c>
    </row>
    <row r="169" spans="1:30">
      <c r="A169" s="54" t="s">
        <v>37</v>
      </c>
      <c r="B169" s="54" t="s">
        <v>271</v>
      </c>
      <c r="C169" s="54" t="str">
        <f>VLOOKUP(A169,RecNamesAll!A:C,3,FALSE)</f>
        <v>α2A</v>
      </c>
      <c r="D169" s="60">
        <v>25</v>
      </c>
      <c r="E169" s="54" t="s">
        <v>3186</v>
      </c>
      <c r="F169" s="54" t="s">
        <v>3907</v>
      </c>
      <c r="G169" s="54" t="s">
        <v>3428</v>
      </c>
      <c r="H169" s="54" t="s">
        <v>3879</v>
      </c>
      <c r="I169" s="54" t="s">
        <v>3895</v>
      </c>
      <c r="J169" s="54" t="s">
        <v>2760</v>
      </c>
      <c r="K169" s="54" t="s">
        <v>2761</v>
      </c>
      <c r="L169" s="54" t="s">
        <v>3906</v>
      </c>
      <c r="M169" s="54" t="s">
        <v>3369</v>
      </c>
      <c r="N169" s="54" t="s">
        <v>3905</v>
      </c>
      <c r="O169" s="54">
        <v>1322406</v>
      </c>
      <c r="P169" s="59">
        <v>0.125</v>
      </c>
      <c r="Q169" s="57" t="str">
        <f t="shared" si="29"/>
        <v>Gs</v>
      </c>
      <c r="R169" s="56" t="str">
        <f t="shared" si="30"/>
        <v>Gi/o</v>
      </c>
      <c r="S169" s="56" t="str">
        <f t="shared" si="31"/>
        <v/>
      </c>
      <c r="T169" s="56" t="str">
        <f t="shared" si="32"/>
        <v/>
      </c>
      <c r="U169" s="57">
        <f t="shared" si="33"/>
        <v>2</v>
      </c>
      <c r="V169" s="57">
        <f t="shared" si="34"/>
        <v>1</v>
      </c>
      <c r="W169" s="57">
        <f t="shared" si="35"/>
        <v>0</v>
      </c>
      <c r="X169" s="57">
        <f t="shared" si="36"/>
        <v>0</v>
      </c>
      <c r="Y169" s="57" t="str">
        <f t="shared" si="39"/>
        <v>c</v>
      </c>
      <c r="Z169" s="56" t="str">
        <f t="shared" si="40"/>
        <v>c</v>
      </c>
      <c r="AA169" s="56" t="str">
        <f t="shared" si="41"/>
        <v>nc</v>
      </c>
      <c r="AB169" s="56" t="str">
        <f t="shared" si="42"/>
        <v>nc</v>
      </c>
      <c r="AC169" s="56">
        <f t="shared" si="37"/>
        <v>2</v>
      </c>
      <c r="AD169" s="54">
        <f t="shared" si="38"/>
        <v>1</v>
      </c>
    </row>
    <row r="170" spans="1:30">
      <c r="A170" s="54" t="s">
        <v>38</v>
      </c>
      <c r="B170" s="54" t="s">
        <v>272</v>
      </c>
      <c r="C170" s="54" t="str">
        <f>VLOOKUP(A170,RecNamesAll!A:C,3,FALSE)</f>
        <v>α2B</v>
      </c>
      <c r="D170" s="60">
        <v>26</v>
      </c>
      <c r="E170" s="54" t="s">
        <v>3183</v>
      </c>
      <c r="F170" s="54" t="s">
        <v>3904</v>
      </c>
      <c r="G170" s="54" t="s">
        <v>3428</v>
      </c>
      <c r="H170" s="54" t="s">
        <v>3879</v>
      </c>
      <c r="I170" s="54" t="s">
        <v>3895</v>
      </c>
      <c r="J170" s="54" t="s">
        <v>2760</v>
      </c>
      <c r="K170" s="54" t="s">
        <v>2761</v>
      </c>
      <c r="L170" s="54" t="s">
        <v>3343</v>
      </c>
      <c r="M170" s="54" t="s">
        <v>3369</v>
      </c>
      <c r="N170" s="54" t="s">
        <v>3902</v>
      </c>
      <c r="O170" s="54">
        <v>1322406</v>
      </c>
      <c r="P170" s="59">
        <v>8.3333333333333329E-2</v>
      </c>
      <c r="Q170" s="57" t="str">
        <f t="shared" si="29"/>
        <v>Gs</v>
      </c>
      <c r="R170" s="56" t="str">
        <f t="shared" si="30"/>
        <v>Gi/o</v>
      </c>
      <c r="S170" s="56" t="str">
        <f t="shared" si="31"/>
        <v/>
      </c>
      <c r="T170" s="56" t="str">
        <f t="shared" si="32"/>
        <v/>
      </c>
      <c r="U170" s="57">
        <f t="shared" si="33"/>
        <v>2</v>
      </c>
      <c r="V170" s="57">
        <f t="shared" si="34"/>
        <v>1</v>
      </c>
      <c r="W170" s="57">
        <f t="shared" si="35"/>
        <v>0</v>
      </c>
      <c r="X170" s="57">
        <f t="shared" si="36"/>
        <v>0</v>
      </c>
      <c r="Y170" s="57" t="str">
        <f t="shared" si="39"/>
        <v>c</v>
      </c>
      <c r="Z170" s="56" t="str">
        <f t="shared" si="40"/>
        <v>c</v>
      </c>
      <c r="AA170" s="56" t="str">
        <f t="shared" si="41"/>
        <v>nc</v>
      </c>
      <c r="AB170" s="56" t="str">
        <f t="shared" si="42"/>
        <v>nc</v>
      </c>
      <c r="AC170" s="56">
        <f t="shared" si="37"/>
        <v>2</v>
      </c>
      <c r="AD170" s="54">
        <f t="shared" si="38"/>
        <v>1</v>
      </c>
    </row>
    <row r="171" spans="1:30">
      <c r="A171" s="54" t="s">
        <v>39</v>
      </c>
      <c r="B171" s="54" t="s">
        <v>273</v>
      </c>
      <c r="C171" s="54" t="str">
        <f>VLOOKUP(A171,RecNamesAll!A:C,3,FALSE)</f>
        <v>α2C</v>
      </c>
      <c r="D171" s="60">
        <v>27</v>
      </c>
      <c r="E171" s="54" t="s">
        <v>3180</v>
      </c>
      <c r="F171" s="54" t="s">
        <v>3903</v>
      </c>
      <c r="G171" s="54" t="s">
        <v>3428</v>
      </c>
      <c r="H171" s="54" t="s">
        <v>3879</v>
      </c>
      <c r="I171" s="54" t="s">
        <v>3895</v>
      </c>
      <c r="J171" s="54" t="s">
        <v>2760</v>
      </c>
      <c r="K171" s="54" t="s">
        <v>2761</v>
      </c>
      <c r="L171" s="54" t="s">
        <v>3343</v>
      </c>
      <c r="M171" s="54" t="s">
        <v>3369</v>
      </c>
      <c r="N171" s="54" t="s">
        <v>3902</v>
      </c>
      <c r="O171" s="54">
        <v>1322406</v>
      </c>
      <c r="P171" s="59">
        <v>8.3333333333333329E-2</v>
      </c>
      <c r="Q171" s="57" t="str">
        <f t="shared" si="29"/>
        <v>Gs</v>
      </c>
      <c r="R171" s="56" t="str">
        <f t="shared" si="30"/>
        <v>Gi/o</v>
      </c>
      <c r="S171" s="56" t="str">
        <f t="shared" si="31"/>
        <v/>
      </c>
      <c r="T171" s="56" t="str">
        <f t="shared" si="32"/>
        <v/>
      </c>
      <c r="U171" s="57">
        <f t="shared" si="33"/>
        <v>2</v>
      </c>
      <c r="V171" s="57">
        <f t="shared" si="34"/>
        <v>1</v>
      </c>
      <c r="W171" s="57">
        <f t="shared" si="35"/>
        <v>0</v>
      </c>
      <c r="X171" s="57">
        <f t="shared" si="36"/>
        <v>0</v>
      </c>
      <c r="Y171" s="57" t="str">
        <f t="shared" si="39"/>
        <v>c</v>
      </c>
      <c r="Z171" s="56" t="str">
        <f t="shared" si="40"/>
        <v>c</v>
      </c>
      <c r="AA171" s="56" t="str">
        <f t="shared" si="41"/>
        <v>nc</v>
      </c>
      <c r="AB171" s="56" t="str">
        <f t="shared" si="42"/>
        <v>nc</v>
      </c>
      <c r="AC171" s="56">
        <f t="shared" si="37"/>
        <v>2</v>
      </c>
      <c r="AD171" s="54">
        <f t="shared" si="38"/>
        <v>1</v>
      </c>
    </row>
    <row r="172" spans="1:30">
      <c r="A172" s="54" t="s">
        <v>40</v>
      </c>
      <c r="B172" s="54" t="s">
        <v>274</v>
      </c>
      <c r="C172" s="54" t="str">
        <f>VLOOKUP(A172,RecNamesAll!A:C,3,FALSE)</f>
        <v>β1</v>
      </c>
      <c r="D172" s="60">
        <v>28</v>
      </c>
      <c r="E172" s="54" t="s">
        <v>40</v>
      </c>
      <c r="F172" s="54" t="s">
        <v>3901</v>
      </c>
      <c r="G172" s="54" t="s">
        <v>3428</v>
      </c>
      <c r="H172" s="54" t="s">
        <v>3879</v>
      </c>
      <c r="I172" s="54" t="s">
        <v>3895</v>
      </c>
      <c r="J172" s="54" t="s">
        <v>2761</v>
      </c>
      <c r="K172" s="54" t="s">
        <v>2760</v>
      </c>
      <c r="L172" s="54" t="s">
        <v>3369</v>
      </c>
      <c r="M172" s="54" t="s">
        <v>3898</v>
      </c>
      <c r="N172" s="54" t="s">
        <v>3900</v>
      </c>
      <c r="O172" s="54">
        <v>14711933</v>
      </c>
      <c r="P172" s="59">
        <v>8.3333333333333329E-2</v>
      </c>
      <c r="Q172" s="57" t="str">
        <f t="shared" si="29"/>
        <v>Gs</v>
      </c>
      <c r="R172" s="56" t="str">
        <f t="shared" si="30"/>
        <v>Gi/o</v>
      </c>
      <c r="S172" s="56" t="str">
        <f t="shared" si="31"/>
        <v/>
      </c>
      <c r="T172" s="56" t="str">
        <f t="shared" si="32"/>
        <v/>
      </c>
      <c r="U172" s="57">
        <f t="shared" si="33"/>
        <v>1</v>
      </c>
      <c r="V172" s="57">
        <f t="shared" si="34"/>
        <v>2</v>
      </c>
      <c r="W172" s="57">
        <f t="shared" si="35"/>
        <v>0</v>
      </c>
      <c r="X172" s="57">
        <f t="shared" si="36"/>
        <v>0</v>
      </c>
      <c r="Y172" s="57" t="str">
        <f t="shared" si="39"/>
        <v>c</v>
      </c>
      <c r="Z172" s="56" t="str">
        <f t="shared" si="40"/>
        <v>c</v>
      </c>
      <c r="AA172" s="56" t="str">
        <f t="shared" si="41"/>
        <v>nc</v>
      </c>
      <c r="AB172" s="56" t="str">
        <f t="shared" si="42"/>
        <v>nc</v>
      </c>
      <c r="AC172" s="56">
        <f t="shared" si="37"/>
        <v>2</v>
      </c>
      <c r="AD172" s="54">
        <f t="shared" si="38"/>
        <v>1</v>
      </c>
    </row>
    <row r="173" spans="1:30">
      <c r="A173" s="54" t="s">
        <v>41</v>
      </c>
      <c r="B173" s="54" t="s">
        <v>275</v>
      </c>
      <c r="C173" s="54" t="str">
        <f>VLOOKUP(A173,RecNamesAll!A:C,3,FALSE)</f>
        <v>β2</v>
      </c>
      <c r="D173" s="60">
        <v>29</v>
      </c>
      <c r="E173" s="54" t="s">
        <v>41</v>
      </c>
      <c r="F173" s="54" t="s">
        <v>3899</v>
      </c>
      <c r="G173" s="54" t="s">
        <v>3428</v>
      </c>
      <c r="H173" s="54" t="s">
        <v>3879</v>
      </c>
      <c r="I173" s="54" t="s">
        <v>3895</v>
      </c>
      <c r="J173" s="54" t="s">
        <v>2761</v>
      </c>
      <c r="K173" s="54" t="s">
        <v>2760</v>
      </c>
      <c r="L173" s="54" t="s">
        <v>3369</v>
      </c>
      <c r="M173" s="54" t="s">
        <v>3898</v>
      </c>
      <c r="N173" s="54" t="s">
        <v>3897</v>
      </c>
      <c r="O173" s="54">
        <v>14711933</v>
      </c>
      <c r="P173" s="59">
        <v>0.16666666666666666</v>
      </c>
      <c r="Q173" s="57" t="str">
        <f t="shared" si="29"/>
        <v>Gs</v>
      </c>
      <c r="R173" s="56" t="str">
        <f t="shared" si="30"/>
        <v>Gi/o</v>
      </c>
      <c r="S173" s="56" t="str">
        <f t="shared" si="31"/>
        <v/>
      </c>
      <c r="T173" s="56" t="str">
        <f t="shared" si="32"/>
        <v/>
      </c>
      <c r="U173" s="57">
        <f t="shared" si="33"/>
        <v>1</v>
      </c>
      <c r="V173" s="57">
        <f t="shared" si="34"/>
        <v>2</v>
      </c>
      <c r="W173" s="57">
        <f t="shared" si="35"/>
        <v>0</v>
      </c>
      <c r="X173" s="57">
        <f t="shared" si="36"/>
        <v>0</v>
      </c>
      <c r="Y173" s="57" t="str">
        <f t="shared" si="39"/>
        <v>c</v>
      </c>
      <c r="Z173" s="56" t="str">
        <f t="shared" si="40"/>
        <v>c</v>
      </c>
      <c r="AA173" s="56" t="str">
        <f t="shared" si="41"/>
        <v>nc</v>
      </c>
      <c r="AB173" s="56" t="str">
        <f t="shared" si="42"/>
        <v>nc</v>
      </c>
      <c r="AC173" s="56">
        <f t="shared" si="37"/>
        <v>2</v>
      </c>
      <c r="AD173" s="54">
        <f t="shared" si="38"/>
        <v>1</v>
      </c>
    </row>
    <row r="174" spans="1:30">
      <c r="A174" s="54" t="s">
        <v>42</v>
      </c>
      <c r="B174" s="54" t="s">
        <v>703</v>
      </c>
      <c r="C174" s="54" t="str">
        <f>VLOOKUP(A174,RecNamesAll!A:C,3,FALSE)</f>
        <v>β3</v>
      </c>
      <c r="D174" s="60">
        <v>30</v>
      </c>
      <c r="E174" s="54" t="s">
        <v>42</v>
      </c>
      <c r="F174" s="54" t="s">
        <v>3896</v>
      </c>
      <c r="G174" s="54" t="s">
        <v>3428</v>
      </c>
      <c r="H174" s="54" t="s">
        <v>3879</v>
      </c>
      <c r="I174" s="54" t="s">
        <v>3895</v>
      </c>
      <c r="J174" s="54" t="s">
        <v>2761</v>
      </c>
      <c r="K174" s="54" t="s">
        <v>2760</v>
      </c>
      <c r="L174" s="54" t="s">
        <v>3369</v>
      </c>
      <c r="M174" s="54" t="s">
        <v>3894</v>
      </c>
      <c r="N174" s="54" t="s">
        <v>3893</v>
      </c>
      <c r="O174" s="54" t="s">
        <v>3892</v>
      </c>
      <c r="P174" s="59">
        <v>0.125</v>
      </c>
      <c r="Q174" s="57" t="str">
        <f t="shared" si="29"/>
        <v>Gs</v>
      </c>
      <c r="R174" s="56" t="str">
        <f t="shared" si="30"/>
        <v>Gi/o</v>
      </c>
      <c r="S174" s="56" t="str">
        <f t="shared" si="31"/>
        <v/>
      </c>
      <c r="T174" s="56" t="str">
        <f t="shared" si="32"/>
        <v/>
      </c>
      <c r="U174" s="57">
        <f t="shared" si="33"/>
        <v>1</v>
      </c>
      <c r="V174" s="57">
        <f t="shared" si="34"/>
        <v>2</v>
      </c>
      <c r="W174" s="57">
        <f t="shared" si="35"/>
        <v>0</v>
      </c>
      <c r="X174" s="57">
        <f t="shared" si="36"/>
        <v>0</v>
      </c>
      <c r="Y174" s="57" t="str">
        <f t="shared" si="39"/>
        <v>c</v>
      </c>
      <c r="Z174" s="56" t="str">
        <f t="shared" si="40"/>
        <v>c</v>
      </c>
      <c r="AA174" s="56" t="str">
        <f t="shared" si="41"/>
        <v>nc</v>
      </c>
      <c r="AB174" s="56" t="str">
        <f t="shared" si="42"/>
        <v>nc</v>
      </c>
      <c r="AC174" s="56">
        <f t="shared" si="37"/>
        <v>2</v>
      </c>
      <c r="AD174" s="54">
        <f t="shared" si="38"/>
        <v>1</v>
      </c>
    </row>
    <row r="175" spans="1:30">
      <c r="A175" s="54" t="s">
        <v>106</v>
      </c>
      <c r="B175" s="54" t="s">
        <v>293</v>
      </c>
      <c r="C175" s="54" t="str">
        <f>VLOOKUP(A175,RecNamesAll!A:C,3,FALSE)</f>
        <v>D1</v>
      </c>
      <c r="D175" s="60">
        <v>214</v>
      </c>
      <c r="E175" s="54" t="s">
        <v>106</v>
      </c>
      <c r="G175" s="54" t="s">
        <v>3428</v>
      </c>
      <c r="H175" s="54" t="s">
        <v>3879</v>
      </c>
      <c r="I175" s="54" t="s">
        <v>3888</v>
      </c>
      <c r="J175" s="54" t="s">
        <v>2761</v>
      </c>
      <c r="K175" s="54" t="s">
        <v>2761</v>
      </c>
      <c r="L175" s="54" t="s">
        <v>3369</v>
      </c>
      <c r="M175" s="54" t="s">
        <v>3308</v>
      </c>
      <c r="N175" s="54">
        <v>4401122</v>
      </c>
      <c r="O175" s="54" t="s">
        <v>3891</v>
      </c>
      <c r="P175" s="59">
        <v>4.1666666666666664E-2</v>
      </c>
      <c r="Q175" s="57" t="str">
        <f t="shared" si="29"/>
        <v>Gs</v>
      </c>
      <c r="R175" s="56" t="str">
        <f t="shared" si="30"/>
        <v/>
      </c>
      <c r="S175" s="56" t="str">
        <f t="shared" si="31"/>
        <v/>
      </c>
      <c r="T175" s="56" t="str">
        <f t="shared" si="32"/>
        <v/>
      </c>
      <c r="U175" s="57">
        <f t="shared" si="33"/>
        <v>1</v>
      </c>
      <c r="V175" s="57">
        <f t="shared" si="34"/>
        <v>0</v>
      </c>
      <c r="W175" s="57">
        <f t="shared" si="35"/>
        <v>0</v>
      </c>
      <c r="X175" s="57">
        <f t="shared" si="36"/>
        <v>0</v>
      </c>
      <c r="Y175" s="57" t="str">
        <f t="shared" si="39"/>
        <v>c</v>
      </c>
      <c r="Z175" s="56" t="str">
        <f t="shared" si="40"/>
        <v>nc</v>
      </c>
      <c r="AA175" s="56" t="str">
        <f t="shared" si="41"/>
        <v>nc</v>
      </c>
      <c r="AB175" s="56" t="str">
        <f t="shared" si="42"/>
        <v>nc</v>
      </c>
      <c r="AC175" s="56">
        <f t="shared" si="37"/>
        <v>3</v>
      </c>
      <c r="AD175" s="54">
        <f t="shared" si="38"/>
        <v>1</v>
      </c>
    </row>
    <row r="176" spans="1:30">
      <c r="A176" s="54" t="s">
        <v>109</v>
      </c>
      <c r="B176" s="54" t="s">
        <v>1041</v>
      </c>
      <c r="C176" s="54" t="str">
        <f>VLOOKUP(A176,RecNamesAll!A:C,3,FALSE)</f>
        <v>D3</v>
      </c>
      <c r="D176" s="60">
        <v>216</v>
      </c>
      <c r="E176" s="54" t="s">
        <v>109</v>
      </c>
      <c r="G176" s="54" t="s">
        <v>3428</v>
      </c>
      <c r="H176" s="54" t="s">
        <v>3879</v>
      </c>
      <c r="I176" s="54" t="s">
        <v>3888</v>
      </c>
      <c r="J176" s="54" t="s">
        <v>2760</v>
      </c>
      <c r="L176" s="54" t="s">
        <v>3346</v>
      </c>
      <c r="N176" s="54" t="s">
        <v>3890</v>
      </c>
      <c r="P176" s="59">
        <v>0.20833333333333334</v>
      </c>
      <c r="Q176" s="57" t="str">
        <f t="shared" si="29"/>
        <v/>
      </c>
      <c r="R176" s="56" t="str">
        <f t="shared" si="30"/>
        <v>Gi/o</v>
      </c>
      <c r="S176" s="56" t="str">
        <f t="shared" si="31"/>
        <v/>
      </c>
      <c r="T176" s="56" t="str">
        <f t="shared" si="32"/>
        <v/>
      </c>
      <c r="U176" s="57">
        <f t="shared" si="33"/>
        <v>0</v>
      </c>
      <c r="V176" s="57">
        <f t="shared" si="34"/>
        <v>1</v>
      </c>
      <c r="W176" s="57">
        <f t="shared" si="35"/>
        <v>0</v>
      </c>
      <c r="X176" s="57">
        <f t="shared" si="36"/>
        <v>0</v>
      </c>
      <c r="Y176" s="57" t="str">
        <f t="shared" si="39"/>
        <v>nc</v>
      </c>
      <c r="Z176" s="56" t="str">
        <f t="shared" si="40"/>
        <v>c</v>
      </c>
      <c r="AA176" s="56" t="str">
        <f t="shared" si="41"/>
        <v>nc</v>
      </c>
      <c r="AB176" s="56" t="str">
        <f t="shared" si="42"/>
        <v>nc</v>
      </c>
      <c r="AC176" s="56">
        <f t="shared" si="37"/>
        <v>3</v>
      </c>
      <c r="AD176" s="54">
        <f t="shared" si="38"/>
        <v>1</v>
      </c>
    </row>
    <row r="177" spans="1:30">
      <c r="A177" s="54" t="s">
        <v>110</v>
      </c>
      <c r="B177" s="54" t="s">
        <v>1043</v>
      </c>
      <c r="C177" s="54" t="str">
        <f>VLOOKUP(A177,RecNamesAll!A:C,3,FALSE)</f>
        <v>D4</v>
      </c>
      <c r="D177" s="60">
        <v>217</v>
      </c>
      <c r="E177" s="54" t="s">
        <v>110</v>
      </c>
      <c r="G177" s="54" t="s">
        <v>3428</v>
      </c>
      <c r="H177" s="54" t="s">
        <v>3879</v>
      </c>
      <c r="I177" s="54" t="s">
        <v>3888</v>
      </c>
      <c r="J177" s="54" t="s">
        <v>2760</v>
      </c>
      <c r="L177" s="54" t="s">
        <v>3327</v>
      </c>
      <c r="N177" s="54">
        <v>10432116</v>
      </c>
      <c r="P177" s="59">
        <v>4.1666666666666664E-2</v>
      </c>
      <c r="Q177" s="57" t="str">
        <f t="shared" si="29"/>
        <v/>
      </c>
      <c r="R177" s="56" t="str">
        <f t="shared" si="30"/>
        <v>Gi/o</v>
      </c>
      <c r="S177" s="56" t="str">
        <f t="shared" si="31"/>
        <v/>
      </c>
      <c r="T177" s="56" t="str">
        <f t="shared" si="32"/>
        <v/>
      </c>
      <c r="U177" s="57">
        <f t="shared" si="33"/>
        <v>0</v>
      </c>
      <c r="V177" s="57">
        <f t="shared" si="34"/>
        <v>1</v>
      </c>
      <c r="W177" s="57">
        <f t="shared" si="35"/>
        <v>0</v>
      </c>
      <c r="X177" s="57">
        <f t="shared" si="36"/>
        <v>0</v>
      </c>
      <c r="Y177" s="57" t="str">
        <f t="shared" si="39"/>
        <v>nc</v>
      </c>
      <c r="Z177" s="56" t="str">
        <f t="shared" si="40"/>
        <v>c</v>
      </c>
      <c r="AA177" s="56" t="str">
        <f t="shared" si="41"/>
        <v>nc</v>
      </c>
      <c r="AB177" s="56" t="str">
        <f t="shared" si="42"/>
        <v>nc</v>
      </c>
      <c r="AC177" s="56">
        <f t="shared" si="37"/>
        <v>3</v>
      </c>
      <c r="AD177" s="54">
        <f t="shared" si="38"/>
        <v>1</v>
      </c>
    </row>
    <row r="178" spans="1:30">
      <c r="A178" s="54" t="s">
        <v>111</v>
      </c>
      <c r="B178" s="54" t="s">
        <v>295</v>
      </c>
      <c r="C178" s="54" t="str">
        <f>VLOOKUP(A178,RecNamesAll!A:C,3,FALSE)</f>
        <v>D5</v>
      </c>
      <c r="D178" s="60">
        <v>218</v>
      </c>
      <c r="E178" s="54" t="s">
        <v>111</v>
      </c>
      <c r="F178" s="54" t="s">
        <v>3889</v>
      </c>
      <c r="G178" s="54" t="s">
        <v>3428</v>
      </c>
      <c r="H178" s="54" t="s">
        <v>3879</v>
      </c>
      <c r="I178" s="54" t="s">
        <v>3888</v>
      </c>
      <c r="J178" s="54" t="s">
        <v>2761</v>
      </c>
      <c r="L178" s="54" t="s">
        <v>3369</v>
      </c>
      <c r="N178" s="54" t="s">
        <v>3887</v>
      </c>
      <c r="P178" s="59">
        <v>0.125</v>
      </c>
      <c r="Q178" s="57" t="str">
        <f t="shared" si="29"/>
        <v>Gs</v>
      </c>
      <c r="R178" s="56" t="str">
        <f t="shared" si="30"/>
        <v/>
      </c>
      <c r="S178" s="56" t="str">
        <f t="shared" si="31"/>
        <v/>
      </c>
      <c r="T178" s="56" t="str">
        <f t="shared" si="32"/>
        <v/>
      </c>
      <c r="U178" s="57">
        <f t="shared" si="33"/>
        <v>1</v>
      </c>
      <c r="V178" s="57">
        <f t="shared" si="34"/>
        <v>0</v>
      </c>
      <c r="W178" s="57">
        <f t="shared" si="35"/>
        <v>0</v>
      </c>
      <c r="X178" s="57">
        <f t="shared" si="36"/>
        <v>0</v>
      </c>
      <c r="Y178" s="57" t="str">
        <f t="shared" si="39"/>
        <v>c</v>
      </c>
      <c r="Z178" s="56" t="str">
        <f t="shared" si="40"/>
        <v>nc</v>
      </c>
      <c r="AA178" s="56" t="str">
        <f t="shared" si="41"/>
        <v>nc</v>
      </c>
      <c r="AB178" s="56" t="str">
        <f t="shared" si="42"/>
        <v>nc</v>
      </c>
      <c r="AC178" s="56">
        <f t="shared" si="37"/>
        <v>3</v>
      </c>
      <c r="AD178" s="54">
        <f t="shared" si="38"/>
        <v>1</v>
      </c>
    </row>
    <row r="179" spans="1:30">
      <c r="A179" s="54" t="s">
        <v>135</v>
      </c>
      <c r="B179" s="54" t="s">
        <v>306</v>
      </c>
      <c r="C179" s="54" t="str">
        <f>VLOOKUP(A179,RecNamesAll!A:C,3,FALSE)</f>
        <v>H1</v>
      </c>
      <c r="D179" s="60">
        <v>262</v>
      </c>
      <c r="E179" s="54" t="s">
        <v>135</v>
      </c>
      <c r="G179" s="54" t="s">
        <v>3428</v>
      </c>
      <c r="H179" s="54" t="s">
        <v>3879</v>
      </c>
      <c r="I179" s="54" t="s">
        <v>3882</v>
      </c>
      <c r="J179" s="54" t="s">
        <v>2759</v>
      </c>
      <c r="K179" s="54" t="s">
        <v>2759</v>
      </c>
      <c r="L179" s="54" t="s">
        <v>3369</v>
      </c>
      <c r="M179" s="54" t="s">
        <v>3320</v>
      </c>
      <c r="N179" s="54">
        <v>16189696</v>
      </c>
      <c r="O179" s="54">
        <v>7695921</v>
      </c>
      <c r="P179" s="59">
        <v>4.1666666666666664E-2</v>
      </c>
      <c r="Q179" s="57" t="str">
        <f t="shared" si="29"/>
        <v/>
      </c>
      <c r="R179" s="56" t="str">
        <f t="shared" si="30"/>
        <v/>
      </c>
      <c r="S179" s="56" t="str">
        <f t="shared" si="31"/>
        <v>Gq/11</v>
      </c>
      <c r="T179" s="56" t="str">
        <f t="shared" si="32"/>
        <v/>
      </c>
      <c r="U179" s="57">
        <f t="shared" si="33"/>
        <v>0</v>
      </c>
      <c r="V179" s="57">
        <f t="shared" si="34"/>
        <v>0</v>
      </c>
      <c r="W179" s="57">
        <f t="shared" si="35"/>
        <v>1</v>
      </c>
      <c r="X179" s="57">
        <f t="shared" si="36"/>
        <v>0</v>
      </c>
      <c r="Y179" s="57" t="str">
        <f t="shared" si="39"/>
        <v>nc</v>
      </c>
      <c r="Z179" s="56" t="str">
        <f t="shared" si="40"/>
        <v>nc</v>
      </c>
      <c r="AA179" s="56" t="str">
        <f t="shared" si="41"/>
        <v>c</v>
      </c>
      <c r="AB179" s="56" t="str">
        <f t="shared" si="42"/>
        <v>nc</v>
      </c>
      <c r="AC179" s="56">
        <f t="shared" si="37"/>
        <v>3</v>
      </c>
      <c r="AD179" s="54">
        <f t="shared" si="38"/>
        <v>1</v>
      </c>
    </row>
    <row r="180" spans="1:30">
      <c r="A180" s="54" t="s">
        <v>137</v>
      </c>
      <c r="B180" s="54" t="s">
        <v>307</v>
      </c>
      <c r="C180" s="54" t="str">
        <f>VLOOKUP(A180,RecNamesAll!A:C,3,FALSE)</f>
        <v>H2</v>
      </c>
      <c r="D180" s="60">
        <v>263</v>
      </c>
      <c r="E180" s="54" t="s">
        <v>137</v>
      </c>
      <c r="G180" s="54" t="s">
        <v>3428</v>
      </c>
      <c r="H180" s="54" t="s">
        <v>3879</v>
      </c>
      <c r="I180" s="54" t="s">
        <v>3882</v>
      </c>
      <c r="J180" s="54" t="s">
        <v>2759</v>
      </c>
      <c r="K180" s="54" t="s">
        <v>2761</v>
      </c>
      <c r="L180" s="54" t="s">
        <v>3320</v>
      </c>
      <c r="M180" s="54" t="s">
        <v>3369</v>
      </c>
      <c r="N180" s="54" t="s">
        <v>3886</v>
      </c>
      <c r="O180" s="54" t="s">
        <v>3886</v>
      </c>
      <c r="P180" s="59">
        <v>8.3333333333333329E-2</v>
      </c>
      <c r="Q180" s="57" t="str">
        <f t="shared" si="29"/>
        <v>Gs</v>
      </c>
      <c r="R180" s="56" t="str">
        <f t="shared" si="30"/>
        <v/>
      </c>
      <c r="S180" s="56" t="str">
        <f t="shared" si="31"/>
        <v>Gq/11</v>
      </c>
      <c r="T180" s="56" t="str">
        <f t="shared" si="32"/>
        <v/>
      </c>
      <c r="U180" s="57">
        <f t="shared" si="33"/>
        <v>2</v>
      </c>
      <c r="V180" s="57">
        <f t="shared" si="34"/>
        <v>0</v>
      </c>
      <c r="W180" s="57">
        <f t="shared" si="35"/>
        <v>1</v>
      </c>
      <c r="X180" s="57">
        <f t="shared" si="36"/>
        <v>0</v>
      </c>
      <c r="Y180" s="57" t="str">
        <f t="shared" si="39"/>
        <v>c</v>
      </c>
      <c r="Z180" s="56" t="str">
        <f t="shared" si="40"/>
        <v>nc</v>
      </c>
      <c r="AA180" s="56" t="str">
        <f t="shared" si="41"/>
        <v>c</v>
      </c>
      <c r="AB180" s="56" t="str">
        <f t="shared" si="42"/>
        <v>nc</v>
      </c>
      <c r="AC180" s="56">
        <f t="shared" si="37"/>
        <v>2</v>
      </c>
      <c r="AD180" s="54">
        <f t="shared" si="38"/>
        <v>1</v>
      </c>
    </row>
    <row r="181" spans="1:30">
      <c r="A181" s="54" t="s">
        <v>138</v>
      </c>
      <c r="B181" s="54" t="s">
        <v>1604</v>
      </c>
      <c r="C181" s="54" t="str">
        <f>VLOOKUP(A181,RecNamesAll!A:C,3,FALSE)</f>
        <v>H3</v>
      </c>
      <c r="D181" s="60">
        <v>264</v>
      </c>
      <c r="E181" s="54" t="s">
        <v>138</v>
      </c>
      <c r="F181" s="54" t="s">
        <v>3885</v>
      </c>
      <c r="G181" s="54" t="s">
        <v>3428</v>
      </c>
      <c r="H181" s="54" t="s">
        <v>3879</v>
      </c>
      <c r="I181" s="54" t="s">
        <v>3882</v>
      </c>
      <c r="J181" s="54" t="s">
        <v>2760</v>
      </c>
      <c r="L181" s="54" t="s">
        <v>3327</v>
      </c>
      <c r="N181" s="54" t="s">
        <v>3884</v>
      </c>
      <c r="P181" s="59">
        <v>8.3333333333333329E-2</v>
      </c>
      <c r="Q181" s="57" t="str">
        <f t="shared" si="29"/>
        <v/>
      </c>
      <c r="R181" s="56" t="str">
        <f t="shared" si="30"/>
        <v>Gi/o</v>
      </c>
      <c r="S181" s="56" t="str">
        <f t="shared" si="31"/>
        <v/>
      </c>
      <c r="T181" s="56" t="str">
        <f t="shared" si="32"/>
        <v/>
      </c>
      <c r="U181" s="57">
        <f t="shared" si="33"/>
        <v>0</v>
      </c>
      <c r="V181" s="57">
        <f t="shared" si="34"/>
        <v>1</v>
      </c>
      <c r="W181" s="57">
        <f t="shared" si="35"/>
        <v>0</v>
      </c>
      <c r="X181" s="57">
        <f t="shared" si="36"/>
        <v>0</v>
      </c>
      <c r="Y181" s="57" t="str">
        <f t="shared" si="39"/>
        <v>nc</v>
      </c>
      <c r="Z181" s="56" t="str">
        <f t="shared" si="40"/>
        <v>c</v>
      </c>
      <c r="AA181" s="56" t="str">
        <f t="shared" si="41"/>
        <v>nc</v>
      </c>
      <c r="AB181" s="56" t="str">
        <f t="shared" si="42"/>
        <v>nc</v>
      </c>
      <c r="AC181" s="56">
        <f t="shared" si="37"/>
        <v>3</v>
      </c>
      <c r="AD181" s="54">
        <f t="shared" si="38"/>
        <v>1</v>
      </c>
    </row>
    <row r="182" spans="1:30">
      <c r="A182" s="54" t="s">
        <v>139</v>
      </c>
      <c r="B182" s="54" t="s">
        <v>1606</v>
      </c>
      <c r="C182" s="54" t="str">
        <f>VLOOKUP(A182,RecNamesAll!A:C,3,FALSE)</f>
        <v>H4</v>
      </c>
      <c r="D182" s="60">
        <v>265</v>
      </c>
      <c r="E182" s="54" t="s">
        <v>139</v>
      </c>
      <c r="F182" s="54" t="s">
        <v>3883</v>
      </c>
      <c r="G182" s="54" t="s">
        <v>3428</v>
      </c>
      <c r="H182" s="54" t="s">
        <v>3879</v>
      </c>
      <c r="I182" s="54" t="s">
        <v>3882</v>
      </c>
      <c r="J182" s="54" t="s">
        <v>2760</v>
      </c>
      <c r="L182" s="54" t="s">
        <v>3320</v>
      </c>
      <c r="N182" s="54">
        <v>12626656</v>
      </c>
      <c r="P182" s="59">
        <v>4.1666666666666664E-2</v>
      </c>
      <c r="Q182" s="57" t="str">
        <f t="shared" si="29"/>
        <v/>
      </c>
      <c r="R182" s="56" t="str">
        <f t="shared" si="30"/>
        <v>Gi/o</v>
      </c>
      <c r="S182" s="56" t="str">
        <f t="shared" si="31"/>
        <v/>
      </c>
      <c r="T182" s="56" t="str">
        <f t="shared" si="32"/>
        <v/>
      </c>
      <c r="U182" s="57">
        <f t="shared" si="33"/>
        <v>0</v>
      </c>
      <c r="V182" s="57">
        <f t="shared" si="34"/>
        <v>1</v>
      </c>
      <c r="W182" s="57">
        <f t="shared" si="35"/>
        <v>0</v>
      </c>
      <c r="X182" s="57">
        <f t="shared" si="36"/>
        <v>0</v>
      </c>
      <c r="Y182" s="57" t="str">
        <f t="shared" si="39"/>
        <v>nc</v>
      </c>
      <c r="Z182" s="56" t="str">
        <f t="shared" si="40"/>
        <v>c</v>
      </c>
      <c r="AA182" s="56" t="str">
        <f t="shared" si="41"/>
        <v>nc</v>
      </c>
      <c r="AB182" s="56" t="str">
        <f t="shared" si="42"/>
        <v>nc</v>
      </c>
      <c r="AC182" s="56">
        <f t="shared" si="37"/>
        <v>3</v>
      </c>
      <c r="AD182" s="54">
        <f t="shared" si="38"/>
        <v>1</v>
      </c>
    </row>
    <row r="183" spans="1:30">
      <c r="A183" s="54" t="s">
        <v>3881</v>
      </c>
      <c r="B183" s="54" t="s">
        <v>2217</v>
      </c>
      <c r="C183" s="54" t="str">
        <f>VLOOKUP(A183,RecNamesAll!A:C,3,FALSE)</f>
        <v>TA1</v>
      </c>
      <c r="D183" s="60">
        <v>364</v>
      </c>
      <c r="E183" s="54" t="s">
        <v>3881</v>
      </c>
      <c r="F183" s="54" t="s">
        <v>3880</v>
      </c>
      <c r="G183" s="54" t="s">
        <v>3428</v>
      </c>
      <c r="H183" s="54" t="s">
        <v>3879</v>
      </c>
      <c r="I183" s="54" t="s">
        <v>3878</v>
      </c>
      <c r="J183" s="54" t="s">
        <v>2761</v>
      </c>
      <c r="K183" s="54" t="s">
        <v>2759</v>
      </c>
      <c r="L183" s="54" t="s">
        <v>3369</v>
      </c>
      <c r="N183" s="54" t="s">
        <v>3877</v>
      </c>
      <c r="P183" s="59">
        <v>0.125</v>
      </c>
      <c r="Q183" s="57" t="str">
        <f t="shared" si="29"/>
        <v>Gs</v>
      </c>
      <c r="R183" s="56" t="str">
        <f t="shared" si="30"/>
        <v/>
      </c>
      <c r="S183" s="56" t="str">
        <f t="shared" si="31"/>
        <v>Gq/11</v>
      </c>
      <c r="T183" s="56" t="str">
        <f t="shared" si="32"/>
        <v/>
      </c>
      <c r="U183" s="57">
        <f t="shared" si="33"/>
        <v>1</v>
      </c>
      <c r="V183" s="57">
        <f t="shared" si="34"/>
        <v>0</v>
      </c>
      <c r="W183" s="57">
        <f t="shared" si="35"/>
        <v>2</v>
      </c>
      <c r="X183" s="57">
        <f t="shared" si="36"/>
        <v>0</v>
      </c>
      <c r="Y183" s="57" t="str">
        <f t="shared" si="39"/>
        <v>c</v>
      </c>
      <c r="Z183" s="56" t="str">
        <f t="shared" si="40"/>
        <v>nc</v>
      </c>
      <c r="AA183" s="56" t="str">
        <f t="shared" si="41"/>
        <v>c</v>
      </c>
      <c r="AB183" s="56" t="str">
        <f t="shared" si="42"/>
        <v>nc</v>
      </c>
      <c r="AC183" s="56">
        <f t="shared" si="37"/>
        <v>2</v>
      </c>
      <c r="AD183" s="54">
        <f t="shared" si="38"/>
        <v>1</v>
      </c>
    </row>
    <row r="184" spans="1:30">
      <c r="A184" s="54" t="s">
        <v>43</v>
      </c>
      <c r="B184" s="54" t="s">
        <v>276</v>
      </c>
      <c r="C184" s="54" t="str">
        <f>VLOOKUP(A184,RecNamesAll!A:C,3,FALSE)</f>
        <v>AT1</v>
      </c>
      <c r="D184" s="60">
        <v>34</v>
      </c>
      <c r="E184" s="54" t="s">
        <v>43</v>
      </c>
      <c r="F184" s="54" t="s">
        <v>3876</v>
      </c>
      <c r="G184" s="54" t="s">
        <v>3428</v>
      </c>
      <c r="H184" s="54" t="s">
        <v>3403</v>
      </c>
      <c r="I184" s="54" t="s">
        <v>3873</v>
      </c>
      <c r="J184" s="54" t="s">
        <v>3314</v>
      </c>
      <c r="L184" s="54" t="s">
        <v>3875</v>
      </c>
      <c r="N184" s="54">
        <v>10977869</v>
      </c>
      <c r="P184" s="59">
        <v>4.1666666666666664E-2</v>
      </c>
      <c r="Q184" s="57" t="str">
        <f t="shared" si="29"/>
        <v/>
      </c>
      <c r="R184" s="56" t="str">
        <f t="shared" si="30"/>
        <v>Gi/o</v>
      </c>
      <c r="S184" s="56" t="str">
        <f t="shared" si="31"/>
        <v>Gq/11</v>
      </c>
      <c r="T184" s="56" t="str">
        <f t="shared" si="32"/>
        <v/>
      </c>
      <c r="U184" s="57">
        <f t="shared" si="33"/>
        <v>0</v>
      </c>
      <c r="V184" s="57">
        <f t="shared" si="34"/>
        <v>1</v>
      </c>
      <c r="W184" s="57">
        <f t="shared" si="35"/>
        <v>1</v>
      </c>
      <c r="X184" s="57">
        <f t="shared" si="36"/>
        <v>0</v>
      </c>
      <c r="Y184" s="57" t="str">
        <f t="shared" si="39"/>
        <v>nc</v>
      </c>
      <c r="Z184" s="56" t="str">
        <f t="shared" si="40"/>
        <v>c</v>
      </c>
      <c r="AA184" s="56" t="str">
        <f t="shared" si="41"/>
        <v>c</v>
      </c>
      <c r="AB184" s="56" t="str">
        <f t="shared" si="42"/>
        <v>nc</v>
      </c>
      <c r="AC184" s="56">
        <f t="shared" si="37"/>
        <v>2</v>
      </c>
      <c r="AD184" s="54">
        <f t="shared" si="38"/>
        <v>1</v>
      </c>
    </row>
    <row r="185" spans="1:30">
      <c r="A185" s="54" t="s">
        <v>3874</v>
      </c>
      <c r="B185" s="54" t="s">
        <v>735</v>
      </c>
      <c r="C185" s="54" t="str">
        <f>VLOOKUP(A185,RecNamesAll!A:C,3,FALSE)</f>
        <v>AT2</v>
      </c>
      <c r="D185" s="60">
        <v>35</v>
      </c>
      <c r="E185" s="54" t="s">
        <v>3874</v>
      </c>
      <c r="G185" s="54" t="s">
        <v>3428</v>
      </c>
      <c r="H185" s="54" t="s">
        <v>3403</v>
      </c>
      <c r="I185" s="54" t="s">
        <v>3873</v>
      </c>
      <c r="J185" s="54" t="s">
        <v>2760</v>
      </c>
      <c r="K185" s="54" t="s">
        <v>2760</v>
      </c>
      <c r="L185" s="54" t="s">
        <v>3872</v>
      </c>
      <c r="M185" s="54" t="s">
        <v>3298</v>
      </c>
      <c r="N185" s="54" t="s">
        <v>3871</v>
      </c>
      <c r="P185" s="59">
        <v>0.125</v>
      </c>
      <c r="Q185" s="57" t="str">
        <f t="shared" si="29"/>
        <v/>
      </c>
      <c r="R185" s="56" t="str">
        <f t="shared" si="30"/>
        <v>Gi/o</v>
      </c>
      <c r="S185" s="56" t="str">
        <f t="shared" si="31"/>
        <v/>
      </c>
      <c r="T185" s="56" t="str">
        <f t="shared" si="32"/>
        <v/>
      </c>
      <c r="U185" s="57">
        <f t="shared" si="33"/>
        <v>0</v>
      </c>
      <c r="V185" s="57">
        <f t="shared" si="34"/>
        <v>1</v>
      </c>
      <c r="W185" s="57">
        <f t="shared" si="35"/>
        <v>0</v>
      </c>
      <c r="X185" s="57">
        <f t="shared" si="36"/>
        <v>0</v>
      </c>
      <c r="Y185" s="57" t="str">
        <f t="shared" si="39"/>
        <v>nc</v>
      </c>
      <c r="Z185" s="56" t="str">
        <f t="shared" si="40"/>
        <v>c</v>
      </c>
      <c r="AA185" s="56" t="str">
        <f t="shared" si="41"/>
        <v>nc</v>
      </c>
      <c r="AB185" s="56" t="str">
        <f t="shared" si="42"/>
        <v>nc</v>
      </c>
      <c r="AC185" s="56">
        <f t="shared" si="37"/>
        <v>3</v>
      </c>
      <c r="AD185" s="54">
        <f t="shared" si="38"/>
        <v>1</v>
      </c>
    </row>
    <row r="186" spans="1:30">
      <c r="A186" s="54" t="s">
        <v>45</v>
      </c>
      <c r="B186" s="54" t="s">
        <v>277</v>
      </c>
      <c r="C186" s="54" t="str">
        <f>VLOOKUP(A186,RecNamesAll!A:C,3,FALSE)</f>
        <v>APLNR</v>
      </c>
      <c r="D186" s="60">
        <v>36</v>
      </c>
      <c r="E186" s="54" t="s">
        <v>46</v>
      </c>
      <c r="F186" s="54" t="s">
        <v>3870</v>
      </c>
      <c r="G186" s="54" t="s">
        <v>3428</v>
      </c>
      <c r="H186" s="54" t="s">
        <v>3403</v>
      </c>
      <c r="I186" s="54" t="s">
        <v>3869</v>
      </c>
      <c r="J186" s="54" t="s">
        <v>2760</v>
      </c>
      <c r="L186" s="54" t="s">
        <v>3327</v>
      </c>
      <c r="N186" s="54" t="s">
        <v>3868</v>
      </c>
      <c r="P186" s="59">
        <v>0.20833333333333334</v>
      </c>
      <c r="Q186" s="57" t="str">
        <f t="shared" si="29"/>
        <v/>
      </c>
      <c r="R186" s="56" t="str">
        <f t="shared" si="30"/>
        <v>Gi/o</v>
      </c>
      <c r="S186" s="56" t="str">
        <f t="shared" si="31"/>
        <v/>
      </c>
      <c r="T186" s="56" t="str">
        <f t="shared" si="32"/>
        <v/>
      </c>
      <c r="U186" s="57">
        <f t="shared" si="33"/>
        <v>0</v>
      </c>
      <c r="V186" s="57">
        <f t="shared" si="34"/>
        <v>1</v>
      </c>
      <c r="W186" s="57">
        <f t="shared" si="35"/>
        <v>0</v>
      </c>
      <c r="X186" s="57">
        <f t="shared" si="36"/>
        <v>0</v>
      </c>
      <c r="Y186" s="57" t="str">
        <f t="shared" si="39"/>
        <v>nc</v>
      </c>
      <c r="Z186" s="56" t="str">
        <f t="shared" si="40"/>
        <v>c</v>
      </c>
      <c r="AA186" s="56" t="str">
        <f t="shared" si="41"/>
        <v>nc</v>
      </c>
      <c r="AB186" s="56" t="str">
        <f t="shared" si="42"/>
        <v>nc</v>
      </c>
      <c r="AC186" s="56">
        <f t="shared" si="37"/>
        <v>3</v>
      </c>
      <c r="AD186" s="54">
        <f t="shared" si="38"/>
        <v>1</v>
      </c>
    </row>
    <row r="187" spans="1:30">
      <c r="A187" s="54" t="s">
        <v>51</v>
      </c>
      <c r="B187" s="54" t="s">
        <v>1778</v>
      </c>
      <c r="C187" s="54" t="str">
        <f>VLOOKUP(A187,RecNamesAll!A:C,3,FALSE)</f>
        <v>BB1</v>
      </c>
      <c r="D187" s="60">
        <v>38</v>
      </c>
      <c r="E187" s="54" t="s">
        <v>51</v>
      </c>
      <c r="G187" s="54" t="s">
        <v>3428</v>
      </c>
      <c r="H187" s="54" t="s">
        <v>3403</v>
      </c>
      <c r="I187" s="54" t="s">
        <v>3863</v>
      </c>
      <c r="J187" s="54" t="s">
        <v>2759</v>
      </c>
      <c r="L187" s="54" t="s">
        <v>3320</v>
      </c>
      <c r="N187" s="54">
        <v>1336112</v>
      </c>
      <c r="P187" s="59">
        <v>4.1666666666666664E-2</v>
      </c>
      <c r="Q187" s="57" t="str">
        <f t="shared" si="29"/>
        <v/>
      </c>
      <c r="R187" s="56" t="str">
        <f t="shared" si="30"/>
        <v/>
      </c>
      <c r="S187" s="56" t="str">
        <f t="shared" si="31"/>
        <v>Gq/11</v>
      </c>
      <c r="T187" s="56" t="str">
        <f t="shared" si="32"/>
        <v/>
      </c>
      <c r="U187" s="57">
        <f t="shared" si="33"/>
        <v>0</v>
      </c>
      <c r="V187" s="57">
        <f t="shared" si="34"/>
        <v>0</v>
      </c>
      <c r="W187" s="57">
        <f t="shared" si="35"/>
        <v>1</v>
      </c>
      <c r="X187" s="57">
        <f t="shared" si="36"/>
        <v>0</v>
      </c>
      <c r="Y187" s="57" t="str">
        <f t="shared" si="39"/>
        <v>nc</v>
      </c>
      <c r="Z187" s="56" t="str">
        <f t="shared" si="40"/>
        <v>nc</v>
      </c>
      <c r="AA187" s="56" t="str">
        <f t="shared" si="41"/>
        <v>c</v>
      </c>
      <c r="AB187" s="56" t="str">
        <f t="shared" si="42"/>
        <v>nc</v>
      </c>
      <c r="AC187" s="56">
        <f t="shared" si="37"/>
        <v>3</v>
      </c>
      <c r="AD187" s="54">
        <f t="shared" si="38"/>
        <v>1</v>
      </c>
    </row>
    <row r="188" spans="1:30">
      <c r="A188" s="54" t="s">
        <v>50</v>
      </c>
      <c r="B188" s="54" t="s">
        <v>1562</v>
      </c>
      <c r="C188" s="54" t="str">
        <f>VLOOKUP(A188,RecNamesAll!A:C,3,FALSE)</f>
        <v>BB2</v>
      </c>
      <c r="D188" s="60">
        <v>39</v>
      </c>
      <c r="E188" s="54" t="s">
        <v>50</v>
      </c>
      <c r="G188" s="54" t="s">
        <v>3428</v>
      </c>
      <c r="H188" s="54" t="s">
        <v>3403</v>
      </c>
      <c r="I188" s="54" t="s">
        <v>3863</v>
      </c>
      <c r="J188" s="54" t="s">
        <v>2759</v>
      </c>
      <c r="K188" s="54" t="s">
        <v>3396</v>
      </c>
      <c r="L188" s="54" t="s">
        <v>3839</v>
      </c>
      <c r="M188" s="54" t="s">
        <v>3867</v>
      </c>
      <c r="N188" s="54" t="s">
        <v>3866</v>
      </c>
      <c r="O188" s="54" t="s">
        <v>3865</v>
      </c>
      <c r="P188" s="59">
        <v>0.25</v>
      </c>
      <c r="Q188" s="57" t="str">
        <f t="shared" si="29"/>
        <v/>
      </c>
      <c r="R188" s="56" t="str">
        <f t="shared" si="30"/>
        <v/>
      </c>
      <c r="S188" s="56" t="str">
        <f t="shared" si="31"/>
        <v>Gq/11</v>
      </c>
      <c r="T188" s="56" t="str">
        <f t="shared" si="32"/>
        <v/>
      </c>
      <c r="U188" s="57">
        <f t="shared" si="33"/>
        <v>0</v>
      </c>
      <c r="V188" s="57">
        <f t="shared" si="34"/>
        <v>0</v>
      </c>
      <c r="W188" s="57">
        <f t="shared" si="35"/>
        <v>1</v>
      </c>
      <c r="X188" s="57">
        <f t="shared" si="36"/>
        <v>0</v>
      </c>
      <c r="Y188" s="57" t="str">
        <f t="shared" si="39"/>
        <v>nc</v>
      </c>
      <c r="Z188" s="56" t="str">
        <f t="shared" si="40"/>
        <v>nc</v>
      </c>
      <c r="AA188" s="56" t="str">
        <f t="shared" si="41"/>
        <v>c</v>
      </c>
      <c r="AB188" s="56" t="str">
        <f t="shared" si="42"/>
        <v>nc</v>
      </c>
      <c r="AC188" s="56">
        <f t="shared" si="37"/>
        <v>3</v>
      </c>
      <c r="AD188" s="54">
        <f t="shared" si="38"/>
        <v>1</v>
      </c>
    </row>
    <row r="189" spans="1:30">
      <c r="A189" s="54" t="s">
        <v>3097</v>
      </c>
      <c r="B189" s="54" t="s">
        <v>3864</v>
      </c>
      <c r="C189" s="54" t="str">
        <f>VLOOKUP(A189,RecNamesAll!A:C,3,FALSE)</f>
        <v>BB3</v>
      </c>
      <c r="D189" s="60">
        <v>40</v>
      </c>
      <c r="E189" s="54" t="s">
        <v>3097</v>
      </c>
      <c r="G189" s="54" t="s">
        <v>3428</v>
      </c>
      <c r="H189" s="54" t="s">
        <v>3403</v>
      </c>
      <c r="I189" s="54" t="s">
        <v>3863</v>
      </c>
      <c r="J189" s="54" t="s">
        <v>2759</v>
      </c>
      <c r="K189" s="54" t="s">
        <v>3396</v>
      </c>
      <c r="L189" s="54" t="s">
        <v>3862</v>
      </c>
      <c r="M189" s="54" t="s">
        <v>3298</v>
      </c>
      <c r="N189" s="54" t="s">
        <v>3861</v>
      </c>
      <c r="P189" s="59">
        <v>0.20833333333333334</v>
      </c>
      <c r="Q189" s="57" t="str">
        <f t="shared" si="29"/>
        <v/>
      </c>
      <c r="R189" s="56" t="str">
        <f t="shared" si="30"/>
        <v/>
      </c>
      <c r="S189" s="56" t="str">
        <f t="shared" si="31"/>
        <v>Gq/11</v>
      </c>
      <c r="T189" s="56" t="str">
        <f t="shared" si="32"/>
        <v/>
      </c>
      <c r="U189" s="57">
        <f t="shared" si="33"/>
        <v>0</v>
      </c>
      <c r="V189" s="57">
        <f t="shared" si="34"/>
        <v>0</v>
      </c>
      <c r="W189" s="57">
        <f t="shared" si="35"/>
        <v>1</v>
      </c>
      <c r="X189" s="57">
        <f t="shared" si="36"/>
        <v>0</v>
      </c>
      <c r="Y189" s="57" t="str">
        <f t="shared" si="39"/>
        <v>nc</v>
      </c>
      <c r="Z189" s="56" t="str">
        <f t="shared" si="40"/>
        <v>nc</v>
      </c>
      <c r="AA189" s="56" t="str">
        <f t="shared" si="41"/>
        <v>c</v>
      </c>
      <c r="AB189" s="56" t="str">
        <f t="shared" si="42"/>
        <v>nc</v>
      </c>
      <c r="AC189" s="56">
        <f t="shared" si="37"/>
        <v>3</v>
      </c>
      <c r="AD189" s="54">
        <f t="shared" si="38"/>
        <v>1</v>
      </c>
    </row>
    <row r="190" spans="1:30">
      <c r="A190" s="54" t="s">
        <v>52</v>
      </c>
      <c r="B190" s="54" t="s">
        <v>279</v>
      </c>
      <c r="C190" s="54" t="str">
        <f>VLOOKUP(A190,RecNamesAll!A:C,3,FALSE)</f>
        <v>B1</v>
      </c>
      <c r="D190" s="60">
        <v>41</v>
      </c>
      <c r="E190" s="54" t="s">
        <v>3860</v>
      </c>
      <c r="F190" s="54" t="s">
        <v>3859</v>
      </c>
      <c r="G190" s="54" t="s">
        <v>3428</v>
      </c>
      <c r="H190" s="54" t="s">
        <v>3403</v>
      </c>
      <c r="I190" s="54" t="s">
        <v>3857</v>
      </c>
      <c r="J190" s="54" t="s">
        <v>3314</v>
      </c>
      <c r="L190" s="54" t="s">
        <v>3438</v>
      </c>
      <c r="N190" s="54">
        <v>9111052</v>
      </c>
      <c r="P190" s="59">
        <v>4.1666666666666664E-2</v>
      </c>
      <c r="Q190" s="57" t="str">
        <f t="shared" si="29"/>
        <v/>
      </c>
      <c r="R190" s="56" t="str">
        <f t="shared" si="30"/>
        <v>Gi/o</v>
      </c>
      <c r="S190" s="56" t="str">
        <f t="shared" si="31"/>
        <v>Gq/11</v>
      </c>
      <c r="T190" s="56" t="str">
        <f t="shared" si="32"/>
        <v/>
      </c>
      <c r="U190" s="57">
        <f t="shared" si="33"/>
        <v>0</v>
      </c>
      <c r="V190" s="57">
        <f t="shared" si="34"/>
        <v>1</v>
      </c>
      <c r="W190" s="57">
        <f t="shared" si="35"/>
        <v>1</v>
      </c>
      <c r="X190" s="57">
        <f t="shared" si="36"/>
        <v>0</v>
      </c>
      <c r="Y190" s="57" t="str">
        <f t="shared" si="39"/>
        <v>nc</v>
      </c>
      <c r="Z190" s="56" t="str">
        <f t="shared" si="40"/>
        <v>c</v>
      </c>
      <c r="AA190" s="56" t="str">
        <f t="shared" si="41"/>
        <v>c</v>
      </c>
      <c r="AB190" s="56" t="str">
        <f t="shared" si="42"/>
        <v>nc</v>
      </c>
      <c r="AC190" s="56">
        <f t="shared" si="37"/>
        <v>2</v>
      </c>
      <c r="AD190" s="54">
        <f t="shared" si="38"/>
        <v>1</v>
      </c>
    </row>
    <row r="191" spans="1:30">
      <c r="A191" s="54" t="s">
        <v>54</v>
      </c>
      <c r="B191" s="54" t="s">
        <v>280</v>
      </c>
      <c r="C191" s="54" t="str">
        <f>VLOOKUP(A191,RecNamesAll!A:C,3,FALSE)</f>
        <v>B2</v>
      </c>
      <c r="D191" s="60">
        <v>42</v>
      </c>
      <c r="E191" s="54" t="s">
        <v>3079</v>
      </c>
      <c r="F191" s="54" t="s">
        <v>3858</v>
      </c>
      <c r="G191" s="54" t="s">
        <v>3428</v>
      </c>
      <c r="H191" s="54" t="s">
        <v>3403</v>
      </c>
      <c r="I191" s="54" t="s">
        <v>3857</v>
      </c>
      <c r="J191" s="54" t="s">
        <v>3665</v>
      </c>
      <c r="L191" s="54" t="s">
        <v>3856</v>
      </c>
      <c r="N191" s="54" t="s">
        <v>3855</v>
      </c>
      <c r="P191" s="59">
        <v>0.33333333333333331</v>
      </c>
      <c r="Q191" s="57" t="str">
        <f t="shared" si="29"/>
        <v>Gs</v>
      </c>
      <c r="R191" s="56" t="str">
        <f t="shared" si="30"/>
        <v>Gi/o</v>
      </c>
      <c r="S191" s="56" t="str">
        <f t="shared" si="31"/>
        <v>Gq/11</v>
      </c>
      <c r="T191" s="56" t="str">
        <f t="shared" si="32"/>
        <v/>
      </c>
      <c r="U191" s="57">
        <f t="shared" si="33"/>
        <v>1</v>
      </c>
      <c r="V191" s="57">
        <f t="shared" si="34"/>
        <v>1</v>
      </c>
      <c r="W191" s="57">
        <f t="shared" si="35"/>
        <v>1</v>
      </c>
      <c r="X191" s="57">
        <f t="shared" si="36"/>
        <v>0</v>
      </c>
      <c r="Y191" s="57" t="str">
        <f t="shared" si="39"/>
        <v>c</v>
      </c>
      <c r="Z191" s="56" t="str">
        <f t="shared" si="40"/>
        <v>c</v>
      </c>
      <c r="AA191" s="56" t="str">
        <f t="shared" si="41"/>
        <v>c</v>
      </c>
      <c r="AB191" s="56" t="str">
        <f t="shared" si="42"/>
        <v>nc</v>
      </c>
      <c r="AC191" s="56">
        <f t="shared" si="37"/>
        <v>1</v>
      </c>
      <c r="AD191" s="54">
        <f t="shared" si="38"/>
        <v>1</v>
      </c>
    </row>
    <row r="192" spans="1:30">
      <c r="A192" s="54" t="s">
        <v>80</v>
      </c>
      <c r="B192" s="54" t="s">
        <v>288</v>
      </c>
      <c r="C192" s="54" t="str">
        <f>VLOOKUP(A192,RecNamesAll!A:C,3,FALSE)</f>
        <v>CCK1</v>
      </c>
      <c r="D192" s="60">
        <v>76</v>
      </c>
      <c r="E192" s="54" t="s">
        <v>80</v>
      </c>
      <c r="F192" s="54" t="s">
        <v>3854</v>
      </c>
      <c r="G192" s="54" t="s">
        <v>3428</v>
      </c>
      <c r="H192" s="54" t="s">
        <v>3403</v>
      </c>
      <c r="I192" s="54" t="s">
        <v>3851</v>
      </c>
      <c r="J192" s="54" t="s">
        <v>2759</v>
      </c>
      <c r="K192" s="54" t="s">
        <v>2761</v>
      </c>
      <c r="L192" s="54" t="s">
        <v>3320</v>
      </c>
      <c r="M192" s="54" t="s">
        <v>3369</v>
      </c>
      <c r="N192" s="54" t="s">
        <v>3853</v>
      </c>
      <c r="O192" s="54">
        <v>7678554</v>
      </c>
      <c r="P192" s="59">
        <v>8.3333333333333329E-2</v>
      </c>
      <c r="Q192" s="57" t="str">
        <f t="shared" si="29"/>
        <v>Gs</v>
      </c>
      <c r="R192" s="56" t="str">
        <f t="shared" si="30"/>
        <v/>
      </c>
      <c r="S192" s="56" t="str">
        <f t="shared" si="31"/>
        <v>Gq/11</v>
      </c>
      <c r="T192" s="56" t="str">
        <f t="shared" si="32"/>
        <v/>
      </c>
      <c r="U192" s="57">
        <f t="shared" si="33"/>
        <v>2</v>
      </c>
      <c r="V192" s="57">
        <f t="shared" si="34"/>
        <v>0</v>
      </c>
      <c r="W192" s="57">
        <f t="shared" si="35"/>
        <v>1</v>
      </c>
      <c r="X192" s="57">
        <f t="shared" si="36"/>
        <v>0</v>
      </c>
      <c r="Y192" s="57" t="str">
        <f t="shared" si="39"/>
        <v>c</v>
      </c>
      <c r="Z192" s="56" t="str">
        <f t="shared" si="40"/>
        <v>nc</v>
      </c>
      <c r="AA192" s="56" t="str">
        <f t="shared" si="41"/>
        <v>c</v>
      </c>
      <c r="AB192" s="56" t="str">
        <f t="shared" si="42"/>
        <v>nc</v>
      </c>
      <c r="AC192" s="56">
        <f t="shared" si="37"/>
        <v>2</v>
      </c>
      <c r="AD192" s="54">
        <f t="shared" si="38"/>
        <v>1</v>
      </c>
    </row>
    <row r="193" spans="1:30">
      <c r="A193" s="54" t="s">
        <v>81</v>
      </c>
      <c r="B193" s="54" t="s">
        <v>1219</v>
      </c>
      <c r="C193" s="54" t="str">
        <f>VLOOKUP(A193,RecNamesAll!A:C,3,FALSE)</f>
        <v>CCK2</v>
      </c>
      <c r="D193" s="60">
        <v>77</v>
      </c>
      <c r="E193" s="54" t="s">
        <v>3019</v>
      </c>
      <c r="F193" s="54" t="s">
        <v>3852</v>
      </c>
      <c r="G193" s="54" t="s">
        <v>3428</v>
      </c>
      <c r="H193" s="54" t="s">
        <v>3403</v>
      </c>
      <c r="I193" s="54" t="s">
        <v>3851</v>
      </c>
      <c r="J193" s="54" t="s">
        <v>2759</v>
      </c>
      <c r="L193" s="54" t="s">
        <v>3320</v>
      </c>
      <c r="N193" s="54">
        <v>7681836</v>
      </c>
      <c r="P193" s="59">
        <v>4.1666666666666664E-2</v>
      </c>
      <c r="Q193" s="57" t="str">
        <f t="shared" si="29"/>
        <v/>
      </c>
      <c r="R193" s="56" t="str">
        <f t="shared" si="30"/>
        <v/>
      </c>
      <c r="S193" s="56" t="str">
        <f t="shared" si="31"/>
        <v>Gq/11</v>
      </c>
      <c r="T193" s="56" t="str">
        <f t="shared" si="32"/>
        <v/>
      </c>
      <c r="U193" s="57">
        <f t="shared" si="33"/>
        <v>0</v>
      </c>
      <c r="V193" s="57">
        <f t="shared" si="34"/>
        <v>0</v>
      </c>
      <c r="W193" s="57">
        <f t="shared" si="35"/>
        <v>1</v>
      </c>
      <c r="X193" s="57">
        <f t="shared" si="36"/>
        <v>0</v>
      </c>
      <c r="Y193" s="57" t="str">
        <f t="shared" si="39"/>
        <v>nc</v>
      </c>
      <c r="Z193" s="56" t="str">
        <f t="shared" si="40"/>
        <v>nc</v>
      </c>
      <c r="AA193" s="56" t="str">
        <f t="shared" si="41"/>
        <v>c</v>
      </c>
      <c r="AB193" s="56" t="str">
        <f t="shared" si="42"/>
        <v>nc</v>
      </c>
      <c r="AC193" s="56">
        <f t="shared" si="37"/>
        <v>3</v>
      </c>
      <c r="AD193" s="54">
        <f t="shared" si="38"/>
        <v>1</v>
      </c>
    </row>
    <row r="194" spans="1:30">
      <c r="A194" s="54" t="s">
        <v>103</v>
      </c>
      <c r="B194" s="54" t="s">
        <v>291</v>
      </c>
      <c r="C194" s="54" t="str">
        <f>VLOOKUP(A194,RecNamesAll!A:C,3,FALSE)</f>
        <v>C5a1</v>
      </c>
      <c r="D194" s="60">
        <v>32</v>
      </c>
      <c r="E194" s="54" t="s">
        <v>103</v>
      </c>
      <c r="F194" s="54" t="s">
        <v>3850</v>
      </c>
      <c r="G194" s="54" t="s">
        <v>3428</v>
      </c>
      <c r="H194" s="54" t="s">
        <v>3403</v>
      </c>
      <c r="I194" s="54" t="s">
        <v>3849</v>
      </c>
      <c r="J194" s="54" t="s">
        <v>3309</v>
      </c>
      <c r="K194" s="54" t="s">
        <v>2759</v>
      </c>
      <c r="L194" s="54" t="s">
        <v>3313</v>
      </c>
      <c r="M194" s="54" t="s">
        <v>3320</v>
      </c>
      <c r="N194" s="54">
        <v>2123189</v>
      </c>
      <c r="O194" s="54">
        <v>7870028</v>
      </c>
      <c r="P194" s="59">
        <v>4.1666666666666664E-2</v>
      </c>
      <c r="Q194" s="57" t="str">
        <f t="shared" ref="Q194:Q257" si="43">IF(OR(ISNUMBER(SEARCH("Gs",$J194)),ISNUMBER(SEARCH("Gs",$K194))),"Gs","")</f>
        <v/>
      </c>
      <c r="R194" s="56" t="str">
        <f t="shared" ref="R194:R257" si="44">IF(OR(ISNUMBER(SEARCH("Gi/o",$J194)),ISNUMBER(SEARCH("Gi/o",$K194))),"Gi/o","")</f>
        <v>Gi/o</v>
      </c>
      <c r="S194" s="56" t="str">
        <f t="shared" ref="S194:S257" si="45">IF(OR(ISNUMBER(SEARCH("Gq/11",$J194)),ISNUMBER(SEARCH("Gq/11",$K194))),"Gq/11","")</f>
        <v>Gq/11</v>
      </c>
      <c r="T194" s="56" t="str">
        <f t="shared" ref="T194:T257" si="46">IF(OR(ISNUMBER(SEARCH("G12/13",$J194)),ISNUMBER(SEARCH("G12/13",$K194))),"G12/13","")</f>
        <v/>
      </c>
      <c r="U194" s="57">
        <f t="shared" ref="U194:U257" si="47">IF(ISNUMBER(SEARCH("Gs",$J194)),1,IF(ISNUMBER(SEARCH("Gs",$K194)),2,0))</f>
        <v>0</v>
      </c>
      <c r="V194" s="57">
        <f t="shared" ref="V194:V257" si="48">IF(ISNUMBER(SEARCH("Gi/o",$J194)),1,IF(ISNUMBER(SEARCH("Gi/o",$K194)),2,0))</f>
        <v>1</v>
      </c>
      <c r="W194" s="57">
        <f t="shared" ref="W194:W257" si="49">IF(ISNUMBER(SEARCH("Gq/11",$J194)),1,IF(ISNUMBER(SEARCH("Gq/11",$K194)),2,0))</f>
        <v>2</v>
      </c>
      <c r="X194" s="57">
        <f t="shared" ref="X194:X257" si="50">IF(ISNUMBER(SEARCH("G12/13",$J194)),1,IF(ISNUMBER(SEARCH("G12/13",$K194)),2,0))</f>
        <v>0</v>
      </c>
      <c r="Y194" s="57" t="str">
        <f t="shared" si="39"/>
        <v>nc</v>
      </c>
      <c r="Z194" s="56" t="str">
        <f t="shared" si="40"/>
        <v>c</v>
      </c>
      <c r="AA194" s="56" t="str">
        <f t="shared" si="41"/>
        <v>c</v>
      </c>
      <c r="AB194" s="56" t="str">
        <f t="shared" si="42"/>
        <v>nc</v>
      </c>
      <c r="AC194" s="56">
        <f t="shared" ref="AC194:AC257" si="51">IF(SUM(U194:X194)&gt;0,COUNTIF(U194:X194,"0"),"")</f>
        <v>2</v>
      </c>
      <c r="AD194" s="54">
        <f t="shared" ref="AD194:AD257" si="52">IF(SUM(U194:X194)&gt;0,1,0)</f>
        <v>1</v>
      </c>
    </row>
    <row r="195" spans="1:30">
      <c r="A195" s="54" t="s">
        <v>112</v>
      </c>
      <c r="B195" s="54" t="s">
        <v>296</v>
      </c>
      <c r="C195" s="54" t="str">
        <f>VLOOKUP(A195,RecNamesAll!A:C,3,FALSE)</f>
        <v>ETA</v>
      </c>
      <c r="D195" s="60">
        <v>219</v>
      </c>
      <c r="E195" s="54" t="s">
        <v>112</v>
      </c>
      <c r="F195" s="54" t="s">
        <v>3848</v>
      </c>
      <c r="G195" s="54" t="s">
        <v>3428</v>
      </c>
      <c r="H195" s="54" t="s">
        <v>3403</v>
      </c>
      <c r="I195" s="54" t="s">
        <v>3845</v>
      </c>
      <c r="J195" s="54" t="s">
        <v>2759</v>
      </c>
      <c r="L195" s="54" t="s">
        <v>3839</v>
      </c>
      <c r="N195" s="54" t="s">
        <v>3847</v>
      </c>
      <c r="P195" s="59">
        <v>0.16666666666666666</v>
      </c>
      <c r="Q195" s="57" t="str">
        <f t="shared" si="43"/>
        <v/>
      </c>
      <c r="R195" s="56" t="str">
        <f t="shared" si="44"/>
        <v/>
      </c>
      <c r="S195" s="56" t="str">
        <f t="shared" si="45"/>
        <v>Gq/11</v>
      </c>
      <c r="T195" s="56" t="str">
        <f t="shared" si="46"/>
        <v/>
      </c>
      <c r="U195" s="57">
        <f t="shared" si="47"/>
        <v>0</v>
      </c>
      <c r="V195" s="57">
        <f t="shared" si="48"/>
        <v>0</v>
      </c>
      <c r="W195" s="57">
        <f t="shared" si="49"/>
        <v>1</v>
      </c>
      <c r="X195" s="57">
        <f t="shared" si="50"/>
        <v>0</v>
      </c>
      <c r="Y195" s="57" t="str">
        <f t="shared" ref="Y195:Y258" si="53">IF(U195&gt;0,"c","nc")</f>
        <v>nc</v>
      </c>
      <c r="Z195" s="56" t="str">
        <f t="shared" ref="Z195:Z258" si="54">IF(V195&gt;0,"c","nc")</f>
        <v>nc</v>
      </c>
      <c r="AA195" s="56" t="str">
        <f t="shared" ref="AA195:AA258" si="55">IF(W195&gt;0,"c","nc")</f>
        <v>c</v>
      </c>
      <c r="AB195" s="56" t="str">
        <f t="shared" ref="AB195:AB258" si="56">IF(X195&gt;0,"c","nc")</f>
        <v>nc</v>
      </c>
      <c r="AC195" s="56">
        <f t="shared" si="51"/>
        <v>3</v>
      </c>
      <c r="AD195" s="54">
        <f t="shared" si="52"/>
        <v>1</v>
      </c>
    </row>
    <row r="196" spans="1:30">
      <c r="A196" s="54" t="s">
        <v>113</v>
      </c>
      <c r="B196" s="54" t="s">
        <v>1059</v>
      </c>
      <c r="C196" s="54" t="str">
        <f>VLOOKUP(A196,RecNamesAll!A:C,3,FALSE)</f>
        <v>ETB</v>
      </c>
      <c r="D196" s="60">
        <v>220</v>
      </c>
      <c r="E196" s="54" t="s">
        <v>113</v>
      </c>
      <c r="F196" s="54" t="s">
        <v>3846</v>
      </c>
      <c r="G196" s="54" t="s">
        <v>3428</v>
      </c>
      <c r="H196" s="54" t="s">
        <v>3403</v>
      </c>
      <c r="I196" s="54" t="s">
        <v>3845</v>
      </c>
      <c r="J196" s="54" t="s">
        <v>3665</v>
      </c>
      <c r="L196" s="54" t="s">
        <v>3839</v>
      </c>
      <c r="N196" s="54" t="s">
        <v>3844</v>
      </c>
      <c r="P196" s="59">
        <v>0.16666666666666666</v>
      </c>
      <c r="Q196" s="57" t="str">
        <f t="shared" si="43"/>
        <v>Gs</v>
      </c>
      <c r="R196" s="56" t="str">
        <f t="shared" si="44"/>
        <v>Gi/o</v>
      </c>
      <c r="S196" s="56" t="str">
        <f t="shared" si="45"/>
        <v>Gq/11</v>
      </c>
      <c r="T196" s="56" t="str">
        <f t="shared" si="46"/>
        <v/>
      </c>
      <c r="U196" s="57">
        <f t="shared" si="47"/>
        <v>1</v>
      </c>
      <c r="V196" s="57">
        <f t="shared" si="48"/>
        <v>1</v>
      </c>
      <c r="W196" s="57">
        <f t="shared" si="49"/>
        <v>1</v>
      </c>
      <c r="X196" s="57">
        <f t="shared" si="50"/>
        <v>0</v>
      </c>
      <c r="Y196" s="57" t="str">
        <f t="shared" si="53"/>
        <v>c</v>
      </c>
      <c r="Z196" s="56" t="str">
        <f t="shared" si="54"/>
        <v>c</v>
      </c>
      <c r="AA196" s="56" t="str">
        <f t="shared" si="55"/>
        <v>c</v>
      </c>
      <c r="AB196" s="56" t="str">
        <f t="shared" si="56"/>
        <v>nc</v>
      </c>
      <c r="AC196" s="56">
        <f t="shared" si="51"/>
        <v>1</v>
      </c>
      <c r="AD196" s="54">
        <f t="shared" si="52"/>
        <v>1</v>
      </c>
    </row>
    <row r="197" spans="1:30">
      <c r="A197" s="54" t="s">
        <v>114</v>
      </c>
      <c r="B197" s="54" t="s">
        <v>1116</v>
      </c>
      <c r="C197" s="54" t="str">
        <f>VLOOKUP(A197,RecNamesAll!A:C,3,FALSE)</f>
        <v>FPR1</v>
      </c>
      <c r="D197" s="60">
        <v>222</v>
      </c>
      <c r="E197" s="54" t="s">
        <v>114</v>
      </c>
      <c r="G197" s="54" t="s">
        <v>3428</v>
      </c>
      <c r="H197" s="54" t="s">
        <v>3403</v>
      </c>
      <c r="I197" s="54" t="s">
        <v>3834</v>
      </c>
      <c r="J197" s="54" t="s">
        <v>2760</v>
      </c>
      <c r="L197" s="54" t="s">
        <v>3843</v>
      </c>
      <c r="M197" s="54" t="s">
        <v>3668</v>
      </c>
      <c r="N197" s="54" t="s">
        <v>3842</v>
      </c>
      <c r="O197" s="54" t="s">
        <v>3841</v>
      </c>
      <c r="P197" s="59">
        <v>0.16666666666666666</v>
      </c>
      <c r="Q197" s="57" t="str">
        <f t="shared" si="43"/>
        <v/>
      </c>
      <c r="R197" s="56" t="str">
        <f t="shared" si="44"/>
        <v>Gi/o</v>
      </c>
      <c r="S197" s="56" t="str">
        <f t="shared" si="45"/>
        <v/>
      </c>
      <c r="T197" s="56" t="str">
        <f t="shared" si="46"/>
        <v/>
      </c>
      <c r="U197" s="57">
        <f t="shared" si="47"/>
        <v>0</v>
      </c>
      <c r="V197" s="57">
        <f t="shared" si="48"/>
        <v>1</v>
      </c>
      <c r="W197" s="57">
        <f t="shared" si="49"/>
        <v>0</v>
      </c>
      <c r="X197" s="57">
        <f t="shared" si="50"/>
        <v>0</v>
      </c>
      <c r="Y197" s="57" t="str">
        <f t="shared" si="53"/>
        <v>nc</v>
      </c>
      <c r="Z197" s="56" t="str">
        <f t="shared" si="54"/>
        <v>c</v>
      </c>
      <c r="AA197" s="56" t="str">
        <f t="shared" si="55"/>
        <v>nc</v>
      </c>
      <c r="AB197" s="56" t="str">
        <f t="shared" si="56"/>
        <v>nc</v>
      </c>
      <c r="AC197" s="56">
        <f t="shared" si="51"/>
        <v>3</v>
      </c>
      <c r="AD197" s="54">
        <f t="shared" si="52"/>
        <v>1</v>
      </c>
    </row>
    <row r="198" spans="1:30">
      <c r="A198" s="54" t="s">
        <v>115</v>
      </c>
      <c r="B198" s="54" t="s">
        <v>1130</v>
      </c>
      <c r="C198" s="54" t="str">
        <f>VLOOKUP(A198,RecNamesAll!A:C,3,FALSE)</f>
        <v>FPR2/ALX</v>
      </c>
      <c r="D198" s="60">
        <v>223</v>
      </c>
      <c r="E198" s="54" t="s">
        <v>115</v>
      </c>
      <c r="F198" s="54" t="s">
        <v>3840</v>
      </c>
      <c r="G198" s="54" t="s">
        <v>3428</v>
      </c>
      <c r="H198" s="54" t="s">
        <v>3403</v>
      </c>
      <c r="I198" s="54" t="s">
        <v>3834</v>
      </c>
      <c r="J198" s="54" t="s">
        <v>2760</v>
      </c>
      <c r="K198" s="54" t="s">
        <v>2759</v>
      </c>
      <c r="L198" s="54" t="s">
        <v>3839</v>
      </c>
      <c r="M198" s="54" t="s">
        <v>3838</v>
      </c>
      <c r="N198" s="54" t="s">
        <v>3837</v>
      </c>
      <c r="O198" s="54" t="s">
        <v>3836</v>
      </c>
      <c r="P198" s="59">
        <v>0.25</v>
      </c>
      <c r="Q198" s="57" t="str">
        <f t="shared" si="43"/>
        <v/>
      </c>
      <c r="R198" s="56" t="str">
        <f t="shared" si="44"/>
        <v>Gi/o</v>
      </c>
      <c r="S198" s="56" t="str">
        <f t="shared" si="45"/>
        <v>Gq/11</v>
      </c>
      <c r="T198" s="56" t="str">
        <f t="shared" si="46"/>
        <v/>
      </c>
      <c r="U198" s="57">
        <f t="shared" si="47"/>
        <v>0</v>
      </c>
      <c r="V198" s="57">
        <f t="shared" si="48"/>
        <v>1</v>
      </c>
      <c r="W198" s="57">
        <f t="shared" si="49"/>
        <v>2</v>
      </c>
      <c r="X198" s="57">
        <f t="shared" si="50"/>
        <v>0</v>
      </c>
      <c r="Y198" s="57" t="str">
        <f t="shared" si="53"/>
        <v>nc</v>
      </c>
      <c r="Z198" s="56" t="str">
        <f t="shared" si="54"/>
        <v>c</v>
      </c>
      <c r="AA198" s="56" t="str">
        <f t="shared" si="55"/>
        <v>c</v>
      </c>
      <c r="AB198" s="56" t="str">
        <f t="shared" si="56"/>
        <v>nc</v>
      </c>
      <c r="AC198" s="56">
        <f t="shared" si="51"/>
        <v>2</v>
      </c>
      <c r="AD198" s="54">
        <f t="shared" si="52"/>
        <v>1</v>
      </c>
    </row>
    <row r="199" spans="1:30">
      <c r="A199" s="54" t="s">
        <v>116</v>
      </c>
      <c r="B199" s="54" t="s">
        <v>1165</v>
      </c>
      <c r="C199" s="54" t="str">
        <f>VLOOKUP(A199,RecNamesAll!A:C,3,FALSE)</f>
        <v>FPR3</v>
      </c>
      <c r="D199" s="60">
        <v>224</v>
      </c>
      <c r="E199" s="54" t="s">
        <v>116</v>
      </c>
      <c r="F199" s="54" t="s">
        <v>3835</v>
      </c>
      <c r="G199" s="54" t="s">
        <v>3428</v>
      </c>
      <c r="H199" s="54" t="s">
        <v>3403</v>
      </c>
      <c r="I199" s="54" t="s">
        <v>3834</v>
      </c>
      <c r="J199" s="54" t="s">
        <v>2760</v>
      </c>
      <c r="L199" s="54" t="s">
        <v>3286</v>
      </c>
      <c r="Q199" s="57" t="str">
        <f t="shared" si="43"/>
        <v/>
      </c>
      <c r="R199" s="56" t="str">
        <f t="shared" si="44"/>
        <v>Gi/o</v>
      </c>
      <c r="S199" s="56" t="str">
        <f t="shared" si="45"/>
        <v/>
      </c>
      <c r="T199" s="56" t="str">
        <f t="shared" si="46"/>
        <v/>
      </c>
      <c r="U199" s="57">
        <f t="shared" si="47"/>
        <v>0</v>
      </c>
      <c r="V199" s="57">
        <f t="shared" si="48"/>
        <v>1</v>
      </c>
      <c r="W199" s="57">
        <f t="shared" si="49"/>
        <v>0</v>
      </c>
      <c r="X199" s="57">
        <f t="shared" si="50"/>
        <v>0</v>
      </c>
      <c r="Y199" s="57" t="str">
        <f t="shared" si="53"/>
        <v>nc</v>
      </c>
      <c r="Z199" s="56" t="str">
        <f t="shared" si="54"/>
        <v>c</v>
      </c>
      <c r="AA199" s="56" t="str">
        <f t="shared" si="55"/>
        <v>nc</v>
      </c>
      <c r="AB199" s="56" t="str">
        <f t="shared" si="56"/>
        <v>nc</v>
      </c>
      <c r="AC199" s="56">
        <f t="shared" si="51"/>
        <v>3</v>
      </c>
      <c r="AD199" s="54">
        <f t="shared" si="52"/>
        <v>1</v>
      </c>
    </row>
    <row r="200" spans="1:30">
      <c r="A200" s="54" t="s">
        <v>121</v>
      </c>
      <c r="B200" s="54" t="s">
        <v>1209</v>
      </c>
      <c r="C200" s="54" t="str">
        <f>VLOOKUP(A200,RecNamesAll!A:C,3,FALSE)</f>
        <v>GAL1</v>
      </c>
      <c r="D200" s="60">
        <v>243</v>
      </c>
      <c r="E200" s="54" t="s">
        <v>121</v>
      </c>
      <c r="F200" s="54" t="s">
        <v>3833</v>
      </c>
      <c r="G200" s="54" t="s">
        <v>3428</v>
      </c>
      <c r="H200" s="54" t="s">
        <v>3403</v>
      </c>
      <c r="I200" s="54" t="s">
        <v>3827</v>
      </c>
      <c r="J200" s="54" t="s">
        <v>2760</v>
      </c>
      <c r="L200" s="54" t="s">
        <v>3346</v>
      </c>
      <c r="N200" s="54" t="s">
        <v>3832</v>
      </c>
      <c r="P200" s="59">
        <v>0.16666666666666666</v>
      </c>
      <c r="Q200" s="57" t="str">
        <f t="shared" si="43"/>
        <v/>
      </c>
      <c r="R200" s="56" t="str">
        <f t="shared" si="44"/>
        <v>Gi/o</v>
      </c>
      <c r="S200" s="56" t="str">
        <f t="shared" si="45"/>
        <v/>
      </c>
      <c r="T200" s="56" t="str">
        <f t="shared" si="46"/>
        <v/>
      </c>
      <c r="U200" s="57">
        <f t="shared" si="47"/>
        <v>0</v>
      </c>
      <c r="V200" s="57">
        <f t="shared" si="48"/>
        <v>1</v>
      </c>
      <c r="W200" s="57">
        <f t="shared" si="49"/>
        <v>0</v>
      </c>
      <c r="X200" s="57">
        <f t="shared" si="50"/>
        <v>0</v>
      </c>
      <c r="Y200" s="57" t="str">
        <f t="shared" si="53"/>
        <v>nc</v>
      </c>
      <c r="Z200" s="56" t="str">
        <f t="shared" si="54"/>
        <v>c</v>
      </c>
      <c r="AA200" s="56" t="str">
        <f t="shared" si="55"/>
        <v>nc</v>
      </c>
      <c r="AB200" s="56" t="str">
        <f t="shared" si="56"/>
        <v>nc</v>
      </c>
      <c r="AC200" s="56">
        <f t="shared" si="51"/>
        <v>3</v>
      </c>
      <c r="AD200" s="54">
        <f t="shared" si="52"/>
        <v>1</v>
      </c>
    </row>
    <row r="201" spans="1:30">
      <c r="A201" s="54" t="s">
        <v>123</v>
      </c>
      <c r="B201" s="54" t="s">
        <v>1215</v>
      </c>
      <c r="C201" s="54" t="str">
        <f>VLOOKUP(A201,RecNamesAll!A:C,3,FALSE)</f>
        <v>GAL2</v>
      </c>
      <c r="D201" s="60">
        <v>244</v>
      </c>
      <c r="E201" s="54" t="s">
        <v>123</v>
      </c>
      <c r="F201" s="54" t="s">
        <v>3831</v>
      </c>
      <c r="G201" s="54" t="s">
        <v>3428</v>
      </c>
      <c r="H201" s="54" t="s">
        <v>3403</v>
      </c>
      <c r="I201" s="54" t="s">
        <v>3827</v>
      </c>
      <c r="J201" s="54" t="s">
        <v>2759</v>
      </c>
      <c r="K201" s="54" t="s">
        <v>3114</v>
      </c>
      <c r="L201" s="54" t="s">
        <v>3320</v>
      </c>
      <c r="M201" s="54" t="s">
        <v>3515</v>
      </c>
      <c r="N201" s="54" t="s">
        <v>3830</v>
      </c>
      <c r="O201" s="54" t="s">
        <v>3829</v>
      </c>
      <c r="P201" s="59">
        <v>0.29166666666666669</v>
      </c>
      <c r="Q201" s="57" t="str">
        <f t="shared" si="43"/>
        <v/>
      </c>
      <c r="R201" s="56" t="str">
        <f t="shared" si="44"/>
        <v>Gi/o</v>
      </c>
      <c r="S201" s="56" t="str">
        <f t="shared" si="45"/>
        <v>Gq/11</v>
      </c>
      <c r="T201" s="56" t="str">
        <f t="shared" si="46"/>
        <v>G12/13</v>
      </c>
      <c r="U201" s="57">
        <f t="shared" si="47"/>
        <v>0</v>
      </c>
      <c r="V201" s="57">
        <f t="shared" si="48"/>
        <v>2</v>
      </c>
      <c r="W201" s="57">
        <f t="shared" si="49"/>
        <v>1</v>
      </c>
      <c r="X201" s="57">
        <f t="shared" si="50"/>
        <v>2</v>
      </c>
      <c r="Y201" s="57" t="str">
        <f t="shared" si="53"/>
        <v>nc</v>
      </c>
      <c r="Z201" s="56" t="str">
        <f t="shared" si="54"/>
        <v>c</v>
      </c>
      <c r="AA201" s="56" t="str">
        <f t="shared" si="55"/>
        <v>c</v>
      </c>
      <c r="AB201" s="56" t="str">
        <f t="shared" si="56"/>
        <v>c</v>
      </c>
      <c r="AC201" s="56">
        <f t="shared" si="51"/>
        <v>1</v>
      </c>
      <c r="AD201" s="54">
        <f t="shared" si="52"/>
        <v>1</v>
      </c>
    </row>
    <row r="202" spans="1:30">
      <c r="A202" s="54" t="s">
        <v>124</v>
      </c>
      <c r="B202" s="54" t="s">
        <v>1217</v>
      </c>
      <c r="C202" s="54" t="str">
        <f>VLOOKUP(A202,RecNamesAll!A:C,3,FALSE)</f>
        <v>GAL3</v>
      </c>
      <c r="D202" s="60">
        <v>245</v>
      </c>
      <c r="E202" s="54" t="s">
        <v>124</v>
      </c>
      <c r="F202" s="54" t="s">
        <v>3828</v>
      </c>
      <c r="G202" s="54" t="s">
        <v>3428</v>
      </c>
      <c r="H202" s="54" t="s">
        <v>3403</v>
      </c>
      <c r="I202" s="54" t="s">
        <v>3827</v>
      </c>
      <c r="J202" s="54" t="s">
        <v>2760</v>
      </c>
      <c r="L202" s="54" t="s">
        <v>3346</v>
      </c>
      <c r="N202" s="54" t="s">
        <v>3826</v>
      </c>
      <c r="P202" s="59">
        <v>8.3333333333333329E-2</v>
      </c>
      <c r="Q202" s="57" t="str">
        <f t="shared" si="43"/>
        <v/>
      </c>
      <c r="R202" s="56" t="str">
        <f t="shared" si="44"/>
        <v>Gi/o</v>
      </c>
      <c r="S202" s="56" t="str">
        <f t="shared" si="45"/>
        <v/>
      </c>
      <c r="T202" s="56" t="str">
        <f t="shared" si="46"/>
        <v/>
      </c>
      <c r="U202" s="57">
        <f t="shared" si="47"/>
        <v>0</v>
      </c>
      <c r="V202" s="57">
        <f t="shared" si="48"/>
        <v>1</v>
      </c>
      <c r="W202" s="57">
        <f t="shared" si="49"/>
        <v>0</v>
      </c>
      <c r="X202" s="57">
        <f t="shared" si="50"/>
        <v>0</v>
      </c>
      <c r="Y202" s="57" t="str">
        <f t="shared" si="53"/>
        <v>nc</v>
      </c>
      <c r="Z202" s="56" t="str">
        <f t="shared" si="54"/>
        <v>c</v>
      </c>
      <c r="AA202" s="56" t="str">
        <f t="shared" si="55"/>
        <v>nc</v>
      </c>
      <c r="AB202" s="56" t="str">
        <f t="shared" si="56"/>
        <v>nc</v>
      </c>
      <c r="AC202" s="56">
        <f t="shared" si="51"/>
        <v>3</v>
      </c>
      <c r="AD202" s="54">
        <f t="shared" si="52"/>
        <v>1</v>
      </c>
    </row>
    <row r="203" spans="1:30">
      <c r="A203" s="54" t="s">
        <v>125</v>
      </c>
      <c r="B203" s="54" t="s">
        <v>300</v>
      </c>
      <c r="C203" s="54" t="str">
        <f>VLOOKUP(A203,RecNamesAll!A:C,3,FALSE)</f>
        <v>Ghrelin</v>
      </c>
      <c r="D203" s="60">
        <v>246</v>
      </c>
      <c r="E203" s="54" t="s">
        <v>125</v>
      </c>
      <c r="G203" s="54" t="s">
        <v>3428</v>
      </c>
      <c r="H203" s="54" t="s">
        <v>3403</v>
      </c>
      <c r="I203" s="54" t="s">
        <v>3825</v>
      </c>
      <c r="J203" s="54" t="s">
        <v>2759</v>
      </c>
      <c r="K203" s="54" t="s">
        <v>3824</v>
      </c>
      <c r="L203" s="54" t="s">
        <v>3320</v>
      </c>
      <c r="M203" s="54" t="s">
        <v>3298</v>
      </c>
      <c r="N203" s="54" t="s">
        <v>3823</v>
      </c>
      <c r="O203" s="54" t="s">
        <v>3822</v>
      </c>
      <c r="P203" s="59">
        <v>8.3333333333333329E-2</v>
      </c>
      <c r="Q203" s="57" t="str">
        <f t="shared" si="43"/>
        <v/>
      </c>
      <c r="R203" s="56" t="str">
        <f t="shared" si="44"/>
        <v>Gi/o</v>
      </c>
      <c r="S203" s="56" t="str">
        <f t="shared" si="45"/>
        <v>Gq/11</v>
      </c>
      <c r="T203" s="56" t="str">
        <f t="shared" si="46"/>
        <v>G12/13</v>
      </c>
      <c r="U203" s="57">
        <f t="shared" si="47"/>
        <v>0</v>
      </c>
      <c r="V203" s="57">
        <f t="shared" si="48"/>
        <v>2</v>
      </c>
      <c r="W203" s="57">
        <f t="shared" si="49"/>
        <v>1</v>
      </c>
      <c r="X203" s="57">
        <f t="shared" si="50"/>
        <v>2</v>
      </c>
      <c r="Y203" s="57" t="str">
        <f t="shared" si="53"/>
        <v>nc</v>
      </c>
      <c r="Z203" s="56" t="str">
        <f t="shared" si="54"/>
        <v>c</v>
      </c>
      <c r="AA203" s="56" t="str">
        <f t="shared" si="55"/>
        <v>c</v>
      </c>
      <c r="AB203" s="56" t="str">
        <f t="shared" si="56"/>
        <v>c</v>
      </c>
      <c r="AC203" s="56">
        <f t="shared" si="51"/>
        <v>1</v>
      </c>
      <c r="AD203" s="54">
        <f t="shared" si="52"/>
        <v>1</v>
      </c>
    </row>
    <row r="204" spans="1:30">
      <c r="A204" s="54" t="s">
        <v>131</v>
      </c>
      <c r="B204" s="54" t="s">
        <v>305</v>
      </c>
      <c r="C204" s="54" t="str">
        <f>VLOOKUP(A204,RecNamesAll!A:C,3,FALSE)</f>
        <v>GnRH1</v>
      </c>
      <c r="D204" s="60">
        <v>256</v>
      </c>
      <c r="E204" s="54" t="s">
        <v>131</v>
      </c>
      <c r="F204" s="54" t="s">
        <v>3821</v>
      </c>
      <c r="G204" s="54" t="s">
        <v>3428</v>
      </c>
      <c r="H204" s="54" t="s">
        <v>3403</v>
      </c>
      <c r="I204" s="54" t="s">
        <v>3820</v>
      </c>
      <c r="J204" s="54" t="s">
        <v>2759</v>
      </c>
      <c r="K204" s="54" t="s">
        <v>2760</v>
      </c>
      <c r="L204" s="54" t="s">
        <v>3320</v>
      </c>
      <c r="M204" s="54" t="s">
        <v>3298</v>
      </c>
      <c r="N204" s="54" t="s">
        <v>3819</v>
      </c>
      <c r="O204" s="54">
        <v>15082521</v>
      </c>
      <c r="P204" s="59">
        <v>8.3333333333333329E-2</v>
      </c>
      <c r="Q204" s="57" t="str">
        <f t="shared" si="43"/>
        <v/>
      </c>
      <c r="R204" s="56" t="str">
        <f t="shared" si="44"/>
        <v>Gi/o</v>
      </c>
      <c r="S204" s="56" t="str">
        <f t="shared" si="45"/>
        <v>Gq/11</v>
      </c>
      <c r="T204" s="56" t="str">
        <f t="shared" si="46"/>
        <v/>
      </c>
      <c r="U204" s="57">
        <f t="shared" si="47"/>
        <v>0</v>
      </c>
      <c r="V204" s="57">
        <f t="shared" si="48"/>
        <v>2</v>
      </c>
      <c r="W204" s="57">
        <f t="shared" si="49"/>
        <v>1</v>
      </c>
      <c r="X204" s="57">
        <f t="shared" si="50"/>
        <v>0</v>
      </c>
      <c r="Y204" s="57" t="str">
        <f t="shared" si="53"/>
        <v>nc</v>
      </c>
      <c r="Z204" s="56" t="str">
        <f t="shared" si="54"/>
        <v>c</v>
      </c>
      <c r="AA204" s="56" t="str">
        <f t="shared" si="55"/>
        <v>c</v>
      </c>
      <c r="AB204" s="56" t="str">
        <f t="shared" si="56"/>
        <v>nc</v>
      </c>
      <c r="AC204" s="56">
        <f t="shared" si="51"/>
        <v>2</v>
      </c>
      <c r="AD204" s="54">
        <f t="shared" si="52"/>
        <v>1</v>
      </c>
    </row>
    <row r="205" spans="1:30">
      <c r="A205" s="54" t="s">
        <v>142</v>
      </c>
      <c r="B205" s="54" t="s">
        <v>1608</v>
      </c>
      <c r="C205" s="54" t="str">
        <f>VLOOKUP(A205,RecNamesAll!A:C,3,FALSE)</f>
        <v>Kisspeptin</v>
      </c>
      <c r="D205" s="60">
        <v>266</v>
      </c>
      <c r="E205" s="54" t="s">
        <v>2998</v>
      </c>
      <c r="F205" s="54" t="s">
        <v>3818</v>
      </c>
      <c r="G205" s="54" t="s">
        <v>3428</v>
      </c>
      <c r="H205" s="54" t="s">
        <v>3403</v>
      </c>
      <c r="I205" s="54" t="s">
        <v>3817</v>
      </c>
      <c r="J205" s="54" t="s">
        <v>2759</v>
      </c>
      <c r="L205" s="54" t="s">
        <v>3320</v>
      </c>
      <c r="N205" s="54" t="s">
        <v>3816</v>
      </c>
      <c r="P205" s="59">
        <v>0.16666666666666666</v>
      </c>
      <c r="Q205" s="57" t="str">
        <f t="shared" si="43"/>
        <v/>
      </c>
      <c r="R205" s="56" t="str">
        <f t="shared" si="44"/>
        <v/>
      </c>
      <c r="S205" s="56" t="str">
        <f t="shared" si="45"/>
        <v>Gq/11</v>
      </c>
      <c r="T205" s="56" t="str">
        <f t="shared" si="46"/>
        <v/>
      </c>
      <c r="U205" s="57">
        <f t="shared" si="47"/>
        <v>0</v>
      </c>
      <c r="V205" s="57">
        <f t="shared" si="48"/>
        <v>0</v>
      </c>
      <c r="W205" s="57">
        <f t="shared" si="49"/>
        <v>1</v>
      </c>
      <c r="X205" s="57">
        <f t="shared" si="50"/>
        <v>0</v>
      </c>
      <c r="Y205" s="57" t="str">
        <f t="shared" si="53"/>
        <v>nc</v>
      </c>
      <c r="Z205" s="56" t="str">
        <f t="shared" si="54"/>
        <v>nc</v>
      </c>
      <c r="AA205" s="56" t="str">
        <f t="shared" si="55"/>
        <v>c</v>
      </c>
      <c r="AB205" s="56" t="str">
        <f t="shared" si="56"/>
        <v>nc</v>
      </c>
      <c r="AC205" s="56">
        <f t="shared" si="51"/>
        <v>3</v>
      </c>
      <c r="AD205" s="54">
        <f t="shared" si="52"/>
        <v>1</v>
      </c>
    </row>
    <row r="206" spans="1:30">
      <c r="A206" s="54" t="s">
        <v>158</v>
      </c>
      <c r="B206" s="54" t="s">
        <v>1716</v>
      </c>
      <c r="C206" s="54" t="str">
        <f>VLOOKUP(A206,RecNamesAll!A:C,3,FALSE)</f>
        <v>MCH1</v>
      </c>
      <c r="D206" s="60">
        <v>280</v>
      </c>
      <c r="E206" s="54" t="s">
        <v>158</v>
      </c>
      <c r="F206" s="54" t="s">
        <v>3815</v>
      </c>
      <c r="G206" s="54" t="s">
        <v>3428</v>
      </c>
      <c r="H206" s="54" t="s">
        <v>3403</v>
      </c>
      <c r="I206" s="54" t="s">
        <v>3812</v>
      </c>
      <c r="J206" s="54" t="s">
        <v>3665</v>
      </c>
      <c r="L206" s="54" t="s">
        <v>3438</v>
      </c>
      <c r="N206" s="54" t="s">
        <v>3814</v>
      </c>
      <c r="P206" s="59">
        <v>0.16666666666666666</v>
      </c>
      <c r="Q206" s="57" t="str">
        <f t="shared" si="43"/>
        <v>Gs</v>
      </c>
      <c r="R206" s="56" t="str">
        <f t="shared" si="44"/>
        <v>Gi/o</v>
      </c>
      <c r="S206" s="56" t="str">
        <f t="shared" si="45"/>
        <v>Gq/11</v>
      </c>
      <c r="T206" s="56" t="str">
        <f t="shared" si="46"/>
        <v/>
      </c>
      <c r="U206" s="57">
        <f t="shared" si="47"/>
        <v>1</v>
      </c>
      <c r="V206" s="57">
        <f t="shared" si="48"/>
        <v>1</v>
      </c>
      <c r="W206" s="57">
        <f t="shared" si="49"/>
        <v>1</v>
      </c>
      <c r="X206" s="57">
        <f t="shared" si="50"/>
        <v>0</v>
      </c>
      <c r="Y206" s="57" t="str">
        <f t="shared" si="53"/>
        <v>c</v>
      </c>
      <c r="Z206" s="56" t="str">
        <f t="shared" si="54"/>
        <v>c</v>
      </c>
      <c r="AA206" s="56" t="str">
        <f t="shared" si="55"/>
        <v>c</v>
      </c>
      <c r="AB206" s="56" t="str">
        <f t="shared" si="56"/>
        <v>nc</v>
      </c>
      <c r="AC206" s="56">
        <f t="shared" si="51"/>
        <v>1</v>
      </c>
      <c r="AD206" s="54">
        <f t="shared" si="52"/>
        <v>1</v>
      </c>
    </row>
    <row r="207" spans="1:30">
      <c r="A207" s="54" t="s">
        <v>159</v>
      </c>
      <c r="B207" s="54" t="s">
        <v>1721</v>
      </c>
      <c r="C207" s="54" t="str">
        <f>VLOOKUP(A207,RecNamesAll!A:C,3,FALSE)</f>
        <v>MCH2</v>
      </c>
      <c r="D207" s="60">
        <v>281</v>
      </c>
      <c r="E207" s="54" t="s">
        <v>159</v>
      </c>
      <c r="F207" s="54" t="s">
        <v>3813</v>
      </c>
      <c r="G207" s="54" t="s">
        <v>3428</v>
      </c>
      <c r="H207" s="54" t="s">
        <v>3403</v>
      </c>
      <c r="I207" s="54" t="s">
        <v>3812</v>
      </c>
      <c r="J207" s="54" t="s">
        <v>2759</v>
      </c>
      <c r="L207" s="54" t="s">
        <v>3438</v>
      </c>
      <c r="N207" s="54">
        <v>11404457</v>
      </c>
      <c r="P207" s="59">
        <v>4.1666666666666664E-2</v>
      </c>
      <c r="Q207" s="57" t="str">
        <f t="shared" si="43"/>
        <v/>
      </c>
      <c r="R207" s="56" t="str">
        <f t="shared" si="44"/>
        <v/>
      </c>
      <c r="S207" s="56" t="str">
        <f t="shared" si="45"/>
        <v>Gq/11</v>
      </c>
      <c r="T207" s="56" t="str">
        <f t="shared" si="46"/>
        <v/>
      </c>
      <c r="U207" s="57">
        <f t="shared" si="47"/>
        <v>0</v>
      </c>
      <c r="V207" s="57">
        <f t="shared" si="48"/>
        <v>0</v>
      </c>
      <c r="W207" s="57">
        <f t="shared" si="49"/>
        <v>1</v>
      </c>
      <c r="X207" s="57">
        <f t="shared" si="50"/>
        <v>0</v>
      </c>
      <c r="Y207" s="57" t="str">
        <f t="shared" si="53"/>
        <v>nc</v>
      </c>
      <c r="Z207" s="56" t="str">
        <f t="shared" si="54"/>
        <v>nc</v>
      </c>
      <c r="AA207" s="56" t="str">
        <f t="shared" si="55"/>
        <v>c</v>
      </c>
      <c r="AB207" s="56" t="str">
        <f t="shared" si="56"/>
        <v>nc</v>
      </c>
      <c r="AC207" s="56">
        <f t="shared" si="51"/>
        <v>3</v>
      </c>
      <c r="AD207" s="54">
        <f t="shared" si="52"/>
        <v>1</v>
      </c>
    </row>
    <row r="208" spans="1:30">
      <c r="A208" s="54" t="s">
        <v>163</v>
      </c>
      <c r="B208" s="54" t="s">
        <v>1739</v>
      </c>
      <c r="C208" s="54" t="str">
        <f>VLOOKUP(A208,RecNamesAll!A:C,3,FALSE)</f>
        <v>MC1</v>
      </c>
      <c r="D208" s="60">
        <v>282</v>
      </c>
      <c r="E208" s="54" t="s">
        <v>3075</v>
      </c>
      <c r="F208" s="54" t="s">
        <v>163</v>
      </c>
      <c r="G208" s="54" t="s">
        <v>3428</v>
      </c>
      <c r="H208" s="54" t="s">
        <v>3403</v>
      </c>
      <c r="I208" s="54" t="s">
        <v>3807</v>
      </c>
      <c r="J208" s="54" t="s">
        <v>2761</v>
      </c>
      <c r="K208" s="54" t="s">
        <v>3396</v>
      </c>
      <c r="L208" s="54" t="s">
        <v>3369</v>
      </c>
      <c r="M208" s="54" t="s">
        <v>3298</v>
      </c>
      <c r="N208" s="54">
        <v>8187950</v>
      </c>
      <c r="O208" s="54">
        <v>11161002</v>
      </c>
      <c r="P208" s="59">
        <v>4.1666666666666664E-2</v>
      </c>
      <c r="Q208" s="57" t="str">
        <f t="shared" si="43"/>
        <v>Gs</v>
      </c>
      <c r="R208" s="56" t="str">
        <f t="shared" si="44"/>
        <v/>
      </c>
      <c r="S208" s="56" t="str">
        <f t="shared" si="45"/>
        <v/>
      </c>
      <c r="T208" s="56" t="str">
        <f t="shared" si="46"/>
        <v/>
      </c>
      <c r="U208" s="57">
        <f t="shared" si="47"/>
        <v>1</v>
      </c>
      <c r="V208" s="57">
        <f t="shared" si="48"/>
        <v>0</v>
      </c>
      <c r="W208" s="57">
        <f t="shared" si="49"/>
        <v>0</v>
      </c>
      <c r="X208" s="57">
        <f t="shared" si="50"/>
        <v>0</v>
      </c>
      <c r="Y208" s="57" t="str">
        <f t="shared" si="53"/>
        <v>c</v>
      </c>
      <c r="Z208" s="56" t="str">
        <f t="shared" si="54"/>
        <v>nc</v>
      </c>
      <c r="AA208" s="56" t="str">
        <f t="shared" si="55"/>
        <v>nc</v>
      </c>
      <c r="AB208" s="56" t="str">
        <f t="shared" si="56"/>
        <v>nc</v>
      </c>
      <c r="AC208" s="56">
        <f t="shared" si="51"/>
        <v>3</v>
      </c>
      <c r="AD208" s="54">
        <f t="shared" si="52"/>
        <v>1</v>
      </c>
    </row>
    <row r="209" spans="1:30">
      <c r="A209" s="54" t="s">
        <v>3810</v>
      </c>
      <c r="B209" s="54" t="s">
        <v>667</v>
      </c>
      <c r="C209" s="54" t="str">
        <f>VLOOKUP(A209,RecNamesAll!A:C,3,FALSE)</f>
        <v>MC2</v>
      </c>
      <c r="D209" s="60">
        <v>283</v>
      </c>
      <c r="E209" s="54" t="s">
        <v>3811</v>
      </c>
      <c r="F209" s="54" t="s">
        <v>3810</v>
      </c>
      <c r="G209" s="54" t="s">
        <v>3428</v>
      </c>
      <c r="H209" s="54" t="s">
        <v>3403</v>
      </c>
      <c r="I209" s="54" t="s">
        <v>3807</v>
      </c>
      <c r="J209" s="54" t="s">
        <v>2761</v>
      </c>
      <c r="K209" s="54" t="s">
        <v>3396</v>
      </c>
      <c r="L209" s="54" t="s">
        <v>3369</v>
      </c>
      <c r="M209" s="54" t="s">
        <v>3668</v>
      </c>
      <c r="N209" s="54">
        <v>9175632</v>
      </c>
      <c r="O209" s="54">
        <v>2579947</v>
      </c>
      <c r="P209" s="59">
        <v>4.1666666666666664E-2</v>
      </c>
      <c r="Q209" s="57" t="str">
        <f t="shared" si="43"/>
        <v>Gs</v>
      </c>
      <c r="R209" s="56" t="str">
        <f t="shared" si="44"/>
        <v/>
      </c>
      <c r="S209" s="56" t="str">
        <f t="shared" si="45"/>
        <v/>
      </c>
      <c r="T209" s="56" t="str">
        <f t="shared" si="46"/>
        <v/>
      </c>
      <c r="U209" s="57">
        <f t="shared" si="47"/>
        <v>1</v>
      </c>
      <c r="V209" s="57">
        <f t="shared" si="48"/>
        <v>0</v>
      </c>
      <c r="W209" s="57">
        <f t="shared" si="49"/>
        <v>0</v>
      </c>
      <c r="X209" s="57">
        <f t="shared" si="50"/>
        <v>0</v>
      </c>
      <c r="Y209" s="57" t="str">
        <f t="shared" si="53"/>
        <v>c</v>
      </c>
      <c r="Z209" s="56" t="str">
        <f t="shared" si="54"/>
        <v>nc</v>
      </c>
      <c r="AA209" s="56" t="str">
        <f t="shared" si="55"/>
        <v>nc</v>
      </c>
      <c r="AB209" s="56" t="str">
        <f t="shared" si="56"/>
        <v>nc</v>
      </c>
      <c r="AC209" s="56">
        <f t="shared" si="51"/>
        <v>3</v>
      </c>
      <c r="AD209" s="54">
        <f t="shared" si="52"/>
        <v>1</v>
      </c>
    </row>
    <row r="210" spans="1:30">
      <c r="A210" s="54" t="s">
        <v>160</v>
      </c>
      <c r="B210" s="54" t="s">
        <v>317</v>
      </c>
      <c r="C210" s="54" t="str">
        <f>VLOOKUP(A210,RecNamesAll!A:C,3,FALSE)</f>
        <v>MC3</v>
      </c>
      <c r="D210" s="60">
        <v>284</v>
      </c>
      <c r="E210" s="54" t="s">
        <v>160</v>
      </c>
      <c r="G210" s="54" t="s">
        <v>3428</v>
      </c>
      <c r="H210" s="54" t="s">
        <v>3403</v>
      </c>
      <c r="I210" s="54" t="s">
        <v>3807</v>
      </c>
      <c r="J210" s="54" t="s">
        <v>2761</v>
      </c>
      <c r="K210" s="54" t="s">
        <v>3396</v>
      </c>
      <c r="L210" s="54" t="s">
        <v>3369</v>
      </c>
      <c r="M210" s="54" t="s">
        <v>3298</v>
      </c>
      <c r="N210" s="54">
        <v>8463333</v>
      </c>
      <c r="O210" s="54" t="s">
        <v>3809</v>
      </c>
      <c r="P210" s="59">
        <v>4.1666666666666664E-2</v>
      </c>
      <c r="Q210" s="57" t="str">
        <f t="shared" si="43"/>
        <v>Gs</v>
      </c>
      <c r="R210" s="56" t="str">
        <f t="shared" si="44"/>
        <v/>
      </c>
      <c r="S210" s="56" t="str">
        <f t="shared" si="45"/>
        <v/>
      </c>
      <c r="T210" s="56" t="str">
        <f t="shared" si="46"/>
        <v/>
      </c>
      <c r="U210" s="57">
        <f t="shared" si="47"/>
        <v>1</v>
      </c>
      <c r="V210" s="57">
        <f t="shared" si="48"/>
        <v>0</v>
      </c>
      <c r="W210" s="57">
        <f t="shared" si="49"/>
        <v>0</v>
      </c>
      <c r="X210" s="57">
        <f t="shared" si="50"/>
        <v>0</v>
      </c>
      <c r="Y210" s="57" t="str">
        <f t="shared" si="53"/>
        <v>c</v>
      </c>
      <c r="Z210" s="56" t="str">
        <f t="shared" si="54"/>
        <v>nc</v>
      </c>
      <c r="AA210" s="56" t="str">
        <f t="shared" si="55"/>
        <v>nc</v>
      </c>
      <c r="AB210" s="56" t="str">
        <f t="shared" si="56"/>
        <v>nc</v>
      </c>
      <c r="AC210" s="56">
        <f t="shared" si="51"/>
        <v>3</v>
      </c>
      <c r="AD210" s="54">
        <f t="shared" si="52"/>
        <v>1</v>
      </c>
    </row>
    <row r="211" spans="1:30">
      <c r="A211" s="54" t="s">
        <v>161</v>
      </c>
      <c r="B211" s="54" t="s">
        <v>318</v>
      </c>
      <c r="C211" s="54" t="str">
        <f>VLOOKUP(A211,RecNamesAll!A:C,3,FALSE)</f>
        <v>MC4</v>
      </c>
      <c r="D211" s="60">
        <v>285</v>
      </c>
      <c r="E211" s="54" t="s">
        <v>161</v>
      </c>
      <c r="G211" s="54" t="s">
        <v>3428</v>
      </c>
      <c r="H211" s="54" t="s">
        <v>3403</v>
      </c>
      <c r="I211" s="54" t="s">
        <v>3807</v>
      </c>
      <c r="J211" s="54" t="s">
        <v>2761</v>
      </c>
      <c r="K211" s="54" t="s">
        <v>3396</v>
      </c>
      <c r="L211" s="54" t="s">
        <v>3369</v>
      </c>
      <c r="M211" s="54" t="s">
        <v>3298</v>
      </c>
      <c r="N211" s="54" t="s">
        <v>3808</v>
      </c>
      <c r="O211" s="54">
        <v>11161002</v>
      </c>
      <c r="P211" s="59">
        <v>8.3333333333333329E-2</v>
      </c>
      <c r="Q211" s="57" t="str">
        <f t="shared" si="43"/>
        <v>Gs</v>
      </c>
      <c r="R211" s="56" t="str">
        <f t="shared" si="44"/>
        <v/>
      </c>
      <c r="S211" s="56" t="str">
        <f t="shared" si="45"/>
        <v/>
      </c>
      <c r="T211" s="56" t="str">
        <f t="shared" si="46"/>
        <v/>
      </c>
      <c r="U211" s="57">
        <f t="shared" si="47"/>
        <v>1</v>
      </c>
      <c r="V211" s="57">
        <f t="shared" si="48"/>
        <v>0</v>
      </c>
      <c r="W211" s="57">
        <f t="shared" si="49"/>
        <v>0</v>
      </c>
      <c r="X211" s="57">
        <f t="shared" si="50"/>
        <v>0</v>
      </c>
      <c r="Y211" s="57" t="str">
        <f t="shared" si="53"/>
        <v>c</v>
      </c>
      <c r="Z211" s="56" t="str">
        <f t="shared" si="54"/>
        <v>nc</v>
      </c>
      <c r="AA211" s="56" t="str">
        <f t="shared" si="55"/>
        <v>nc</v>
      </c>
      <c r="AB211" s="56" t="str">
        <f t="shared" si="56"/>
        <v>nc</v>
      </c>
      <c r="AC211" s="56">
        <f t="shared" si="51"/>
        <v>3</v>
      </c>
      <c r="AD211" s="54">
        <f t="shared" si="52"/>
        <v>1</v>
      </c>
    </row>
    <row r="212" spans="1:30">
      <c r="A212" s="54" t="s">
        <v>162</v>
      </c>
      <c r="B212" s="54" t="s">
        <v>1714</v>
      </c>
      <c r="C212" s="54" t="str">
        <f>VLOOKUP(A212,RecNamesAll!A:C,3,FALSE)</f>
        <v>MC5</v>
      </c>
      <c r="D212" s="60">
        <v>286</v>
      </c>
      <c r="E212" s="54" t="s">
        <v>162</v>
      </c>
      <c r="G212" s="54" t="s">
        <v>3428</v>
      </c>
      <c r="H212" s="54" t="s">
        <v>3403</v>
      </c>
      <c r="I212" s="54" t="s">
        <v>3807</v>
      </c>
      <c r="J212" s="54" t="s">
        <v>2761</v>
      </c>
      <c r="K212" s="54" t="s">
        <v>3396</v>
      </c>
      <c r="L212" s="54" t="s">
        <v>3369</v>
      </c>
      <c r="M212" s="54" t="s">
        <v>3298</v>
      </c>
      <c r="N212" s="54">
        <v>8161509</v>
      </c>
      <c r="O212" s="54">
        <v>11161002</v>
      </c>
      <c r="P212" s="59">
        <v>4.1666666666666664E-2</v>
      </c>
      <c r="Q212" s="57" t="str">
        <f t="shared" si="43"/>
        <v>Gs</v>
      </c>
      <c r="R212" s="56" t="str">
        <f t="shared" si="44"/>
        <v/>
      </c>
      <c r="S212" s="56" t="str">
        <f t="shared" si="45"/>
        <v/>
      </c>
      <c r="T212" s="56" t="str">
        <f t="shared" si="46"/>
        <v/>
      </c>
      <c r="U212" s="57">
        <f t="shared" si="47"/>
        <v>1</v>
      </c>
      <c r="V212" s="57">
        <f t="shared" si="48"/>
        <v>0</v>
      </c>
      <c r="W212" s="57">
        <f t="shared" si="49"/>
        <v>0</v>
      </c>
      <c r="X212" s="57">
        <f t="shared" si="50"/>
        <v>0</v>
      </c>
      <c r="Y212" s="57" t="str">
        <f t="shared" si="53"/>
        <v>c</v>
      </c>
      <c r="Z212" s="56" t="str">
        <f t="shared" si="54"/>
        <v>nc</v>
      </c>
      <c r="AA212" s="56" t="str">
        <f t="shared" si="55"/>
        <v>nc</v>
      </c>
      <c r="AB212" s="56" t="str">
        <f t="shared" si="56"/>
        <v>nc</v>
      </c>
      <c r="AC212" s="56">
        <f t="shared" si="51"/>
        <v>3</v>
      </c>
      <c r="AD212" s="54">
        <f t="shared" si="52"/>
        <v>1</v>
      </c>
    </row>
    <row r="213" spans="1:30">
      <c r="A213" s="54" t="s">
        <v>171</v>
      </c>
      <c r="B213" s="54" t="s">
        <v>1741</v>
      </c>
      <c r="C213" s="54" t="str">
        <f>VLOOKUP(A213,RecNamesAll!A:C,3,FALSE)</f>
        <v>motilin</v>
      </c>
      <c r="D213" s="60">
        <v>297</v>
      </c>
      <c r="E213" s="54" t="s">
        <v>3806</v>
      </c>
      <c r="F213" s="54" t="s">
        <v>3805</v>
      </c>
      <c r="G213" s="54" t="s">
        <v>3428</v>
      </c>
      <c r="H213" s="54" t="s">
        <v>3403</v>
      </c>
      <c r="I213" s="54" t="s">
        <v>3804</v>
      </c>
      <c r="J213" s="54" t="s">
        <v>3375</v>
      </c>
      <c r="L213" s="54" t="s">
        <v>3320</v>
      </c>
      <c r="Q213" s="57" t="str">
        <f t="shared" si="43"/>
        <v/>
      </c>
      <c r="R213" s="56" t="str">
        <f t="shared" si="44"/>
        <v/>
      </c>
      <c r="S213" s="56" t="str">
        <f t="shared" si="45"/>
        <v>Gq/11</v>
      </c>
      <c r="T213" s="56" t="str">
        <f t="shared" si="46"/>
        <v>G12/13</v>
      </c>
      <c r="U213" s="57">
        <f t="shared" si="47"/>
        <v>0</v>
      </c>
      <c r="V213" s="57">
        <f t="shared" si="48"/>
        <v>0</v>
      </c>
      <c r="W213" s="57">
        <f t="shared" si="49"/>
        <v>1</v>
      </c>
      <c r="X213" s="57">
        <f t="shared" si="50"/>
        <v>1</v>
      </c>
      <c r="Y213" s="57" t="str">
        <f t="shared" si="53"/>
        <v>nc</v>
      </c>
      <c r="Z213" s="56" t="str">
        <f t="shared" si="54"/>
        <v>nc</v>
      </c>
      <c r="AA213" s="56" t="str">
        <f t="shared" si="55"/>
        <v>c</v>
      </c>
      <c r="AB213" s="56" t="str">
        <f t="shared" si="56"/>
        <v>c</v>
      </c>
      <c r="AC213" s="56">
        <f t="shared" si="51"/>
        <v>2</v>
      </c>
      <c r="AD213" s="54">
        <f t="shared" si="52"/>
        <v>1</v>
      </c>
    </row>
    <row r="214" spans="1:30">
      <c r="A214" s="54" t="s">
        <v>172</v>
      </c>
      <c r="B214" s="54" t="s">
        <v>1780</v>
      </c>
      <c r="C214" s="54" t="str">
        <f>VLOOKUP(A214,RecNamesAll!A:C,3,FALSE)</f>
        <v>NMU1</v>
      </c>
      <c r="D214" s="60">
        <v>298</v>
      </c>
      <c r="E214" s="54" t="s">
        <v>172</v>
      </c>
      <c r="F214" s="54" t="s">
        <v>3803</v>
      </c>
      <c r="G214" s="54" t="s">
        <v>3428</v>
      </c>
      <c r="H214" s="54" t="s">
        <v>3403</v>
      </c>
      <c r="I214" s="54" t="s">
        <v>3800</v>
      </c>
      <c r="J214" s="54" t="s">
        <v>2759</v>
      </c>
      <c r="L214" s="54" t="s">
        <v>3320</v>
      </c>
      <c r="N214" s="54" t="s">
        <v>3802</v>
      </c>
      <c r="P214" s="59">
        <v>0.25</v>
      </c>
      <c r="Q214" s="57" t="str">
        <f t="shared" si="43"/>
        <v/>
      </c>
      <c r="R214" s="56" t="str">
        <f t="shared" si="44"/>
        <v/>
      </c>
      <c r="S214" s="56" t="str">
        <f t="shared" si="45"/>
        <v>Gq/11</v>
      </c>
      <c r="T214" s="56" t="str">
        <f t="shared" si="46"/>
        <v/>
      </c>
      <c r="U214" s="57">
        <f t="shared" si="47"/>
        <v>0</v>
      </c>
      <c r="V214" s="57">
        <f t="shared" si="48"/>
        <v>0</v>
      </c>
      <c r="W214" s="57">
        <f t="shared" si="49"/>
        <v>1</v>
      </c>
      <c r="X214" s="57">
        <f t="shared" si="50"/>
        <v>0</v>
      </c>
      <c r="Y214" s="57" t="str">
        <f t="shared" si="53"/>
        <v>nc</v>
      </c>
      <c r="Z214" s="56" t="str">
        <f t="shared" si="54"/>
        <v>nc</v>
      </c>
      <c r="AA214" s="56" t="str">
        <f t="shared" si="55"/>
        <v>c</v>
      </c>
      <c r="AB214" s="56" t="str">
        <f t="shared" si="56"/>
        <v>nc</v>
      </c>
      <c r="AC214" s="56">
        <f t="shared" si="51"/>
        <v>3</v>
      </c>
      <c r="AD214" s="54">
        <f t="shared" si="52"/>
        <v>1</v>
      </c>
    </row>
    <row r="215" spans="1:30">
      <c r="A215" s="54" t="s">
        <v>173</v>
      </c>
      <c r="B215" s="54" t="s">
        <v>1788</v>
      </c>
      <c r="C215" s="54" t="str">
        <f>VLOOKUP(A215,RecNamesAll!A:C,3,FALSE)</f>
        <v>NMU2</v>
      </c>
      <c r="D215" s="60">
        <v>299</v>
      </c>
      <c r="E215" s="54" t="s">
        <v>173</v>
      </c>
      <c r="F215" s="54" t="s">
        <v>3801</v>
      </c>
      <c r="G215" s="54" t="s">
        <v>3428</v>
      </c>
      <c r="H215" s="54" t="s">
        <v>3403</v>
      </c>
      <c r="I215" s="54" t="s">
        <v>3800</v>
      </c>
      <c r="J215" s="54" t="s">
        <v>2759</v>
      </c>
      <c r="L215" s="54" t="s">
        <v>3320</v>
      </c>
      <c r="N215" s="54" t="s">
        <v>3799</v>
      </c>
      <c r="P215" s="59">
        <v>0.29166666666666669</v>
      </c>
      <c r="Q215" s="57" t="str">
        <f t="shared" si="43"/>
        <v/>
      </c>
      <c r="R215" s="56" t="str">
        <f t="shared" si="44"/>
        <v/>
      </c>
      <c r="S215" s="56" t="str">
        <f t="shared" si="45"/>
        <v>Gq/11</v>
      </c>
      <c r="T215" s="56" t="str">
        <f t="shared" si="46"/>
        <v/>
      </c>
      <c r="U215" s="57">
        <f t="shared" si="47"/>
        <v>0</v>
      </c>
      <c r="V215" s="57">
        <f t="shared" si="48"/>
        <v>0</v>
      </c>
      <c r="W215" s="57">
        <f t="shared" si="49"/>
        <v>1</v>
      </c>
      <c r="X215" s="57">
        <f t="shared" si="50"/>
        <v>0</v>
      </c>
      <c r="Y215" s="57" t="str">
        <f t="shared" si="53"/>
        <v>nc</v>
      </c>
      <c r="Z215" s="56" t="str">
        <f t="shared" si="54"/>
        <v>nc</v>
      </c>
      <c r="AA215" s="56" t="str">
        <f t="shared" si="55"/>
        <v>c</v>
      </c>
      <c r="AB215" s="56" t="str">
        <f t="shared" si="56"/>
        <v>nc</v>
      </c>
      <c r="AC215" s="56">
        <f t="shared" si="51"/>
        <v>3</v>
      </c>
      <c r="AD215" s="54">
        <f t="shared" si="52"/>
        <v>1</v>
      </c>
    </row>
    <row r="216" spans="1:30">
      <c r="A216" s="54" t="s">
        <v>174</v>
      </c>
      <c r="B216" s="54" t="s">
        <v>326</v>
      </c>
      <c r="C216" s="54" t="str">
        <f>VLOOKUP(A216,RecNamesAll!A:C,3,FALSE)</f>
        <v>NPFF1</v>
      </c>
      <c r="D216" s="60">
        <v>300</v>
      </c>
      <c r="E216" s="54" t="s">
        <v>3015</v>
      </c>
      <c r="F216" s="54" t="s">
        <v>3798</v>
      </c>
      <c r="G216" s="54" t="s">
        <v>3428</v>
      </c>
      <c r="H216" s="54" t="s">
        <v>3403</v>
      </c>
      <c r="I216" s="54" t="s">
        <v>3794</v>
      </c>
      <c r="J216" s="54" t="s">
        <v>2760</v>
      </c>
      <c r="L216" s="54" t="s">
        <v>3793</v>
      </c>
      <c r="N216" s="54" t="s">
        <v>3797</v>
      </c>
      <c r="P216" s="59">
        <v>8.3333333333333329E-2</v>
      </c>
      <c r="Q216" s="57" t="str">
        <f t="shared" si="43"/>
        <v/>
      </c>
      <c r="R216" s="56" t="str">
        <f t="shared" si="44"/>
        <v>Gi/o</v>
      </c>
      <c r="S216" s="56" t="str">
        <f t="shared" si="45"/>
        <v/>
      </c>
      <c r="T216" s="56" t="str">
        <f t="shared" si="46"/>
        <v/>
      </c>
      <c r="U216" s="57">
        <f t="shared" si="47"/>
        <v>0</v>
      </c>
      <c r="V216" s="57">
        <f t="shared" si="48"/>
        <v>1</v>
      </c>
      <c r="W216" s="57">
        <f t="shared" si="49"/>
        <v>0</v>
      </c>
      <c r="X216" s="57">
        <f t="shared" si="50"/>
        <v>0</v>
      </c>
      <c r="Y216" s="57" t="str">
        <f t="shared" si="53"/>
        <v>nc</v>
      </c>
      <c r="Z216" s="56" t="str">
        <f t="shared" si="54"/>
        <v>c</v>
      </c>
      <c r="AA216" s="56" t="str">
        <f t="shared" si="55"/>
        <v>nc</v>
      </c>
      <c r="AB216" s="56" t="str">
        <f t="shared" si="56"/>
        <v>nc</v>
      </c>
      <c r="AC216" s="56">
        <f t="shared" si="51"/>
        <v>3</v>
      </c>
      <c r="AD216" s="54">
        <f t="shared" si="52"/>
        <v>1</v>
      </c>
    </row>
    <row r="217" spans="1:30">
      <c r="A217" s="54" t="s">
        <v>175</v>
      </c>
      <c r="B217" s="54" t="s">
        <v>327</v>
      </c>
      <c r="C217" s="54" t="str">
        <f>VLOOKUP(A217,RecNamesAll!A:C,3,FALSE)</f>
        <v>NPFF2</v>
      </c>
      <c r="D217" s="60">
        <v>301</v>
      </c>
      <c r="E217" s="54" t="s">
        <v>3796</v>
      </c>
      <c r="F217" s="54" t="s">
        <v>3795</v>
      </c>
      <c r="G217" s="54" t="s">
        <v>3428</v>
      </c>
      <c r="H217" s="54" t="s">
        <v>3403</v>
      </c>
      <c r="I217" s="54" t="s">
        <v>3794</v>
      </c>
      <c r="J217" s="54" t="s">
        <v>2760</v>
      </c>
      <c r="L217" s="54" t="s">
        <v>3793</v>
      </c>
      <c r="N217" s="54" t="s">
        <v>3792</v>
      </c>
      <c r="P217" s="59">
        <v>8.3333333333333329E-2</v>
      </c>
      <c r="Q217" s="57" t="str">
        <f t="shared" si="43"/>
        <v/>
      </c>
      <c r="R217" s="56" t="str">
        <f t="shared" si="44"/>
        <v>Gi/o</v>
      </c>
      <c r="S217" s="56" t="str">
        <f t="shared" si="45"/>
        <v/>
      </c>
      <c r="T217" s="56" t="str">
        <f t="shared" si="46"/>
        <v/>
      </c>
      <c r="U217" s="57">
        <f t="shared" si="47"/>
        <v>0</v>
      </c>
      <c r="V217" s="57">
        <f t="shared" si="48"/>
        <v>1</v>
      </c>
      <c r="W217" s="57">
        <f t="shared" si="49"/>
        <v>0</v>
      </c>
      <c r="X217" s="57">
        <f t="shared" si="50"/>
        <v>0</v>
      </c>
      <c r="Y217" s="57" t="str">
        <f t="shared" si="53"/>
        <v>nc</v>
      </c>
      <c r="Z217" s="56" t="str">
        <f t="shared" si="54"/>
        <v>c</v>
      </c>
      <c r="AA217" s="56" t="str">
        <f t="shared" si="55"/>
        <v>nc</v>
      </c>
      <c r="AB217" s="56" t="str">
        <f t="shared" si="56"/>
        <v>nc</v>
      </c>
      <c r="AC217" s="56">
        <f t="shared" si="51"/>
        <v>3</v>
      </c>
      <c r="AD217" s="54">
        <f t="shared" si="52"/>
        <v>1</v>
      </c>
    </row>
    <row r="218" spans="1:30">
      <c r="A218" s="54" t="s">
        <v>3791</v>
      </c>
      <c r="B218" s="54" t="s">
        <v>1829</v>
      </c>
      <c r="C218" s="54" t="str">
        <f>VLOOKUP(A218,RecNamesAll!A:C,3,FALSE)</f>
        <v>NPS</v>
      </c>
      <c r="D218" s="60">
        <v>302</v>
      </c>
      <c r="E218" s="54" t="s">
        <v>3791</v>
      </c>
      <c r="F218" s="54" t="s">
        <v>3790</v>
      </c>
      <c r="G218" s="54" t="s">
        <v>3428</v>
      </c>
      <c r="H218" s="54" t="s">
        <v>3403</v>
      </c>
      <c r="I218" s="54" t="s">
        <v>3789</v>
      </c>
      <c r="J218" s="54" t="s">
        <v>2759</v>
      </c>
      <c r="K218" s="54" t="s">
        <v>2761</v>
      </c>
      <c r="L218" s="54" t="s">
        <v>3320</v>
      </c>
      <c r="M218" s="54" t="s">
        <v>3369</v>
      </c>
      <c r="N218" s="54" t="s">
        <v>3788</v>
      </c>
      <c r="O218" s="54" t="s">
        <v>3787</v>
      </c>
      <c r="P218" s="59">
        <v>0.125</v>
      </c>
      <c r="Q218" s="57" t="str">
        <f t="shared" si="43"/>
        <v>Gs</v>
      </c>
      <c r="R218" s="56" t="str">
        <f t="shared" si="44"/>
        <v/>
      </c>
      <c r="S218" s="56" t="str">
        <f t="shared" si="45"/>
        <v>Gq/11</v>
      </c>
      <c r="T218" s="56" t="str">
        <f t="shared" si="46"/>
        <v/>
      </c>
      <c r="U218" s="57">
        <f t="shared" si="47"/>
        <v>2</v>
      </c>
      <c r="V218" s="57">
        <f t="shared" si="48"/>
        <v>0</v>
      </c>
      <c r="W218" s="57">
        <f t="shared" si="49"/>
        <v>1</v>
      </c>
      <c r="X218" s="57">
        <f t="shared" si="50"/>
        <v>0</v>
      </c>
      <c r="Y218" s="57" t="str">
        <f t="shared" si="53"/>
        <v>c</v>
      </c>
      <c r="Z218" s="56" t="str">
        <f t="shared" si="54"/>
        <v>nc</v>
      </c>
      <c r="AA218" s="56" t="str">
        <f t="shared" si="55"/>
        <v>c</v>
      </c>
      <c r="AB218" s="56" t="str">
        <f t="shared" si="56"/>
        <v>nc</v>
      </c>
      <c r="AC218" s="56">
        <f t="shared" si="51"/>
        <v>2</v>
      </c>
      <c r="AD218" s="54">
        <f t="shared" si="52"/>
        <v>1</v>
      </c>
    </row>
    <row r="219" spans="1:30">
      <c r="A219" s="54" t="s">
        <v>176</v>
      </c>
      <c r="B219" s="54" t="s">
        <v>1790</v>
      </c>
      <c r="C219" s="54" t="str">
        <f>VLOOKUP(A219,RecNamesAll!A:C,3,FALSE)</f>
        <v>NPBW1</v>
      </c>
      <c r="D219" s="60">
        <v>303</v>
      </c>
      <c r="E219" s="54" t="s">
        <v>3786</v>
      </c>
      <c r="F219" s="54" t="s">
        <v>3785</v>
      </c>
      <c r="G219" s="54" t="s">
        <v>3428</v>
      </c>
      <c r="H219" s="54" t="s">
        <v>3403</v>
      </c>
      <c r="I219" s="54" t="s">
        <v>3780</v>
      </c>
      <c r="J219" s="54" t="s">
        <v>2760</v>
      </c>
      <c r="L219" s="54" t="s">
        <v>3327</v>
      </c>
      <c r="N219" s="54" t="s">
        <v>3784</v>
      </c>
      <c r="P219" s="59">
        <v>0.16666666666666666</v>
      </c>
      <c r="Q219" s="57" t="str">
        <f t="shared" si="43"/>
        <v/>
      </c>
      <c r="R219" s="56" t="str">
        <f t="shared" si="44"/>
        <v>Gi/o</v>
      </c>
      <c r="S219" s="56" t="str">
        <f t="shared" si="45"/>
        <v/>
      </c>
      <c r="T219" s="56" t="str">
        <f t="shared" si="46"/>
        <v/>
      </c>
      <c r="U219" s="57">
        <f t="shared" si="47"/>
        <v>0</v>
      </c>
      <c r="V219" s="57">
        <f t="shared" si="48"/>
        <v>1</v>
      </c>
      <c r="W219" s="57">
        <f t="shared" si="49"/>
        <v>0</v>
      </c>
      <c r="X219" s="57">
        <f t="shared" si="50"/>
        <v>0</v>
      </c>
      <c r="Y219" s="57" t="str">
        <f t="shared" si="53"/>
        <v>nc</v>
      </c>
      <c r="Z219" s="56" t="str">
        <f t="shared" si="54"/>
        <v>c</v>
      </c>
      <c r="AA219" s="56" t="str">
        <f t="shared" si="55"/>
        <v>nc</v>
      </c>
      <c r="AB219" s="56" t="str">
        <f t="shared" si="56"/>
        <v>nc</v>
      </c>
      <c r="AC219" s="56">
        <f t="shared" si="51"/>
        <v>3</v>
      </c>
      <c r="AD219" s="54">
        <f t="shared" si="52"/>
        <v>1</v>
      </c>
    </row>
    <row r="220" spans="1:30">
      <c r="A220" s="54" t="s">
        <v>3783</v>
      </c>
      <c r="B220" s="54" t="s">
        <v>1806</v>
      </c>
      <c r="C220" s="54" t="str">
        <f>VLOOKUP(A220,RecNamesAll!A:C,3,FALSE)</f>
        <v>NPBW2</v>
      </c>
      <c r="D220" s="60">
        <v>304</v>
      </c>
      <c r="E220" s="54" t="s">
        <v>3782</v>
      </c>
      <c r="F220" s="54" t="s">
        <v>3781</v>
      </c>
      <c r="G220" s="54" t="s">
        <v>3428</v>
      </c>
      <c r="H220" s="54" t="s">
        <v>3403</v>
      </c>
      <c r="I220" s="54" t="s">
        <v>3780</v>
      </c>
      <c r="J220" s="54" t="s">
        <v>2760</v>
      </c>
      <c r="L220" s="54" t="s">
        <v>3327</v>
      </c>
      <c r="N220" s="54" t="s">
        <v>3779</v>
      </c>
      <c r="P220" s="59">
        <v>0.125</v>
      </c>
      <c r="Q220" s="57" t="str">
        <f t="shared" si="43"/>
        <v/>
      </c>
      <c r="R220" s="56" t="str">
        <f t="shared" si="44"/>
        <v>Gi/o</v>
      </c>
      <c r="S220" s="56" t="str">
        <f t="shared" si="45"/>
        <v/>
      </c>
      <c r="T220" s="56" t="str">
        <f t="shared" si="46"/>
        <v/>
      </c>
      <c r="U220" s="57">
        <f t="shared" si="47"/>
        <v>0</v>
      </c>
      <c r="V220" s="57">
        <f t="shared" si="48"/>
        <v>1</v>
      </c>
      <c r="W220" s="57">
        <f t="shared" si="49"/>
        <v>0</v>
      </c>
      <c r="X220" s="57">
        <f t="shared" si="50"/>
        <v>0</v>
      </c>
      <c r="Y220" s="57" t="str">
        <f t="shared" si="53"/>
        <v>nc</v>
      </c>
      <c r="Z220" s="56" t="str">
        <f t="shared" si="54"/>
        <v>c</v>
      </c>
      <c r="AA220" s="56" t="str">
        <f t="shared" si="55"/>
        <v>nc</v>
      </c>
      <c r="AB220" s="56" t="str">
        <f t="shared" si="56"/>
        <v>nc</v>
      </c>
      <c r="AC220" s="56">
        <f t="shared" si="51"/>
        <v>3</v>
      </c>
      <c r="AD220" s="54">
        <f t="shared" si="52"/>
        <v>1</v>
      </c>
    </row>
    <row r="221" spans="1:30">
      <c r="A221" s="54" t="s">
        <v>177</v>
      </c>
      <c r="B221" s="54" t="s">
        <v>328</v>
      </c>
      <c r="C221" s="54" t="str">
        <f>VLOOKUP(A221,RecNamesAll!A:C,3,FALSE)</f>
        <v>Y1</v>
      </c>
      <c r="D221" s="60">
        <v>305</v>
      </c>
      <c r="E221" s="54" t="s">
        <v>177</v>
      </c>
      <c r="F221" s="54" t="s">
        <v>3778</v>
      </c>
      <c r="G221" s="54" t="s">
        <v>3428</v>
      </c>
      <c r="H221" s="54" t="s">
        <v>3403</v>
      </c>
      <c r="I221" s="54" t="s">
        <v>3768</v>
      </c>
      <c r="J221" s="54" t="s">
        <v>2760</v>
      </c>
      <c r="L221" s="54" t="s">
        <v>3327</v>
      </c>
      <c r="N221" s="54" t="s">
        <v>3777</v>
      </c>
      <c r="P221" s="59">
        <v>0.16666666666666666</v>
      </c>
      <c r="Q221" s="57" t="str">
        <f t="shared" si="43"/>
        <v/>
      </c>
      <c r="R221" s="56" t="str">
        <f t="shared" si="44"/>
        <v>Gi/o</v>
      </c>
      <c r="S221" s="56" t="str">
        <f t="shared" si="45"/>
        <v/>
      </c>
      <c r="T221" s="56" t="str">
        <f t="shared" si="46"/>
        <v/>
      </c>
      <c r="U221" s="57">
        <f t="shared" si="47"/>
        <v>0</v>
      </c>
      <c r="V221" s="57">
        <f t="shared" si="48"/>
        <v>1</v>
      </c>
      <c r="W221" s="57">
        <f t="shared" si="49"/>
        <v>0</v>
      </c>
      <c r="X221" s="57">
        <f t="shared" si="50"/>
        <v>0</v>
      </c>
      <c r="Y221" s="57" t="str">
        <f t="shared" si="53"/>
        <v>nc</v>
      </c>
      <c r="Z221" s="56" t="str">
        <f t="shared" si="54"/>
        <v>c</v>
      </c>
      <c r="AA221" s="56" t="str">
        <f t="shared" si="55"/>
        <v>nc</v>
      </c>
      <c r="AB221" s="56" t="str">
        <f t="shared" si="56"/>
        <v>nc</v>
      </c>
      <c r="AC221" s="56">
        <f t="shared" si="51"/>
        <v>3</v>
      </c>
      <c r="AD221" s="54">
        <f t="shared" si="52"/>
        <v>1</v>
      </c>
    </row>
    <row r="222" spans="1:30">
      <c r="A222" s="54" t="s">
        <v>73</v>
      </c>
      <c r="B222" s="54" t="s">
        <v>998</v>
      </c>
      <c r="C222" s="54" t="str">
        <f>VLOOKUP(A222,RecNamesAll!A:C,3,FALSE)</f>
        <v>CXCR1</v>
      </c>
      <c r="D222" s="60">
        <v>68</v>
      </c>
      <c r="E222" s="54" t="s">
        <v>73</v>
      </c>
      <c r="F222" s="54" t="s">
        <v>3776</v>
      </c>
      <c r="G222" s="54" t="s">
        <v>3428</v>
      </c>
      <c r="H222" s="54" t="s">
        <v>3288</v>
      </c>
      <c r="I222" s="54" t="s">
        <v>3669</v>
      </c>
      <c r="J222" s="54" t="s">
        <v>2760</v>
      </c>
      <c r="K222" s="54" t="s">
        <v>2759</v>
      </c>
      <c r="L222" s="54" t="s">
        <v>3332</v>
      </c>
      <c r="M222" s="54" t="s">
        <v>3775</v>
      </c>
      <c r="N222" s="54" t="s">
        <v>3774</v>
      </c>
      <c r="O222" s="54" t="s">
        <v>3773</v>
      </c>
      <c r="P222" s="59">
        <v>0.125</v>
      </c>
      <c r="Q222" s="57" t="str">
        <f t="shared" si="43"/>
        <v/>
      </c>
      <c r="R222" s="56" t="str">
        <f t="shared" si="44"/>
        <v>Gi/o</v>
      </c>
      <c r="S222" s="56" t="str">
        <f t="shared" si="45"/>
        <v>Gq/11</v>
      </c>
      <c r="T222" s="56" t="str">
        <f t="shared" si="46"/>
        <v/>
      </c>
      <c r="U222" s="57">
        <f t="shared" si="47"/>
        <v>0</v>
      </c>
      <c r="V222" s="57">
        <f t="shared" si="48"/>
        <v>1</v>
      </c>
      <c r="W222" s="57">
        <f t="shared" si="49"/>
        <v>2</v>
      </c>
      <c r="X222" s="57">
        <f t="shared" si="50"/>
        <v>0</v>
      </c>
      <c r="Y222" s="57" t="str">
        <f t="shared" si="53"/>
        <v>nc</v>
      </c>
      <c r="Z222" s="56" t="str">
        <f t="shared" si="54"/>
        <v>c</v>
      </c>
      <c r="AA222" s="56" t="str">
        <f t="shared" si="55"/>
        <v>c</v>
      </c>
      <c r="AB222" s="56" t="str">
        <f t="shared" si="56"/>
        <v>nc</v>
      </c>
      <c r="AC222" s="56">
        <f t="shared" si="51"/>
        <v>2</v>
      </c>
      <c r="AD222" s="54">
        <f t="shared" si="52"/>
        <v>1</v>
      </c>
    </row>
    <row r="223" spans="1:30">
      <c r="A223" s="54" t="s">
        <v>3063</v>
      </c>
      <c r="B223" s="54" t="s">
        <v>1845</v>
      </c>
      <c r="C223" s="54" t="str">
        <f>VLOOKUP(A223,RecNamesAll!A:C,3,FALSE)</f>
        <v>Y2</v>
      </c>
      <c r="D223" s="60">
        <v>306</v>
      </c>
      <c r="E223" s="54" t="s">
        <v>3063</v>
      </c>
      <c r="G223" s="54" t="s">
        <v>3428</v>
      </c>
      <c r="H223" s="54" t="s">
        <v>3403</v>
      </c>
      <c r="I223" s="54" t="s">
        <v>3768</v>
      </c>
      <c r="J223" s="54" t="s">
        <v>2760</v>
      </c>
      <c r="K223" s="54" t="s">
        <v>2759</v>
      </c>
      <c r="L223" s="54" t="s">
        <v>3332</v>
      </c>
      <c r="M223" s="54" t="s">
        <v>3320</v>
      </c>
      <c r="N223" s="54" t="s">
        <v>3772</v>
      </c>
      <c r="O223" s="54">
        <v>15308651</v>
      </c>
      <c r="P223" s="59">
        <v>8.3333333333333329E-2</v>
      </c>
      <c r="Q223" s="57" t="str">
        <f t="shared" si="43"/>
        <v/>
      </c>
      <c r="R223" s="56" t="str">
        <f t="shared" si="44"/>
        <v>Gi/o</v>
      </c>
      <c r="S223" s="56" t="str">
        <f t="shared" si="45"/>
        <v>Gq/11</v>
      </c>
      <c r="T223" s="56" t="str">
        <f t="shared" si="46"/>
        <v/>
      </c>
      <c r="U223" s="57">
        <f t="shared" si="47"/>
        <v>0</v>
      </c>
      <c r="V223" s="57">
        <f t="shared" si="48"/>
        <v>1</v>
      </c>
      <c r="W223" s="57">
        <f t="shared" si="49"/>
        <v>2</v>
      </c>
      <c r="X223" s="57">
        <f t="shared" si="50"/>
        <v>0</v>
      </c>
      <c r="Y223" s="57" t="str">
        <f t="shared" si="53"/>
        <v>nc</v>
      </c>
      <c r="Z223" s="56" t="str">
        <f t="shared" si="54"/>
        <v>c</v>
      </c>
      <c r="AA223" s="56" t="str">
        <f t="shared" si="55"/>
        <v>c</v>
      </c>
      <c r="AB223" s="56" t="str">
        <f t="shared" si="56"/>
        <v>nc</v>
      </c>
      <c r="AC223" s="56">
        <f t="shared" si="51"/>
        <v>2</v>
      </c>
      <c r="AD223" s="54">
        <f t="shared" si="52"/>
        <v>1</v>
      </c>
    </row>
    <row r="224" spans="1:30">
      <c r="A224" s="54" t="s">
        <v>3060</v>
      </c>
      <c r="B224" s="54" t="s">
        <v>1851</v>
      </c>
      <c r="C224" s="54" t="str">
        <f>VLOOKUP(A224,RecNamesAll!A:C,3,FALSE)</f>
        <v>Y4</v>
      </c>
      <c r="D224" s="60">
        <v>307</v>
      </c>
      <c r="E224" s="54" t="s">
        <v>3060</v>
      </c>
      <c r="F224" s="54" t="s">
        <v>3771</v>
      </c>
      <c r="G224" s="54" t="s">
        <v>3428</v>
      </c>
      <c r="H224" s="54" t="s">
        <v>3403</v>
      </c>
      <c r="I224" s="54" t="s">
        <v>3768</v>
      </c>
      <c r="J224" s="54" t="s">
        <v>2760</v>
      </c>
      <c r="K224" s="54" t="s">
        <v>2759</v>
      </c>
      <c r="L224" s="54" t="s">
        <v>3327</v>
      </c>
      <c r="M224" s="54" t="s">
        <v>3320</v>
      </c>
      <c r="N224" s="54" t="s">
        <v>3770</v>
      </c>
      <c r="O224" s="54">
        <v>15308651</v>
      </c>
      <c r="P224" s="59">
        <v>0.125</v>
      </c>
      <c r="Q224" s="57" t="str">
        <f t="shared" si="43"/>
        <v/>
      </c>
      <c r="R224" s="56" t="str">
        <f t="shared" si="44"/>
        <v>Gi/o</v>
      </c>
      <c r="S224" s="56" t="str">
        <f t="shared" si="45"/>
        <v>Gq/11</v>
      </c>
      <c r="T224" s="56" t="str">
        <f t="shared" si="46"/>
        <v/>
      </c>
      <c r="U224" s="57">
        <f t="shared" si="47"/>
        <v>0</v>
      </c>
      <c r="V224" s="57">
        <f t="shared" si="48"/>
        <v>1</v>
      </c>
      <c r="W224" s="57">
        <f t="shared" si="49"/>
        <v>2</v>
      </c>
      <c r="X224" s="57">
        <f t="shared" si="50"/>
        <v>0</v>
      </c>
      <c r="Y224" s="57" t="str">
        <f t="shared" si="53"/>
        <v>nc</v>
      </c>
      <c r="Z224" s="56" t="str">
        <f t="shared" si="54"/>
        <v>c</v>
      </c>
      <c r="AA224" s="56" t="str">
        <f t="shared" si="55"/>
        <v>c</v>
      </c>
      <c r="AB224" s="56" t="str">
        <f t="shared" si="56"/>
        <v>nc</v>
      </c>
      <c r="AC224" s="56">
        <f t="shared" si="51"/>
        <v>2</v>
      </c>
      <c r="AD224" s="54">
        <f t="shared" si="52"/>
        <v>1</v>
      </c>
    </row>
    <row r="225" spans="1:30">
      <c r="A225" s="54" t="s">
        <v>178</v>
      </c>
      <c r="B225" s="54" t="s">
        <v>329</v>
      </c>
      <c r="C225" s="54" t="str">
        <f>VLOOKUP(A225,RecNamesAll!A:C,3,FALSE)</f>
        <v>Y5</v>
      </c>
      <c r="D225" s="60">
        <v>308</v>
      </c>
      <c r="E225" s="54" t="s">
        <v>178</v>
      </c>
      <c r="F225" s="54" t="s">
        <v>3769</v>
      </c>
      <c r="G225" s="54" t="s">
        <v>3428</v>
      </c>
      <c r="H225" s="54" t="s">
        <v>3403</v>
      </c>
      <c r="I225" s="54" t="s">
        <v>3768</v>
      </c>
      <c r="J225" s="54" t="s">
        <v>2760</v>
      </c>
      <c r="L225" s="54" t="s">
        <v>3327</v>
      </c>
      <c r="N225" s="54">
        <v>11287093</v>
      </c>
      <c r="P225" s="59">
        <v>4.1666666666666664E-2</v>
      </c>
      <c r="Q225" s="57" t="str">
        <f t="shared" si="43"/>
        <v/>
      </c>
      <c r="R225" s="56" t="str">
        <f t="shared" si="44"/>
        <v>Gi/o</v>
      </c>
      <c r="S225" s="56" t="str">
        <f t="shared" si="45"/>
        <v/>
      </c>
      <c r="T225" s="56" t="str">
        <f t="shared" si="46"/>
        <v/>
      </c>
      <c r="U225" s="57">
        <f t="shared" si="47"/>
        <v>0</v>
      </c>
      <c r="V225" s="57">
        <f t="shared" si="48"/>
        <v>1</v>
      </c>
      <c r="W225" s="57">
        <f t="shared" si="49"/>
        <v>0</v>
      </c>
      <c r="X225" s="57">
        <f t="shared" si="50"/>
        <v>0</v>
      </c>
      <c r="Y225" s="57" t="str">
        <f t="shared" si="53"/>
        <v>nc</v>
      </c>
      <c r="Z225" s="56" t="str">
        <f t="shared" si="54"/>
        <v>c</v>
      </c>
      <c r="AA225" s="56" t="str">
        <f t="shared" si="55"/>
        <v>nc</v>
      </c>
      <c r="AB225" s="56" t="str">
        <f t="shared" si="56"/>
        <v>nc</v>
      </c>
      <c r="AC225" s="56">
        <f t="shared" si="51"/>
        <v>3</v>
      </c>
      <c r="AD225" s="54">
        <f t="shared" si="52"/>
        <v>1</v>
      </c>
    </row>
    <row r="226" spans="1:30">
      <c r="A226" s="54" t="s">
        <v>179</v>
      </c>
      <c r="B226" s="54" t="s">
        <v>1854</v>
      </c>
      <c r="C226" s="54" t="str">
        <f>VLOOKUP(A226,RecNamesAll!A:C,3,FALSE)</f>
        <v>NTS1</v>
      </c>
      <c r="D226" s="60">
        <v>309</v>
      </c>
      <c r="E226" s="54" t="s">
        <v>3040</v>
      </c>
      <c r="F226" s="54" t="s">
        <v>3767</v>
      </c>
      <c r="G226" s="54" t="s">
        <v>3428</v>
      </c>
      <c r="H226" s="54" t="s">
        <v>3403</v>
      </c>
      <c r="I226" s="54" t="s">
        <v>3761</v>
      </c>
      <c r="J226" s="54" t="s">
        <v>2759</v>
      </c>
      <c r="K226" s="54" t="s">
        <v>3299</v>
      </c>
      <c r="L226" s="54" t="s">
        <v>3320</v>
      </c>
      <c r="M226" s="54" t="s">
        <v>3766</v>
      </c>
      <c r="N226" s="54" t="s">
        <v>3765</v>
      </c>
      <c r="O226" s="54" t="s">
        <v>3764</v>
      </c>
      <c r="P226" s="59">
        <v>0.29166666666666669</v>
      </c>
      <c r="Q226" s="57" t="str">
        <f t="shared" si="43"/>
        <v>Gs</v>
      </c>
      <c r="R226" s="56" t="str">
        <f t="shared" si="44"/>
        <v>Gi/o</v>
      </c>
      <c r="S226" s="56" t="str">
        <f t="shared" si="45"/>
        <v>Gq/11</v>
      </c>
      <c r="T226" s="56" t="str">
        <f t="shared" si="46"/>
        <v/>
      </c>
      <c r="U226" s="57">
        <f t="shared" si="47"/>
        <v>2</v>
      </c>
      <c r="V226" s="57">
        <f t="shared" si="48"/>
        <v>2</v>
      </c>
      <c r="W226" s="57">
        <f t="shared" si="49"/>
        <v>1</v>
      </c>
      <c r="X226" s="57">
        <f t="shared" si="50"/>
        <v>0</v>
      </c>
      <c r="Y226" s="57" t="str">
        <f t="shared" si="53"/>
        <v>c</v>
      </c>
      <c r="Z226" s="56" t="str">
        <f t="shared" si="54"/>
        <v>c</v>
      </c>
      <c r="AA226" s="56" t="str">
        <f t="shared" si="55"/>
        <v>c</v>
      </c>
      <c r="AB226" s="56" t="str">
        <f t="shared" si="56"/>
        <v>nc</v>
      </c>
      <c r="AC226" s="56">
        <f t="shared" si="51"/>
        <v>1</v>
      </c>
      <c r="AD226" s="54">
        <f t="shared" si="52"/>
        <v>1</v>
      </c>
    </row>
    <row r="227" spans="1:30">
      <c r="A227" s="54" t="s">
        <v>3763</v>
      </c>
      <c r="B227" s="54" t="s">
        <v>1867</v>
      </c>
      <c r="C227" s="54" t="str">
        <f>VLOOKUP(A227,RecNamesAll!A:C,3,FALSE)</f>
        <v>NTS2</v>
      </c>
      <c r="D227" s="60">
        <v>310</v>
      </c>
      <c r="E227" s="54" t="s">
        <v>3762</v>
      </c>
      <c r="G227" s="54" t="s">
        <v>3428</v>
      </c>
      <c r="H227" s="54" t="s">
        <v>3403</v>
      </c>
      <c r="I227" s="54" t="s">
        <v>3761</v>
      </c>
      <c r="J227" s="54" t="s">
        <v>2759</v>
      </c>
      <c r="L227" s="54" t="s">
        <v>3320</v>
      </c>
      <c r="N227" s="54" t="s">
        <v>3760</v>
      </c>
      <c r="O227" s="54" t="s">
        <v>3759</v>
      </c>
      <c r="P227" s="59">
        <v>8.3333333333333329E-2</v>
      </c>
      <c r="Q227" s="57" t="str">
        <f t="shared" si="43"/>
        <v/>
      </c>
      <c r="R227" s="56" t="str">
        <f t="shared" si="44"/>
        <v/>
      </c>
      <c r="S227" s="56" t="str">
        <f t="shared" si="45"/>
        <v>Gq/11</v>
      </c>
      <c r="T227" s="56" t="str">
        <f t="shared" si="46"/>
        <v/>
      </c>
      <c r="U227" s="57">
        <f t="shared" si="47"/>
        <v>0</v>
      </c>
      <c r="V227" s="57">
        <f t="shared" si="48"/>
        <v>0</v>
      </c>
      <c r="W227" s="57">
        <f t="shared" si="49"/>
        <v>1</v>
      </c>
      <c r="X227" s="57">
        <f t="shared" si="50"/>
        <v>0</v>
      </c>
      <c r="Y227" s="57" t="str">
        <f t="shared" si="53"/>
        <v>nc</v>
      </c>
      <c r="Z227" s="56" t="str">
        <f t="shared" si="54"/>
        <v>nc</v>
      </c>
      <c r="AA227" s="56" t="str">
        <f t="shared" si="55"/>
        <v>c</v>
      </c>
      <c r="AB227" s="56" t="str">
        <f t="shared" si="56"/>
        <v>nc</v>
      </c>
      <c r="AC227" s="56">
        <f t="shared" si="51"/>
        <v>3</v>
      </c>
      <c r="AD227" s="54">
        <f t="shared" si="52"/>
        <v>1</v>
      </c>
    </row>
    <row r="228" spans="1:30">
      <c r="A228" s="54" t="s">
        <v>181</v>
      </c>
      <c r="B228" s="54" t="s">
        <v>330</v>
      </c>
      <c r="C228" s="54" t="str">
        <f>VLOOKUP(A228,RecNamesAll!A:C,3,FALSE)</f>
        <v>𝛅</v>
      </c>
      <c r="D228" s="60">
        <v>317</v>
      </c>
      <c r="E228" s="54" t="s">
        <v>3120</v>
      </c>
      <c r="F228" s="54" t="s">
        <v>181</v>
      </c>
      <c r="G228" s="54" t="s">
        <v>3428</v>
      </c>
      <c r="H228" s="54" t="s">
        <v>3403</v>
      </c>
      <c r="I228" s="54" t="s">
        <v>3749</v>
      </c>
      <c r="J228" s="54" t="s">
        <v>2760</v>
      </c>
      <c r="L228" s="54" t="s">
        <v>3758</v>
      </c>
      <c r="N228" s="54" t="s">
        <v>3757</v>
      </c>
      <c r="P228" s="59">
        <v>0.16666666666666666</v>
      </c>
      <c r="Q228" s="57" t="str">
        <f t="shared" si="43"/>
        <v/>
      </c>
      <c r="R228" s="56" t="str">
        <f t="shared" si="44"/>
        <v>Gi/o</v>
      </c>
      <c r="S228" s="56" t="str">
        <f t="shared" si="45"/>
        <v/>
      </c>
      <c r="T228" s="56" t="str">
        <f t="shared" si="46"/>
        <v/>
      </c>
      <c r="U228" s="57">
        <f t="shared" si="47"/>
        <v>0</v>
      </c>
      <c r="V228" s="57">
        <f t="shared" si="48"/>
        <v>1</v>
      </c>
      <c r="W228" s="57">
        <f t="shared" si="49"/>
        <v>0</v>
      </c>
      <c r="X228" s="57">
        <f t="shared" si="50"/>
        <v>0</v>
      </c>
      <c r="Y228" s="57" t="str">
        <f t="shared" si="53"/>
        <v>nc</v>
      </c>
      <c r="Z228" s="56" t="str">
        <f t="shared" si="54"/>
        <v>c</v>
      </c>
      <c r="AA228" s="56" t="str">
        <f t="shared" si="55"/>
        <v>nc</v>
      </c>
      <c r="AB228" s="56" t="str">
        <f t="shared" si="56"/>
        <v>nc</v>
      </c>
      <c r="AC228" s="56">
        <f t="shared" si="51"/>
        <v>3</v>
      </c>
      <c r="AD228" s="54">
        <f t="shared" si="52"/>
        <v>1</v>
      </c>
    </row>
    <row r="229" spans="1:30">
      <c r="A229" s="54" t="s">
        <v>182</v>
      </c>
      <c r="B229" s="54" t="s">
        <v>331</v>
      </c>
      <c r="C229" s="54" t="str">
        <f>VLOOKUP(A229,RecNamesAll!A:C,3,FALSE)</f>
        <v>𝜅</v>
      </c>
      <c r="D229" s="60">
        <v>318</v>
      </c>
      <c r="E229" s="54" t="s">
        <v>3115</v>
      </c>
      <c r="F229" s="54" t="s">
        <v>182</v>
      </c>
      <c r="G229" s="54" t="s">
        <v>3428</v>
      </c>
      <c r="H229" s="54" t="s">
        <v>3403</v>
      </c>
      <c r="I229" s="54" t="s">
        <v>3749</v>
      </c>
      <c r="J229" s="54" t="s">
        <v>2760</v>
      </c>
      <c r="K229" s="54" t="s">
        <v>3114</v>
      </c>
      <c r="L229" s="54" t="s">
        <v>3343</v>
      </c>
      <c r="M229" s="54" t="s">
        <v>3507</v>
      </c>
      <c r="N229" s="54" t="s">
        <v>3756</v>
      </c>
      <c r="O229" s="54" t="s">
        <v>3755</v>
      </c>
      <c r="P229" s="59">
        <v>0.33333333333333331</v>
      </c>
      <c r="Q229" s="57" t="str">
        <f t="shared" si="43"/>
        <v/>
      </c>
      <c r="R229" s="56" t="str">
        <f t="shared" si="44"/>
        <v>Gi/o</v>
      </c>
      <c r="S229" s="56" t="str">
        <f t="shared" si="45"/>
        <v/>
      </c>
      <c r="T229" s="56" t="str">
        <f t="shared" si="46"/>
        <v>G12/13</v>
      </c>
      <c r="U229" s="57">
        <f t="shared" si="47"/>
        <v>0</v>
      </c>
      <c r="V229" s="57">
        <f t="shared" si="48"/>
        <v>1</v>
      </c>
      <c r="W229" s="57">
        <f t="shared" si="49"/>
        <v>0</v>
      </c>
      <c r="X229" s="57">
        <f t="shared" si="50"/>
        <v>2</v>
      </c>
      <c r="Y229" s="57" t="str">
        <f t="shared" si="53"/>
        <v>nc</v>
      </c>
      <c r="Z229" s="56" t="str">
        <f t="shared" si="54"/>
        <v>c</v>
      </c>
      <c r="AA229" s="56" t="str">
        <f t="shared" si="55"/>
        <v>nc</v>
      </c>
      <c r="AB229" s="56" t="str">
        <f t="shared" si="56"/>
        <v>c</v>
      </c>
      <c r="AC229" s="56">
        <f t="shared" si="51"/>
        <v>2</v>
      </c>
      <c r="AD229" s="54">
        <f t="shared" si="52"/>
        <v>1</v>
      </c>
    </row>
    <row r="230" spans="1:30">
      <c r="A230" s="54" t="s">
        <v>183</v>
      </c>
      <c r="B230" s="54" t="s">
        <v>332</v>
      </c>
      <c r="C230" s="54" t="str">
        <f>VLOOKUP(A230,RecNamesAll!A:C,3,FALSE)</f>
        <v>μ</v>
      </c>
      <c r="D230" s="60">
        <v>319</v>
      </c>
      <c r="E230" s="54" t="s">
        <v>3125</v>
      </c>
      <c r="F230" s="54" t="s">
        <v>3754</v>
      </c>
      <c r="G230" s="54" t="s">
        <v>3428</v>
      </c>
      <c r="H230" s="54" t="s">
        <v>3403</v>
      </c>
      <c r="I230" s="54" t="s">
        <v>3749</v>
      </c>
      <c r="J230" s="54" t="s">
        <v>2760</v>
      </c>
      <c r="K230" s="54" t="s">
        <v>2759</v>
      </c>
      <c r="L230" s="54" t="s">
        <v>3753</v>
      </c>
      <c r="M230" s="54" t="s">
        <v>3320</v>
      </c>
      <c r="N230" s="54" t="s">
        <v>3752</v>
      </c>
      <c r="O230" s="54" t="s">
        <v>3751</v>
      </c>
      <c r="P230" s="59">
        <v>0.70833333333333337</v>
      </c>
      <c r="Q230" s="57" t="str">
        <f t="shared" si="43"/>
        <v/>
      </c>
      <c r="R230" s="56" t="str">
        <f t="shared" si="44"/>
        <v>Gi/o</v>
      </c>
      <c r="S230" s="56" t="str">
        <f t="shared" si="45"/>
        <v>Gq/11</v>
      </c>
      <c r="T230" s="56" t="str">
        <f t="shared" si="46"/>
        <v/>
      </c>
      <c r="U230" s="57">
        <f t="shared" si="47"/>
        <v>0</v>
      </c>
      <c r="V230" s="57">
        <f t="shared" si="48"/>
        <v>1</v>
      </c>
      <c r="W230" s="57">
        <f t="shared" si="49"/>
        <v>2</v>
      </c>
      <c r="X230" s="57">
        <f t="shared" si="50"/>
        <v>0</v>
      </c>
      <c r="Y230" s="57" t="str">
        <f t="shared" si="53"/>
        <v>nc</v>
      </c>
      <c r="Z230" s="56" t="str">
        <f t="shared" si="54"/>
        <v>c</v>
      </c>
      <c r="AA230" s="56" t="str">
        <f t="shared" si="55"/>
        <v>c</v>
      </c>
      <c r="AB230" s="56" t="str">
        <f t="shared" si="56"/>
        <v>nc</v>
      </c>
      <c r="AC230" s="56">
        <f t="shared" si="51"/>
        <v>2</v>
      </c>
      <c r="AD230" s="54">
        <f t="shared" si="52"/>
        <v>1</v>
      </c>
    </row>
    <row r="231" spans="1:30">
      <c r="A231" s="54" t="s">
        <v>184</v>
      </c>
      <c r="B231" s="54" t="s">
        <v>333</v>
      </c>
      <c r="C231" s="54" t="str">
        <f>VLOOKUP(A231,RecNamesAll!A:C,3,FALSE)</f>
        <v>NOP</v>
      </c>
      <c r="D231" s="60">
        <v>320</v>
      </c>
      <c r="E231" s="54" t="s">
        <v>3111</v>
      </c>
      <c r="F231" s="54" t="s">
        <v>3750</v>
      </c>
      <c r="G231" s="54" t="s">
        <v>3428</v>
      </c>
      <c r="H231" s="54" t="s">
        <v>3403</v>
      </c>
      <c r="I231" s="54" t="s">
        <v>3749</v>
      </c>
      <c r="J231" s="54" t="s">
        <v>2760</v>
      </c>
      <c r="K231" s="54" t="s">
        <v>2760</v>
      </c>
      <c r="L231" s="54" t="s">
        <v>3589</v>
      </c>
      <c r="M231" s="54" t="s">
        <v>3327</v>
      </c>
      <c r="N231" s="54" t="s">
        <v>3748</v>
      </c>
      <c r="P231" s="59">
        <v>0.20833333333333334</v>
      </c>
      <c r="Q231" s="57" t="str">
        <f t="shared" si="43"/>
        <v/>
      </c>
      <c r="R231" s="56" t="str">
        <f t="shared" si="44"/>
        <v>Gi/o</v>
      </c>
      <c r="S231" s="56" t="str">
        <f t="shared" si="45"/>
        <v/>
      </c>
      <c r="T231" s="56" t="str">
        <f t="shared" si="46"/>
        <v/>
      </c>
      <c r="U231" s="57">
        <f t="shared" si="47"/>
        <v>0</v>
      </c>
      <c r="V231" s="57">
        <f t="shared" si="48"/>
        <v>1</v>
      </c>
      <c r="W231" s="57">
        <f t="shared" si="49"/>
        <v>0</v>
      </c>
      <c r="X231" s="57">
        <f t="shared" si="50"/>
        <v>0</v>
      </c>
      <c r="Y231" s="57" t="str">
        <f t="shared" si="53"/>
        <v>nc</v>
      </c>
      <c r="Z231" s="56" t="str">
        <f t="shared" si="54"/>
        <v>c</v>
      </c>
      <c r="AA231" s="56" t="str">
        <f t="shared" si="55"/>
        <v>nc</v>
      </c>
      <c r="AB231" s="56" t="str">
        <f t="shared" si="56"/>
        <v>nc</v>
      </c>
      <c r="AC231" s="56">
        <f t="shared" si="51"/>
        <v>3</v>
      </c>
      <c r="AD231" s="54">
        <f t="shared" si="52"/>
        <v>1</v>
      </c>
    </row>
    <row r="232" spans="1:30">
      <c r="A232" s="54" t="s">
        <v>186</v>
      </c>
      <c r="B232" s="54" t="s">
        <v>1914</v>
      </c>
      <c r="C232" s="54" t="str">
        <f>VLOOKUP(A232,RecNamesAll!A:C,3,FALSE)</f>
        <v>OX1</v>
      </c>
      <c r="D232" s="60">
        <v>321</v>
      </c>
      <c r="E232" s="54" t="s">
        <v>3035</v>
      </c>
      <c r="G232" s="54" t="s">
        <v>3428</v>
      </c>
      <c r="H232" s="54" t="s">
        <v>3403</v>
      </c>
      <c r="I232" s="54" t="s">
        <v>3746</v>
      </c>
      <c r="J232" s="54" t="s">
        <v>3665</v>
      </c>
      <c r="L232" s="54" t="s">
        <v>3745</v>
      </c>
      <c r="N232" s="54" t="s">
        <v>3747</v>
      </c>
      <c r="P232" s="59">
        <v>0.70833333333333337</v>
      </c>
      <c r="Q232" s="57" t="str">
        <f t="shared" si="43"/>
        <v>Gs</v>
      </c>
      <c r="R232" s="56" t="str">
        <f t="shared" si="44"/>
        <v>Gi/o</v>
      </c>
      <c r="S232" s="56" t="str">
        <f t="shared" si="45"/>
        <v>Gq/11</v>
      </c>
      <c r="T232" s="56" t="str">
        <f t="shared" si="46"/>
        <v/>
      </c>
      <c r="U232" s="57">
        <f t="shared" si="47"/>
        <v>1</v>
      </c>
      <c r="V232" s="57">
        <f t="shared" si="48"/>
        <v>1</v>
      </c>
      <c r="W232" s="57">
        <f t="shared" si="49"/>
        <v>1</v>
      </c>
      <c r="X232" s="57">
        <f t="shared" si="50"/>
        <v>0</v>
      </c>
      <c r="Y232" s="57" t="str">
        <f t="shared" si="53"/>
        <v>c</v>
      </c>
      <c r="Z232" s="56" t="str">
        <f t="shared" si="54"/>
        <v>c</v>
      </c>
      <c r="AA232" s="56" t="str">
        <f t="shared" si="55"/>
        <v>c</v>
      </c>
      <c r="AB232" s="56" t="str">
        <f t="shared" si="56"/>
        <v>nc</v>
      </c>
      <c r="AC232" s="56">
        <f t="shared" si="51"/>
        <v>1</v>
      </c>
      <c r="AD232" s="54">
        <f t="shared" si="52"/>
        <v>1</v>
      </c>
    </row>
    <row r="233" spans="1:30">
      <c r="A233" s="54" t="s">
        <v>187</v>
      </c>
      <c r="B233" s="54" t="s">
        <v>334</v>
      </c>
      <c r="C233" s="54" t="str">
        <f>VLOOKUP(A233,RecNamesAll!A:C,3,FALSE)</f>
        <v>OX2</v>
      </c>
      <c r="D233" s="60">
        <v>322</v>
      </c>
      <c r="E233" s="54" t="s">
        <v>3030</v>
      </c>
      <c r="G233" s="54" t="s">
        <v>3428</v>
      </c>
      <c r="H233" s="54" t="s">
        <v>3403</v>
      </c>
      <c r="I233" s="54" t="s">
        <v>3746</v>
      </c>
      <c r="J233" s="54" t="s">
        <v>3665</v>
      </c>
      <c r="L233" s="54" t="s">
        <v>3745</v>
      </c>
      <c r="N233" s="54" t="s">
        <v>3744</v>
      </c>
      <c r="P233" s="59">
        <v>0.33333333333333331</v>
      </c>
      <c r="Q233" s="57" t="str">
        <f t="shared" si="43"/>
        <v>Gs</v>
      </c>
      <c r="R233" s="56" t="str">
        <f t="shared" si="44"/>
        <v>Gi/o</v>
      </c>
      <c r="S233" s="56" t="str">
        <f t="shared" si="45"/>
        <v>Gq/11</v>
      </c>
      <c r="T233" s="56" t="str">
        <f t="shared" si="46"/>
        <v/>
      </c>
      <c r="U233" s="57">
        <f t="shared" si="47"/>
        <v>1</v>
      </c>
      <c r="V233" s="57">
        <f t="shared" si="48"/>
        <v>1</v>
      </c>
      <c r="W233" s="57">
        <f t="shared" si="49"/>
        <v>1</v>
      </c>
      <c r="X233" s="57">
        <f t="shared" si="50"/>
        <v>0</v>
      </c>
      <c r="Y233" s="57" t="str">
        <f t="shared" si="53"/>
        <v>c</v>
      </c>
      <c r="Z233" s="56" t="str">
        <f t="shared" si="54"/>
        <v>c</v>
      </c>
      <c r="AA233" s="56" t="str">
        <f t="shared" si="55"/>
        <v>c</v>
      </c>
      <c r="AB233" s="56" t="str">
        <f t="shared" si="56"/>
        <v>nc</v>
      </c>
      <c r="AC233" s="56">
        <f t="shared" si="51"/>
        <v>1</v>
      </c>
      <c r="AD233" s="54">
        <f t="shared" si="52"/>
        <v>1</v>
      </c>
    </row>
    <row r="234" spans="1:30">
      <c r="A234" s="54" t="s">
        <v>3743</v>
      </c>
      <c r="B234" s="54" t="s">
        <v>2135</v>
      </c>
      <c r="C234" s="54" t="str">
        <f>VLOOKUP(A234,RecNamesAll!A:C,3,FALSE)</f>
        <v>QRFP</v>
      </c>
      <c r="D234" s="60">
        <v>333</v>
      </c>
      <c r="E234" s="54" t="s">
        <v>3743</v>
      </c>
      <c r="F234" s="54" t="s">
        <v>3742</v>
      </c>
      <c r="G234" s="54" t="s">
        <v>3428</v>
      </c>
      <c r="H234" s="54" t="s">
        <v>3403</v>
      </c>
      <c r="I234" s="54" t="s">
        <v>3741</v>
      </c>
      <c r="J234" s="54" t="s">
        <v>3314</v>
      </c>
      <c r="L234" s="54" t="s">
        <v>3438</v>
      </c>
      <c r="N234" s="54" t="s">
        <v>3740</v>
      </c>
      <c r="P234" s="59">
        <v>8.3333333333333329E-2</v>
      </c>
      <c r="Q234" s="57" t="str">
        <f t="shared" si="43"/>
        <v/>
      </c>
      <c r="R234" s="56" t="str">
        <f t="shared" si="44"/>
        <v>Gi/o</v>
      </c>
      <c r="S234" s="56" t="str">
        <f t="shared" si="45"/>
        <v>Gq/11</v>
      </c>
      <c r="T234" s="56" t="str">
        <f t="shared" si="46"/>
        <v/>
      </c>
      <c r="U234" s="57">
        <f t="shared" si="47"/>
        <v>0</v>
      </c>
      <c r="V234" s="57">
        <f t="shared" si="48"/>
        <v>1</v>
      </c>
      <c r="W234" s="57">
        <f t="shared" si="49"/>
        <v>1</v>
      </c>
      <c r="X234" s="57">
        <f t="shared" si="50"/>
        <v>0</v>
      </c>
      <c r="Y234" s="57" t="str">
        <f t="shared" si="53"/>
        <v>nc</v>
      </c>
      <c r="Z234" s="56" t="str">
        <f t="shared" si="54"/>
        <v>c</v>
      </c>
      <c r="AA234" s="56" t="str">
        <f t="shared" si="55"/>
        <v>c</v>
      </c>
      <c r="AB234" s="56" t="str">
        <f t="shared" si="56"/>
        <v>nc</v>
      </c>
      <c r="AC234" s="56">
        <f t="shared" si="51"/>
        <v>2</v>
      </c>
      <c r="AD234" s="54">
        <f t="shared" si="52"/>
        <v>1</v>
      </c>
    </row>
    <row r="235" spans="1:30">
      <c r="A235" s="54" t="s">
        <v>214</v>
      </c>
      <c r="B235" s="54" t="s">
        <v>2153</v>
      </c>
      <c r="C235" s="54" t="str">
        <f>VLOOKUP(A235,RecNamesAll!A:C,3,FALSE)</f>
        <v>RXFP1</v>
      </c>
      <c r="D235" s="60">
        <v>351</v>
      </c>
      <c r="E235" s="54" t="s">
        <v>214</v>
      </c>
      <c r="F235" s="54" t="s">
        <v>3739</v>
      </c>
      <c r="G235" s="54" t="s">
        <v>3428</v>
      </c>
      <c r="H235" s="54" t="s">
        <v>3403</v>
      </c>
      <c r="I235" s="54" t="s">
        <v>3728</v>
      </c>
      <c r="J235" s="54" t="s">
        <v>3299</v>
      </c>
      <c r="K235" s="54" t="s">
        <v>3299</v>
      </c>
      <c r="L235" s="54" t="s">
        <v>3488</v>
      </c>
      <c r="M235" s="54" t="s">
        <v>3738</v>
      </c>
      <c r="N235" s="54" t="s">
        <v>3737</v>
      </c>
      <c r="O235" s="54" t="s">
        <v>3736</v>
      </c>
      <c r="P235" s="59">
        <v>0.54166666666666663</v>
      </c>
      <c r="Q235" s="57" t="str">
        <f t="shared" si="43"/>
        <v>Gs</v>
      </c>
      <c r="R235" s="56" t="str">
        <f t="shared" si="44"/>
        <v>Gi/o</v>
      </c>
      <c r="S235" s="56" t="str">
        <f t="shared" si="45"/>
        <v/>
      </c>
      <c r="T235" s="56" t="str">
        <f t="shared" si="46"/>
        <v/>
      </c>
      <c r="U235" s="57">
        <f t="shared" si="47"/>
        <v>1</v>
      </c>
      <c r="V235" s="57">
        <f t="shared" si="48"/>
        <v>1</v>
      </c>
      <c r="W235" s="57">
        <f t="shared" si="49"/>
        <v>0</v>
      </c>
      <c r="X235" s="57">
        <f t="shared" si="50"/>
        <v>0</v>
      </c>
      <c r="Y235" s="57" t="str">
        <f t="shared" si="53"/>
        <v>c</v>
      </c>
      <c r="Z235" s="56" t="str">
        <f t="shared" si="54"/>
        <v>c</v>
      </c>
      <c r="AA235" s="56" t="str">
        <f t="shared" si="55"/>
        <v>nc</v>
      </c>
      <c r="AB235" s="56" t="str">
        <f t="shared" si="56"/>
        <v>nc</v>
      </c>
      <c r="AC235" s="56">
        <f t="shared" si="51"/>
        <v>2</v>
      </c>
      <c r="AD235" s="54">
        <f t="shared" si="52"/>
        <v>1</v>
      </c>
    </row>
    <row r="236" spans="1:30">
      <c r="A236" s="54" t="s">
        <v>215</v>
      </c>
      <c r="B236" s="54" t="s">
        <v>2156</v>
      </c>
      <c r="C236" s="54" t="str">
        <f>VLOOKUP(A236,RecNamesAll!A:C,3,FALSE)</f>
        <v>RXFP2</v>
      </c>
      <c r="D236" s="60">
        <v>352</v>
      </c>
      <c r="E236" s="54" t="s">
        <v>215</v>
      </c>
      <c r="F236" s="54" t="s">
        <v>3735</v>
      </c>
      <c r="G236" s="54" t="s">
        <v>3428</v>
      </c>
      <c r="H236" s="54" t="s">
        <v>3403</v>
      </c>
      <c r="I236" s="54" t="s">
        <v>3728</v>
      </c>
      <c r="J236" s="54" t="s">
        <v>3299</v>
      </c>
      <c r="L236" s="54" t="s">
        <v>3488</v>
      </c>
      <c r="N236" s="54" t="s">
        <v>3734</v>
      </c>
      <c r="P236" s="59">
        <v>0.25</v>
      </c>
      <c r="Q236" s="57" t="str">
        <f t="shared" si="43"/>
        <v>Gs</v>
      </c>
      <c r="R236" s="56" t="str">
        <f t="shared" si="44"/>
        <v>Gi/o</v>
      </c>
      <c r="S236" s="56" t="str">
        <f t="shared" si="45"/>
        <v/>
      </c>
      <c r="T236" s="56" t="str">
        <f t="shared" si="46"/>
        <v/>
      </c>
      <c r="U236" s="57">
        <f t="shared" si="47"/>
        <v>1</v>
      </c>
      <c r="V236" s="57">
        <f t="shared" si="48"/>
        <v>1</v>
      </c>
      <c r="W236" s="57">
        <f t="shared" si="49"/>
        <v>0</v>
      </c>
      <c r="X236" s="57">
        <f t="shared" si="50"/>
        <v>0</v>
      </c>
      <c r="Y236" s="57" t="str">
        <f t="shared" si="53"/>
        <v>c</v>
      </c>
      <c r="Z236" s="56" t="str">
        <f t="shared" si="54"/>
        <v>c</v>
      </c>
      <c r="AA236" s="56" t="str">
        <f t="shared" si="55"/>
        <v>nc</v>
      </c>
      <c r="AB236" s="56" t="str">
        <f t="shared" si="56"/>
        <v>nc</v>
      </c>
      <c r="AC236" s="56">
        <f t="shared" si="51"/>
        <v>2</v>
      </c>
      <c r="AD236" s="54">
        <f t="shared" si="52"/>
        <v>1</v>
      </c>
    </row>
    <row r="237" spans="1:30">
      <c r="A237" s="54" t="s">
        <v>3733</v>
      </c>
      <c r="B237" s="54" t="s">
        <v>2139</v>
      </c>
      <c r="C237" s="54" t="str">
        <f>VLOOKUP(A237,RecNamesAll!A:C,3,FALSE)</f>
        <v>RXFP3</v>
      </c>
      <c r="D237" s="60">
        <v>353</v>
      </c>
      <c r="E237" s="54" t="s">
        <v>2140</v>
      </c>
      <c r="F237" s="54" t="s">
        <v>3732</v>
      </c>
      <c r="G237" s="54" t="s">
        <v>3428</v>
      </c>
      <c r="H237" s="54" t="s">
        <v>3403</v>
      </c>
      <c r="I237" s="54" t="s">
        <v>3728</v>
      </c>
      <c r="J237" s="54" t="s">
        <v>2760</v>
      </c>
      <c r="L237" s="54" t="s">
        <v>3515</v>
      </c>
      <c r="N237" s="54" t="s">
        <v>3731</v>
      </c>
      <c r="P237" s="59">
        <v>0.20833333333333334</v>
      </c>
      <c r="Q237" s="57" t="str">
        <f t="shared" si="43"/>
        <v/>
      </c>
      <c r="R237" s="56" t="str">
        <f t="shared" si="44"/>
        <v>Gi/o</v>
      </c>
      <c r="S237" s="56" t="str">
        <f t="shared" si="45"/>
        <v/>
      </c>
      <c r="T237" s="56" t="str">
        <f t="shared" si="46"/>
        <v/>
      </c>
      <c r="U237" s="57">
        <f t="shared" si="47"/>
        <v>0</v>
      </c>
      <c r="V237" s="57">
        <f t="shared" si="48"/>
        <v>1</v>
      </c>
      <c r="W237" s="57">
        <f t="shared" si="49"/>
        <v>0</v>
      </c>
      <c r="X237" s="57">
        <f t="shared" si="50"/>
        <v>0</v>
      </c>
      <c r="Y237" s="57" t="str">
        <f t="shared" si="53"/>
        <v>nc</v>
      </c>
      <c r="Z237" s="56" t="str">
        <f t="shared" si="54"/>
        <v>c</v>
      </c>
      <c r="AA237" s="56" t="str">
        <f t="shared" si="55"/>
        <v>nc</v>
      </c>
      <c r="AB237" s="56" t="str">
        <f t="shared" si="56"/>
        <v>nc</v>
      </c>
      <c r="AC237" s="56">
        <f t="shared" si="51"/>
        <v>3</v>
      </c>
      <c r="AD237" s="54">
        <f t="shared" si="52"/>
        <v>1</v>
      </c>
    </row>
    <row r="238" spans="1:30">
      <c r="A238" s="54" t="s">
        <v>3730</v>
      </c>
      <c r="B238" s="54" t="s">
        <v>2151</v>
      </c>
      <c r="C238" s="54" t="str">
        <f>VLOOKUP(A238,RecNamesAll!A:C,3,FALSE)</f>
        <v>RXFP4</v>
      </c>
      <c r="D238" s="60">
        <v>354</v>
      </c>
      <c r="E238" s="54" t="s">
        <v>2152</v>
      </c>
      <c r="F238" s="54" t="s">
        <v>3729</v>
      </c>
      <c r="G238" s="54" t="s">
        <v>3428</v>
      </c>
      <c r="H238" s="54" t="s">
        <v>3403</v>
      </c>
      <c r="I238" s="54" t="s">
        <v>3728</v>
      </c>
      <c r="J238" s="54" t="s">
        <v>2760</v>
      </c>
      <c r="K238" s="54" t="s">
        <v>2760</v>
      </c>
      <c r="L238" s="54" t="s">
        <v>3515</v>
      </c>
      <c r="M238" s="54" t="s">
        <v>3308</v>
      </c>
      <c r="N238" s="54" t="s">
        <v>3727</v>
      </c>
      <c r="O238" s="54" t="s">
        <v>3726</v>
      </c>
      <c r="P238" s="59">
        <v>0.16666666666666666</v>
      </c>
      <c r="Q238" s="57" t="str">
        <f t="shared" si="43"/>
        <v/>
      </c>
      <c r="R238" s="56" t="str">
        <f t="shared" si="44"/>
        <v>Gi/o</v>
      </c>
      <c r="S238" s="56" t="str">
        <f t="shared" si="45"/>
        <v/>
      </c>
      <c r="T238" s="56" t="str">
        <f t="shared" si="46"/>
        <v/>
      </c>
      <c r="U238" s="57">
        <f t="shared" si="47"/>
        <v>0</v>
      </c>
      <c r="V238" s="57">
        <f t="shared" si="48"/>
        <v>1</v>
      </c>
      <c r="W238" s="57">
        <f t="shared" si="49"/>
        <v>0</v>
      </c>
      <c r="X238" s="57">
        <f t="shared" si="50"/>
        <v>0</v>
      </c>
      <c r="Y238" s="57" t="str">
        <f t="shared" si="53"/>
        <v>nc</v>
      </c>
      <c r="Z238" s="56" t="str">
        <f t="shared" si="54"/>
        <v>c</v>
      </c>
      <c r="AA238" s="56" t="str">
        <f t="shared" si="55"/>
        <v>nc</v>
      </c>
      <c r="AB238" s="56" t="str">
        <f t="shared" si="56"/>
        <v>nc</v>
      </c>
      <c r="AC238" s="56">
        <f t="shared" si="51"/>
        <v>3</v>
      </c>
      <c r="AD238" s="54">
        <f t="shared" si="52"/>
        <v>1</v>
      </c>
    </row>
    <row r="239" spans="1:30">
      <c r="A239" s="54" t="s">
        <v>216</v>
      </c>
      <c r="B239" s="54" t="s">
        <v>2180</v>
      </c>
      <c r="C239" s="54" t="str">
        <f>VLOOKUP(A239,RecNamesAll!A:C,3,FALSE)</f>
        <v>SST1</v>
      </c>
      <c r="D239" s="60">
        <v>355</v>
      </c>
      <c r="E239" s="54" t="s">
        <v>3012</v>
      </c>
      <c r="G239" s="54" t="s">
        <v>3428</v>
      </c>
      <c r="H239" s="54" t="s">
        <v>3403</v>
      </c>
      <c r="I239" s="54" t="s">
        <v>3718</v>
      </c>
      <c r="J239" s="54" t="s">
        <v>2760</v>
      </c>
      <c r="K239" s="54" t="s">
        <v>3396</v>
      </c>
      <c r="L239" s="54" t="s">
        <v>3327</v>
      </c>
      <c r="M239" s="54" t="s">
        <v>3298</v>
      </c>
      <c r="N239" s="54" t="s">
        <v>3725</v>
      </c>
      <c r="O239" s="54" t="s">
        <v>3724</v>
      </c>
      <c r="P239" s="59">
        <v>0.125</v>
      </c>
      <c r="Q239" s="57" t="str">
        <f t="shared" si="43"/>
        <v/>
      </c>
      <c r="R239" s="56" t="str">
        <f t="shared" si="44"/>
        <v>Gi/o</v>
      </c>
      <c r="S239" s="56" t="str">
        <f t="shared" si="45"/>
        <v/>
      </c>
      <c r="T239" s="56" t="str">
        <f t="shared" si="46"/>
        <v/>
      </c>
      <c r="U239" s="57">
        <f t="shared" si="47"/>
        <v>0</v>
      </c>
      <c r="V239" s="57">
        <f t="shared" si="48"/>
        <v>1</v>
      </c>
      <c r="W239" s="57">
        <f t="shared" si="49"/>
        <v>0</v>
      </c>
      <c r="X239" s="57">
        <f t="shared" si="50"/>
        <v>0</v>
      </c>
      <c r="Y239" s="57" t="str">
        <f t="shared" si="53"/>
        <v>nc</v>
      </c>
      <c r="Z239" s="56" t="str">
        <f t="shared" si="54"/>
        <v>c</v>
      </c>
      <c r="AA239" s="56" t="str">
        <f t="shared" si="55"/>
        <v>nc</v>
      </c>
      <c r="AB239" s="56" t="str">
        <f t="shared" si="56"/>
        <v>nc</v>
      </c>
      <c r="AC239" s="56">
        <f t="shared" si="51"/>
        <v>3</v>
      </c>
      <c r="AD239" s="54">
        <f t="shared" si="52"/>
        <v>1</v>
      </c>
    </row>
    <row r="240" spans="1:30">
      <c r="A240" s="54" t="s">
        <v>218</v>
      </c>
      <c r="B240" s="54" t="s">
        <v>343</v>
      </c>
      <c r="C240" s="54" t="str">
        <f>VLOOKUP(A240,RecNamesAll!A:C,3,FALSE)</f>
        <v>SST2</v>
      </c>
      <c r="D240" s="60">
        <v>356</v>
      </c>
      <c r="E240" s="54" t="s">
        <v>3010</v>
      </c>
      <c r="G240" s="54" t="s">
        <v>3428</v>
      </c>
      <c r="H240" s="54" t="s">
        <v>3403</v>
      </c>
      <c r="I240" s="54" t="s">
        <v>3718</v>
      </c>
      <c r="J240" s="54" t="s">
        <v>2760</v>
      </c>
      <c r="L240" s="54" t="s">
        <v>3343</v>
      </c>
      <c r="N240" s="54" t="s">
        <v>3723</v>
      </c>
      <c r="P240" s="59">
        <v>0.16666666666666666</v>
      </c>
      <c r="Q240" s="57" t="str">
        <f t="shared" si="43"/>
        <v/>
      </c>
      <c r="R240" s="56" t="str">
        <f t="shared" si="44"/>
        <v>Gi/o</v>
      </c>
      <c r="S240" s="56" t="str">
        <f t="shared" si="45"/>
        <v/>
      </c>
      <c r="T240" s="56" t="str">
        <f t="shared" si="46"/>
        <v/>
      </c>
      <c r="U240" s="57">
        <f t="shared" si="47"/>
        <v>0</v>
      </c>
      <c r="V240" s="57">
        <f t="shared" si="48"/>
        <v>1</v>
      </c>
      <c r="W240" s="57">
        <f t="shared" si="49"/>
        <v>0</v>
      </c>
      <c r="X240" s="57">
        <f t="shared" si="50"/>
        <v>0</v>
      </c>
      <c r="Y240" s="57" t="str">
        <f t="shared" si="53"/>
        <v>nc</v>
      </c>
      <c r="Z240" s="56" t="str">
        <f t="shared" si="54"/>
        <v>c</v>
      </c>
      <c r="AA240" s="56" t="str">
        <f t="shared" si="55"/>
        <v>nc</v>
      </c>
      <c r="AB240" s="56" t="str">
        <f t="shared" si="56"/>
        <v>nc</v>
      </c>
      <c r="AC240" s="56">
        <f t="shared" si="51"/>
        <v>3</v>
      </c>
      <c r="AD240" s="54">
        <f t="shared" si="52"/>
        <v>1</v>
      </c>
    </row>
    <row r="241" spans="1:30">
      <c r="A241" s="54" t="s">
        <v>219</v>
      </c>
      <c r="B241" s="54" t="s">
        <v>2194</v>
      </c>
      <c r="C241" s="54" t="str">
        <f>VLOOKUP(A241,RecNamesAll!A:C,3,FALSE)</f>
        <v>SST3</v>
      </c>
      <c r="D241" s="60">
        <v>357</v>
      </c>
      <c r="E241" s="54" t="s">
        <v>3007</v>
      </c>
      <c r="G241" s="54" t="s">
        <v>3428</v>
      </c>
      <c r="H241" s="54" t="s">
        <v>3403</v>
      </c>
      <c r="I241" s="54" t="s">
        <v>3718</v>
      </c>
      <c r="J241" s="54" t="s">
        <v>2760</v>
      </c>
      <c r="L241" s="54" t="s">
        <v>3327</v>
      </c>
      <c r="N241" s="54" t="s">
        <v>3722</v>
      </c>
      <c r="P241" s="59">
        <v>0.125</v>
      </c>
      <c r="Q241" s="57" t="str">
        <f t="shared" si="43"/>
        <v/>
      </c>
      <c r="R241" s="56" t="str">
        <f t="shared" si="44"/>
        <v>Gi/o</v>
      </c>
      <c r="S241" s="56" t="str">
        <f t="shared" si="45"/>
        <v/>
      </c>
      <c r="T241" s="56" t="str">
        <f t="shared" si="46"/>
        <v/>
      </c>
      <c r="U241" s="57">
        <f t="shared" si="47"/>
        <v>0</v>
      </c>
      <c r="V241" s="57">
        <f t="shared" si="48"/>
        <v>1</v>
      </c>
      <c r="W241" s="57">
        <f t="shared" si="49"/>
        <v>0</v>
      </c>
      <c r="X241" s="57">
        <f t="shared" si="50"/>
        <v>0</v>
      </c>
      <c r="Y241" s="57" t="str">
        <f t="shared" si="53"/>
        <v>nc</v>
      </c>
      <c r="Z241" s="56" t="str">
        <f t="shared" si="54"/>
        <v>c</v>
      </c>
      <c r="AA241" s="56" t="str">
        <f t="shared" si="55"/>
        <v>nc</v>
      </c>
      <c r="AB241" s="56" t="str">
        <f t="shared" si="56"/>
        <v>nc</v>
      </c>
      <c r="AC241" s="56">
        <f t="shared" si="51"/>
        <v>3</v>
      </c>
      <c r="AD241" s="54">
        <f t="shared" si="52"/>
        <v>1</v>
      </c>
    </row>
    <row r="242" spans="1:30">
      <c r="A242" s="54" t="s">
        <v>220</v>
      </c>
      <c r="B242" s="54" t="s">
        <v>2196</v>
      </c>
      <c r="C242" s="54" t="str">
        <f>VLOOKUP(A242,RecNamesAll!A:C,3,FALSE)</f>
        <v>SST4</v>
      </c>
      <c r="D242" s="60">
        <v>358</v>
      </c>
      <c r="E242" s="54" t="s">
        <v>3004</v>
      </c>
      <c r="G242" s="54" t="s">
        <v>3428</v>
      </c>
      <c r="H242" s="54" t="s">
        <v>3403</v>
      </c>
      <c r="I242" s="54" t="s">
        <v>3718</v>
      </c>
      <c r="J242" s="54" t="s">
        <v>2760</v>
      </c>
      <c r="K242" s="54" t="s">
        <v>3309</v>
      </c>
      <c r="L242" s="54" t="s">
        <v>3327</v>
      </c>
      <c r="M242" s="54" t="s">
        <v>3721</v>
      </c>
      <c r="N242" s="54" t="s">
        <v>3720</v>
      </c>
      <c r="O242" s="54" t="s">
        <v>3719</v>
      </c>
      <c r="P242" s="59">
        <v>0.16666666666666666</v>
      </c>
      <c r="Q242" s="57" t="str">
        <f t="shared" si="43"/>
        <v/>
      </c>
      <c r="R242" s="56" t="str">
        <f t="shared" si="44"/>
        <v>Gi/o</v>
      </c>
      <c r="S242" s="56" t="str">
        <f t="shared" si="45"/>
        <v/>
      </c>
      <c r="T242" s="56" t="str">
        <f t="shared" si="46"/>
        <v/>
      </c>
      <c r="U242" s="57">
        <f t="shared" si="47"/>
        <v>0</v>
      </c>
      <c r="V242" s="57">
        <f t="shared" si="48"/>
        <v>1</v>
      </c>
      <c r="W242" s="57">
        <f t="shared" si="49"/>
        <v>0</v>
      </c>
      <c r="X242" s="57">
        <f t="shared" si="50"/>
        <v>0</v>
      </c>
      <c r="Y242" s="57" t="str">
        <f t="shared" si="53"/>
        <v>nc</v>
      </c>
      <c r="Z242" s="56" t="str">
        <f t="shared" si="54"/>
        <v>c</v>
      </c>
      <c r="AA242" s="56" t="str">
        <f t="shared" si="55"/>
        <v>nc</v>
      </c>
      <c r="AB242" s="56" t="str">
        <f t="shared" si="56"/>
        <v>nc</v>
      </c>
      <c r="AC242" s="56">
        <f t="shared" si="51"/>
        <v>3</v>
      </c>
      <c r="AD242" s="54">
        <f t="shared" si="52"/>
        <v>1</v>
      </c>
    </row>
    <row r="243" spans="1:30">
      <c r="A243" s="54" t="s">
        <v>221</v>
      </c>
      <c r="B243" s="54" t="s">
        <v>2198</v>
      </c>
      <c r="C243" s="54" t="str">
        <f>VLOOKUP(A243,RecNamesAll!A:C,3,FALSE)</f>
        <v>SST5</v>
      </c>
      <c r="D243" s="60">
        <v>359</v>
      </c>
      <c r="E243" s="54" t="s">
        <v>3002</v>
      </c>
      <c r="G243" s="54" t="s">
        <v>3428</v>
      </c>
      <c r="H243" s="54" t="s">
        <v>3403</v>
      </c>
      <c r="I243" s="54" t="s">
        <v>3718</v>
      </c>
      <c r="J243" s="54" t="s">
        <v>2760</v>
      </c>
      <c r="L243" s="54" t="s">
        <v>3343</v>
      </c>
      <c r="N243" s="54" t="s">
        <v>3717</v>
      </c>
      <c r="P243" s="59">
        <v>8.3333333333333329E-2</v>
      </c>
      <c r="Q243" s="57" t="str">
        <f t="shared" si="43"/>
        <v/>
      </c>
      <c r="R243" s="56" t="str">
        <f t="shared" si="44"/>
        <v>Gi/o</v>
      </c>
      <c r="S243" s="56" t="str">
        <f t="shared" si="45"/>
        <v/>
      </c>
      <c r="T243" s="56" t="str">
        <f t="shared" si="46"/>
        <v/>
      </c>
      <c r="U243" s="57">
        <f t="shared" si="47"/>
        <v>0</v>
      </c>
      <c r="V243" s="57">
        <f t="shared" si="48"/>
        <v>1</v>
      </c>
      <c r="W243" s="57">
        <f t="shared" si="49"/>
        <v>0</v>
      </c>
      <c r="X243" s="57">
        <f t="shared" si="50"/>
        <v>0</v>
      </c>
      <c r="Y243" s="57" t="str">
        <f t="shared" si="53"/>
        <v>nc</v>
      </c>
      <c r="Z243" s="56" t="str">
        <f t="shared" si="54"/>
        <v>c</v>
      </c>
      <c r="AA243" s="56" t="str">
        <f t="shared" si="55"/>
        <v>nc</v>
      </c>
      <c r="AB243" s="56" t="str">
        <f t="shared" si="56"/>
        <v>nc</v>
      </c>
      <c r="AC243" s="56">
        <f t="shared" si="51"/>
        <v>3</v>
      </c>
      <c r="AD243" s="54">
        <f t="shared" si="52"/>
        <v>1</v>
      </c>
    </row>
    <row r="244" spans="1:30">
      <c r="A244" s="54" t="s">
        <v>222</v>
      </c>
      <c r="B244" s="54" t="s">
        <v>1753</v>
      </c>
      <c r="C244" s="54" t="str">
        <f>VLOOKUP(A244,RecNamesAll!A:C,3,FALSE)</f>
        <v>NK1</v>
      </c>
      <c r="D244" s="60">
        <v>360</v>
      </c>
      <c r="E244" s="54" t="s">
        <v>3054</v>
      </c>
      <c r="F244" s="54" t="s">
        <v>3716</v>
      </c>
      <c r="G244" s="54" t="s">
        <v>3428</v>
      </c>
      <c r="H244" s="54" t="s">
        <v>3403</v>
      </c>
      <c r="I244" s="54" t="s">
        <v>3711</v>
      </c>
      <c r="J244" s="54" t="s">
        <v>3409</v>
      </c>
      <c r="L244" s="54" t="s">
        <v>3492</v>
      </c>
      <c r="N244" s="54" t="s">
        <v>3715</v>
      </c>
      <c r="P244" s="59">
        <v>0.20833333333333334</v>
      </c>
      <c r="Q244" s="57" t="str">
        <f t="shared" si="43"/>
        <v>Gs</v>
      </c>
      <c r="R244" s="56" t="str">
        <f t="shared" si="44"/>
        <v/>
      </c>
      <c r="S244" s="56" t="str">
        <f t="shared" si="45"/>
        <v>Gq/11</v>
      </c>
      <c r="T244" s="56" t="str">
        <f t="shared" si="46"/>
        <v/>
      </c>
      <c r="U244" s="57">
        <f t="shared" si="47"/>
        <v>1</v>
      </c>
      <c r="V244" s="57">
        <f t="shared" si="48"/>
        <v>0</v>
      </c>
      <c r="W244" s="57">
        <f t="shared" si="49"/>
        <v>1</v>
      </c>
      <c r="X244" s="57">
        <f t="shared" si="50"/>
        <v>0</v>
      </c>
      <c r="Y244" s="57" t="str">
        <f t="shared" si="53"/>
        <v>c</v>
      </c>
      <c r="Z244" s="56" t="str">
        <f t="shared" si="54"/>
        <v>nc</v>
      </c>
      <c r="AA244" s="56" t="str">
        <f t="shared" si="55"/>
        <v>c</v>
      </c>
      <c r="AB244" s="56" t="str">
        <f t="shared" si="56"/>
        <v>nc</v>
      </c>
      <c r="AC244" s="56">
        <f t="shared" si="51"/>
        <v>2</v>
      </c>
      <c r="AD244" s="54">
        <f t="shared" si="52"/>
        <v>1</v>
      </c>
    </row>
    <row r="245" spans="1:30">
      <c r="A245" s="54" t="s">
        <v>223</v>
      </c>
      <c r="B245" s="54" t="s">
        <v>1773</v>
      </c>
      <c r="C245" s="54" t="str">
        <f>VLOOKUP(A245,RecNamesAll!A:C,3,FALSE)</f>
        <v>NK2</v>
      </c>
      <c r="D245" s="60">
        <v>361</v>
      </c>
      <c r="E245" s="54" t="s">
        <v>3049</v>
      </c>
      <c r="F245" s="54" t="s">
        <v>3714</v>
      </c>
      <c r="G245" s="54" t="s">
        <v>3428</v>
      </c>
      <c r="H245" s="54" t="s">
        <v>3403</v>
      </c>
      <c r="I245" s="54" t="s">
        <v>3711</v>
      </c>
      <c r="J245" s="54" t="s">
        <v>3409</v>
      </c>
      <c r="L245" s="54" t="s">
        <v>3492</v>
      </c>
      <c r="N245" s="54" t="s">
        <v>3713</v>
      </c>
      <c r="P245" s="59">
        <v>0.125</v>
      </c>
      <c r="Q245" s="57" t="str">
        <f t="shared" si="43"/>
        <v>Gs</v>
      </c>
      <c r="R245" s="56" t="str">
        <f t="shared" si="44"/>
        <v/>
      </c>
      <c r="S245" s="56" t="str">
        <f t="shared" si="45"/>
        <v>Gq/11</v>
      </c>
      <c r="T245" s="56" t="str">
        <f t="shared" si="46"/>
        <v/>
      </c>
      <c r="U245" s="57">
        <f t="shared" si="47"/>
        <v>1</v>
      </c>
      <c r="V245" s="57">
        <f t="shared" si="48"/>
        <v>0</v>
      </c>
      <c r="W245" s="57">
        <f t="shared" si="49"/>
        <v>1</v>
      </c>
      <c r="X245" s="57">
        <f t="shared" si="50"/>
        <v>0</v>
      </c>
      <c r="Y245" s="57" t="str">
        <f t="shared" si="53"/>
        <v>c</v>
      </c>
      <c r="Z245" s="56" t="str">
        <f t="shared" si="54"/>
        <v>nc</v>
      </c>
      <c r="AA245" s="56" t="str">
        <f t="shared" si="55"/>
        <v>c</v>
      </c>
      <c r="AB245" s="56" t="str">
        <f t="shared" si="56"/>
        <v>nc</v>
      </c>
      <c r="AC245" s="56">
        <f t="shared" si="51"/>
        <v>2</v>
      </c>
      <c r="AD245" s="54">
        <f t="shared" si="52"/>
        <v>1</v>
      </c>
    </row>
    <row r="246" spans="1:30">
      <c r="A246" s="54" t="s">
        <v>224</v>
      </c>
      <c r="B246" s="54" t="s">
        <v>1776</v>
      </c>
      <c r="C246" s="54" t="str">
        <f>VLOOKUP(A246,RecNamesAll!A:C,3,FALSE)</f>
        <v>NK3</v>
      </c>
      <c r="D246" s="60">
        <v>362</v>
      </c>
      <c r="E246" s="54" t="s">
        <v>3045</v>
      </c>
      <c r="F246" s="54" t="s">
        <v>3712</v>
      </c>
      <c r="G246" s="54" t="s">
        <v>3428</v>
      </c>
      <c r="H246" s="54" t="s">
        <v>3403</v>
      </c>
      <c r="I246" s="54" t="s">
        <v>3711</v>
      </c>
      <c r="J246" s="54" t="s">
        <v>2759</v>
      </c>
      <c r="L246" s="54" t="s">
        <v>3320</v>
      </c>
      <c r="N246" s="54">
        <v>8903968</v>
      </c>
      <c r="P246" s="59">
        <v>4.1666666666666664E-2</v>
      </c>
      <c r="Q246" s="57" t="str">
        <f t="shared" si="43"/>
        <v/>
      </c>
      <c r="R246" s="56" t="str">
        <f t="shared" si="44"/>
        <v/>
      </c>
      <c r="S246" s="56" t="str">
        <f t="shared" si="45"/>
        <v>Gq/11</v>
      </c>
      <c r="T246" s="56" t="str">
        <f t="shared" si="46"/>
        <v/>
      </c>
      <c r="U246" s="57">
        <f t="shared" si="47"/>
        <v>0</v>
      </c>
      <c r="V246" s="57">
        <f t="shared" si="48"/>
        <v>0</v>
      </c>
      <c r="W246" s="57">
        <f t="shared" si="49"/>
        <v>1</v>
      </c>
      <c r="X246" s="57">
        <f t="shared" si="50"/>
        <v>0</v>
      </c>
      <c r="Y246" s="57" t="str">
        <f t="shared" si="53"/>
        <v>nc</v>
      </c>
      <c r="Z246" s="56" t="str">
        <f t="shared" si="54"/>
        <v>nc</v>
      </c>
      <c r="AA246" s="56" t="str">
        <f t="shared" si="55"/>
        <v>c</v>
      </c>
      <c r="AB246" s="56" t="str">
        <f t="shared" si="56"/>
        <v>nc</v>
      </c>
      <c r="AC246" s="56">
        <f t="shared" si="51"/>
        <v>3</v>
      </c>
      <c r="AD246" s="54">
        <f t="shared" si="52"/>
        <v>1</v>
      </c>
    </row>
    <row r="247" spans="1:30">
      <c r="A247" s="54" t="s">
        <v>74</v>
      </c>
      <c r="B247" s="54" t="s">
        <v>285</v>
      </c>
      <c r="C247" s="54" t="str">
        <f>VLOOKUP(A247,RecNamesAll!A:C,3,FALSE)</f>
        <v>CXCR2</v>
      </c>
      <c r="D247" s="60">
        <v>69</v>
      </c>
      <c r="E247" s="54" t="s">
        <v>74</v>
      </c>
      <c r="F247" s="54" t="s">
        <v>3710</v>
      </c>
      <c r="G247" s="54" t="s">
        <v>3428</v>
      </c>
      <c r="H247" s="54" t="s">
        <v>3288</v>
      </c>
      <c r="I247" s="54" t="s">
        <v>3669</v>
      </c>
      <c r="J247" s="54" t="s">
        <v>2760</v>
      </c>
      <c r="L247" s="54" t="s">
        <v>3332</v>
      </c>
      <c r="M247" s="54" t="s">
        <v>3308</v>
      </c>
      <c r="N247" s="54" t="s">
        <v>3709</v>
      </c>
      <c r="O247" s="54">
        <v>8692878</v>
      </c>
      <c r="P247" s="59">
        <v>0.125</v>
      </c>
      <c r="Q247" s="57" t="str">
        <f t="shared" si="43"/>
        <v/>
      </c>
      <c r="R247" s="56" t="str">
        <f t="shared" si="44"/>
        <v>Gi/o</v>
      </c>
      <c r="S247" s="56" t="str">
        <f t="shared" si="45"/>
        <v/>
      </c>
      <c r="T247" s="56" t="str">
        <f t="shared" si="46"/>
        <v/>
      </c>
      <c r="U247" s="57">
        <f t="shared" si="47"/>
        <v>0</v>
      </c>
      <c r="V247" s="57">
        <f t="shared" si="48"/>
        <v>1</v>
      </c>
      <c r="W247" s="57">
        <f t="shared" si="49"/>
        <v>0</v>
      </c>
      <c r="X247" s="57">
        <f t="shared" si="50"/>
        <v>0</v>
      </c>
      <c r="Y247" s="57" t="str">
        <f t="shared" si="53"/>
        <v>nc</v>
      </c>
      <c r="Z247" s="56" t="str">
        <f t="shared" si="54"/>
        <v>c</v>
      </c>
      <c r="AA247" s="56" t="str">
        <f t="shared" si="55"/>
        <v>nc</v>
      </c>
      <c r="AB247" s="56" t="str">
        <f t="shared" si="56"/>
        <v>nc</v>
      </c>
      <c r="AC247" s="56">
        <f t="shared" si="51"/>
        <v>3</v>
      </c>
      <c r="AD247" s="54">
        <f t="shared" si="52"/>
        <v>1</v>
      </c>
    </row>
    <row r="248" spans="1:30">
      <c r="A248" s="54" t="s">
        <v>225</v>
      </c>
      <c r="B248" s="54" t="s">
        <v>2244</v>
      </c>
      <c r="C248" s="54" t="str">
        <f>VLOOKUP(A248,RecNamesAll!A:C,3,FALSE)</f>
        <v>TRH1</v>
      </c>
      <c r="D248" s="60">
        <v>363</v>
      </c>
      <c r="E248" s="54" t="s">
        <v>3708</v>
      </c>
      <c r="G248" s="54" t="s">
        <v>3428</v>
      </c>
      <c r="H248" s="54" t="s">
        <v>3403</v>
      </c>
      <c r="I248" s="54" t="s">
        <v>3707</v>
      </c>
      <c r="J248" s="54" t="s">
        <v>2759</v>
      </c>
      <c r="L248" s="54" t="s">
        <v>3320</v>
      </c>
      <c r="N248" s="54" t="s">
        <v>3706</v>
      </c>
      <c r="P248" s="59">
        <v>8.3333333333333329E-2</v>
      </c>
      <c r="Q248" s="57" t="str">
        <f t="shared" si="43"/>
        <v/>
      </c>
      <c r="R248" s="56" t="str">
        <f t="shared" si="44"/>
        <v/>
      </c>
      <c r="S248" s="56" t="str">
        <f t="shared" si="45"/>
        <v>Gq/11</v>
      </c>
      <c r="T248" s="56" t="str">
        <f t="shared" si="46"/>
        <v/>
      </c>
      <c r="U248" s="57">
        <f t="shared" si="47"/>
        <v>0</v>
      </c>
      <c r="V248" s="57">
        <f t="shared" si="48"/>
        <v>0</v>
      </c>
      <c r="W248" s="57">
        <f t="shared" si="49"/>
        <v>1</v>
      </c>
      <c r="X248" s="57">
        <f t="shared" si="50"/>
        <v>0</v>
      </c>
      <c r="Y248" s="57" t="str">
        <f t="shared" si="53"/>
        <v>nc</v>
      </c>
      <c r="Z248" s="56" t="str">
        <f t="shared" si="54"/>
        <v>nc</v>
      </c>
      <c r="AA248" s="56" t="str">
        <f t="shared" si="55"/>
        <v>c</v>
      </c>
      <c r="AB248" s="56" t="str">
        <f t="shared" si="56"/>
        <v>nc</v>
      </c>
      <c r="AC248" s="56">
        <f t="shared" si="51"/>
        <v>3</v>
      </c>
      <c r="AD248" s="54">
        <f t="shared" si="52"/>
        <v>1</v>
      </c>
    </row>
    <row r="249" spans="1:30">
      <c r="A249" s="54" t="s">
        <v>226</v>
      </c>
      <c r="B249" s="54" t="s">
        <v>2257</v>
      </c>
      <c r="C249" s="54" t="str">
        <f>VLOOKUP(A249,RecNamesAll!A:C,3,FALSE)</f>
        <v>UT</v>
      </c>
      <c r="D249" s="60">
        <v>365</v>
      </c>
      <c r="E249" s="54" t="s">
        <v>3705</v>
      </c>
      <c r="F249" s="54" t="s">
        <v>3704</v>
      </c>
      <c r="G249" s="54" t="s">
        <v>3428</v>
      </c>
      <c r="H249" s="54" t="s">
        <v>3403</v>
      </c>
      <c r="I249" s="54" t="s">
        <v>3703</v>
      </c>
      <c r="J249" s="54" t="s">
        <v>2759</v>
      </c>
      <c r="L249" s="54" t="s">
        <v>3320</v>
      </c>
      <c r="N249" s="54" t="s">
        <v>3702</v>
      </c>
      <c r="P249" s="59">
        <v>0.20833333333333334</v>
      </c>
      <c r="Q249" s="57" t="str">
        <f t="shared" si="43"/>
        <v/>
      </c>
      <c r="R249" s="56" t="str">
        <f t="shared" si="44"/>
        <v/>
      </c>
      <c r="S249" s="56" t="str">
        <f t="shared" si="45"/>
        <v>Gq/11</v>
      </c>
      <c r="T249" s="56" t="str">
        <f t="shared" si="46"/>
        <v/>
      </c>
      <c r="U249" s="57">
        <f t="shared" si="47"/>
        <v>0</v>
      </c>
      <c r="V249" s="57">
        <f t="shared" si="48"/>
        <v>0</v>
      </c>
      <c r="W249" s="57">
        <f t="shared" si="49"/>
        <v>1</v>
      </c>
      <c r="X249" s="57">
        <f t="shared" si="50"/>
        <v>0</v>
      </c>
      <c r="Y249" s="57" t="str">
        <f t="shared" si="53"/>
        <v>nc</v>
      </c>
      <c r="Z249" s="56" t="str">
        <f t="shared" si="54"/>
        <v>nc</v>
      </c>
      <c r="AA249" s="56" t="str">
        <f t="shared" si="55"/>
        <v>c</v>
      </c>
      <c r="AB249" s="56" t="str">
        <f t="shared" si="56"/>
        <v>nc</v>
      </c>
      <c r="AC249" s="56">
        <f t="shared" si="51"/>
        <v>3</v>
      </c>
      <c r="AD249" s="54">
        <f t="shared" si="52"/>
        <v>1</v>
      </c>
    </row>
    <row r="250" spans="1:30">
      <c r="A250" s="54" t="s">
        <v>228</v>
      </c>
      <c r="B250" s="54" t="s">
        <v>345</v>
      </c>
      <c r="C250" s="54" t="str">
        <f>VLOOKUP(A250,RecNamesAll!A:C,3,FALSE)</f>
        <v>V1A</v>
      </c>
      <c r="D250" s="60">
        <v>366</v>
      </c>
      <c r="E250" s="54" t="s">
        <v>3088</v>
      </c>
      <c r="F250" s="54" t="s">
        <v>3701</v>
      </c>
      <c r="G250" s="54" t="s">
        <v>3428</v>
      </c>
      <c r="H250" s="54" t="s">
        <v>3403</v>
      </c>
      <c r="I250" s="54" t="s">
        <v>3698</v>
      </c>
      <c r="J250" s="54" t="s">
        <v>2759</v>
      </c>
      <c r="L250" s="54" t="s">
        <v>3320</v>
      </c>
      <c r="N250" s="54">
        <v>10026824</v>
      </c>
      <c r="P250" s="59">
        <v>4.1666666666666664E-2</v>
      </c>
      <c r="Q250" s="57" t="str">
        <f t="shared" si="43"/>
        <v/>
      </c>
      <c r="R250" s="56" t="str">
        <f t="shared" si="44"/>
        <v/>
      </c>
      <c r="S250" s="56" t="str">
        <f t="shared" si="45"/>
        <v>Gq/11</v>
      </c>
      <c r="T250" s="56" t="str">
        <f t="shared" si="46"/>
        <v/>
      </c>
      <c r="U250" s="57">
        <f t="shared" si="47"/>
        <v>0</v>
      </c>
      <c r="V250" s="57">
        <f t="shared" si="48"/>
        <v>0</v>
      </c>
      <c r="W250" s="57">
        <f t="shared" si="49"/>
        <v>1</v>
      </c>
      <c r="X250" s="57">
        <f t="shared" si="50"/>
        <v>0</v>
      </c>
      <c r="Y250" s="57" t="str">
        <f t="shared" si="53"/>
        <v>nc</v>
      </c>
      <c r="Z250" s="56" t="str">
        <f t="shared" si="54"/>
        <v>nc</v>
      </c>
      <c r="AA250" s="56" t="str">
        <f t="shared" si="55"/>
        <v>c</v>
      </c>
      <c r="AB250" s="56" t="str">
        <f t="shared" si="56"/>
        <v>nc</v>
      </c>
      <c r="AC250" s="56">
        <f t="shared" si="51"/>
        <v>3</v>
      </c>
      <c r="AD250" s="54">
        <f t="shared" si="52"/>
        <v>1</v>
      </c>
    </row>
    <row r="251" spans="1:30">
      <c r="A251" s="54" t="s">
        <v>229</v>
      </c>
      <c r="B251" s="54" t="s">
        <v>2268</v>
      </c>
      <c r="C251" s="54" t="str">
        <f>VLOOKUP(A251,RecNamesAll!A:C,3,FALSE)</f>
        <v>V1B</v>
      </c>
      <c r="D251" s="60">
        <v>367</v>
      </c>
      <c r="E251" s="54" t="s">
        <v>3085</v>
      </c>
      <c r="F251" s="54" t="s">
        <v>3700</v>
      </c>
      <c r="G251" s="54" t="s">
        <v>3428</v>
      </c>
      <c r="H251" s="54" t="s">
        <v>3403</v>
      </c>
      <c r="I251" s="54" t="s">
        <v>3698</v>
      </c>
      <c r="J251" s="54" t="s">
        <v>2759</v>
      </c>
      <c r="L251" s="54" t="s">
        <v>3320</v>
      </c>
      <c r="N251" s="54">
        <v>10026824</v>
      </c>
      <c r="P251" s="59">
        <v>4.1666666666666664E-2</v>
      </c>
      <c r="Q251" s="57" t="str">
        <f t="shared" si="43"/>
        <v/>
      </c>
      <c r="R251" s="56" t="str">
        <f t="shared" si="44"/>
        <v/>
      </c>
      <c r="S251" s="56" t="str">
        <f t="shared" si="45"/>
        <v>Gq/11</v>
      </c>
      <c r="T251" s="56" t="str">
        <f t="shared" si="46"/>
        <v/>
      </c>
      <c r="U251" s="57">
        <f t="shared" si="47"/>
        <v>0</v>
      </c>
      <c r="V251" s="57">
        <f t="shared" si="48"/>
        <v>0</v>
      </c>
      <c r="W251" s="57">
        <f t="shared" si="49"/>
        <v>1</v>
      </c>
      <c r="X251" s="57">
        <f t="shared" si="50"/>
        <v>0</v>
      </c>
      <c r="Y251" s="57" t="str">
        <f t="shared" si="53"/>
        <v>nc</v>
      </c>
      <c r="Z251" s="56" t="str">
        <f t="shared" si="54"/>
        <v>nc</v>
      </c>
      <c r="AA251" s="56" t="str">
        <f t="shared" si="55"/>
        <v>c</v>
      </c>
      <c r="AB251" s="56" t="str">
        <f t="shared" si="56"/>
        <v>nc</v>
      </c>
      <c r="AC251" s="56">
        <f t="shared" si="51"/>
        <v>3</v>
      </c>
      <c r="AD251" s="54">
        <f t="shared" si="52"/>
        <v>1</v>
      </c>
    </row>
    <row r="252" spans="1:30">
      <c r="A252" s="54" t="s">
        <v>230</v>
      </c>
      <c r="B252" s="54" t="s">
        <v>346</v>
      </c>
      <c r="C252" s="54" t="str">
        <f>VLOOKUP(A252,RecNamesAll!A:C,3,FALSE)</f>
        <v>V2</v>
      </c>
      <c r="D252" s="60">
        <v>368</v>
      </c>
      <c r="E252" s="54" t="s">
        <v>3082</v>
      </c>
      <c r="F252" s="54" t="s">
        <v>3699</v>
      </c>
      <c r="G252" s="54" t="s">
        <v>3428</v>
      </c>
      <c r="H252" s="54" t="s">
        <v>3403</v>
      </c>
      <c r="I252" s="54" t="s">
        <v>3698</v>
      </c>
      <c r="J252" s="54" t="s">
        <v>2761</v>
      </c>
      <c r="L252" s="54" t="s">
        <v>3369</v>
      </c>
      <c r="N252" s="54">
        <v>10026824</v>
      </c>
      <c r="P252" s="59">
        <v>4.1666666666666664E-2</v>
      </c>
      <c r="Q252" s="57" t="str">
        <f t="shared" si="43"/>
        <v>Gs</v>
      </c>
      <c r="R252" s="56" t="str">
        <f t="shared" si="44"/>
        <v/>
      </c>
      <c r="S252" s="56" t="str">
        <f t="shared" si="45"/>
        <v/>
      </c>
      <c r="T252" s="56" t="str">
        <f t="shared" si="46"/>
        <v/>
      </c>
      <c r="U252" s="57">
        <f t="shared" si="47"/>
        <v>1</v>
      </c>
      <c r="V252" s="57">
        <f t="shared" si="48"/>
        <v>0</v>
      </c>
      <c r="W252" s="57">
        <f t="shared" si="49"/>
        <v>0</v>
      </c>
      <c r="X252" s="57">
        <f t="shared" si="50"/>
        <v>0</v>
      </c>
      <c r="Y252" s="57" t="str">
        <f t="shared" si="53"/>
        <v>c</v>
      </c>
      <c r="Z252" s="56" t="str">
        <f t="shared" si="54"/>
        <v>nc</v>
      </c>
      <c r="AA252" s="56" t="str">
        <f t="shared" si="55"/>
        <v>nc</v>
      </c>
      <c r="AB252" s="56" t="str">
        <f t="shared" si="56"/>
        <v>nc</v>
      </c>
      <c r="AC252" s="56">
        <f t="shared" si="51"/>
        <v>3</v>
      </c>
      <c r="AD252" s="54">
        <f t="shared" si="52"/>
        <v>1</v>
      </c>
    </row>
    <row r="253" spans="1:30">
      <c r="A253" s="54" t="s">
        <v>227</v>
      </c>
      <c r="B253" s="54" t="s">
        <v>344</v>
      </c>
      <c r="C253" s="54" t="str">
        <f>VLOOKUP(A253,RecNamesAll!A:C,3,FALSE)</f>
        <v>OT</v>
      </c>
      <c r="D253" s="60">
        <v>369</v>
      </c>
      <c r="E253" s="54" t="s">
        <v>3025</v>
      </c>
      <c r="G253" s="54" t="s">
        <v>3428</v>
      </c>
      <c r="H253" s="54" t="s">
        <v>3403</v>
      </c>
      <c r="I253" s="54" t="s">
        <v>3698</v>
      </c>
      <c r="J253" s="54" t="s">
        <v>2759</v>
      </c>
      <c r="K253" s="54" t="s">
        <v>2760</v>
      </c>
      <c r="L253" s="54" t="s">
        <v>3320</v>
      </c>
      <c r="M253" s="54" t="s">
        <v>3327</v>
      </c>
      <c r="N253" s="54" t="s">
        <v>3697</v>
      </c>
      <c r="O253" s="54" t="s">
        <v>3696</v>
      </c>
      <c r="P253" s="59">
        <v>8.3333333333333329E-2</v>
      </c>
      <c r="Q253" s="57" t="str">
        <f t="shared" si="43"/>
        <v/>
      </c>
      <c r="R253" s="56" t="str">
        <f t="shared" si="44"/>
        <v>Gi/o</v>
      </c>
      <c r="S253" s="56" t="str">
        <f t="shared" si="45"/>
        <v>Gq/11</v>
      </c>
      <c r="T253" s="56" t="str">
        <f t="shared" si="46"/>
        <v/>
      </c>
      <c r="U253" s="57">
        <f t="shared" si="47"/>
        <v>0</v>
      </c>
      <c r="V253" s="57">
        <f t="shared" si="48"/>
        <v>2</v>
      </c>
      <c r="W253" s="57">
        <f t="shared" si="49"/>
        <v>1</v>
      </c>
      <c r="X253" s="57">
        <f t="shared" si="50"/>
        <v>0</v>
      </c>
      <c r="Y253" s="57" t="str">
        <f t="shared" si="53"/>
        <v>nc</v>
      </c>
      <c r="Z253" s="56" t="str">
        <f t="shared" si="54"/>
        <v>c</v>
      </c>
      <c r="AA253" s="56" t="str">
        <f t="shared" si="55"/>
        <v>c</v>
      </c>
      <c r="AB253" s="56" t="str">
        <f t="shared" si="56"/>
        <v>nc</v>
      </c>
      <c r="AC253" s="56">
        <f t="shared" si="51"/>
        <v>2</v>
      </c>
      <c r="AD253" s="54">
        <f t="shared" si="52"/>
        <v>1</v>
      </c>
    </row>
    <row r="254" spans="1:30">
      <c r="A254" s="54" t="s">
        <v>3695</v>
      </c>
      <c r="B254" s="54" t="s">
        <v>958</v>
      </c>
      <c r="C254" s="54" t="str">
        <f>VLOOKUP(A254,RecNamesAll!A:C,3,FALSE)</f>
        <v>Chemerin</v>
      </c>
      <c r="D254" s="60">
        <v>79</v>
      </c>
      <c r="E254" s="54" t="s">
        <v>3694</v>
      </c>
      <c r="F254" s="54" t="s">
        <v>3693</v>
      </c>
      <c r="G254" s="54" t="s">
        <v>3428</v>
      </c>
      <c r="H254" s="54" t="s">
        <v>3288</v>
      </c>
      <c r="I254" s="54" t="s">
        <v>3692</v>
      </c>
      <c r="J254" s="54" t="s">
        <v>2760</v>
      </c>
      <c r="L254" s="54" t="s">
        <v>3327</v>
      </c>
      <c r="N254" s="54">
        <v>14530373</v>
      </c>
      <c r="P254" s="59">
        <v>4.1666666666666664E-2</v>
      </c>
      <c r="Q254" s="57" t="str">
        <f t="shared" si="43"/>
        <v/>
      </c>
      <c r="R254" s="56" t="str">
        <f t="shared" si="44"/>
        <v>Gi/o</v>
      </c>
      <c r="S254" s="56" t="str">
        <f t="shared" si="45"/>
        <v/>
      </c>
      <c r="T254" s="56" t="str">
        <f t="shared" si="46"/>
        <v/>
      </c>
      <c r="U254" s="57">
        <f t="shared" si="47"/>
        <v>0</v>
      </c>
      <c r="V254" s="57">
        <f t="shared" si="48"/>
        <v>1</v>
      </c>
      <c r="W254" s="57">
        <f t="shared" si="49"/>
        <v>0</v>
      </c>
      <c r="X254" s="57">
        <f t="shared" si="50"/>
        <v>0</v>
      </c>
      <c r="Y254" s="57" t="str">
        <f t="shared" si="53"/>
        <v>nc</v>
      </c>
      <c r="Z254" s="56" t="str">
        <f t="shared" si="54"/>
        <v>c</v>
      </c>
      <c r="AA254" s="56" t="str">
        <f t="shared" si="55"/>
        <v>nc</v>
      </c>
      <c r="AB254" s="56" t="str">
        <f t="shared" si="56"/>
        <v>nc</v>
      </c>
      <c r="AC254" s="56">
        <f t="shared" si="51"/>
        <v>3</v>
      </c>
      <c r="AD254" s="54">
        <f t="shared" si="52"/>
        <v>1</v>
      </c>
    </row>
    <row r="255" spans="1:30">
      <c r="A255" s="54" t="s">
        <v>62</v>
      </c>
      <c r="B255" s="54" t="s">
        <v>869</v>
      </c>
      <c r="C255" s="54" t="str">
        <f>VLOOKUP(A255,RecNamesAll!A:C,3,FALSE)</f>
        <v>CCR1</v>
      </c>
      <c r="D255" s="60">
        <v>58</v>
      </c>
      <c r="E255" s="54" t="s">
        <v>62</v>
      </c>
      <c r="F255" s="54" t="s">
        <v>3691</v>
      </c>
      <c r="G255" s="54" t="s">
        <v>3428</v>
      </c>
      <c r="H255" s="54" t="s">
        <v>3288</v>
      </c>
      <c r="I255" s="54" t="s">
        <v>3669</v>
      </c>
      <c r="J255" s="54" t="s">
        <v>2760</v>
      </c>
      <c r="K255" s="54" t="s">
        <v>2760</v>
      </c>
      <c r="L255" s="54" t="s">
        <v>3668</v>
      </c>
      <c r="M255" s="54" t="s">
        <v>3320</v>
      </c>
      <c r="N255" s="54">
        <v>16226254</v>
      </c>
      <c r="O255" s="54">
        <v>11943214</v>
      </c>
      <c r="P255" s="59">
        <v>4.1666666666666664E-2</v>
      </c>
      <c r="Q255" s="57" t="str">
        <f t="shared" si="43"/>
        <v/>
      </c>
      <c r="R255" s="56" t="str">
        <f t="shared" si="44"/>
        <v>Gi/o</v>
      </c>
      <c r="S255" s="56" t="str">
        <f t="shared" si="45"/>
        <v/>
      </c>
      <c r="T255" s="56" t="str">
        <f t="shared" si="46"/>
        <v/>
      </c>
      <c r="U255" s="57">
        <f t="shared" si="47"/>
        <v>0</v>
      </c>
      <c r="V255" s="57">
        <f t="shared" si="48"/>
        <v>1</v>
      </c>
      <c r="W255" s="57">
        <f t="shared" si="49"/>
        <v>0</v>
      </c>
      <c r="X255" s="57">
        <f t="shared" si="50"/>
        <v>0</v>
      </c>
      <c r="Y255" s="57" t="str">
        <f t="shared" si="53"/>
        <v>nc</v>
      </c>
      <c r="Z255" s="56" t="str">
        <f t="shared" si="54"/>
        <v>c</v>
      </c>
      <c r="AA255" s="56" t="str">
        <f t="shared" si="55"/>
        <v>nc</v>
      </c>
      <c r="AB255" s="56" t="str">
        <f t="shared" si="56"/>
        <v>nc</v>
      </c>
      <c r="AC255" s="56">
        <f t="shared" si="51"/>
        <v>3</v>
      </c>
      <c r="AD255" s="54">
        <f t="shared" si="52"/>
        <v>1</v>
      </c>
    </row>
    <row r="256" spans="1:30">
      <c r="A256" s="54" t="s">
        <v>64</v>
      </c>
      <c r="B256" s="54" t="s">
        <v>903</v>
      </c>
      <c r="C256" s="54" t="str">
        <f>VLOOKUP(A256,RecNamesAll!A:C,3,FALSE)</f>
        <v>CCR2</v>
      </c>
      <c r="D256" s="60">
        <v>59</v>
      </c>
      <c r="E256" s="54" t="s">
        <v>64</v>
      </c>
      <c r="F256" s="54" t="s">
        <v>3690</v>
      </c>
      <c r="G256" s="54" t="s">
        <v>3428</v>
      </c>
      <c r="H256" s="54" t="s">
        <v>3288</v>
      </c>
      <c r="I256" s="54" t="s">
        <v>3669</v>
      </c>
      <c r="J256" s="54" t="s">
        <v>2760</v>
      </c>
      <c r="N256" s="54">
        <v>12920215</v>
      </c>
      <c r="P256" s="59">
        <v>4.1666666666666664E-2</v>
      </c>
      <c r="Q256" s="57" t="str">
        <f t="shared" si="43"/>
        <v/>
      </c>
      <c r="R256" s="56" t="str">
        <f t="shared" si="44"/>
        <v>Gi/o</v>
      </c>
      <c r="S256" s="56" t="str">
        <f t="shared" si="45"/>
        <v/>
      </c>
      <c r="T256" s="56" t="str">
        <f t="shared" si="46"/>
        <v/>
      </c>
      <c r="U256" s="57">
        <f t="shared" si="47"/>
        <v>0</v>
      </c>
      <c r="V256" s="57">
        <f t="shared" si="48"/>
        <v>1</v>
      </c>
      <c r="W256" s="57">
        <f t="shared" si="49"/>
        <v>0</v>
      </c>
      <c r="X256" s="57">
        <f t="shared" si="50"/>
        <v>0</v>
      </c>
      <c r="Y256" s="57" t="str">
        <f t="shared" si="53"/>
        <v>nc</v>
      </c>
      <c r="Z256" s="56" t="str">
        <f t="shared" si="54"/>
        <v>c</v>
      </c>
      <c r="AA256" s="56" t="str">
        <f t="shared" si="55"/>
        <v>nc</v>
      </c>
      <c r="AB256" s="56" t="str">
        <f t="shared" si="56"/>
        <v>nc</v>
      </c>
      <c r="AC256" s="56">
        <f t="shared" si="51"/>
        <v>3</v>
      </c>
      <c r="AD256" s="54">
        <f t="shared" si="52"/>
        <v>1</v>
      </c>
    </row>
    <row r="257" spans="1:30">
      <c r="A257" s="54" t="s">
        <v>65</v>
      </c>
      <c r="B257" s="54" t="s">
        <v>915</v>
      </c>
      <c r="C257" s="54" t="str">
        <f>VLOOKUP(A257,RecNamesAll!A:C,3,FALSE)</f>
        <v>CCR3</v>
      </c>
      <c r="D257" s="60">
        <v>60</v>
      </c>
      <c r="E257" s="54" t="s">
        <v>65</v>
      </c>
      <c r="F257" s="54" t="s">
        <v>3689</v>
      </c>
      <c r="G257" s="54" t="s">
        <v>3428</v>
      </c>
      <c r="H257" s="54" t="s">
        <v>3288</v>
      </c>
      <c r="I257" s="54" t="s">
        <v>3669</v>
      </c>
      <c r="J257" s="54" t="s">
        <v>2760</v>
      </c>
      <c r="L257" s="54" t="s">
        <v>3668</v>
      </c>
      <c r="Q257" s="57" t="str">
        <f t="shared" si="43"/>
        <v/>
      </c>
      <c r="R257" s="56" t="str">
        <f t="shared" si="44"/>
        <v>Gi/o</v>
      </c>
      <c r="S257" s="56" t="str">
        <f t="shared" si="45"/>
        <v/>
      </c>
      <c r="T257" s="56" t="str">
        <f t="shared" si="46"/>
        <v/>
      </c>
      <c r="U257" s="57">
        <f t="shared" si="47"/>
        <v>0</v>
      </c>
      <c r="V257" s="57">
        <f t="shared" si="48"/>
        <v>1</v>
      </c>
      <c r="W257" s="57">
        <f t="shared" si="49"/>
        <v>0</v>
      </c>
      <c r="X257" s="57">
        <f t="shared" si="50"/>
        <v>0</v>
      </c>
      <c r="Y257" s="57" t="str">
        <f t="shared" si="53"/>
        <v>nc</v>
      </c>
      <c r="Z257" s="56" t="str">
        <f t="shared" si="54"/>
        <v>c</v>
      </c>
      <c r="AA257" s="56" t="str">
        <f t="shared" si="55"/>
        <v>nc</v>
      </c>
      <c r="AB257" s="56" t="str">
        <f t="shared" si="56"/>
        <v>nc</v>
      </c>
      <c r="AC257" s="56">
        <f t="shared" si="51"/>
        <v>3</v>
      </c>
      <c r="AD257" s="54">
        <f t="shared" si="52"/>
        <v>1</v>
      </c>
    </row>
    <row r="258" spans="1:30">
      <c r="A258" s="54" t="s">
        <v>66</v>
      </c>
      <c r="B258" s="54" t="s">
        <v>921</v>
      </c>
      <c r="C258" s="54" t="str">
        <f>VLOOKUP(A258,RecNamesAll!A:C,3,FALSE)</f>
        <v>CCR4</v>
      </c>
      <c r="D258" s="60">
        <v>61</v>
      </c>
      <c r="E258" s="54" t="s">
        <v>66</v>
      </c>
      <c r="F258" s="54" t="s">
        <v>3688</v>
      </c>
      <c r="G258" s="54" t="s">
        <v>3428</v>
      </c>
      <c r="H258" s="54" t="s">
        <v>3288</v>
      </c>
      <c r="I258" s="54" t="s">
        <v>3669</v>
      </c>
      <c r="J258" s="54" t="s">
        <v>2760</v>
      </c>
      <c r="L258" s="54" t="s">
        <v>3668</v>
      </c>
      <c r="N258" s="54">
        <v>11880151</v>
      </c>
      <c r="P258" s="59">
        <v>4.1666666666666664E-2</v>
      </c>
      <c r="Q258" s="57" t="str">
        <f t="shared" ref="Q258:Q321" si="57">IF(OR(ISNUMBER(SEARCH("Gs",$J258)),ISNUMBER(SEARCH("Gs",$K258))),"Gs","")</f>
        <v/>
      </c>
      <c r="R258" s="56" t="str">
        <f t="shared" ref="R258:R321" si="58">IF(OR(ISNUMBER(SEARCH("Gi/o",$J258)),ISNUMBER(SEARCH("Gi/o",$K258))),"Gi/o","")</f>
        <v>Gi/o</v>
      </c>
      <c r="S258" s="56" t="str">
        <f t="shared" ref="S258:S321" si="59">IF(OR(ISNUMBER(SEARCH("Gq/11",$J258)),ISNUMBER(SEARCH("Gq/11",$K258))),"Gq/11","")</f>
        <v/>
      </c>
      <c r="T258" s="56" t="str">
        <f t="shared" ref="T258:T321" si="60">IF(OR(ISNUMBER(SEARCH("G12/13",$J258)),ISNUMBER(SEARCH("G12/13",$K258))),"G12/13","")</f>
        <v/>
      </c>
      <c r="U258" s="57">
        <f t="shared" ref="U258:U321" si="61">IF(ISNUMBER(SEARCH("Gs",$J258)),1,IF(ISNUMBER(SEARCH("Gs",$K258)),2,0))</f>
        <v>0</v>
      </c>
      <c r="V258" s="57">
        <f t="shared" ref="V258:V321" si="62">IF(ISNUMBER(SEARCH("Gi/o",$J258)),1,IF(ISNUMBER(SEARCH("Gi/o",$K258)),2,0))</f>
        <v>1</v>
      </c>
      <c r="W258" s="57">
        <f t="shared" ref="W258:W321" si="63">IF(ISNUMBER(SEARCH("Gq/11",$J258)),1,IF(ISNUMBER(SEARCH("Gq/11",$K258)),2,0))</f>
        <v>0</v>
      </c>
      <c r="X258" s="57">
        <f t="shared" ref="X258:X321" si="64">IF(ISNUMBER(SEARCH("G12/13",$J258)),1,IF(ISNUMBER(SEARCH("G12/13",$K258)),2,0))</f>
        <v>0</v>
      </c>
      <c r="Y258" s="57" t="str">
        <f t="shared" si="53"/>
        <v>nc</v>
      </c>
      <c r="Z258" s="56" t="str">
        <f t="shared" si="54"/>
        <v>c</v>
      </c>
      <c r="AA258" s="56" t="str">
        <f t="shared" si="55"/>
        <v>nc</v>
      </c>
      <c r="AB258" s="56" t="str">
        <f t="shared" si="56"/>
        <v>nc</v>
      </c>
      <c r="AC258" s="56">
        <f t="shared" ref="AC258:AC321" si="65">IF(SUM(U258:X258)&gt;0,COUNTIF(U258:X258,"0"),"")</f>
        <v>3</v>
      </c>
      <c r="AD258" s="54">
        <f t="shared" ref="AD258:AD321" si="66">IF(SUM(U258:X258)&gt;0,1,0)</f>
        <v>1</v>
      </c>
    </row>
    <row r="259" spans="1:30">
      <c r="A259" s="54" t="s">
        <v>67</v>
      </c>
      <c r="B259" s="54" t="s">
        <v>283</v>
      </c>
      <c r="C259" s="54" t="str">
        <f>VLOOKUP(A259,RecNamesAll!A:C,3,FALSE)</f>
        <v>CCR5</v>
      </c>
      <c r="D259" s="60">
        <v>62</v>
      </c>
      <c r="E259" s="54" t="s">
        <v>67</v>
      </c>
      <c r="F259" s="54" t="s">
        <v>3687</v>
      </c>
      <c r="G259" s="54" t="s">
        <v>3428</v>
      </c>
      <c r="H259" s="54" t="s">
        <v>3288</v>
      </c>
      <c r="I259" s="54" t="s">
        <v>3669</v>
      </c>
      <c r="J259" s="54" t="s">
        <v>2760</v>
      </c>
      <c r="K259" s="54" t="s">
        <v>2760</v>
      </c>
      <c r="L259" s="54" t="s">
        <v>3668</v>
      </c>
      <c r="M259" s="54" t="s">
        <v>3327</v>
      </c>
      <c r="N259" s="54">
        <v>11880151</v>
      </c>
      <c r="O259" s="54">
        <v>9303305</v>
      </c>
      <c r="P259" s="59">
        <v>4.1666666666666664E-2</v>
      </c>
      <c r="Q259" s="57" t="str">
        <f t="shared" si="57"/>
        <v/>
      </c>
      <c r="R259" s="56" t="str">
        <f t="shared" si="58"/>
        <v>Gi/o</v>
      </c>
      <c r="S259" s="56" t="str">
        <f t="shared" si="59"/>
        <v/>
      </c>
      <c r="T259" s="56" t="str">
        <f t="shared" si="60"/>
        <v/>
      </c>
      <c r="U259" s="57">
        <f t="shared" si="61"/>
        <v>0</v>
      </c>
      <c r="V259" s="57">
        <f t="shared" si="62"/>
        <v>1</v>
      </c>
      <c r="W259" s="57">
        <f t="shared" si="63"/>
        <v>0</v>
      </c>
      <c r="X259" s="57">
        <f t="shared" si="64"/>
        <v>0</v>
      </c>
      <c r="Y259" s="57" t="str">
        <f t="shared" ref="Y259:Y322" si="67">IF(U259&gt;0,"c","nc")</f>
        <v>nc</v>
      </c>
      <c r="Z259" s="56" t="str">
        <f t="shared" ref="Z259:Z322" si="68">IF(V259&gt;0,"c","nc")</f>
        <v>c</v>
      </c>
      <c r="AA259" s="56" t="str">
        <f t="shared" ref="AA259:AA322" si="69">IF(W259&gt;0,"c","nc")</f>
        <v>nc</v>
      </c>
      <c r="AB259" s="56" t="str">
        <f t="shared" ref="AB259:AB322" si="70">IF(X259&gt;0,"c","nc")</f>
        <v>nc</v>
      </c>
      <c r="AC259" s="56">
        <f t="shared" si="65"/>
        <v>3</v>
      </c>
      <c r="AD259" s="54">
        <f t="shared" si="66"/>
        <v>1</v>
      </c>
    </row>
    <row r="260" spans="1:30">
      <c r="A260" s="54" t="s">
        <v>68</v>
      </c>
      <c r="B260" s="54" t="s">
        <v>284</v>
      </c>
      <c r="C260" s="54" t="str">
        <f>VLOOKUP(A260,RecNamesAll!A:C,3,FALSE)</f>
        <v>CCR6</v>
      </c>
      <c r="D260" s="60">
        <v>63</v>
      </c>
      <c r="E260" s="54" t="s">
        <v>68</v>
      </c>
      <c r="F260" s="54" t="s">
        <v>3686</v>
      </c>
      <c r="G260" s="54" t="s">
        <v>3428</v>
      </c>
      <c r="H260" s="54" t="s">
        <v>3288</v>
      </c>
      <c r="I260" s="54" t="s">
        <v>3669</v>
      </c>
      <c r="J260" s="54" t="s">
        <v>2760</v>
      </c>
      <c r="L260" s="54" t="s">
        <v>3668</v>
      </c>
      <c r="N260" s="54">
        <v>9893054</v>
      </c>
      <c r="P260" s="59">
        <v>4.1666666666666664E-2</v>
      </c>
      <c r="Q260" s="57" t="str">
        <f t="shared" si="57"/>
        <v/>
      </c>
      <c r="R260" s="56" t="str">
        <f t="shared" si="58"/>
        <v>Gi/o</v>
      </c>
      <c r="S260" s="56" t="str">
        <f t="shared" si="59"/>
        <v/>
      </c>
      <c r="T260" s="56" t="str">
        <f t="shared" si="60"/>
        <v/>
      </c>
      <c r="U260" s="57">
        <f t="shared" si="61"/>
        <v>0</v>
      </c>
      <c r="V260" s="57">
        <f t="shared" si="62"/>
        <v>1</v>
      </c>
      <c r="W260" s="57">
        <f t="shared" si="63"/>
        <v>0</v>
      </c>
      <c r="X260" s="57">
        <f t="shared" si="64"/>
        <v>0</v>
      </c>
      <c r="Y260" s="57" t="str">
        <f t="shared" si="67"/>
        <v>nc</v>
      </c>
      <c r="Z260" s="56" t="str">
        <f t="shared" si="68"/>
        <v>c</v>
      </c>
      <c r="AA260" s="56" t="str">
        <f t="shared" si="69"/>
        <v>nc</v>
      </c>
      <c r="AB260" s="56" t="str">
        <f t="shared" si="70"/>
        <v>nc</v>
      </c>
      <c r="AC260" s="56">
        <f t="shared" si="65"/>
        <v>3</v>
      </c>
      <c r="AD260" s="54">
        <f t="shared" si="66"/>
        <v>1</v>
      </c>
    </row>
    <row r="261" spans="1:30">
      <c r="A261" s="54" t="s">
        <v>69</v>
      </c>
      <c r="B261" s="54" t="s">
        <v>934</v>
      </c>
      <c r="C261" s="54" t="str">
        <f>VLOOKUP(A261,RecNamesAll!A:C,3,FALSE)</f>
        <v>CCR7</v>
      </c>
      <c r="D261" s="60">
        <v>64</v>
      </c>
      <c r="E261" s="54" t="s">
        <v>69</v>
      </c>
      <c r="F261" s="54" t="s">
        <v>3685</v>
      </c>
      <c r="G261" s="54" t="s">
        <v>3428</v>
      </c>
      <c r="H261" s="54" t="s">
        <v>3288</v>
      </c>
      <c r="I261" s="54" t="s">
        <v>3669</v>
      </c>
      <c r="J261" s="54" t="s">
        <v>2760</v>
      </c>
      <c r="K261" s="54" t="s">
        <v>2760</v>
      </c>
      <c r="L261" s="54" t="s">
        <v>3668</v>
      </c>
      <c r="M261" s="54" t="s">
        <v>3298</v>
      </c>
      <c r="N261" s="54" t="s">
        <v>3684</v>
      </c>
      <c r="O261" s="54">
        <v>15054093</v>
      </c>
      <c r="P261" s="59">
        <v>0.125</v>
      </c>
      <c r="Q261" s="57" t="str">
        <f t="shared" si="57"/>
        <v/>
      </c>
      <c r="R261" s="56" t="str">
        <f t="shared" si="58"/>
        <v>Gi/o</v>
      </c>
      <c r="S261" s="56" t="str">
        <f t="shared" si="59"/>
        <v/>
      </c>
      <c r="T261" s="56" t="str">
        <f t="shared" si="60"/>
        <v/>
      </c>
      <c r="U261" s="57">
        <f t="shared" si="61"/>
        <v>0</v>
      </c>
      <c r="V261" s="57">
        <f t="shared" si="62"/>
        <v>1</v>
      </c>
      <c r="W261" s="57">
        <f t="shared" si="63"/>
        <v>0</v>
      </c>
      <c r="X261" s="57">
        <f t="shared" si="64"/>
        <v>0</v>
      </c>
      <c r="Y261" s="57" t="str">
        <f t="shared" si="67"/>
        <v>nc</v>
      </c>
      <c r="Z261" s="56" t="str">
        <f t="shared" si="68"/>
        <v>c</v>
      </c>
      <c r="AA261" s="56" t="str">
        <f t="shared" si="69"/>
        <v>nc</v>
      </c>
      <c r="AB261" s="56" t="str">
        <f t="shared" si="70"/>
        <v>nc</v>
      </c>
      <c r="AC261" s="56">
        <f t="shared" si="65"/>
        <v>3</v>
      </c>
      <c r="AD261" s="54">
        <f t="shared" si="66"/>
        <v>1</v>
      </c>
    </row>
    <row r="262" spans="1:30">
      <c r="A262" s="54" t="s">
        <v>70</v>
      </c>
      <c r="B262" s="54" t="s">
        <v>935</v>
      </c>
      <c r="C262" s="54" t="str">
        <f>VLOOKUP(A262,RecNamesAll!A:C,3,FALSE)</f>
        <v>CCR8</v>
      </c>
      <c r="D262" s="60">
        <v>65</v>
      </c>
      <c r="E262" s="54" t="s">
        <v>70</v>
      </c>
      <c r="F262" s="54" t="s">
        <v>3683</v>
      </c>
      <c r="G262" s="54" t="s">
        <v>3428</v>
      </c>
      <c r="H262" s="54" t="s">
        <v>3288</v>
      </c>
      <c r="I262" s="54" t="s">
        <v>3669</v>
      </c>
      <c r="J262" s="54" t="s">
        <v>2760</v>
      </c>
      <c r="L262" s="54" t="s">
        <v>3668</v>
      </c>
      <c r="N262" s="54">
        <v>9207005</v>
      </c>
      <c r="P262" s="59">
        <v>4.1666666666666664E-2</v>
      </c>
      <c r="Q262" s="57" t="str">
        <f t="shared" si="57"/>
        <v/>
      </c>
      <c r="R262" s="56" t="str">
        <f t="shared" si="58"/>
        <v>Gi/o</v>
      </c>
      <c r="S262" s="56" t="str">
        <f t="shared" si="59"/>
        <v/>
      </c>
      <c r="T262" s="56" t="str">
        <f t="shared" si="60"/>
        <v/>
      </c>
      <c r="U262" s="57">
        <f t="shared" si="61"/>
        <v>0</v>
      </c>
      <c r="V262" s="57">
        <f t="shared" si="62"/>
        <v>1</v>
      </c>
      <c r="W262" s="57">
        <f t="shared" si="63"/>
        <v>0</v>
      </c>
      <c r="X262" s="57">
        <f t="shared" si="64"/>
        <v>0</v>
      </c>
      <c r="Y262" s="57" t="str">
        <f t="shared" si="67"/>
        <v>nc</v>
      </c>
      <c r="Z262" s="56" t="str">
        <f t="shared" si="68"/>
        <v>c</v>
      </c>
      <c r="AA262" s="56" t="str">
        <f t="shared" si="69"/>
        <v>nc</v>
      </c>
      <c r="AB262" s="56" t="str">
        <f t="shared" si="70"/>
        <v>nc</v>
      </c>
      <c r="AC262" s="56">
        <f t="shared" si="65"/>
        <v>3</v>
      </c>
      <c r="AD262" s="54">
        <f t="shared" si="66"/>
        <v>1</v>
      </c>
    </row>
    <row r="263" spans="1:30">
      <c r="A263" s="54" t="s">
        <v>71</v>
      </c>
      <c r="B263" s="54" t="s">
        <v>939</v>
      </c>
      <c r="C263" s="54" t="str">
        <f>VLOOKUP(A263,RecNamesAll!A:C,3,FALSE)</f>
        <v>CCR9</v>
      </c>
      <c r="D263" s="60">
        <v>66</v>
      </c>
      <c r="E263" s="54" t="s">
        <v>71</v>
      </c>
      <c r="F263" s="54" t="s">
        <v>3682</v>
      </c>
      <c r="G263" s="54" t="s">
        <v>3428</v>
      </c>
      <c r="H263" s="54" t="s">
        <v>3288</v>
      </c>
      <c r="I263" s="54" t="s">
        <v>3669</v>
      </c>
      <c r="J263" s="54" t="s">
        <v>2760</v>
      </c>
      <c r="L263" s="54" t="s">
        <v>3668</v>
      </c>
      <c r="N263" s="54" t="s">
        <v>3681</v>
      </c>
      <c r="P263" s="59">
        <v>0.125</v>
      </c>
      <c r="Q263" s="57" t="str">
        <f t="shared" si="57"/>
        <v/>
      </c>
      <c r="R263" s="56" t="str">
        <f t="shared" si="58"/>
        <v>Gi/o</v>
      </c>
      <c r="S263" s="56" t="str">
        <f t="shared" si="59"/>
        <v/>
      </c>
      <c r="T263" s="56" t="str">
        <f t="shared" si="60"/>
        <v/>
      </c>
      <c r="U263" s="57">
        <f t="shared" si="61"/>
        <v>0</v>
      </c>
      <c r="V263" s="57">
        <f t="shared" si="62"/>
        <v>1</v>
      </c>
      <c r="W263" s="57">
        <f t="shared" si="63"/>
        <v>0</v>
      </c>
      <c r="X263" s="57">
        <f t="shared" si="64"/>
        <v>0</v>
      </c>
      <c r="Y263" s="57" t="str">
        <f t="shared" si="67"/>
        <v>nc</v>
      </c>
      <c r="Z263" s="56" t="str">
        <f t="shared" si="68"/>
        <v>c</v>
      </c>
      <c r="AA263" s="56" t="str">
        <f t="shared" si="69"/>
        <v>nc</v>
      </c>
      <c r="AB263" s="56" t="str">
        <f t="shared" si="70"/>
        <v>nc</v>
      </c>
      <c r="AC263" s="56">
        <f t="shared" si="65"/>
        <v>3</v>
      </c>
      <c r="AD263" s="54">
        <f t="shared" si="66"/>
        <v>1</v>
      </c>
    </row>
    <row r="264" spans="1:30">
      <c r="A264" s="54" t="s">
        <v>63</v>
      </c>
      <c r="B264" s="54" t="s">
        <v>898</v>
      </c>
      <c r="C264" s="54" t="str">
        <f>VLOOKUP(A264,RecNamesAll!A:C,3,FALSE)</f>
        <v>CCR10</v>
      </c>
      <c r="D264" s="60">
        <v>67</v>
      </c>
      <c r="E264" s="54" t="s">
        <v>63</v>
      </c>
      <c r="F264" s="54" t="s">
        <v>3680</v>
      </c>
      <c r="G264" s="54" t="s">
        <v>3428</v>
      </c>
      <c r="H264" s="54" t="s">
        <v>3288</v>
      </c>
      <c r="I264" s="54" t="s">
        <v>3669</v>
      </c>
      <c r="J264" s="54" t="s">
        <v>2760</v>
      </c>
      <c r="L264" s="54" t="s">
        <v>3668</v>
      </c>
      <c r="Q264" s="57" t="str">
        <f t="shared" si="57"/>
        <v/>
      </c>
      <c r="R264" s="56" t="str">
        <f t="shared" si="58"/>
        <v>Gi/o</v>
      </c>
      <c r="S264" s="56" t="str">
        <f t="shared" si="59"/>
        <v/>
      </c>
      <c r="T264" s="56" t="str">
        <f t="shared" si="60"/>
        <v/>
      </c>
      <c r="U264" s="57">
        <f t="shared" si="61"/>
        <v>0</v>
      </c>
      <c r="V264" s="57">
        <f t="shared" si="62"/>
        <v>1</v>
      </c>
      <c r="W264" s="57">
        <f t="shared" si="63"/>
        <v>0</v>
      </c>
      <c r="X264" s="57">
        <f t="shared" si="64"/>
        <v>0</v>
      </c>
      <c r="Y264" s="57" t="str">
        <f t="shared" si="67"/>
        <v>nc</v>
      </c>
      <c r="Z264" s="56" t="str">
        <f t="shared" si="68"/>
        <v>c</v>
      </c>
      <c r="AA264" s="56" t="str">
        <f t="shared" si="69"/>
        <v>nc</v>
      </c>
      <c r="AB264" s="56" t="str">
        <f t="shared" si="70"/>
        <v>nc</v>
      </c>
      <c r="AC264" s="56">
        <f t="shared" si="65"/>
        <v>3</v>
      </c>
      <c r="AD264" s="54">
        <f t="shared" si="66"/>
        <v>1</v>
      </c>
    </row>
    <row r="265" spans="1:30">
      <c r="A265" s="54" t="s">
        <v>75</v>
      </c>
      <c r="B265" s="54" t="s">
        <v>1021</v>
      </c>
      <c r="C265" s="54" t="str">
        <f>VLOOKUP(A265,RecNamesAll!A:C,3,FALSE)</f>
        <v>CXCR3</v>
      </c>
      <c r="D265" s="60">
        <v>70</v>
      </c>
      <c r="E265" s="54" t="s">
        <v>75</v>
      </c>
      <c r="F265" s="54" t="s">
        <v>3679</v>
      </c>
      <c r="G265" s="54" t="s">
        <v>3428</v>
      </c>
      <c r="H265" s="54" t="s">
        <v>3288</v>
      </c>
      <c r="I265" s="54" t="s">
        <v>3669</v>
      </c>
      <c r="J265" s="54" t="s">
        <v>2760</v>
      </c>
      <c r="L265" s="54" t="s">
        <v>3668</v>
      </c>
      <c r="N265" s="54" t="s">
        <v>3678</v>
      </c>
      <c r="P265" s="59">
        <v>0.16666666666666666</v>
      </c>
      <c r="Q265" s="57" t="str">
        <f t="shared" si="57"/>
        <v/>
      </c>
      <c r="R265" s="56" t="str">
        <f t="shared" si="58"/>
        <v>Gi/o</v>
      </c>
      <c r="S265" s="56" t="str">
        <f t="shared" si="59"/>
        <v/>
      </c>
      <c r="T265" s="56" t="str">
        <f t="shared" si="60"/>
        <v/>
      </c>
      <c r="U265" s="57">
        <f t="shared" si="61"/>
        <v>0</v>
      </c>
      <c r="V265" s="57">
        <f t="shared" si="62"/>
        <v>1</v>
      </c>
      <c r="W265" s="57">
        <f t="shared" si="63"/>
        <v>0</v>
      </c>
      <c r="X265" s="57">
        <f t="shared" si="64"/>
        <v>0</v>
      </c>
      <c r="Y265" s="57" t="str">
        <f t="shared" si="67"/>
        <v>nc</v>
      </c>
      <c r="Z265" s="56" t="str">
        <f t="shared" si="68"/>
        <v>c</v>
      </c>
      <c r="AA265" s="56" t="str">
        <f t="shared" si="69"/>
        <v>nc</v>
      </c>
      <c r="AB265" s="56" t="str">
        <f t="shared" si="70"/>
        <v>nc</v>
      </c>
      <c r="AC265" s="56">
        <f t="shared" si="65"/>
        <v>3</v>
      </c>
      <c r="AD265" s="54">
        <f t="shared" si="66"/>
        <v>1</v>
      </c>
    </row>
    <row r="266" spans="1:30">
      <c r="A266" s="54" t="s">
        <v>76</v>
      </c>
      <c r="B266" s="54" t="s">
        <v>286</v>
      </c>
      <c r="C266" s="54" t="str">
        <f>VLOOKUP(A266,RecNamesAll!A:C,3,FALSE)</f>
        <v>CXCR4</v>
      </c>
      <c r="D266" s="60">
        <v>71</v>
      </c>
      <c r="E266" s="54" t="s">
        <v>76</v>
      </c>
      <c r="G266" s="54" t="s">
        <v>3428</v>
      </c>
      <c r="H266" s="54" t="s">
        <v>3288</v>
      </c>
      <c r="I266" s="54" t="s">
        <v>3669</v>
      </c>
      <c r="J266" s="54" t="s">
        <v>2760</v>
      </c>
      <c r="L266" s="54" t="s">
        <v>3668</v>
      </c>
      <c r="N266" s="54" t="s">
        <v>3677</v>
      </c>
      <c r="P266" s="59">
        <v>8.3333333333333329E-2</v>
      </c>
      <c r="Q266" s="57" t="str">
        <f t="shared" si="57"/>
        <v/>
      </c>
      <c r="R266" s="56" t="str">
        <f t="shared" si="58"/>
        <v>Gi/o</v>
      </c>
      <c r="S266" s="56" t="str">
        <f t="shared" si="59"/>
        <v/>
      </c>
      <c r="T266" s="56" t="str">
        <f t="shared" si="60"/>
        <v/>
      </c>
      <c r="U266" s="57">
        <f t="shared" si="61"/>
        <v>0</v>
      </c>
      <c r="V266" s="57">
        <f t="shared" si="62"/>
        <v>1</v>
      </c>
      <c r="W266" s="57">
        <f t="shared" si="63"/>
        <v>0</v>
      </c>
      <c r="X266" s="57">
        <f t="shared" si="64"/>
        <v>0</v>
      </c>
      <c r="Y266" s="57" t="str">
        <f t="shared" si="67"/>
        <v>nc</v>
      </c>
      <c r="Z266" s="56" t="str">
        <f t="shared" si="68"/>
        <v>c</v>
      </c>
      <c r="AA266" s="56" t="str">
        <f t="shared" si="69"/>
        <v>nc</v>
      </c>
      <c r="AB266" s="56" t="str">
        <f t="shared" si="70"/>
        <v>nc</v>
      </c>
      <c r="AC266" s="56">
        <f t="shared" si="65"/>
        <v>3</v>
      </c>
      <c r="AD266" s="54">
        <f t="shared" si="66"/>
        <v>1</v>
      </c>
    </row>
    <row r="267" spans="1:30">
      <c r="A267" s="54" t="s">
        <v>77</v>
      </c>
      <c r="B267" s="54" t="s">
        <v>287</v>
      </c>
      <c r="C267" s="54" t="str">
        <f>VLOOKUP(A267,RecNamesAll!A:C,3,FALSE)</f>
        <v>CXCR5</v>
      </c>
      <c r="D267" s="60">
        <v>72</v>
      </c>
      <c r="E267" s="54" t="s">
        <v>77</v>
      </c>
      <c r="F267" s="54" t="s">
        <v>3676</v>
      </c>
      <c r="G267" s="54" t="s">
        <v>3428</v>
      </c>
      <c r="H267" s="54" t="s">
        <v>3288</v>
      </c>
      <c r="I267" s="54" t="s">
        <v>3669</v>
      </c>
      <c r="J267" s="54" t="s">
        <v>2760</v>
      </c>
      <c r="K267" s="54" t="s">
        <v>2760</v>
      </c>
      <c r="L267" s="54" t="s">
        <v>3668</v>
      </c>
      <c r="M267" s="54" t="s">
        <v>3298</v>
      </c>
      <c r="Q267" s="57" t="str">
        <f t="shared" si="57"/>
        <v/>
      </c>
      <c r="R267" s="56" t="str">
        <f t="shared" si="58"/>
        <v>Gi/o</v>
      </c>
      <c r="S267" s="56" t="str">
        <f t="shared" si="59"/>
        <v/>
      </c>
      <c r="T267" s="56" t="str">
        <f t="shared" si="60"/>
        <v/>
      </c>
      <c r="U267" s="57">
        <f t="shared" si="61"/>
        <v>0</v>
      </c>
      <c r="V267" s="57">
        <f t="shared" si="62"/>
        <v>1</v>
      </c>
      <c r="W267" s="57">
        <f t="shared" si="63"/>
        <v>0</v>
      </c>
      <c r="X267" s="57">
        <f t="shared" si="64"/>
        <v>0</v>
      </c>
      <c r="Y267" s="57" t="str">
        <f t="shared" si="67"/>
        <v>nc</v>
      </c>
      <c r="Z267" s="56" t="str">
        <f t="shared" si="68"/>
        <v>c</v>
      </c>
      <c r="AA267" s="56" t="str">
        <f t="shared" si="69"/>
        <v>nc</v>
      </c>
      <c r="AB267" s="56" t="str">
        <f t="shared" si="70"/>
        <v>nc</v>
      </c>
      <c r="AC267" s="56">
        <f t="shared" si="65"/>
        <v>3</v>
      </c>
      <c r="AD267" s="54">
        <f t="shared" si="66"/>
        <v>1</v>
      </c>
    </row>
    <row r="268" spans="1:30">
      <c r="A268" s="54" t="s">
        <v>78</v>
      </c>
      <c r="B268" s="54" t="s">
        <v>1031</v>
      </c>
      <c r="C268" s="54" t="str">
        <f>VLOOKUP(A268,RecNamesAll!A:C,3,FALSE)</f>
        <v>CXCR6</v>
      </c>
      <c r="D268" s="60">
        <v>73</v>
      </c>
      <c r="E268" s="54" t="s">
        <v>78</v>
      </c>
      <c r="F268" s="54" t="s">
        <v>3675</v>
      </c>
      <c r="G268" s="54" t="s">
        <v>3428</v>
      </c>
      <c r="H268" s="54" t="s">
        <v>3288</v>
      </c>
      <c r="I268" s="54" t="s">
        <v>3669</v>
      </c>
      <c r="J268" s="54" t="s">
        <v>2760</v>
      </c>
      <c r="N268" s="54" t="s">
        <v>3674</v>
      </c>
      <c r="P268" s="59">
        <v>8.3333333333333329E-2</v>
      </c>
      <c r="Q268" s="57" t="str">
        <f t="shared" si="57"/>
        <v/>
      </c>
      <c r="R268" s="56" t="str">
        <f t="shared" si="58"/>
        <v>Gi/o</v>
      </c>
      <c r="S268" s="56" t="str">
        <f t="shared" si="59"/>
        <v/>
      </c>
      <c r="T268" s="56" t="str">
        <f t="shared" si="60"/>
        <v/>
      </c>
      <c r="U268" s="57">
        <f t="shared" si="61"/>
        <v>0</v>
      </c>
      <c r="V268" s="57">
        <f t="shared" si="62"/>
        <v>1</v>
      </c>
      <c r="W268" s="57">
        <f t="shared" si="63"/>
        <v>0</v>
      </c>
      <c r="X268" s="57">
        <f t="shared" si="64"/>
        <v>0</v>
      </c>
      <c r="Y268" s="57" t="str">
        <f t="shared" si="67"/>
        <v>nc</v>
      </c>
      <c r="Z268" s="56" t="str">
        <f t="shared" si="68"/>
        <v>c</v>
      </c>
      <c r="AA268" s="56" t="str">
        <f t="shared" si="69"/>
        <v>nc</v>
      </c>
      <c r="AB268" s="56" t="str">
        <f t="shared" si="70"/>
        <v>nc</v>
      </c>
      <c r="AC268" s="56">
        <f t="shared" si="65"/>
        <v>3</v>
      </c>
      <c r="AD268" s="54">
        <f t="shared" si="66"/>
        <v>1</v>
      </c>
    </row>
    <row r="269" spans="1:30">
      <c r="A269" s="54" t="s">
        <v>3673</v>
      </c>
      <c r="B269" s="54" t="s">
        <v>993</v>
      </c>
      <c r="C269" s="54" t="str">
        <f>VLOOKUP(A269,RecNamesAll!A:C,3,FALSE)</f>
        <v>CX3CR1</v>
      </c>
      <c r="D269" s="60">
        <v>74</v>
      </c>
      <c r="E269" s="54" t="s">
        <v>3672</v>
      </c>
      <c r="F269" s="54" t="s">
        <v>3671</v>
      </c>
      <c r="G269" s="54" t="s">
        <v>3428</v>
      </c>
      <c r="H269" s="54" t="s">
        <v>3288</v>
      </c>
      <c r="I269" s="54" t="s">
        <v>3669</v>
      </c>
      <c r="J269" s="54" t="s">
        <v>2760</v>
      </c>
      <c r="L269" s="54" t="s">
        <v>3668</v>
      </c>
      <c r="N269" s="54">
        <v>11880151</v>
      </c>
      <c r="P269" s="59">
        <v>4.1666666666666664E-2</v>
      </c>
      <c r="Q269" s="57" t="str">
        <f t="shared" si="57"/>
        <v/>
      </c>
      <c r="R269" s="56" t="str">
        <f t="shared" si="58"/>
        <v>Gi/o</v>
      </c>
      <c r="S269" s="56" t="str">
        <f t="shared" si="59"/>
        <v/>
      </c>
      <c r="T269" s="56" t="str">
        <f t="shared" si="60"/>
        <v/>
      </c>
      <c r="U269" s="57">
        <f t="shared" si="61"/>
        <v>0</v>
      </c>
      <c r="V269" s="57">
        <f t="shared" si="62"/>
        <v>1</v>
      </c>
      <c r="W269" s="57">
        <f t="shared" si="63"/>
        <v>0</v>
      </c>
      <c r="X269" s="57">
        <f t="shared" si="64"/>
        <v>0</v>
      </c>
      <c r="Y269" s="57" t="str">
        <f t="shared" si="67"/>
        <v>nc</v>
      </c>
      <c r="Z269" s="56" t="str">
        <f t="shared" si="68"/>
        <v>c</v>
      </c>
      <c r="AA269" s="56" t="str">
        <f t="shared" si="69"/>
        <v>nc</v>
      </c>
      <c r="AB269" s="56" t="str">
        <f t="shared" si="70"/>
        <v>nc</v>
      </c>
      <c r="AC269" s="56">
        <f t="shared" si="65"/>
        <v>3</v>
      </c>
      <c r="AD269" s="54">
        <f t="shared" si="66"/>
        <v>1</v>
      </c>
    </row>
    <row r="270" spans="1:30">
      <c r="A270" s="54" t="s">
        <v>79</v>
      </c>
      <c r="B270" s="54" t="s">
        <v>2274</v>
      </c>
      <c r="C270" s="54" t="str">
        <f>VLOOKUP(A270,RecNamesAll!A:C,3,FALSE)</f>
        <v>XCR1</v>
      </c>
      <c r="D270" s="60">
        <v>75</v>
      </c>
      <c r="E270" s="54" t="s">
        <v>79</v>
      </c>
      <c r="F270" s="54" t="s">
        <v>3670</v>
      </c>
      <c r="G270" s="54" t="s">
        <v>3428</v>
      </c>
      <c r="H270" s="54" t="s">
        <v>3288</v>
      </c>
      <c r="I270" s="54" t="s">
        <v>3669</v>
      </c>
      <c r="J270" s="54" t="s">
        <v>2760</v>
      </c>
      <c r="L270" s="54" t="s">
        <v>3668</v>
      </c>
      <c r="N270" s="54">
        <v>9632725</v>
      </c>
      <c r="P270" s="59">
        <v>4.1666666666666664E-2</v>
      </c>
      <c r="Q270" s="57" t="str">
        <f t="shared" si="57"/>
        <v/>
      </c>
      <c r="R270" s="56" t="str">
        <f t="shared" si="58"/>
        <v>Gi/o</v>
      </c>
      <c r="S270" s="56" t="str">
        <f t="shared" si="59"/>
        <v/>
      </c>
      <c r="T270" s="56" t="str">
        <f t="shared" si="60"/>
        <v/>
      </c>
      <c r="U270" s="57">
        <f t="shared" si="61"/>
        <v>0</v>
      </c>
      <c r="V270" s="57">
        <f t="shared" si="62"/>
        <v>1</v>
      </c>
      <c r="W270" s="57">
        <f t="shared" si="63"/>
        <v>0</v>
      </c>
      <c r="X270" s="57">
        <f t="shared" si="64"/>
        <v>0</v>
      </c>
      <c r="Y270" s="57" t="str">
        <f t="shared" si="67"/>
        <v>nc</v>
      </c>
      <c r="Z270" s="56" t="str">
        <f t="shared" si="68"/>
        <v>c</v>
      </c>
      <c r="AA270" s="56" t="str">
        <f t="shared" si="69"/>
        <v>nc</v>
      </c>
      <c r="AB270" s="56" t="str">
        <f t="shared" si="70"/>
        <v>nc</v>
      </c>
      <c r="AC270" s="56">
        <f t="shared" si="65"/>
        <v>3</v>
      </c>
      <c r="AD270" s="54">
        <f t="shared" si="66"/>
        <v>1</v>
      </c>
    </row>
    <row r="271" spans="1:30">
      <c r="A271" s="54" t="s">
        <v>3667</v>
      </c>
      <c r="B271" s="54" t="s">
        <v>1170</v>
      </c>
      <c r="C271" s="54" t="str">
        <f>VLOOKUP(A271,RecNamesAll!A:C,3,FALSE)</f>
        <v>FSH</v>
      </c>
      <c r="D271" s="60">
        <v>253</v>
      </c>
      <c r="E271" s="54" t="s">
        <v>3667</v>
      </c>
      <c r="F271" s="54" t="s">
        <v>3666</v>
      </c>
      <c r="G271" s="54" t="s">
        <v>3428</v>
      </c>
      <c r="H271" s="54" t="s">
        <v>3288</v>
      </c>
      <c r="I271" s="54" t="s">
        <v>3657</v>
      </c>
      <c r="J271" s="54" t="s">
        <v>3665</v>
      </c>
      <c r="L271" s="54" t="s">
        <v>3369</v>
      </c>
      <c r="N271" s="54">
        <v>22666216</v>
      </c>
      <c r="P271" s="59">
        <v>4.1666666666666664E-2</v>
      </c>
      <c r="Q271" s="57" t="str">
        <f t="shared" si="57"/>
        <v>Gs</v>
      </c>
      <c r="R271" s="56" t="str">
        <f t="shared" si="58"/>
        <v>Gi/o</v>
      </c>
      <c r="S271" s="56" t="str">
        <f t="shared" si="59"/>
        <v>Gq/11</v>
      </c>
      <c r="T271" s="56" t="str">
        <f t="shared" si="60"/>
        <v/>
      </c>
      <c r="U271" s="57">
        <f t="shared" si="61"/>
        <v>1</v>
      </c>
      <c r="V271" s="57">
        <f t="shared" si="62"/>
        <v>1</v>
      </c>
      <c r="W271" s="57">
        <f t="shared" si="63"/>
        <v>1</v>
      </c>
      <c r="X271" s="57">
        <f t="shared" si="64"/>
        <v>0</v>
      </c>
      <c r="Y271" s="57" t="str">
        <f t="shared" si="67"/>
        <v>c</v>
      </c>
      <c r="Z271" s="56" t="str">
        <f t="shared" si="68"/>
        <v>c</v>
      </c>
      <c r="AA271" s="56" t="str">
        <f t="shared" si="69"/>
        <v>c</v>
      </c>
      <c r="AB271" s="56" t="str">
        <f t="shared" si="70"/>
        <v>nc</v>
      </c>
      <c r="AC271" s="56">
        <f t="shared" si="65"/>
        <v>1</v>
      </c>
      <c r="AD271" s="54">
        <f t="shared" si="66"/>
        <v>1</v>
      </c>
    </row>
    <row r="272" spans="1:30">
      <c r="A272" s="54" t="s">
        <v>3664</v>
      </c>
      <c r="B272" s="54" t="s">
        <v>1658</v>
      </c>
      <c r="C272" s="54" t="str">
        <f>VLOOKUP(A272,RecNamesAll!A:C,3,FALSE)</f>
        <v>LH</v>
      </c>
      <c r="D272" s="60">
        <v>254</v>
      </c>
      <c r="E272" s="54" t="s">
        <v>3663</v>
      </c>
      <c r="F272" s="54" t="s">
        <v>3662</v>
      </c>
      <c r="G272" s="54" t="s">
        <v>3428</v>
      </c>
      <c r="H272" s="54" t="s">
        <v>3288</v>
      </c>
      <c r="I272" s="54" t="s">
        <v>3657</v>
      </c>
      <c r="J272" s="54" t="s">
        <v>2761</v>
      </c>
      <c r="K272" s="54" t="s">
        <v>2759</v>
      </c>
      <c r="L272" s="54" t="s">
        <v>3369</v>
      </c>
      <c r="M272" s="54" t="s">
        <v>3320</v>
      </c>
      <c r="N272" s="54" t="s">
        <v>3661</v>
      </c>
      <c r="O272" s="54" t="s">
        <v>3660</v>
      </c>
      <c r="P272" s="59">
        <v>8.3333333333333329E-2</v>
      </c>
      <c r="Q272" s="57" t="str">
        <f t="shared" si="57"/>
        <v>Gs</v>
      </c>
      <c r="R272" s="56" t="str">
        <f t="shared" si="58"/>
        <v/>
      </c>
      <c r="S272" s="56" t="str">
        <f t="shared" si="59"/>
        <v>Gq/11</v>
      </c>
      <c r="T272" s="56" t="str">
        <f t="shared" si="60"/>
        <v/>
      </c>
      <c r="U272" s="57">
        <f t="shared" si="61"/>
        <v>1</v>
      </c>
      <c r="V272" s="57">
        <f t="shared" si="62"/>
        <v>0</v>
      </c>
      <c r="W272" s="57">
        <f t="shared" si="63"/>
        <v>2</v>
      </c>
      <c r="X272" s="57">
        <f t="shared" si="64"/>
        <v>0</v>
      </c>
      <c r="Y272" s="57" t="str">
        <f t="shared" si="67"/>
        <v>c</v>
      </c>
      <c r="Z272" s="56" t="str">
        <f t="shared" si="68"/>
        <v>nc</v>
      </c>
      <c r="AA272" s="56" t="str">
        <f t="shared" si="69"/>
        <v>c</v>
      </c>
      <c r="AB272" s="56" t="str">
        <f t="shared" si="70"/>
        <v>nc</v>
      </c>
      <c r="AC272" s="56">
        <f t="shared" si="65"/>
        <v>2</v>
      </c>
      <c r="AD272" s="54">
        <f t="shared" si="66"/>
        <v>1</v>
      </c>
    </row>
    <row r="273" spans="1:30">
      <c r="A273" s="54" t="s">
        <v>3659</v>
      </c>
      <c r="B273" s="54" t="s">
        <v>2252</v>
      </c>
      <c r="C273" s="54" t="str">
        <f>VLOOKUP(A273,RecNamesAll!A:C,3,FALSE)</f>
        <v>TSH</v>
      </c>
      <c r="D273" s="60">
        <v>255</v>
      </c>
      <c r="E273" s="54" t="s">
        <v>3659</v>
      </c>
      <c r="F273" s="54" t="s">
        <v>3658</v>
      </c>
      <c r="G273" s="54" t="s">
        <v>3428</v>
      </c>
      <c r="H273" s="54" t="s">
        <v>3288</v>
      </c>
      <c r="I273" s="54" t="s">
        <v>3657</v>
      </c>
      <c r="J273" s="54" t="s">
        <v>2761</v>
      </c>
      <c r="K273" s="54" t="s">
        <v>2759</v>
      </c>
      <c r="L273" s="54" t="s">
        <v>3369</v>
      </c>
      <c r="M273" s="54" t="s">
        <v>3320</v>
      </c>
      <c r="N273" s="54">
        <v>8188646</v>
      </c>
      <c r="O273" s="54">
        <v>8188646</v>
      </c>
      <c r="P273" s="59">
        <v>4.1666666666666664E-2</v>
      </c>
      <c r="Q273" s="57" t="str">
        <f t="shared" si="57"/>
        <v>Gs</v>
      </c>
      <c r="R273" s="56" t="str">
        <f t="shared" si="58"/>
        <v/>
      </c>
      <c r="S273" s="56" t="str">
        <f t="shared" si="59"/>
        <v>Gq/11</v>
      </c>
      <c r="T273" s="56" t="str">
        <f t="shared" si="60"/>
        <v/>
      </c>
      <c r="U273" s="57">
        <f t="shared" si="61"/>
        <v>1</v>
      </c>
      <c r="V273" s="57">
        <f t="shared" si="62"/>
        <v>0</v>
      </c>
      <c r="W273" s="57">
        <f t="shared" si="63"/>
        <v>2</v>
      </c>
      <c r="X273" s="57">
        <f t="shared" si="64"/>
        <v>0</v>
      </c>
      <c r="Y273" s="57" t="str">
        <f t="shared" si="67"/>
        <v>c</v>
      </c>
      <c r="Z273" s="56" t="str">
        <f t="shared" si="68"/>
        <v>nc</v>
      </c>
      <c r="AA273" s="56" t="str">
        <f t="shared" si="69"/>
        <v>c</v>
      </c>
      <c r="AB273" s="56" t="str">
        <f t="shared" si="70"/>
        <v>nc</v>
      </c>
      <c r="AC273" s="56">
        <f t="shared" si="65"/>
        <v>2</v>
      </c>
      <c r="AD273" s="54">
        <f t="shared" si="66"/>
        <v>1</v>
      </c>
    </row>
    <row r="274" spans="1:30">
      <c r="A274" s="54" t="s">
        <v>3656</v>
      </c>
      <c r="B274" s="54" t="s">
        <v>2092</v>
      </c>
      <c r="C274" s="54" t="str">
        <f>VLOOKUP(A274,RecNamesAll!A:C,3,FALSE)</f>
        <v>PKR1</v>
      </c>
      <c r="D274" s="60">
        <v>335</v>
      </c>
      <c r="E274" s="54" t="s">
        <v>3655</v>
      </c>
      <c r="F274" s="54" t="s">
        <v>3654</v>
      </c>
      <c r="G274" s="54" t="s">
        <v>3428</v>
      </c>
      <c r="H274" s="54" t="s">
        <v>3288</v>
      </c>
      <c r="I274" s="54" t="s">
        <v>3649</v>
      </c>
      <c r="J274" s="54" t="s">
        <v>2759</v>
      </c>
      <c r="K274" s="54" t="s">
        <v>2761</v>
      </c>
      <c r="L274" s="54" t="s">
        <v>3320</v>
      </c>
      <c r="M274" s="54" t="s">
        <v>3369</v>
      </c>
      <c r="N274" s="54" t="s">
        <v>3653</v>
      </c>
      <c r="O274" s="54">
        <v>15772293</v>
      </c>
      <c r="P274" s="59">
        <v>0.125</v>
      </c>
      <c r="Q274" s="57" t="str">
        <f t="shared" si="57"/>
        <v>Gs</v>
      </c>
      <c r="R274" s="56" t="str">
        <f t="shared" si="58"/>
        <v/>
      </c>
      <c r="S274" s="56" t="str">
        <f t="shared" si="59"/>
        <v>Gq/11</v>
      </c>
      <c r="T274" s="56" t="str">
        <f t="shared" si="60"/>
        <v/>
      </c>
      <c r="U274" s="57">
        <f t="shared" si="61"/>
        <v>2</v>
      </c>
      <c r="V274" s="57">
        <f t="shared" si="62"/>
        <v>0</v>
      </c>
      <c r="W274" s="57">
        <f t="shared" si="63"/>
        <v>1</v>
      </c>
      <c r="X274" s="57">
        <f t="shared" si="64"/>
        <v>0</v>
      </c>
      <c r="Y274" s="57" t="str">
        <f t="shared" si="67"/>
        <v>c</v>
      </c>
      <c r="Z274" s="56" t="str">
        <f t="shared" si="68"/>
        <v>nc</v>
      </c>
      <c r="AA274" s="56" t="str">
        <f t="shared" si="69"/>
        <v>c</v>
      </c>
      <c r="AB274" s="56" t="str">
        <f t="shared" si="70"/>
        <v>nc</v>
      </c>
      <c r="AC274" s="56">
        <f t="shared" si="65"/>
        <v>2</v>
      </c>
      <c r="AD274" s="54">
        <f t="shared" si="66"/>
        <v>1</v>
      </c>
    </row>
    <row r="275" spans="1:30">
      <c r="A275" s="54" t="s">
        <v>3652</v>
      </c>
      <c r="B275" s="54" t="s">
        <v>2100</v>
      </c>
      <c r="C275" s="54" t="str">
        <f>VLOOKUP(A275,RecNamesAll!A:C,3,FALSE)</f>
        <v>PKR2</v>
      </c>
      <c r="D275" s="60">
        <v>336</v>
      </c>
      <c r="E275" s="54" t="s">
        <v>3651</v>
      </c>
      <c r="F275" s="54" t="s">
        <v>3650</v>
      </c>
      <c r="G275" s="54" t="s">
        <v>3428</v>
      </c>
      <c r="H275" s="54" t="s">
        <v>3288</v>
      </c>
      <c r="I275" s="54" t="s">
        <v>3649</v>
      </c>
      <c r="J275" s="54" t="s">
        <v>2759</v>
      </c>
      <c r="K275" s="54" t="s">
        <v>3299</v>
      </c>
      <c r="L275" s="54" t="s">
        <v>3320</v>
      </c>
      <c r="M275" s="54" t="s">
        <v>3575</v>
      </c>
      <c r="N275" s="54" t="s">
        <v>3648</v>
      </c>
      <c r="O275" s="54" t="s">
        <v>3647</v>
      </c>
      <c r="P275" s="59">
        <v>8.3333333333333329E-2</v>
      </c>
      <c r="Q275" s="57" t="str">
        <f t="shared" si="57"/>
        <v>Gs</v>
      </c>
      <c r="R275" s="56" t="str">
        <f t="shared" si="58"/>
        <v>Gi/o</v>
      </c>
      <c r="S275" s="56" t="str">
        <f t="shared" si="59"/>
        <v>Gq/11</v>
      </c>
      <c r="T275" s="56" t="str">
        <f t="shared" si="60"/>
        <v/>
      </c>
      <c r="U275" s="57">
        <f t="shared" si="61"/>
        <v>2</v>
      </c>
      <c r="V275" s="57">
        <f t="shared" si="62"/>
        <v>2</v>
      </c>
      <c r="W275" s="57">
        <f t="shared" si="63"/>
        <v>1</v>
      </c>
      <c r="X275" s="57">
        <f t="shared" si="64"/>
        <v>0</v>
      </c>
      <c r="Y275" s="57" t="str">
        <f t="shared" si="67"/>
        <v>c</v>
      </c>
      <c r="Z275" s="56" t="str">
        <f t="shared" si="68"/>
        <v>c</v>
      </c>
      <c r="AA275" s="56" t="str">
        <f t="shared" si="69"/>
        <v>c</v>
      </c>
      <c r="AB275" s="56" t="str">
        <f t="shared" si="70"/>
        <v>nc</v>
      </c>
      <c r="AC275" s="56">
        <f t="shared" si="65"/>
        <v>1</v>
      </c>
      <c r="AD275" s="54">
        <f t="shared" si="66"/>
        <v>1</v>
      </c>
    </row>
    <row r="276" spans="1:30">
      <c r="A276" s="54" t="s">
        <v>117</v>
      </c>
      <c r="B276" s="54" t="s">
        <v>1061</v>
      </c>
      <c r="C276" s="54" t="str">
        <f>VLOOKUP(A276,RecNamesAll!A:C,3,FALSE)</f>
        <v>FFA1</v>
      </c>
      <c r="D276" s="60">
        <v>225</v>
      </c>
      <c r="E276" s="54" t="s">
        <v>117</v>
      </c>
      <c r="F276" s="54" t="s">
        <v>3646</v>
      </c>
      <c r="G276" s="54" t="s">
        <v>3428</v>
      </c>
      <c r="H276" s="54" t="s">
        <v>3557</v>
      </c>
      <c r="I276" s="54" t="s">
        <v>3638</v>
      </c>
      <c r="J276" s="54" t="s">
        <v>2759</v>
      </c>
      <c r="K276" s="54" t="s">
        <v>3299</v>
      </c>
      <c r="L276" s="54" t="s">
        <v>3438</v>
      </c>
      <c r="M276" s="54" t="s">
        <v>3645</v>
      </c>
      <c r="N276" s="54" t="s">
        <v>3644</v>
      </c>
      <c r="O276" s="54" t="s">
        <v>3643</v>
      </c>
      <c r="P276" s="59">
        <v>0.125</v>
      </c>
      <c r="Q276" s="57" t="str">
        <f t="shared" si="57"/>
        <v>Gs</v>
      </c>
      <c r="R276" s="56" t="str">
        <f t="shared" si="58"/>
        <v>Gi/o</v>
      </c>
      <c r="S276" s="56" t="str">
        <f t="shared" si="59"/>
        <v>Gq/11</v>
      </c>
      <c r="T276" s="56" t="str">
        <f t="shared" si="60"/>
        <v/>
      </c>
      <c r="U276" s="57">
        <f t="shared" si="61"/>
        <v>2</v>
      </c>
      <c r="V276" s="57">
        <f t="shared" si="62"/>
        <v>2</v>
      </c>
      <c r="W276" s="57">
        <f t="shared" si="63"/>
        <v>1</v>
      </c>
      <c r="X276" s="57">
        <f t="shared" si="64"/>
        <v>0</v>
      </c>
      <c r="Y276" s="57" t="str">
        <f t="shared" si="67"/>
        <v>c</v>
      </c>
      <c r="Z276" s="56" t="str">
        <f t="shared" si="68"/>
        <v>c</v>
      </c>
      <c r="AA276" s="56" t="str">
        <f t="shared" si="69"/>
        <v>c</v>
      </c>
      <c r="AB276" s="56" t="str">
        <f t="shared" si="70"/>
        <v>nc</v>
      </c>
      <c r="AC276" s="56">
        <f t="shared" si="65"/>
        <v>1</v>
      </c>
      <c r="AD276" s="54">
        <f t="shared" si="66"/>
        <v>1</v>
      </c>
    </row>
    <row r="277" spans="1:30">
      <c r="A277" s="54" t="s">
        <v>118</v>
      </c>
      <c r="B277" s="54" t="s">
        <v>297</v>
      </c>
      <c r="C277" s="54" t="str">
        <f>VLOOKUP(A277,RecNamesAll!A:C,3,FALSE)</f>
        <v>FFA2</v>
      </c>
      <c r="D277" s="60">
        <v>226</v>
      </c>
      <c r="E277" s="54" t="s">
        <v>118</v>
      </c>
      <c r="F277" s="54" t="s">
        <v>3642</v>
      </c>
      <c r="G277" s="54" t="s">
        <v>3428</v>
      </c>
      <c r="H277" s="54" t="s">
        <v>3557</v>
      </c>
      <c r="I277" s="54" t="s">
        <v>3638</v>
      </c>
      <c r="J277" s="54" t="s">
        <v>2759</v>
      </c>
      <c r="K277" s="54" t="s">
        <v>2760</v>
      </c>
      <c r="L277" s="54" t="s">
        <v>3320</v>
      </c>
      <c r="M277" s="54" t="s">
        <v>3327</v>
      </c>
      <c r="N277" s="54" t="s">
        <v>3641</v>
      </c>
      <c r="O277" s="54" t="s">
        <v>3641</v>
      </c>
      <c r="P277" s="59">
        <v>0.125</v>
      </c>
      <c r="Q277" s="57" t="str">
        <f t="shared" si="57"/>
        <v/>
      </c>
      <c r="R277" s="56" t="str">
        <f t="shared" si="58"/>
        <v>Gi/o</v>
      </c>
      <c r="S277" s="56" t="str">
        <f t="shared" si="59"/>
        <v>Gq/11</v>
      </c>
      <c r="T277" s="56" t="str">
        <f t="shared" si="60"/>
        <v/>
      </c>
      <c r="U277" s="57">
        <f t="shared" si="61"/>
        <v>0</v>
      </c>
      <c r="V277" s="57">
        <f t="shared" si="62"/>
        <v>2</v>
      </c>
      <c r="W277" s="57">
        <f t="shared" si="63"/>
        <v>1</v>
      </c>
      <c r="X277" s="57">
        <f t="shared" si="64"/>
        <v>0</v>
      </c>
      <c r="Y277" s="57" t="str">
        <f t="shared" si="67"/>
        <v>nc</v>
      </c>
      <c r="Z277" s="56" t="str">
        <f t="shared" si="68"/>
        <v>c</v>
      </c>
      <c r="AA277" s="56" t="str">
        <f t="shared" si="69"/>
        <v>c</v>
      </c>
      <c r="AB277" s="56" t="str">
        <f t="shared" si="70"/>
        <v>nc</v>
      </c>
      <c r="AC277" s="56">
        <f t="shared" si="65"/>
        <v>2</v>
      </c>
      <c r="AD277" s="54">
        <f t="shared" si="66"/>
        <v>1</v>
      </c>
    </row>
    <row r="278" spans="1:30">
      <c r="A278" s="54" t="s">
        <v>119</v>
      </c>
      <c r="B278" s="54" t="s">
        <v>298</v>
      </c>
      <c r="C278" s="54" t="str">
        <f>VLOOKUP(A278,RecNamesAll!A:C,3,FALSE)</f>
        <v>FFA3</v>
      </c>
      <c r="D278" s="60">
        <v>227</v>
      </c>
      <c r="E278" s="54" t="s">
        <v>119</v>
      </c>
      <c r="F278" s="54" t="s">
        <v>3640</v>
      </c>
      <c r="G278" s="54" t="s">
        <v>3428</v>
      </c>
      <c r="H278" s="54" t="s">
        <v>3557</v>
      </c>
      <c r="I278" s="54" t="s">
        <v>3638</v>
      </c>
      <c r="J278" s="54" t="s">
        <v>2760</v>
      </c>
      <c r="L278" s="54" t="s">
        <v>3327</v>
      </c>
      <c r="N278" s="54">
        <v>14722361</v>
      </c>
      <c r="P278" s="59">
        <v>4.1666666666666664E-2</v>
      </c>
      <c r="Q278" s="57" t="str">
        <f t="shared" si="57"/>
        <v/>
      </c>
      <c r="R278" s="56" t="str">
        <f t="shared" si="58"/>
        <v>Gi/o</v>
      </c>
      <c r="S278" s="56" t="str">
        <f t="shared" si="59"/>
        <v/>
      </c>
      <c r="T278" s="56" t="str">
        <f t="shared" si="60"/>
        <v/>
      </c>
      <c r="U278" s="57">
        <f t="shared" si="61"/>
        <v>0</v>
      </c>
      <c r="V278" s="57">
        <f t="shared" si="62"/>
        <v>1</v>
      </c>
      <c r="W278" s="57">
        <f t="shared" si="63"/>
        <v>0</v>
      </c>
      <c r="X278" s="57">
        <f t="shared" si="64"/>
        <v>0</v>
      </c>
      <c r="Y278" s="57" t="str">
        <f t="shared" si="67"/>
        <v>nc</v>
      </c>
      <c r="Z278" s="56" t="str">
        <f t="shared" si="68"/>
        <v>c</v>
      </c>
      <c r="AA278" s="56" t="str">
        <f t="shared" si="69"/>
        <v>nc</v>
      </c>
      <c r="AB278" s="56" t="str">
        <f t="shared" si="70"/>
        <v>nc</v>
      </c>
      <c r="AC278" s="56">
        <f t="shared" si="65"/>
        <v>3</v>
      </c>
      <c r="AD278" s="54">
        <f t="shared" si="66"/>
        <v>1</v>
      </c>
    </row>
    <row r="279" spans="1:30">
      <c r="A279" s="54" t="s">
        <v>120</v>
      </c>
      <c r="B279" s="54" t="s">
        <v>299</v>
      </c>
      <c r="C279" s="54" t="str">
        <f>VLOOKUP(A279,RecNamesAll!A:C,3,FALSE)</f>
        <v>FFA4</v>
      </c>
      <c r="D279" s="60">
        <v>127</v>
      </c>
      <c r="E279" s="54" t="s">
        <v>120</v>
      </c>
      <c r="F279" s="54" t="s">
        <v>3639</v>
      </c>
      <c r="G279" s="54" t="s">
        <v>3428</v>
      </c>
      <c r="H279" s="54" t="s">
        <v>3557</v>
      </c>
      <c r="I279" s="54" t="s">
        <v>3638</v>
      </c>
      <c r="J279" s="54" t="s">
        <v>2759</v>
      </c>
      <c r="N279" s="54" t="s">
        <v>3637</v>
      </c>
      <c r="P279" s="59">
        <v>0.125</v>
      </c>
      <c r="Q279" s="57" t="str">
        <f t="shared" si="57"/>
        <v/>
      </c>
      <c r="R279" s="56" t="str">
        <f t="shared" si="58"/>
        <v/>
      </c>
      <c r="S279" s="56" t="str">
        <f t="shared" si="59"/>
        <v>Gq/11</v>
      </c>
      <c r="T279" s="56" t="str">
        <f t="shared" si="60"/>
        <v/>
      </c>
      <c r="U279" s="57">
        <f t="shared" si="61"/>
        <v>0</v>
      </c>
      <c r="V279" s="57">
        <f t="shared" si="62"/>
        <v>0</v>
      </c>
      <c r="W279" s="57">
        <f t="shared" si="63"/>
        <v>1</v>
      </c>
      <c r="X279" s="57">
        <f t="shared" si="64"/>
        <v>0</v>
      </c>
      <c r="Y279" s="57" t="str">
        <f t="shared" si="67"/>
        <v>nc</v>
      </c>
      <c r="Z279" s="56" t="str">
        <f t="shared" si="68"/>
        <v>nc</v>
      </c>
      <c r="AA279" s="56" t="str">
        <f t="shared" si="69"/>
        <v>c</v>
      </c>
      <c r="AB279" s="56" t="str">
        <f t="shared" si="70"/>
        <v>nc</v>
      </c>
      <c r="AC279" s="56">
        <f t="shared" si="65"/>
        <v>3</v>
      </c>
      <c r="AD279" s="54">
        <f t="shared" si="66"/>
        <v>1</v>
      </c>
    </row>
    <row r="280" spans="1:30">
      <c r="A280" s="54" t="s">
        <v>146</v>
      </c>
      <c r="B280" s="54" t="s">
        <v>312</v>
      </c>
      <c r="C280" s="54" t="str">
        <f>VLOOKUP(A280,RecNamesAll!A:C,3,FALSE)</f>
        <v>BLT1</v>
      </c>
      <c r="D280" s="60">
        <v>267</v>
      </c>
      <c r="E280" s="54" t="s">
        <v>3636</v>
      </c>
      <c r="F280" s="54" t="s">
        <v>3635</v>
      </c>
      <c r="G280" s="54" t="s">
        <v>3428</v>
      </c>
      <c r="H280" s="54" t="s">
        <v>3557</v>
      </c>
      <c r="I280" s="54" t="s">
        <v>3621</v>
      </c>
      <c r="J280" s="54" t="s">
        <v>3314</v>
      </c>
      <c r="L280" s="54" t="s">
        <v>3507</v>
      </c>
      <c r="N280" s="54" t="s">
        <v>3634</v>
      </c>
      <c r="P280" s="59">
        <v>0.25</v>
      </c>
      <c r="Q280" s="57" t="str">
        <f t="shared" si="57"/>
        <v/>
      </c>
      <c r="R280" s="56" t="str">
        <f t="shared" si="58"/>
        <v>Gi/o</v>
      </c>
      <c r="S280" s="56" t="str">
        <f t="shared" si="59"/>
        <v>Gq/11</v>
      </c>
      <c r="T280" s="56" t="str">
        <f t="shared" si="60"/>
        <v/>
      </c>
      <c r="U280" s="57">
        <f t="shared" si="61"/>
        <v>0</v>
      </c>
      <c r="V280" s="57">
        <f t="shared" si="62"/>
        <v>1</v>
      </c>
      <c r="W280" s="57">
        <f t="shared" si="63"/>
        <v>1</v>
      </c>
      <c r="X280" s="57">
        <f t="shared" si="64"/>
        <v>0</v>
      </c>
      <c r="Y280" s="57" t="str">
        <f t="shared" si="67"/>
        <v>nc</v>
      </c>
      <c r="Z280" s="56" t="str">
        <f t="shared" si="68"/>
        <v>c</v>
      </c>
      <c r="AA280" s="56" t="str">
        <f t="shared" si="69"/>
        <v>c</v>
      </c>
      <c r="AB280" s="56" t="str">
        <f t="shared" si="70"/>
        <v>nc</v>
      </c>
      <c r="AC280" s="56">
        <f t="shared" si="65"/>
        <v>2</v>
      </c>
      <c r="AD280" s="54">
        <f t="shared" si="66"/>
        <v>1</v>
      </c>
    </row>
    <row r="281" spans="1:30">
      <c r="A281" s="54" t="s">
        <v>147</v>
      </c>
      <c r="B281" s="54" t="s">
        <v>313</v>
      </c>
      <c r="C281" s="54" t="str">
        <f>VLOOKUP(A281,RecNamesAll!A:C,3,FALSE)</f>
        <v>BLT2</v>
      </c>
      <c r="D281" s="60">
        <v>268</v>
      </c>
      <c r="E281" s="54" t="s">
        <v>3633</v>
      </c>
      <c r="F281" s="54" t="s">
        <v>3632</v>
      </c>
      <c r="G281" s="54" t="s">
        <v>3428</v>
      </c>
      <c r="H281" s="54" t="s">
        <v>3557</v>
      </c>
      <c r="I281" s="54" t="s">
        <v>3621</v>
      </c>
      <c r="J281" s="54" t="s">
        <v>2760</v>
      </c>
      <c r="K281" s="54" t="s">
        <v>2759</v>
      </c>
      <c r="L281" s="54" t="s">
        <v>3327</v>
      </c>
      <c r="M281" s="54" t="s">
        <v>3320</v>
      </c>
      <c r="N281" s="54" t="s">
        <v>3631</v>
      </c>
      <c r="O281" s="54" t="s">
        <v>3631</v>
      </c>
      <c r="P281" s="59">
        <v>0.125</v>
      </c>
      <c r="Q281" s="57" t="str">
        <f t="shared" si="57"/>
        <v/>
      </c>
      <c r="R281" s="56" t="str">
        <f t="shared" si="58"/>
        <v>Gi/o</v>
      </c>
      <c r="S281" s="56" t="str">
        <f t="shared" si="59"/>
        <v>Gq/11</v>
      </c>
      <c r="T281" s="56" t="str">
        <f t="shared" si="60"/>
        <v/>
      </c>
      <c r="U281" s="57">
        <f t="shared" si="61"/>
        <v>0</v>
      </c>
      <c r="V281" s="57">
        <f t="shared" si="62"/>
        <v>1</v>
      </c>
      <c r="W281" s="57">
        <f t="shared" si="63"/>
        <v>2</v>
      </c>
      <c r="X281" s="57">
        <f t="shared" si="64"/>
        <v>0</v>
      </c>
      <c r="Y281" s="57" t="str">
        <f t="shared" si="67"/>
        <v>nc</v>
      </c>
      <c r="Z281" s="56" t="str">
        <f t="shared" si="68"/>
        <v>c</v>
      </c>
      <c r="AA281" s="56" t="str">
        <f t="shared" si="69"/>
        <v>c</v>
      </c>
      <c r="AB281" s="56" t="str">
        <f t="shared" si="70"/>
        <v>nc</v>
      </c>
      <c r="AC281" s="56">
        <f t="shared" si="65"/>
        <v>2</v>
      </c>
      <c r="AD281" s="54">
        <f t="shared" si="66"/>
        <v>1</v>
      </c>
    </row>
    <row r="282" spans="1:30">
      <c r="A282" s="54" t="s">
        <v>144</v>
      </c>
      <c r="B282" s="54" t="s">
        <v>310</v>
      </c>
      <c r="C282" s="54" t="str">
        <f>VLOOKUP(A282,RecNamesAll!A:C,3,FALSE)</f>
        <v>CysLT1</v>
      </c>
      <c r="D282" s="60">
        <v>269</v>
      </c>
      <c r="E282" s="54" t="s">
        <v>3630</v>
      </c>
      <c r="F282" s="54" t="s">
        <v>3629</v>
      </c>
      <c r="G282" s="54" t="s">
        <v>3428</v>
      </c>
      <c r="H282" s="54" t="s">
        <v>3557</v>
      </c>
      <c r="I282" s="54" t="s">
        <v>3621</v>
      </c>
      <c r="J282" s="54" t="s">
        <v>2759</v>
      </c>
      <c r="K282" s="54" t="s">
        <v>2760</v>
      </c>
      <c r="L282" s="54" t="s">
        <v>3320</v>
      </c>
      <c r="M282" s="54" t="s">
        <v>3320</v>
      </c>
      <c r="N282" s="54" t="s">
        <v>3628</v>
      </c>
      <c r="O282" s="54" t="s">
        <v>3627</v>
      </c>
      <c r="P282" s="59">
        <v>8.3333333333333329E-2</v>
      </c>
      <c r="Q282" s="57" t="str">
        <f t="shared" si="57"/>
        <v/>
      </c>
      <c r="R282" s="56" t="str">
        <f t="shared" si="58"/>
        <v>Gi/o</v>
      </c>
      <c r="S282" s="56" t="str">
        <f t="shared" si="59"/>
        <v>Gq/11</v>
      </c>
      <c r="T282" s="56" t="str">
        <f t="shared" si="60"/>
        <v/>
      </c>
      <c r="U282" s="57">
        <f t="shared" si="61"/>
        <v>0</v>
      </c>
      <c r="V282" s="57">
        <f t="shared" si="62"/>
        <v>2</v>
      </c>
      <c r="W282" s="57">
        <f t="shared" si="63"/>
        <v>1</v>
      </c>
      <c r="X282" s="57">
        <f t="shared" si="64"/>
        <v>0</v>
      </c>
      <c r="Y282" s="57" t="str">
        <f t="shared" si="67"/>
        <v>nc</v>
      </c>
      <c r="Z282" s="56" t="str">
        <f t="shared" si="68"/>
        <v>c</v>
      </c>
      <c r="AA282" s="56" t="str">
        <f t="shared" si="69"/>
        <v>c</v>
      </c>
      <c r="AB282" s="56" t="str">
        <f t="shared" si="70"/>
        <v>nc</v>
      </c>
      <c r="AC282" s="56">
        <f t="shared" si="65"/>
        <v>2</v>
      </c>
      <c r="AD282" s="54">
        <f t="shared" si="66"/>
        <v>1</v>
      </c>
    </row>
    <row r="283" spans="1:30">
      <c r="A283" s="54" t="s">
        <v>145</v>
      </c>
      <c r="B283" s="54" t="s">
        <v>311</v>
      </c>
      <c r="C283" s="54" t="str">
        <f>VLOOKUP(A283,RecNamesAll!A:C,3,FALSE)</f>
        <v>CysLT2</v>
      </c>
      <c r="D283" s="60">
        <v>270</v>
      </c>
      <c r="E283" s="54" t="s">
        <v>3626</v>
      </c>
      <c r="F283" s="54" t="s">
        <v>3625</v>
      </c>
      <c r="G283" s="54" t="s">
        <v>3428</v>
      </c>
      <c r="H283" s="54" t="s">
        <v>3557</v>
      </c>
      <c r="I283" s="54" t="s">
        <v>3621</v>
      </c>
      <c r="J283" s="54" t="s">
        <v>2759</v>
      </c>
      <c r="K283" s="54" t="s">
        <v>2760</v>
      </c>
      <c r="L283" s="54" t="s">
        <v>3320</v>
      </c>
      <c r="M283" s="54" t="s">
        <v>3298</v>
      </c>
      <c r="N283" s="54" t="s">
        <v>3624</v>
      </c>
      <c r="O283" s="54">
        <v>13679572</v>
      </c>
      <c r="P283" s="59">
        <v>8.3333333333333329E-2</v>
      </c>
      <c r="Q283" s="57" t="str">
        <f t="shared" si="57"/>
        <v/>
      </c>
      <c r="R283" s="56" t="str">
        <f t="shared" si="58"/>
        <v>Gi/o</v>
      </c>
      <c r="S283" s="56" t="str">
        <f t="shared" si="59"/>
        <v>Gq/11</v>
      </c>
      <c r="T283" s="56" t="str">
        <f t="shared" si="60"/>
        <v/>
      </c>
      <c r="U283" s="57">
        <f t="shared" si="61"/>
        <v>0</v>
      </c>
      <c r="V283" s="57">
        <f t="shared" si="62"/>
        <v>2</v>
      </c>
      <c r="W283" s="57">
        <f t="shared" si="63"/>
        <v>1</v>
      </c>
      <c r="X283" s="57">
        <f t="shared" si="64"/>
        <v>0</v>
      </c>
      <c r="Y283" s="57" t="str">
        <f t="shared" si="67"/>
        <v>nc</v>
      </c>
      <c r="Z283" s="56" t="str">
        <f t="shared" si="68"/>
        <v>c</v>
      </c>
      <c r="AA283" s="56" t="str">
        <f t="shared" si="69"/>
        <v>c</v>
      </c>
      <c r="AB283" s="56" t="str">
        <f t="shared" si="70"/>
        <v>nc</v>
      </c>
      <c r="AC283" s="56">
        <f t="shared" si="65"/>
        <v>2</v>
      </c>
      <c r="AD283" s="54">
        <f t="shared" si="66"/>
        <v>1</v>
      </c>
    </row>
    <row r="284" spans="1:30">
      <c r="A284" s="54" t="s">
        <v>3623</v>
      </c>
      <c r="B284" s="54" t="s">
        <v>1924</v>
      </c>
      <c r="C284" s="54" t="str">
        <f>VLOOKUP(A284,RecNamesAll!A:C,3,FALSE)</f>
        <v>OXE</v>
      </c>
      <c r="D284" s="60">
        <v>271</v>
      </c>
      <c r="E284" s="54" t="s">
        <v>3623</v>
      </c>
      <c r="F284" s="54" t="s">
        <v>3622</v>
      </c>
      <c r="G284" s="54" t="s">
        <v>3428</v>
      </c>
      <c r="H284" s="54" t="s">
        <v>3557</v>
      </c>
      <c r="I284" s="54" t="s">
        <v>3621</v>
      </c>
      <c r="J284" s="54" t="s">
        <v>2760</v>
      </c>
      <c r="K284" s="54" t="s">
        <v>2760</v>
      </c>
      <c r="L284" s="54" t="s">
        <v>3320</v>
      </c>
      <c r="M284" s="54" t="s">
        <v>3620</v>
      </c>
      <c r="N284" s="54" t="s">
        <v>3619</v>
      </c>
      <c r="O284" s="54" t="s">
        <v>3618</v>
      </c>
      <c r="P284" s="59">
        <v>8.3333333333333329E-2</v>
      </c>
      <c r="Q284" s="57" t="str">
        <f t="shared" si="57"/>
        <v/>
      </c>
      <c r="R284" s="56" t="str">
        <f t="shared" si="58"/>
        <v>Gi/o</v>
      </c>
      <c r="S284" s="56" t="str">
        <f t="shared" si="59"/>
        <v/>
      </c>
      <c r="T284" s="56" t="str">
        <f t="shared" si="60"/>
        <v/>
      </c>
      <c r="U284" s="57">
        <f t="shared" si="61"/>
        <v>0</v>
      </c>
      <c r="V284" s="57">
        <f t="shared" si="62"/>
        <v>1</v>
      </c>
      <c r="W284" s="57">
        <f t="shared" si="63"/>
        <v>0</v>
      </c>
      <c r="X284" s="57">
        <f t="shared" si="64"/>
        <v>0</v>
      </c>
      <c r="Y284" s="57" t="str">
        <f t="shared" si="67"/>
        <v>nc</v>
      </c>
      <c r="Z284" s="56" t="str">
        <f t="shared" si="68"/>
        <v>c</v>
      </c>
      <c r="AA284" s="56" t="str">
        <f t="shared" si="69"/>
        <v>nc</v>
      </c>
      <c r="AB284" s="56" t="str">
        <f t="shared" si="70"/>
        <v>nc</v>
      </c>
      <c r="AC284" s="56">
        <f t="shared" si="65"/>
        <v>3</v>
      </c>
      <c r="AD284" s="54">
        <f t="shared" si="66"/>
        <v>1</v>
      </c>
    </row>
    <row r="285" spans="1:30">
      <c r="A285" s="54" t="s">
        <v>148</v>
      </c>
      <c r="B285" s="54" t="s">
        <v>314</v>
      </c>
      <c r="C285" s="54" t="str">
        <f>VLOOKUP(A285,RecNamesAll!A:C,3,FALSE)</f>
        <v>LPA1</v>
      </c>
      <c r="D285" s="60">
        <v>272</v>
      </c>
      <c r="E285" s="54" t="s">
        <v>148</v>
      </c>
      <c r="F285" s="54" t="s">
        <v>3617</v>
      </c>
      <c r="G285" s="54" t="s">
        <v>3428</v>
      </c>
      <c r="H285" s="54" t="s">
        <v>3557</v>
      </c>
      <c r="I285" s="54" t="s">
        <v>3609</v>
      </c>
      <c r="J285" s="54" t="s">
        <v>3357</v>
      </c>
      <c r="L285" s="54" t="s">
        <v>3616</v>
      </c>
      <c r="N285" s="54" t="s">
        <v>3615</v>
      </c>
      <c r="P285" s="59">
        <v>8.3333333333333329E-2</v>
      </c>
      <c r="Q285" s="57" t="str">
        <f t="shared" si="57"/>
        <v/>
      </c>
      <c r="R285" s="56" t="str">
        <f t="shared" si="58"/>
        <v>Gi/o</v>
      </c>
      <c r="S285" s="56" t="str">
        <f t="shared" si="59"/>
        <v>Gq/11</v>
      </c>
      <c r="T285" s="56" t="str">
        <f t="shared" si="60"/>
        <v>G12/13</v>
      </c>
      <c r="U285" s="57">
        <f t="shared" si="61"/>
        <v>0</v>
      </c>
      <c r="V285" s="57">
        <f t="shared" si="62"/>
        <v>1</v>
      </c>
      <c r="W285" s="57">
        <f t="shared" si="63"/>
        <v>1</v>
      </c>
      <c r="X285" s="57">
        <f t="shared" si="64"/>
        <v>1</v>
      </c>
      <c r="Y285" s="57" t="str">
        <f t="shared" si="67"/>
        <v>nc</v>
      </c>
      <c r="Z285" s="56" t="str">
        <f t="shared" si="68"/>
        <v>c</v>
      </c>
      <c r="AA285" s="56" t="str">
        <f t="shared" si="69"/>
        <v>c</v>
      </c>
      <c r="AB285" s="56" t="str">
        <f t="shared" si="70"/>
        <v>c</v>
      </c>
      <c r="AC285" s="56">
        <f t="shared" si="65"/>
        <v>1</v>
      </c>
      <c r="AD285" s="54">
        <f t="shared" si="66"/>
        <v>1</v>
      </c>
    </row>
    <row r="286" spans="1:30">
      <c r="A286" s="54" t="s">
        <v>149</v>
      </c>
      <c r="B286" s="54" t="s">
        <v>315</v>
      </c>
      <c r="C286" s="54" t="str">
        <f>VLOOKUP(A286,RecNamesAll!A:C,3,FALSE)</f>
        <v>LPA2</v>
      </c>
      <c r="D286" s="60">
        <v>273</v>
      </c>
      <c r="E286" s="54" t="s">
        <v>149</v>
      </c>
      <c r="F286" s="54" t="s">
        <v>3614</v>
      </c>
      <c r="G286" s="54" t="s">
        <v>3428</v>
      </c>
      <c r="H286" s="54" t="s">
        <v>3557</v>
      </c>
      <c r="I286" s="54" t="s">
        <v>3609</v>
      </c>
      <c r="J286" s="54" t="s">
        <v>3357</v>
      </c>
      <c r="K286" s="54" t="s">
        <v>3357</v>
      </c>
      <c r="L286" s="54" t="s">
        <v>3519</v>
      </c>
      <c r="N286" s="54">
        <v>11040035</v>
      </c>
      <c r="P286" s="59">
        <v>4.1666666666666664E-2</v>
      </c>
      <c r="Q286" s="57" t="str">
        <f t="shared" si="57"/>
        <v/>
      </c>
      <c r="R286" s="56" t="str">
        <f t="shared" si="58"/>
        <v>Gi/o</v>
      </c>
      <c r="S286" s="56" t="str">
        <f t="shared" si="59"/>
        <v>Gq/11</v>
      </c>
      <c r="T286" s="56" t="str">
        <f t="shared" si="60"/>
        <v>G12/13</v>
      </c>
      <c r="U286" s="57">
        <f t="shared" si="61"/>
        <v>0</v>
      </c>
      <c r="V286" s="57">
        <f t="shared" si="62"/>
        <v>1</v>
      </c>
      <c r="W286" s="57">
        <f t="shared" si="63"/>
        <v>1</v>
      </c>
      <c r="X286" s="57">
        <f t="shared" si="64"/>
        <v>1</v>
      </c>
      <c r="Y286" s="57" t="str">
        <f t="shared" si="67"/>
        <v>nc</v>
      </c>
      <c r="Z286" s="56" t="str">
        <f t="shared" si="68"/>
        <v>c</v>
      </c>
      <c r="AA286" s="56" t="str">
        <f t="shared" si="69"/>
        <v>c</v>
      </c>
      <c r="AB286" s="56" t="str">
        <f t="shared" si="70"/>
        <v>c</v>
      </c>
      <c r="AC286" s="56">
        <f t="shared" si="65"/>
        <v>1</v>
      </c>
      <c r="AD286" s="54">
        <f t="shared" si="66"/>
        <v>1</v>
      </c>
    </row>
    <row r="287" spans="1:30">
      <c r="A287" s="54" t="s">
        <v>150</v>
      </c>
      <c r="B287" s="54" t="s">
        <v>1650</v>
      </c>
      <c r="C287" s="54" t="str">
        <f>VLOOKUP(A287,RecNamesAll!A:C,3,FALSE)</f>
        <v>LPA3</v>
      </c>
      <c r="D287" s="60">
        <v>274</v>
      </c>
      <c r="E287" s="54" t="s">
        <v>150</v>
      </c>
      <c r="F287" s="54" t="s">
        <v>3613</v>
      </c>
      <c r="G287" s="54" t="s">
        <v>3428</v>
      </c>
      <c r="H287" s="54" t="s">
        <v>3557</v>
      </c>
      <c r="I287" s="54" t="s">
        <v>3609</v>
      </c>
      <c r="J287" s="54" t="s">
        <v>3314</v>
      </c>
      <c r="L287" s="54" t="s">
        <v>3519</v>
      </c>
      <c r="N287" s="54">
        <v>11040035</v>
      </c>
      <c r="P287" s="59">
        <v>4.1666666666666664E-2</v>
      </c>
      <c r="Q287" s="57" t="str">
        <f t="shared" si="57"/>
        <v/>
      </c>
      <c r="R287" s="56" t="str">
        <f t="shared" si="58"/>
        <v>Gi/o</v>
      </c>
      <c r="S287" s="56" t="str">
        <f t="shared" si="59"/>
        <v>Gq/11</v>
      </c>
      <c r="T287" s="56" t="str">
        <f t="shared" si="60"/>
        <v/>
      </c>
      <c r="U287" s="57">
        <f t="shared" si="61"/>
        <v>0</v>
      </c>
      <c r="V287" s="57">
        <f t="shared" si="62"/>
        <v>1</v>
      </c>
      <c r="W287" s="57">
        <f t="shared" si="63"/>
        <v>1</v>
      </c>
      <c r="X287" s="57">
        <f t="shared" si="64"/>
        <v>0</v>
      </c>
      <c r="Y287" s="57" t="str">
        <f t="shared" si="67"/>
        <v>nc</v>
      </c>
      <c r="Z287" s="56" t="str">
        <f t="shared" si="68"/>
        <v>c</v>
      </c>
      <c r="AA287" s="56" t="str">
        <f t="shared" si="69"/>
        <v>c</v>
      </c>
      <c r="AB287" s="56" t="str">
        <f t="shared" si="70"/>
        <v>nc</v>
      </c>
      <c r="AC287" s="56">
        <f t="shared" si="65"/>
        <v>2</v>
      </c>
      <c r="AD287" s="54">
        <f t="shared" si="66"/>
        <v>1</v>
      </c>
    </row>
    <row r="288" spans="1:30">
      <c r="A288" s="54" t="s">
        <v>151</v>
      </c>
      <c r="B288" s="54" t="s">
        <v>1652</v>
      </c>
      <c r="C288" s="54" t="str">
        <f>VLOOKUP(A288,RecNamesAll!A:C,3,FALSE)</f>
        <v>LPA4</v>
      </c>
      <c r="D288" s="60">
        <v>94</v>
      </c>
      <c r="E288" s="54" t="s">
        <v>151</v>
      </c>
      <c r="F288" s="54" t="s">
        <v>3612</v>
      </c>
      <c r="G288" s="54" t="s">
        <v>3428</v>
      </c>
      <c r="H288" s="54" t="s">
        <v>3557</v>
      </c>
      <c r="I288" s="54" t="s">
        <v>3609</v>
      </c>
      <c r="J288" s="54" t="s">
        <v>3493</v>
      </c>
      <c r="L288" s="54" t="s">
        <v>3369</v>
      </c>
      <c r="N288" s="54">
        <v>12724320</v>
      </c>
      <c r="P288" s="59">
        <v>4.1666666666666664E-2</v>
      </c>
      <c r="Q288" s="57" t="str">
        <f t="shared" si="57"/>
        <v>Gs</v>
      </c>
      <c r="R288" s="56" t="str">
        <f t="shared" si="58"/>
        <v>Gi/o</v>
      </c>
      <c r="S288" s="56" t="str">
        <f t="shared" si="59"/>
        <v>Gq/11</v>
      </c>
      <c r="T288" s="56" t="str">
        <f t="shared" si="60"/>
        <v>G12/13</v>
      </c>
      <c r="U288" s="57">
        <f t="shared" si="61"/>
        <v>1</v>
      </c>
      <c r="V288" s="57">
        <f t="shared" si="62"/>
        <v>1</v>
      </c>
      <c r="W288" s="57">
        <f t="shared" si="63"/>
        <v>1</v>
      </c>
      <c r="X288" s="57">
        <f t="shared" si="64"/>
        <v>1</v>
      </c>
      <c r="Y288" s="57" t="str">
        <f t="shared" si="67"/>
        <v>c</v>
      </c>
      <c r="Z288" s="56" t="str">
        <f t="shared" si="68"/>
        <v>c</v>
      </c>
      <c r="AA288" s="56" t="str">
        <f t="shared" si="69"/>
        <v>c</v>
      </c>
      <c r="AB288" s="56" t="str">
        <f t="shared" si="70"/>
        <v>c</v>
      </c>
      <c r="AC288" s="56">
        <f t="shared" si="65"/>
        <v>0</v>
      </c>
      <c r="AD288" s="54">
        <f t="shared" si="66"/>
        <v>1</v>
      </c>
    </row>
    <row r="289" spans="1:30">
      <c r="A289" s="54" t="s">
        <v>152</v>
      </c>
      <c r="B289" s="54" t="s">
        <v>1654</v>
      </c>
      <c r="C289" s="54" t="str">
        <f>VLOOKUP(A289,RecNamesAll!A:C,3,FALSE)</f>
        <v>LPA5</v>
      </c>
      <c r="D289" s="60">
        <v>124</v>
      </c>
      <c r="E289" s="54" t="s">
        <v>152</v>
      </c>
      <c r="F289" s="54" t="s">
        <v>3611</v>
      </c>
      <c r="G289" s="54" t="s">
        <v>3428</v>
      </c>
      <c r="H289" s="54" t="s">
        <v>3557</v>
      </c>
      <c r="I289" s="54" t="s">
        <v>3609</v>
      </c>
      <c r="J289" s="54" t="s">
        <v>3375</v>
      </c>
      <c r="L289" s="54" t="s">
        <v>3298</v>
      </c>
      <c r="N289" s="54">
        <v>16774927</v>
      </c>
      <c r="P289" s="59">
        <v>4.1666666666666664E-2</v>
      </c>
      <c r="Q289" s="57" t="str">
        <f t="shared" si="57"/>
        <v/>
      </c>
      <c r="R289" s="56" t="str">
        <f t="shared" si="58"/>
        <v/>
      </c>
      <c r="S289" s="56" t="str">
        <f t="shared" si="59"/>
        <v>Gq/11</v>
      </c>
      <c r="T289" s="56" t="str">
        <f t="shared" si="60"/>
        <v>G12/13</v>
      </c>
      <c r="U289" s="57">
        <f t="shared" si="61"/>
        <v>0</v>
      </c>
      <c r="V289" s="57">
        <f t="shared" si="62"/>
        <v>0</v>
      </c>
      <c r="W289" s="57">
        <f t="shared" si="63"/>
        <v>1</v>
      </c>
      <c r="X289" s="57">
        <f t="shared" si="64"/>
        <v>1</v>
      </c>
      <c r="Y289" s="57" t="str">
        <f t="shared" si="67"/>
        <v>nc</v>
      </c>
      <c r="Z289" s="56" t="str">
        <f t="shared" si="68"/>
        <v>nc</v>
      </c>
      <c r="AA289" s="56" t="str">
        <f t="shared" si="69"/>
        <v>c</v>
      </c>
      <c r="AB289" s="56" t="str">
        <f t="shared" si="70"/>
        <v>c</v>
      </c>
      <c r="AC289" s="56">
        <f t="shared" si="65"/>
        <v>2</v>
      </c>
      <c r="AD289" s="54">
        <f t="shared" si="66"/>
        <v>1</v>
      </c>
    </row>
    <row r="290" spans="1:30">
      <c r="A290" s="54" t="s">
        <v>153</v>
      </c>
      <c r="B290" s="54" t="s">
        <v>1656</v>
      </c>
      <c r="C290" s="54" t="str">
        <f>VLOOKUP(A290,RecNamesAll!A:C,3,FALSE)</f>
        <v>LPA6</v>
      </c>
      <c r="D290" s="60">
        <v>163</v>
      </c>
      <c r="E290" s="54" t="s">
        <v>153</v>
      </c>
      <c r="F290" s="54" t="s">
        <v>3610</v>
      </c>
      <c r="G290" s="54" t="s">
        <v>3428</v>
      </c>
      <c r="H290" s="54" t="s">
        <v>3557</v>
      </c>
      <c r="I290" s="54" t="s">
        <v>3609</v>
      </c>
      <c r="J290" s="54" t="s">
        <v>3608</v>
      </c>
      <c r="L290" s="54" t="s">
        <v>3607</v>
      </c>
      <c r="N290" s="54" t="s">
        <v>3606</v>
      </c>
      <c r="P290" s="59">
        <v>0.125</v>
      </c>
      <c r="Q290" s="57" t="str">
        <f t="shared" si="57"/>
        <v>Gs</v>
      </c>
      <c r="R290" s="56" t="str">
        <f t="shared" si="58"/>
        <v>Gi/o</v>
      </c>
      <c r="S290" s="56" t="str">
        <f t="shared" si="59"/>
        <v/>
      </c>
      <c r="T290" s="56" t="str">
        <f t="shared" si="60"/>
        <v>G12/13</v>
      </c>
      <c r="U290" s="57">
        <f t="shared" si="61"/>
        <v>1</v>
      </c>
      <c r="V290" s="57">
        <f t="shared" si="62"/>
        <v>1</v>
      </c>
      <c r="W290" s="57">
        <f t="shared" si="63"/>
        <v>0</v>
      </c>
      <c r="X290" s="57">
        <f t="shared" si="64"/>
        <v>1</v>
      </c>
      <c r="Y290" s="57" t="str">
        <f t="shared" si="67"/>
        <v>c</v>
      </c>
      <c r="Z290" s="56" t="str">
        <f t="shared" si="68"/>
        <v>c</v>
      </c>
      <c r="AA290" s="56" t="str">
        <f t="shared" si="69"/>
        <v>nc</v>
      </c>
      <c r="AB290" s="56" t="str">
        <f t="shared" si="70"/>
        <v>c</v>
      </c>
      <c r="AC290" s="56">
        <f t="shared" si="65"/>
        <v>1</v>
      </c>
      <c r="AD290" s="54">
        <f t="shared" si="66"/>
        <v>1</v>
      </c>
    </row>
    <row r="291" spans="1:30">
      <c r="A291" s="54" t="s">
        <v>154</v>
      </c>
      <c r="B291" s="54" t="s">
        <v>316</v>
      </c>
      <c r="C291" s="54" t="str">
        <f>VLOOKUP(A291,RecNamesAll!A:C,3,FALSE)</f>
        <v>S1P1</v>
      </c>
      <c r="D291" s="60">
        <v>275</v>
      </c>
      <c r="E291" s="54" t="s">
        <v>154</v>
      </c>
      <c r="F291" s="54" t="s">
        <v>3605</v>
      </c>
      <c r="G291" s="54" t="s">
        <v>3428</v>
      </c>
      <c r="H291" s="54" t="s">
        <v>3557</v>
      </c>
      <c r="I291" s="54" t="s">
        <v>3592</v>
      </c>
      <c r="J291" s="54" t="s">
        <v>2760</v>
      </c>
      <c r="L291" s="54" t="s">
        <v>3604</v>
      </c>
      <c r="N291" s="54" t="s">
        <v>3603</v>
      </c>
      <c r="P291" s="59">
        <v>0.125</v>
      </c>
      <c r="Q291" s="57" t="str">
        <f t="shared" si="57"/>
        <v/>
      </c>
      <c r="R291" s="56" t="str">
        <f t="shared" si="58"/>
        <v>Gi/o</v>
      </c>
      <c r="S291" s="56" t="str">
        <f t="shared" si="59"/>
        <v/>
      </c>
      <c r="T291" s="56" t="str">
        <f t="shared" si="60"/>
        <v/>
      </c>
      <c r="U291" s="57">
        <f t="shared" si="61"/>
        <v>0</v>
      </c>
      <c r="V291" s="57">
        <f t="shared" si="62"/>
        <v>1</v>
      </c>
      <c r="W291" s="57">
        <f t="shared" si="63"/>
        <v>0</v>
      </c>
      <c r="X291" s="57">
        <f t="shared" si="64"/>
        <v>0</v>
      </c>
      <c r="Y291" s="57" t="str">
        <f t="shared" si="67"/>
        <v>nc</v>
      </c>
      <c r="Z291" s="56" t="str">
        <f t="shared" si="68"/>
        <v>c</v>
      </c>
      <c r="AA291" s="56" t="str">
        <f t="shared" si="69"/>
        <v>nc</v>
      </c>
      <c r="AB291" s="56" t="str">
        <f t="shared" si="70"/>
        <v>nc</v>
      </c>
      <c r="AC291" s="56">
        <f t="shared" si="65"/>
        <v>3</v>
      </c>
      <c r="AD291" s="54">
        <f t="shared" si="66"/>
        <v>1</v>
      </c>
    </row>
    <row r="292" spans="1:30">
      <c r="A292" s="54" t="s">
        <v>155</v>
      </c>
      <c r="B292" s="54" t="s">
        <v>2166</v>
      </c>
      <c r="C292" s="54" t="str">
        <f>VLOOKUP(A292,RecNamesAll!A:C,3,FALSE)</f>
        <v>S1P2</v>
      </c>
      <c r="D292" s="60">
        <v>276</v>
      </c>
      <c r="E292" s="54" t="s">
        <v>155</v>
      </c>
      <c r="F292" s="54" t="s">
        <v>3602</v>
      </c>
      <c r="G292" s="54" t="s">
        <v>3428</v>
      </c>
      <c r="H292" s="54" t="s">
        <v>3557</v>
      </c>
      <c r="I292" s="54" t="s">
        <v>3592</v>
      </c>
      <c r="J292" s="54" t="s">
        <v>3601</v>
      </c>
      <c r="L292" s="54" t="s">
        <v>3600</v>
      </c>
      <c r="N292" s="54" t="s">
        <v>3599</v>
      </c>
      <c r="P292" s="59">
        <v>8.3333333333333329E-2</v>
      </c>
      <c r="Q292" s="57" t="str">
        <f t="shared" si="57"/>
        <v>Gs</v>
      </c>
      <c r="R292" s="56" t="str">
        <f t="shared" si="58"/>
        <v/>
      </c>
      <c r="S292" s="56" t="str">
        <f t="shared" si="59"/>
        <v>Gq/11</v>
      </c>
      <c r="T292" s="56" t="str">
        <f t="shared" si="60"/>
        <v>G12/13</v>
      </c>
      <c r="U292" s="57">
        <f t="shared" si="61"/>
        <v>1</v>
      </c>
      <c r="V292" s="57">
        <f t="shared" si="62"/>
        <v>0</v>
      </c>
      <c r="W292" s="57">
        <f t="shared" si="63"/>
        <v>1</v>
      </c>
      <c r="X292" s="57">
        <f t="shared" si="64"/>
        <v>1</v>
      </c>
      <c r="Y292" s="57" t="str">
        <f t="shared" si="67"/>
        <v>c</v>
      </c>
      <c r="Z292" s="56" t="str">
        <f t="shared" si="68"/>
        <v>nc</v>
      </c>
      <c r="AA292" s="56" t="str">
        <f t="shared" si="69"/>
        <v>c</v>
      </c>
      <c r="AB292" s="56" t="str">
        <f t="shared" si="70"/>
        <v>c</v>
      </c>
      <c r="AC292" s="56">
        <f t="shared" si="65"/>
        <v>1</v>
      </c>
      <c r="AD292" s="54">
        <f t="shared" si="66"/>
        <v>1</v>
      </c>
    </row>
    <row r="293" spans="1:30">
      <c r="A293" s="54" t="s">
        <v>156</v>
      </c>
      <c r="B293" s="54" t="s">
        <v>2168</v>
      </c>
      <c r="C293" s="54" t="str">
        <f>VLOOKUP(A293,RecNamesAll!A:C,3,FALSE)</f>
        <v>S1P3</v>
      </c>
      <c r="D293" s="60">
        <v>277</v>
      </c>
      <c r="E293" s="54" t="s">
        <v>156</v>
      </c>
      <c r="F293" s="54" t="s">
        <v>3598</v>
      </c>
      <c r="G293" s="54" t="s">
        <v>3428</v>
      </c>
      <c r="H293" s="54" t="s">
        <v>3557</v>
      </c>
      <c r="I293" s="54" t="s">
        <v>3592</v>
      </c>
      <c r="J293" s="54" t="s">
        <v>3357</v>
      </c>
      <c r="L293" s="54" t="s">
        <v>3438</v>
      </c>
      <c r="N293" s="54" t="s">
        <v>3597</v>
      </c>
      <c r="P293" s="59">
        <v>8.3333333333333329E-2</v>
      </c>
      <c r="Q293" s="57" t="str">
        <f t="shared" si="57"/>
        <v/>
      </c>
      <c r="R293" s="56" t="str">
        <f t="shared" si="58"/>
        <v>Gi/o</v>
      </c>
      <c r="S293" s="56" t="str">
        <f t="shared" si="59"/>
        <v>Gq/11</v>
      </c>
      <c r="T293" s="56" t="str">
        <f t="shared" si="60"/>
        <v>G12/13</v>
      </c>
      <c r="U293" s="57">
        <f t="shared" si="61"/>
        <v>0</v>
      </c>
      <c r="V293" s="57">
        <f t="shared" si="62"/>
        <v>1</v>
      </c>
      <c r="W293" s="57">
        <f t="shared" si="63"/>
        <v>1</v>
      </c>
      <c r="X293" s="57">
        <f t="shared" si="64"/>
        <v>1</v>
      </c>
      <c r="Y293" s="57" t="str">
        <f t="shared" si="67"/>
        <v>nc</v>
      </c>
      <c r="Z293" s="56" t="str">
        <f t="shared" si="68"/>
        <v>c</v>
      </c>
      <c r="AA293" s="56" t="str">
        <f t="shared" si="69"/>
        <v>c</v>
      </c>
      <c r="AB293" s="56" t="str">
        <f t="shared" si="70"/>
        <v>c</v>
      </c>
      <c r="AC293" s="56">
        <f t="shared" si="65"/>
        <v>1</v>
      </c>
      <c r="AD293" s="54">
        <f t="shared" si="66"/>
        <v>1</v>
      </c>
    </row>
    <row r="294" spans="1:30">
      <c r="A294" s="54" t="s">
        <v>3596</v>
      </c>
      <c r="B294" s="54" t="s">
        <v>2170</v>
      </c>
      <c r="C294" s="54" t="str">
        <f>VLOOKUP(A294,RecNamesAll!A:C,3,FALSE)</f>
        <v>S1P4</v>
      </c>
      <c r="D294" s="60">
        <v>278</v>
      </c>
      <c r="E294" s="54" t="s">
        <v>3596</v>
      </c>
      <c r="F294" s="54" t="s">
        <v>3595</v>
      </c>
      <c r="G294" s="54" t="s">
        <v>3428</v>
      </c>
      <c r="H294" s="54" t="s">
        <v>3557</v>
      </c>
      <c r="I294" s="54" t="s">
        <v>3592</v>
      </c>
      <c r="J294" s="54" t="s">
        <v>3114</v>
      </c>
      <c r="L294" s="54" t="s">
        <v>3327</v>
      </c>
      <c r="N294" s="54" t="s">
        <v>3594</v>
      </c>
      <c r="P294" s="59">
        <v>8.3333333333333329E-2</v>
      </c>
      <c r="Q294" s="57" t="str">
        <f t="shared" si="57"/>
        <v/>
      </c>
      <c r="R294" s="56" t="str">
        <f t="shared" si="58"/>
        <v>Gi/o</v>
      </c>
      <c r="S294" s="56" t="str">
        <f t="shared" si="59"/>
        <v/>
      </c>
      <c r="T294" s="56" t="str">
        <f t="shared" si="60"/>
        <v>G12/13</v>
      </c>
      <c r="U294" s="57">
        <f t="shared" si="61"/>
        <v>0</v>
      </c>
      <c r="V294" s="57">
        <f t="shared" si="62"/>
        <v>1</v>
      </c>
      <c r="W294" s="57">
        <f t="shared" si="63"/>
        <v>0</v>
      </c>
      <c r="X294" s="57">
        <f t="shared" si="64"/>
        <v>1</v>
      </c>
      <c r="Y294" s="57" t="str">
        <f t="shared" si="67"/>
        <v>nc</v>
      </c>
      <c r="Z294" s="56" t="str">
        <f t="shared" si="68"/>
        <v>c</v>
      </c>
      <c r="AA294" s="56" t="str">
        <f t="shared" si="69"/>
        <v>nc</v>
      </c>
      <c r="AB294" s="56" t="str">
        <f t="shared" si="70"/>
        <v>c</v>
      </c>
      <c r="AC294" s="56">
        <f t="shared" si="65"/>
        <v>2</v>
      </c>
      <c r="AD294" s="54">
        <f t="shared" si="66"/>
        <v>1</v>
      </c>
    </row>
    <row r="295" spans="1:30">
      <c r="A295" s="54" t="s">
        <v>157</v>
      </c>
      <c r="B295" s="54" t="s">
        <v>2172</v>
      </c>
      <c r="C295" s="54" t="str">
        <f>VLOOKUP(A295,RecNamesAll!A:C,3,FALSE)</f>
        <v>S1P5</v>
      </c>
      <c r="D295" s="60">
        <v>279</v>
      </c>
      <c r="E295" s="54" t="s">
        <v>157</v>
      </c>
      <c r="F295" s="54" t="s">
        <v>3593</v>
      </c>
      <c r="G295" s="54" t="s">
        <v>3428</v>
      </c>
      <c r="H295" s="54" t="s">
        <v>3557</v>
      </c>
      <c r="I295" s="54" t="s">
        <v>3592</v>
      </c>
      <c r="J295" s="54" t="s">
        <v>3114</v>
      </c>
      <c r="L295" s="54" t="s">
        <v>3327</v>
      </c>
      <c r="N295" s="54" t="s">
        <v>3591</v>
      </c>
      <c r="P295" s="59">
        <v>8.3333333333333329E-2</v>
      </c>
      <c r="Q295" s="57" t="str">
        <f t="shared" si="57"/>
        <v/>
      </c>
      <c r="R295" s="56" t="str">
        <f t="shared" si="58"/>
        <v>Gi/o</v>
      </c>
      <c r="S295" s="56" t="str">
        <f t="shared" si="59"/>
        <v/>
      </c>
      <c r="T295" s="56" t="str">
        <f t="shared" si="60"/>
        <v>G12/13</v>
      </c>
      <c r="U295" s="57">
        <f t="shared" si="61"/>
        <v>0</v>
      </c>
      <c r="V295" s="57">
        <f t="shared" si="62"/>
        <v>1</v>
      </c>
      <c r="W295" s="57">
        <f t="shared" si="63"/>
        <v>0</v>
      </c>
      <c r="X295" s="57">
        <f t="shared" si="64"/>
        <v>1</v>
      </c>
      <c r="Y295" s="57" t="str">
        <f t="shared" si="67"/>
        <v>nc</v>
      </c>
      <c r="Z295" s="56" t="str">
        <f t="shared" si="68"/>
        <v>c</v>
      </c>
      <c r="AA295" s="56" t="str">
        <f t="shared" si="69"/>
        <v>nc</v>
      </c>
      <c r="AB295" s="56" t="str">
        <f t="shared" si="70"/>
        <v>c</v>
      </c>
      <c r="AC295" s="56">
        <f t="shared" si="65"/>
        <v>2</v>
      </c>
      <c r="AD295" s="54">
        <f t="shared" si="66"/>
        <v>1</v>
      </c>
    </row>
    <row r="296" spans="1:30">
      <c r="A296" s="54" t="s">
        <v>58</v>
      </c>
      <c r="B296" s="54" t="s">
        <v>281</v>
      </c>
      <c r="C296" s="54" t="str">
        <f>VLOOKUP(A296,RecNamesAll!A:C,3,FALSE)</f>
        <v>CB1</v>
      </c>
      <c r="D296" s="60">
        <v>56</v>
      </c>
      <c r="E296" s="54" t="s">
        <v>58</v>
      </c>
      <c r="F296" s="54" t="s">
        <v>3590</v>
      </c>
      <c r="G296" s="54" t="s">
        <v>3428</v>
      </c>
      <c r="H296" s="54" t="s">
        <v>3557</v>
      </c>
      <c r="I296" s="54" t="s">
        <v>3585</v>
      </c>
      <c r="J296" s="54" t="s">
        <v>2760</v>
      </c>
      <c r="K296" s="54" t="s">
        <v>2761</v>
      </c>
      <c r="L296" s="54" t="s">
        <v>3589</v>
      </c>
      <c r="M296" s="54" t="s">
        <v>3369</v>
      </c>
      <c r="N296" s="54" t="s">
        <v>3588</v>
      </c>
      <c r="O296" s="54" t="s">
        <v>3587</v>
      </c>
      <c r="P296" s="59">
        <v>0.45833333333333331</v>
      </c>
      <c r="Q296" s="57" t="str">
        <f t="shared" si="57"/>
        <v>Gs</v>
      </c>
      <c r="R296" s="56" t="str">
        <f t="shared" si="58"/>
        <v>Gi/o</v>
      </c>
      <c r="S296" s="56" t="str">
        <f t="shared" si="59"/>
        <v/>
      </c>
      <c r="T296" s="56" t="str">
        <f t="shared" si="60"/>
        <v/>
      </c>
      <c r="U296" s="57">
        <f t="shared" si="61"/>
        <v>2</v>
      </c>
      <c r="V296" s="57">
        <f t="shared" si="62"/>
        <v>1</v>
      </c>
      <c r="W296" s="57">
        <f t="shared" si="63"/>
        <v>0</v>
      </c>
      <c r="X296" s="57">
        <f t="shared" si="64"/>
        <v>0</v>
      </c>
      <c r="Y296" s="57" t="str">
        <f t="shared" si="67"/>
        <v>c</v>
      </c>
      <c r="Z296" s="56" t="str">
        <f t="shared" si="68"/>
        <v>c</v>
      </c>
      <c r="AA296" s="56" t="str">
        <f t="shared" si="69"/>
        <v>nc</v>
      </c>
      <c r="AB296" s="56" t="str">
        <f t="shared" si="70"/>
        <v>nc</v>
      </c>
      <c r="AC296" s="56">
        <f t="shared" si="65"/>
        <v>2</v>
      </c>
      <c r="AD296" s="54">
        <f t="shared" si="66"/>
        <v>1</v>
      </c>
    </row>
    <row r="297" spans="1:30">
      <c r="A297" s="54" t="s">
        <v>59</v>
      </c>
      <c r="B297" s="54" t="s">
        <v>282</v>
      </c>
      <c r="C297" s="54" t="str">
        <f>VLOOKUP(A297,RecNamesAll!A:C,3,FALSE)</f>
        <v>CB2</v>
      </c>
      <c r="D297" s="60">
        <v>57</v>
      </c>
      <c r="E297" s="54" t="s">
        <v>59</v>
      </c>
      <c r="F297" s="54" t="s">
        <v>3586</v>
      </c>
      <c r="G297" s="54" t="s">
        <v>3428</v>
      </c>
      <c r="H297" s="54" t="s">
        <v>3557</v>
      </c>
      <c r="I297" s="54" t="s">
        <v>3585</v>
      </c>
      <c r="J297" s="54" t="s">
        <v>2760</v>
      </c>
      <c r="K297" s="54" t="s">
        <v>2761</v>
      </c>
      <c r="L297" s="54" t="s">
        <v>3515</v>
      </c>
      <c r="M297" s="54" t="s">
        <v>3369</v>
      </c>
      <c r="N297" s="54" t="s">
        <v>3584</v>
      </c>
      <c r="O297" s="54" t="s">
        <v>3583</v>
      </c>
      <c r="P297" s="59">
        <v>0.29166666666666669</v>
      </c>
      <c r="Q297" s="57" t="str">
        <f t="shared" si="57"/>
        <v>Gs</v>
      </c>
      <c r="R297" s="56" t="str">
        <f t="shared" si="58"/>
        <v>Gi/o</v>
      </c>
      <c r="S297" s="56" t="str">
        <f t="shared" si="59"/>
        <v/>
      </c>
      <c r="T297" s="56" t="str">
        <f t="shared" si="60"/>
        <v/>
      </c>
      <c r="U297" s="57">
        <f t="shared" si="61"/>
        <v>2</v>
      </c>
      <c r="V297" s="57">
        <f t="shared" si="62"/>
        <v>1</v>
      </c>
      <c r="W297" s="57">
        <f t="shared" si="63"/>
        <v>0</v>
      </c>
      <c r="X297" s="57">
        <f t="shared" si="64"/>
        <v>0</v>
      </c>
      <c r="Y297" s="57" t="str">
        <f t="shared" si="67"/>
        <v>c</v>
      </c>
      <c r="Z297" s="56" t="str">
        <f t="shared" si="68"/>
        <v>c</v>
      </c>
      <c r="AA297" s="56" t="str">
        <f t="shared" si="69"/>
        <v>nc</v>
      </c>
      <c r="AB297" s="56" t="str">
        <f t="shared" si="70"/>
        <v>nc</v>
      </c>
      <c r="AC297" s="56">
        <f t="shared" si="65"/>
        <v>2</v>
      </c>
      <c r="AD297" s="54">
        <f t="shared" si="66"/>
        <v>1</v>
      </c>
    </row>
    <row r="298" spans="1:30">
      <c r="A298" s="54" t="s">
        <v>3582</v>
      </c>
      <c r="B298" s="54" t="s">
        <v>1463</v>
      </c>
      <c r="C298" s="54" t="str">
        <f>VLOOKUP(A298,RecNamesAll!A:C,3,FALSE)</f>
        <v>GPR18</v>
      </c>
      <c r="D298" s="60">
        <v>89</v>
      </c>
      <c r="E298" s="54" t="s">
        <v>3582</v>
      </c>
      <c r="F298" s="54" t="s">
        <v>3581</v>
      </c>
      <c r="G298" s="54" t="s">
        <v>3428</v>
      </c>
      <c r="H298" s="54" t="s">
        <v>3557</v>
      </c>
      <c r="I298" s="54" t="s">
        <v>3578</v>
      </c>
      <c r="J298" s="54" t="s">
        <v>3314</v>
      </c>
      <c r="N298" s="54" t="s">
        <v>3580</v>
      </c>
      <c r="P298" s="59">
        <v>8.3333333333333329E-2</v>
      </c>
      <c r="Q298" s="57" t="str">
        <f t="shared" si="57"/>
        <v/>
      </c>
      <c r="R298" s="56" t="str">
        <f t="shared" si="58"/>
        <v>Gi/o</v>
      </c>
      <c r="S298" s="56" t="str">
        <f t="shared" si="59"/>
        <v>Gq/11</v>
      </c>
      <c r="T298" s="56" t="str">
        <f t="shared" si="60"/>
        <v/>
      </c>
      <c r="U298" s="57">
        <f t="shared" si="61"/>
        <v>0</v>
      </c>
      <c r="V298" s="57">
        <f t="shared" si="62"/>
        <v>1</v>
      </c>
      <c r="W298" s="57">
        <f t="shared" si="63"/>
        <v>1</v>
      </c>
      <c r="X298" s="57">
        <f t="shared" si="64"/>
        <v>0</v>
      </c>
      <c r="Y298" s="57" t="str">
        <f t="shared" si="67"/>
        <v>nc</v>
      </c>
      <c r="Z298" s="56" t="str">
        <f t="shared" si="68"/>
        <v>c</v>
      </c>
      <c r="AA298" s="56" t="str">
        <f t="shared" si="69"/>
        <v>c</v>
      </c>
      <c r="AB298" s="56" t="str">
        <f t="shared" si="70"/>
        <v>nc</v>
      </c>
      <c r="AC298" s="56">
        <f t="shared" si="65"/>
        <v>2</v>
      </c>
      <c r="AD298" s="54">
        <f t="shared" si="66"/>
        <v>1</v>
      </c>
    </row>
    <row r="299" spans="1:30">
      <c r="A299" s="54" t="s">
        <v>134</v>
      </c>
      <c r="B299" s="54" t="s">
        <v>1499</v>
      </c>
      <c r="C299" s="54" t="str">
        <f>VLOOKUP(A299,RecNamesAll!A:C,3,FALSE)</f>
        <v>GPR55</v>
      </c>
      <c r="D299" s="60">
        <v>109</v>
      </c>
      <c r="E299" s="54" t="s">
        <v>134</v>
      </c>
      <c r="G299" s="54" t="s">
        <v>3428</v>
      </c>
      <c r="H299" s="54" t="s">
        <v>3557</v>
      </c>
      <c r="I299" s="54" t="s">
        <v>3578</v>
      </c>
      <c r="J299" s="54" t="s">
        <v>3375</v>
      </c>
      <c r="L299" s="54" t="s">
        <v>3313</v>
      </c>
      <c r="M299" s="54" t="s">
        <v>3320</v>
      </c>
      <c r="N299" s="54">
        <v>17876302</v>
      </c>
      <c r="O299" s="54" t="s">
        <v>3579</v>
      </c>
      <c r="P299" s="59">
        <v>4.1666666666666664E-2</v>
      </c>
      <c r="Q299" s="57" t="str">
        <f t="shared" si="57"/>
        <v/>
      </c>
      <c r="R299" s="56" t="str">
        <f t="shared" si="58"/>
        <v/>
      </c>
      <c r="S299" s="56" t="str">
        <f t="shared" si="59"/>
        <v>Gq/11</v>
      </c>
      <c r="T299" s="56" t="str">
        <f t="shared" si="60"/>
        <v>G12/13</v>
      </c>
      <c r="U299" s="57">
        <f t="shared" si="61"/>
        <v>0</v>
      </c>
      <c r="V299" s="57">
        <f t="shared" si="62"/>
        <v>0</v>
      </c>
      <c r="W299" s="57">
        <f t="shared" si="63"/>
        <v>1</v>
      </c>
      <c r="X299" s="57">
        <f t="shared" si="64"/>
        <v>1</v>
      </c>
      <c r="Y299" s="57" t="str">
        <f t="shared" si="67"/>
        <v>nc</v>
      </c>
      <c r="Z299" s="56" t="str">
        <f t="shared" si="68"/>
        <v>nc</v>
      </c>
      <c r="AA299" s="56" t="str">
        <f t="shared" si="69"/>
        <v>c</v>
      </c>
      <c r="AB299" s="56" t="str">
        <f t="shared" si="70"/>
        <v>c</v>
      </c>
      <c r="AC299" s="56">
        <f t="shared" si="65"/>
        <v>2</v>
      </c>
      <c r="AD299" s="54">
        <f t="shared" si="66"/>
        <v>1</v>
      </c>
    </row>
    <row r="300" spans="1:30">
      <c r="A300" s="54" t="s">
        <v>132</v>
      </c>
      <c r="B300" s="54" t="s">
        <v>1273</v>
      </c>
      <c r="C300" s="54" t="str">
        <f>VLOOKUP(A300,RecNamesAll!A:C,3,FALSE)</f>
        <v>GPR119</v>
      </c>
      <c r="D300" s="60">
        <v>126</v>
      </c>
      <c r="E300" s="54" t="s">
        <v>133</v>
      </c>
      <c r="G300" s="54" t="s">
        <v>3428</v>
      </c>
      <c r="H300" s="54" t="s">
        <v>3557</v>
      </c>
      <c r="I300" s="54" t="s">
        <v>3578</v>
      </c>
      <c r="J300" s="54" t="s">
        <v>2761</v>
      </c>
      <c r="L300" s="54" t="s">
        <v>3369</v>
      </c>
      <c r="N300" s="54">
        <v>15607732</v>
      </c>
      <c r="P300" s="59">
        <v>4.1666666666666664E-2</v>
      </c>
      <c r="Q300" s="57" t="str">
        <f t="shared" si="57"/>
        <v>Gs</v>
      </c>
      <c r="R300" s="56" t="str">
        <f t="shared" si="58"/>
        <v/>
      </c>
      <c r="S300" s="56" t="str">
        <f t="shared" si="59"/>
        <v/>
      </c>
      <c r="T300" s="56" t="str">
        <f t="shared" si="60"/>
        <v/>
      </c>
      <c r="U300" s="57">
        <f t="shared" si="61"/>
        <v>1</v>
      </c>
      <c r="V300" s="57">
        <f t="shared" si="62"/>
        <v>0</v>
      </c>
      <c r="W300" s="57">
        <f t="shared" si="63"/>
        <v>0</v>
      </c>
      <c r="X300" s="57">
        <f t="shared" si="64"/>
        <v>0</v>
      </c>
      <c r="Y300" s="57" t="str">
        <f t="shared" si="67"/>
        <v>c</v>
      </c>
      <c r="Z300" s="56" t="str">
        <f t="shared" si="68"/>
        <v>nc</v>
      </c>
      <c r="AA300" s="56" t="str">
        <f t="shared" si="69"/>
        <v>nc</v>
      </c>
      <c r="AB300" s="56" t="str">
        <f t="shared" si="70"/>
        <v>nc</v>
      </c>
      <c r="AC300" s="56">
        <f t="shared" si="65"/>
        <v>3</v>
      </c>
      <c r="AD300" s="54">
        <f t="shared" si="66"/>
        <v>1</v>
      </c>
    </row>
    <row r="301" spans="1:30">
      <c r="A301" s="54" t="s">
        <v>200</v>
      </c>
      <c r="B301" s="54" t="s">
        <v>2109</v>
      </c>
      <c r="C301" s="54" t="str">
        <f>VLOOKUP(A301,RecNamesAll!A:C,3,FALSE)</f>
        <v>PAF</v>
      </c>
      <c r="D301" s="60">
        <v>334</v>
      </c>
      <c r="E301" s="54" t="s">
        <v>200</v>
      </c>
      <c r="F301" s="54" t="s">
        <v>3577</v>
      </c>
      <c r="G301" s="54" t="s">
        <v>3428</v>
      </c>
      <c r="H301" s="54" t="s">
        <v>3557</v>
      </c>
      <c r="I301" s="54" t="s">
        <v>3576</v>
      </c>
      <c r="J301" s="54" t="s">
        <v>3302</v>
      </c>
      <c r="L301" s="54" t="s">
        <v>3575</v>
      </c>
      <c r="N301" s="54" t="s">
        <v>3574</v>
      </c>
      <c r="P301" s="59">
        <v>0.20833333333333334</v>
      </c>
      <c r="Q301" s="57" t="str">
        <f t="shared" si="57"/>
        <v/>
      </c>
      <c r="R301" s="56" t="str">
        <f t="shared" si="58"/>
        <v>Gi/o</v>
      </c>
      <c r="S301" s="56" t="str">
        <f t="shared" si="59"/>
        <v>Gq/11</v>
      </c>
      <c r="T301" s="56" t="str">
        <f t="shared" si="60"/>
        <v/>
      </c>
      <c r="U301" s="57">
        <f t="shared" si="61"/>
        <v>0</v>
      </c>
      <c r="V301" s="57">
        <f t="shared" si="62"/>
        <v>1</v>
      </c>
      <c r="W301" s="57">
        <f t="shared" si="63"/>
        <v>1</v>
      </c>
      <c r="X301" s="57">
        <f t="shared" si="64"/>
        <v>0</v>
      </c>
      <c r="Y301" s="57" t="str">
        <f t="shared" si="67"/>
        <v>nc</v>
      </c>
      <c r="Z301" s="56" t="str">
        <f t="shared" si="68"/>
        <v>c</v>
      </c>
      <c r="AA301" s="56" t="str">
        <f t="shared" si="69"/>
        <v>c</v>
      </c>
      <c r="AB301" s="56" t="str">
        <f t="shared" si="70"/>
        <v>nc</v>
      </c>
      <c r="AC301" s="56">
        <f t="shared" si="65"/>
        <v>2</v>
      </c>
      <c r="AD301" s="54">
        <f t="shared" si="66"/>
        <v>1</v>
      </c>
    </row>
    <row r="302" spans="1:30">
      <c r="A302" s="54" t="s">
        <v>202</v>
      </c>
      <c r="B302" s="54" t="s">
        <v>2042</v>
      </c>
      <c r="C302" s="54" t="str">
        <f>VLOOKUP(A302,RecNamesAll!A:C,3,FALSE)</f>
        <v>DP1</v>
      </c>
      <c r="D302" s="60">
        <v>338</v>
      </c>
      <c r="E302" s="54" t="s">
        <v>2975</v>
      </c>
      <c r="G302" s="54" t="s">
        <v>3428</v>
      </c>
      <c r="H302" s="54" t="s">
        <v>3557</v>
      </c>
      <c r="I302" s="54" t="s">
        <v>3556</v>
      </c>
      <c r="J302" s="54" t="s">
        <v>2761</v>
      </c>
      <c r="L302" s="54" t="s">
        <v>3369</v>
      </c>
      <c r="N302" s="54">
        <v>12649388</v>
      </c>
      <c r="P302" s="59">
        <v>4.1666666666666664E-2</v>
      </c>
      <c r="Q302" s="57" t="str">
        <f t="shared" si="57"/>
        <v>Gs</v>
      </c>
      <c r="R302" s="56" t="str">
        <f t="shared" si="58"/>
        <v/>
      </c>
      <c r="S302" s="56" t="str">
        <f t="shared" si="59"/>
        <v/>
      </c>
      <c r="T302" s="56" t="str">
        <f t="shared" si="60"/>
        <v/>
      </c>
      <c r="U302" s="57">
        <f t="shared" si="61"/>
        <v>1</v>
      </c>
      <c r="V302" s="57">
        <f t="shared" si="62"/>
        <v>0</v>
      </c>
      <c r="W302" s="57">
        <f t="shared" si="63"/>
        <v>0</v>
      </c>
      <c r="X302" s="57">
        <f t="shared" si="64"/>
        <v>0</v>
      </c>
      <c r="Y302" s="57" t="str">
        <f t="shared" si="67"/>
        <v>c</v>
      </c>
      <c r="Z302" s="56" t="str">
        <f t="shared" si="68"/>
        <v>nc</v>
      </c>
      <c r="AA302" s="56" t="str">
        <f t="shared" si="69"/>
        <v>nc</v>
      </c>
      <c r="AB302" s="56" t="str">
        <f t="shared" si="70"/>
        <v>nc</v>
      </c>
      <c r="AC302" s="56">
        <f t="shared" si="65"/>
        <v>3</v>
      </c>
      <c r="AD302" s="54">
        <f t="shared" si="66"/>
        <v>1</v>
      </c>
    </row>
    <row r="303" spans="1:30">
      <c r="A303" s="54" t="s">
        <v>3573</v>
      </c>
      <c r="B303" s="54" t="s">
        <v>2079</v>
      </c>
      <c r="C303" s="54" t="str">
        <f>VLOOKUP(A303,RecNamesAll!A:C,3,FALSE)</f>
        <v>DP2</v>
      </c>
      <c r="D303" s="60">
        <v>339</v>
      </c>
      <c r="E303" s="54" t="s">
        <v>2972</v>
      </c>
      <c r="F303" s="54" t="s">
        <v>3572</v>
      </c>
      <c r="G303" s="54" t="s">
        <v>3428</v>
      </c>
      <c r="H303" s="54" t="s">
        <v>3557</v>
      </c>
      <c r="I303" s="54" t="s">
        <v>3556</v>
      </c>
      <c r="J303" s="54" t="s">
        <v>2760</v>
      </c>
      <c r="L303" s="54" t="s">
        <v>3327</v>
      </c>
      <c r="N303" s="54" t="s">
        <v>3571</v>
      </c>
      <c r="P303" s="59">
        <v>8.3333333333333329E-2</v>
      </c>
      <c r="Q303" s="57" t="str">
        <f t="shared" si="57"/>
        <v/>
      </c>
      <c r="R303" s="56" t="str">
        <f t="shared" si="58"/>
        <v>Gi/o</v>
      </c>
      <c r="S303" s="56" t="str">
        <f t="shared" si="59"/>
        <v/>
      </c>
      <c r="T303" s="56" t="str">
        <f t="shared" si="60"/>
        <v/>
      </c>
      <c r="U303" s="57">
        <f t="shared" si="61"/>
        <v>0</v>
      </c>
      <c r="V303" s="57">
        <f t="shared" si="62"/>
        <v>1</v>
      </c>
      <c r="W303" s="57">
        <f t="shared" si="63"/>
        <v>0</v>
      </c>
      <c r="X303" s="57">
        <f t="shared" si="64"/>
        <v>0</v>
      </c>
      <c r="Y303" s="57" t="str">
        <f t="shared" si="67"/>
        <v>nc</v>
      </c>
      <c r="Z303" s="56" t="str">
        <f t="shared" si="68"/>
        <v>c</v>
      </c>
      <c r="AA303" s="56" t="str">
        <f t="shared" si="69"/>
        <v>nc</v>
      </c>
      <c r="AB303" s="56" t="str">
        <f t="shared" si="70"/>
        <v>nc</v>
      </c>
      <c r="AC303" s="56">
        <f t="shared" si="65"/>
        <v>3</v>
      </c>
      <c r="AD303" s="54">
        <f t="shared" si="66"/>
        <v>1</v>
      </c>
    </row>
    <row r="304" spans="1:30">
      <c r="A304" s="54" t="s">
        <v>203</v>
      </c>
      <c r="B304" s="54" t="s">
        <v>337</v>
      </c>
      <c r="C304" s="54" t="str">
        <f>VLOOKUP(A304,RecNamesAll!A:C,3,FALSE)</f>
        <v>EP1</v>
      </c>
      <c r="D304" s="60">
        <v>340</v>
      </c>
      <c r="E304" s="54" t="s">
        <v>2987</v>
      </c>
      <c r="G304" s="54" t="s">
        <v>3428</v>
      </c>
      <c r="H304" s="54" t="s">
        <v>3557</v>
      </c>
      <c r="I304" s="54" t="s">
        <v>3556</v>
      </c>
      <c r="J304" s="54" t="s">
        <v>2759</v>
      </c>
      <c r="K304" s="54" t="s">
        <v>2760</v>
      </c>
      <c r="L304" s="54" t="s">
        <v>3298</v>
      </c>
      <c r="M304" s="54" t="s">
        <v>3327</v>
      </c>
      <c r="N304" s="54">
        <v>7766667</v>
      </c>
      <c r="O304" s="54">
        <v>7532011</v>
      </c>
      <c r="P304" s="59">
        <v>4.1666666666666664E-2</v>
      </c>
      <c r="Q304" s="57" t="str">
        <f t="shared" si="57"/>
        <v/>
      </c>
      <c r="R304" s="56" t="str">
        <f t="shared" si="58"/>
        <v>Gi/o</v>
      </c>
      <c r="S304" s="56" t="str">
        <f t="shared" si="59"/>
        <v>Gq/11</v>
      </c>
      <c r="T304" s="56" t="str">
        <f t="shared" si="60"/>
        <v/>
      </c>
      <c r="U304" s="57">
        <f t="shared" si="61"/>
        <v>0</v>
      </c>
      <c r="V304" s="57">
        <f t="shared" si="62"/>
        <v>2</v>
      </c>
      <c r="W304" s="57">
        <f t="shared" si="63"/>
        <v>1</v>
      </c>
      <c r="X304" s="57">
        <f t="shared" si="64"/>
        <v>0</v>
      </c>
      <c r="Y304" s="57" t="str">
        <f t="shared" si="67"/>
        <v>nc</v>
      </c>
      <c r="Z304" s="56" t="str">
        <f t="shared" si="68"/>
        <v>c</v>
      </c>
      <c r="AA304" s="56" t="str">
        <f t="shared" si="69"/>
        <v>c</v>
      </c>
      <c r="AB304" s="56" t="str">
        <f t="shared" si="70"/>
        <v>nc</v>
      </c>
      <c r="AC304" s="56">
        <f t="shared" si="65"/>
        <v>2</v>
      </c>
      <c r="AD304" s="54">
        <f t="shared" si="66"/>
        <v>1</v>
      </c>
    </row>
    <row r="305" spans="1:30">
      <c r="A305" s="54" t="s">
        <v>204</v>
      </c>
      <c r="B305" s="54" t="s">
        <v>338</v>
      </c>
      <c r="C305" s="54" t="str">
        <f>VLOOKUP(A305,RecNamesAll!A:C,3,FALSE)</f>
        <v>EP2</v>
      </c>
      <c r="D305" s="60">
        <v>341</v>
      </c>
      <c r="E305" s="54" t="s">
        <v>2983</v>
      </c>
      <c r="G305" s="54" t="s">
        <v>3428</v>
      </c>
      <c r="H305" s="54" t="s">
        <v>3557</v>
      </c>
      <c r="I305" s="54" t="s">
        <v>3556</v>
      </c>
      <c r="J305" s="54" t="s">
        <v>2761</v>
      </c>
      <c r="L305" s="54" t="s">
        <v>3369</v>
      </c>
      <c r="N305" s="54" t="s">
        <v>3570</v>
      </c>
      <c r="P305" s="59">
        <v>8.3333333333333329E-2</v>
      </c>
      <c r="Q305" s="57" t="str">
        <f t="shared" si="57"/>
        <v>Gs</v>
      </c>
      <c r="R305" s="56" t="str">
        <f t="shared" si="58"/>
        <v/>
      </c>
      <c r="S305" s="56" t="str">
        <f t="shared" si="59"/>
        <v/>
      </c>
      <c r="T305" s="56" t="str">
        <f t="shared" si="60"/>
        <v/>
      </c>
      <c r="U305" s="57">
        <f t="shared" si="61"/>
        <v>1</v>
      </c>
      <c r="V305" s="57">
        <f t="shared" si="62"/>
        <v>0</v>
      </c>
      <c r="W305" s="57">
        <f t="shared" si="63"/>
        <v>0</v>
      </c>
      <c r="X305" s="57">
        <f t="shared" si="64"/>
        <v>0</v>
      </c>
      <c r="Y305" s="57" t="str">
        <f t="shared" si="67"/>
        <v>c</v>
      </c>
      <c r="Z305" s="56" t="str">
        <f t="shared" si="68"/>
        <v>nc</v>
      </c>
      <c r="AA305" s="56" t="str">
        <f t="shared" si="69"/>
        <v>nc</v>
      </c>
      <c r="AB305" s="56" t="str">
        <f t="shared" si="70"/>
        <v>nc</v>
      </c>
      <c r="AC305" s="56">
        <f t="shared" si="65"/>
        <v>3</v>
      </c>
      <c r="AD305" s="54">
        <f t="shared" si="66"/>
        <v>1</v>
      </c>
    </row>
    <row r="306" spans="1:30">
      <c r="A306" s="54" t="s">
        <v>205</v>
      </c>
      <c r="B306" s="54" t="s">
        <v>339</v>
      </c>
      <c r="C306" s="54" t="str">
        <f>VLOOKUP(A306,RecNamesAll!A:C,3,FALSE)</f>
        <v>EP3</v>
      </c>
      <c r="D306" s="60">
        <v>342</v>
      </c>
      <c r="E306" s="54" t="s">
        <v>2980</v>
      </c>
      <c r="G306" s="54" t="s">
        <v>3428</v>
      </c>
      <c r="H306" s="54" t="s">
        <v>3557</v>
      </c>
      <c r="I306" s="54" t="s">
        <v>3556</v>
      </c>
      <c r="J306" s="54" t="s">
        <v>2760</v>
      </c>
      <c r="K306" s="54" t="s">
        <v>2759</v>
      </c>
      <c r="L306" s="54" t="s">
        <v>3327</v>
      </c>
      <c r="M306" s="54" t="s">
        <v>3320</v>
      </c>
      <c r="N306" s="54" t="s">
        <v>3569</v>
      </c>
      <c r="O306" s="54" t="s">
        <v>3568</v>
      </c>
      <c r="P306" s="59">
        <v>0.16666666666666666</v>
      </c>
      <c r="Q306" s="57" t="str">
        <f t="shared" si="57"/>
        <v/>
      </c>
      <c r="R306" s="56" t="str">
        <f t="shared" si="58"/>
        <v>Gi/o</v>
      </c>
      <c r="S306" s="56" t="str">
        <f t="shared" si="59"/>
        <v>Gq/11</v>
      </c>
      <c r="T306" s="56" t="str">
        <f t="shared" si="60"/>
        <v/>
      </c>
      <c r="U306" s="57">
        <f t="shared" si="61"/>
        <v>0</v>
      </c>
      <c r="V306" s="57">
        <f t="shared" si="62"/>
        <v>1</v>
      </c>
      <c r="W306" s="57">
        <f t="shared" si="63"/>
        <v>2</v>
      </c>
      <c r="X306" s="57">
        <f t="shared" si="64"/>
        <v>0</v>
      </c>
      <c r="Y306" s="57" t="str">
        <f t="shared" si="67"/>
        <v>nc</v>
      </c>
      <c r="Z306" s="56" t="str">
        <f t="shared" si="68"/>
        <v>c</v>
      </c>
      <c r="AA306" s="56" t="str">
        <f t="shared" si="69"/>
        <v>c</v>
      </c>
      <c r="AB306" s="56" t="str">
        <f t="shared" si="70"/>
        <v>nc</v>
      </c>
      <c r="AC306" s="56">
        <f t="shared" si="65"/>
        <v>2</v>
      </c>
      <c r="AD306" s="54">
        <f t="shared" si="66"/>
        <v>1</v>
      </c>
    </row>
    <row r="307" spans="1:30">
      <c r="A307" s="54" t="s">
        <v>197</v>
      </c>
      <c r="B307" s="54" t="s">
        <v>2009</v>
      </c>
      <c r="C307" s="54" t="str">
        <f>VLOOKUP(A307,RecNamesAll!A:C,3,FALSE)</f>
        <v>P2Y14</v>
      </c>
      <c r="D307" s="60">
        <v>330</v>
      </c>
      <c r="E307" s="54" t="s">
        <v>3567</v>
      </c>
      <c r="F307" s="54" t="s">
        <v>3566</v>
      </c>
      <c r="G307" s="54" t="s">
        <v>3428</v>
      </c>
      <c r="H307" s="54" t="s">
        <v>3532</v>
      </c>
      <c r="I307" s="54" t="s">
        <v>3531</v>
      </c>
      <c r="J307" s="54" t="s">
        <v>2760</v>
      </c>
      <c r="K307" s="54" t="s">
        <v>2760</v>
      </c>
      <c r="L307" s="54" t="s">
        <v>3327</v>
      </c>
      <c r="M307" s="54" t="s">
        <v>3320</v>
      </c>
      <c r="N307" s="54">
        <v>15997228</v>
      </c>
      <c r="O307" s="54" t="s">
        <v>3565</v>
      </c>
      <c r="P307" s="59">
        <v>4.1666666666666664E-2</v>
      </c>
      <c r="Q307" s="57" t="str">
        <f t="shared" si="57"/>
        <v/>
      </c>
      <c r="R307" s="56" t="str">
        <f t="shared" si="58"/>
        <v>Gi/o</v>
      </c>
      <c r="S307" s="56" t="str">
        <f t="shared" si="59"/>
        <v/>
      </c>
      <c r="T307" s="56" t="str">
        <f t="shared" si="60"/>
        <v/>
      </c>
      <c r="U307" s="57">
        <f t="shared" si="61"/>
        <v>0</v>
      </c>
      <c r="V307" s="57">
        <f t="shared" si="62"/>
        <v>1</v>
      </c>
      <c r="W307" s="57">
        <f t="shared" si="63"/>
        <v>0</v>
      </c>
      <c r="X307" s="57">
        <f t="shared" si="64"/>
        <v>0</v>
      </c>
      <c r="Y307" s="57" t="str">
        <f t="shared" si="67"/>
        <v>nc</v>
      </c>
      <c r="Z307" s="56" t="str">
        <f t="shared" si="68"/>
        <v>c</v>
      </c>
      <c r="AA307" s="56" t="str">
        <f t="shared" si="69"/>
        <v>nc</v>
      </c>
      <c r="AB307" s="56" t="str">
        <f t="shared" si="70"/>
        <v>nc</v>
      </c>
      <c r="AC307" s="56">
        <f t="shared" si="65"/>
        <v>3</v>
      </c>
      <c r="AD307" s="54">
        <f t="shared" si="66"/>
        <v>1</v>
      </c>
    </row>
    <row r="308" spans="1:30">
      <c r="A308" s="54" t="s">
        <v>206</v>
      </c>
      <c r="B308" s="54" t="s">
        <v>340</v>
      </c>
      <c r="C308" s="54" t="str">
        <f>VLOOKUP(A308,RecNamesAll!A:C,3,FALSE)</f>
        <v>EP4</v>
      </c>
      <c r="D308" s="60">
        <v>343</v>
      </c>
      <c r="E308" s="54" t="s">
        <v>2978</v>
      </c>
      <c r="F308" s="54" t="s">
        <v>2983</v>
      </c>
      <c r="G308" s="54" t="s">
        <v>3428</v>
      </c>
      <c r="H308" s="54" t="s">
        <v>3557</v>
      </c>
      <c r="I308" s="54" t="s">
        <v>3556</v>
      </c>
      <c r="J308" s="54" t="s">
        <v>2761</v>
      </c>
      <c r="K308" s="54" t="s">
        <v>2760</v>
      </c>
      <c r="L308" s="54" t="s">
        <v>3369</v>
      </c>
      <c r="M308" s="54" t="s">
        <v>3298</v>
      </c>
      <c r="N308" s="54">
        <v>9013884</v>
      </c>
      <c r="O308" s="54" t="s">
        <v>3564</v>
      </c>
      <c r="P308" s="59">
        <v>4.1666666666666664E-2</v>
      </c>
      <c r="Q308" s="57" t="str">
        <f t="shared" si="57"/>
        <v>Gs</v>
      </c>
      <c r="R308" s="56" t="str">
        <f t="shared" si="58"/>
        <v>Gi/o</v>
      </c>
      <c r="S308" s="56" t="str">
        <f t="shared" si="59"/>
        <v/>
      </c>
      <c r="T308" s="56" t="str">
        <f t="shared" si="60"/>
        <v/>
      </c>
      <c r="U308" s="57">
        <f t="shared" si="61"/>
        <v>1</v>
      </c>
      <c r="V308" s="57">
        <f t="shared" si="62"/>
        <v>2</v>
      </c>
      <c r="W308" s="57">
        <f t="shared" si="63"/>
        <v>0</v>
      </c>
      <c r="X308" s="57">
        <f t="shared" si="64"/>
        <v>0</v>
      </c>
      <c r="Y308" s="57" t="str">
        <f t="shared" si="67"/>
        <v>c</v>
      </c>
      <c r="Z308" s="56" t="str">
        <f t="shared" si="68"/>
        <v>c</v>
      </c>
      <c r="AA308" s="56" t="str">
        <f t="shared" si="69"/>
        <v>nc</v>
      </c>
      <c r="AB308" s="56" t="str">
        <f t="shared" si="70"/>
        <v>nc</v>
      </c>
      <c r="AC308" s="56">
        <f t="shared" si="65"/>
        <v>2</v>
      </c>
      <c r="AD308" s="54">
        <f t="shared" si="66"/>
        <v>1</v>
      </c>
    </row>
    <row r="309" spans="1:30">
      <c r="A309" s="54" t="s">
        <v>207</v>
      </c>
      <c r="B309" s="54" t="s">
        <v>341</v>
      </c>
      <c r="C309" s="54" t="str">
        <f>VLOOKUP(A309,RecNamesAll!A:C,3,FALSE)</f>
        <v>FP</v>
      </c>
      <c r="D309" s="60">
        <v>344</v>
      </c>
      <c r="E309" s="54" t="s">
        <v>3563</v>
      </c>
      <c r="G309" s="54" t="s">
        <v>3428</v>
      </c>
      <c r="H309" s="54" t="s">
        <v>3557</v>
      </c>
      <c r="I309" s="54" t="s">
        <v>3556</v>
      </c>
      <c r="J309" s="54" t="s">
        <v>2759</v>
      </c>
      <c r="K309" s="54" t="s">
        <v>2761</v>
      </c>
      <c r="L309" s="54" t="s">
        <v>3320</v>
      </c>
      <c r="N309" s="54" t="s">
        <v>3562</v>
      </c>
      <c r="P309" s="59">
        <v>8.3333333333333329E-2</v>
      </c>
      <c r="Q309" s="57" t="str">
        <f t="shared" si="57"/>
        <v>Gs</v>
      </c>
      <c r="R309" s="56" t="str">
        <f t="shared" si="58"/>
        <v/>
      </c>
      <c r="S309" s="56" t="str">
        <f t="shared" si="59"/>
        <v>Gq/11</v>
      </c>
      <c r="T309" s="56" t="str">
        <f t="shared" si="60"/>
        <v/>
      </c>
      <c r="U309" s="57">
        <f t="shared" si="61"/>
        <v>2</v>
      </c>
      <c r="V309" s="57">
        <f t="shared" si="62"/>
        <v>0</v>
      </c>
      <c r="W309" s="57">
        <f t="shared" si="63"/>
        <v>1</v>
      </c>
      <c r="X309" s="57">
        <f t="shared" si="64"/>
        <v>0</v>
      </c>
      <c r="Y309" s="57" t="str">
        <f t="shared" si="67"/>
        <v>c</v>
      </c>
      <c r="Z309" s="56" t="str">
        <f t="shared" si="68"/>
        <v>nc</v>
      </c>
      <c r="AA309" s="56" t="str">
        <f t="shared" si="69"/>
        <v>c</v>
      </c>
      <c r="AB309" s="56" t="str">
        <f t="shared" si="70"/>
        <v>nc</v>
      </c>
      <c r="AC309" s="56">
        <f t="shared" si="65"/>
        <v>2</v>
      </c>
      <c r="AD309" s="54">
        <f t="shared" si="66"/>
        <v>1</v>
      </c>
    </row>
    <row r="310" spans="1:30">
      <c r="A310" s="54" t="s">
        <v>208</v>
      </c>
      <c r="B310" s="54" t="s">
        <v>2090</v>
      </c>
      <c r="C310" s="54" t="str">
        <f>VLOOKUP(A310,RecNamesAll!A:C,3,FALSE)</f>
        <v>IP</v>
      </c>
      <c r="D310" s="60">
        <v>345</v>
      </c>
      <c r="E310" s="54" t="s">
        <v>3561</v>
      </c>
      <c r="F310" s="54" t="s">
        <v>3560</v>
      </c>
      <c r="G310" s="54" t="s">
        <v>3428</v>
      </c>
      <c r="H310" s="54" t="s">
        <v>3557</v>
      </c>
      <c r="I310" s="54" t="s">
        <v>3556</v>
      </c>
      <c r="J310" s="54" t="s">
        <v>2761</v>
      </c>
      <c r="K310" s="54" t="s">
        <v>3314</v>
      </c>
      <c r="L310" s="54" t="s">
        <v>3369</v>
      </c>
      <c r="M310" s="54" t="s">
        <v>3438</v>
      </c>
      <c r="N310" s="54" t="s">
        <v>3559</v>
      </c>
      <c r="O310" s="54" t="s">
        <v>3558</v>
      </c>
      <c r="P310" s="59">
        <v>8.3333333333333329E-2</v>
      </c>
      <c r="Q310" s="57" t="str">
        <f t="shared" si="57"/>
        <v>Gs</v>
      </c>
      <c r="R310" s="56" t="str">
        <f t="shared" si="58"/>
        <v>Gi/o</v>
      </c>
      <c r="S310" s="56" t="str">
        <f t="shared" si="59"/>
        <v>Gq/11</v>
      </c>
      <c r="T310" s="56" t="str">
        <f t="shared" si="60"/>
        <v/>
      </c>
      <c r="U310" s="57">
        <f t="shared" si="61"/>
        <v>1</v>
      </c>
      <c r="V310" s="57">
        <f t="shared" si="62"/>
        <v>2</v>
      </c>
      <c r="W310" s="57">
        <f t="shared" si="63"/>
        <v>2</v>
      </c>
      <c r="X310" s="57">
        <f t="shared" si="64"/>
        <v>0</v>
      </c>
      <c r="Y310" s="57" t="str">
        <f t="shared" si="67"/>
        <v>c</v>
      </c>
      <c r="Z310" s="56" t="str">
        <f t="shared" si="68"/>
        <v>c</v>
      </c>
      <c r="AA310" s="56" t="str">
        <f t="shared" si="69"/>
        <v>c</v>
      </c>
      <c r="AB310" s="56" t="str">
        <f t="shared" si="70"/>
        <v>nc</v>
      </c>
      <c r="AC310" s="56">
        <f t="shared" si="65"/>
        <v>1</v>
      </c>
      <c r="AD310" s="54">
        <f t="shared" si="66"/>
        <v>1</v>
      </c>
    </row>
    <row r="311" spans="1:30">
      <c r="A311" s="54" t="s">
        <v>209</v>
      </c>
      <c r="B311" s="54" t="s">
        <v>2210</v>
      </c>
      <c r="C311" s="54" t="str">
        <f>VLOOKUP(A311,RecNamesAll!A:C,3,FALSE)</f>
        <v>TP</v>
      </c>
      <c r="D311" s="60">
        <v>346</v>
      </c>
      <c r="E311" s="54" t="s">
        <v>2969</v>
      </c>
      <c r="G311" s="54" t="s">
        <v>3428</v>
      </c>
      <c r="H311" s="54" t="s">
        <v>3557</v>
      </c>
      <c r="I311" s="54" t="s">
        <v>3556</v>
      </c>
      <c r="J311" s="54" t="s">
        <v>2759</v>
      </c>
      <c r="L311" s="54" t="s">
        <v>3320</v>
      </c>
      <c r="N311" s="54">
        <v>9152406</v>
      </c>
      <c r="P311" s="59">
        <v>4.1666666666666664E-2</v>
      </c>
      <c r="Q311" s="57" t="str">
        <f t="shared" si="57"/>
        <v/>
      </c>
      <c r="R311" s="56" t="str">
        <f t="shared" si="58"/>
        <v/>
      </c>
      <c r="S311" s="56" t="str">
        <f t="shared" si="59"/>
        <v>Gq/11</v>
      </c>
      <c r="T311" s="56" t="str">
        <f t="shared" si="60"/>
        <v/>
      </c>
      <c r="U311" s="57">
        <f t="shared" si="61"/>
        <v>0</v>
      </c>
      <c r="V311" s="57">
        <f t="shared" si="62"/>
        <v>0</v>
      </c>
      <c r="W311" s="57">
        <f t="shared" si="63"/>
        <v>1</v>
      </c>
      <c r="X311" s="57">
        <f t="shared" si="64"/>
        <v>0</v>
      </c>
      <c r="Y311" s="57" t="str">
        <f t="shared" si="67"/>
        <v>nc</v>
      </c>
      <c r="Z311" s="56" t="str">
        <f t="shared" si="68"/>
        <v>nc</v>
      </c>
      <c r="AA311" s="56" t="str">
        <f t="shared" si="69"/>
        <v>c</v>
      </c>
      <c r="AB311" s="56" t="str">
        <f t="shared" si="70"/>
        <v>nc</v>
      </c>
      <c r="AC311" s="56">
        <f t="shared" si="65"/>
        <v>3</v>
      </c>
      <c r="AD311" s="54">
        <f t="shared" si="66"/>
        <v>1</v>
      </c>
    </row>
    <row r="312" spans="1:30">
      <c r="A312" s="54" t="s">
        <v>164</v>
      </c>
      <c r="B312" s="54" t="s">
        <v>319</v>
      </c>
      <c r="C312" s="54" t="str">
        <f>VLOOKUP(A312,RecNamesAll!A:C,3,FALSE)</f>
        <v>MT1</v>
      </c>
      <c r="D312" s="60">
        <v>287</v>
      </c>
      <c r="E312" s="54" t="s">
        <v>3152</v>
      </c>
      <c r="G312" s="54" t="s">
        <v>3428</v>
      </c>
      <c r="H312" s="54" t="s">
        <v>3553</v>
      </c>
      <c r="I312" s="54" t="s">
        <v>165</v>
      </c>
      <c r="J312" s="54" t="s">
        <v>2760</v>
      </c>
      <c r="K312" s="54" t="s">
        <v>2759</v>
      </c>
      <c r="L312" s="54" t="s">
        <v>3327</v>
      </c>
      <c r="M312" s="54" t="s">
        <v>3395</v>
      </c>
      <c r="N312" s="54" t="s">
        <v>3555</v>
      </c>
      <c r="O312" s="54" t="s">
        <v>3554</v>
      </c>
      <c r="P312" s="59">
        <v>0.20833333333333334</v>
      </c>
      <c r="Q312" s="57" t="str">
        <f t="shared" si="57"/>
        <v/>
      </c>
      <c r="R312" s="56" t="str">
        <f t="shared" si="58"/>
        <v>Gi/o</v>
      </c>
      <c r="S312" s="56" t="str">
        <f t="shared" si="59"/>
        <v>Gq/11</v>
      </c>
      <c r="T312" s="56" t="str">
        <f t="shared" si="60"/>
        <v/>
      </c>
      <c r="U312" s="57">
        <f t="shared" si="61"/>
        <v>0</v>
      </c>
      <c r="V312" s="57">
        <f t="shared" si="62"/>
        <v>1</v>
      </c>
      <c r="W312" s="57">
        <f t="shared" si="63"/>
        <v>2</v>
      </c>
      <c r="X312" s="57">
        <f t="shared" si="64"/>
        <v>0</v>
      </c>
      <c r="Y312" s="57" t="str">
        <f t="shared" si="67"/>
        <v>nc</v>
      </c>
      <c r="Z312" s="56" t="str">
        <f t="shared" si="68"/>
        <v>c</v>
      </c>
      <c r="AA312" s="56" t="str">
        <f t="shared" si="69"/>
        <v>c</v>
      </c>
      <c r="AB312" s="56" t="str">
        <f t="shared" si="70"/>
        <v>nc</v>
      </c>
      <c r="AC312" s="56">
        <f t="shared" si="65"/>
        <v>2</v>
      </c>
      <c r="AD312" s="54">
        <f t="shared" si="66"/>
        <v>1</v>
      </c>
    </row>
    <row r="313" spans="1:30">
      <c r="A313" s="54" t="s">
        <v>166</v>
      </c>
      <c r="B313" s="54" t="s">
        <v>320</v>
      </c>
      <c r="C313" s="54" t="str">
        <f>VLOOKUP(A313,RecNamesAll!A:C,3,FALSE)</f>
        <v>MT2</v>
      </c>
      <c r="D313" s="60">
        <v>288</v>
      </c>
      <c r="E313" s="54" t="s">
        <v>3149</v>
      </c>
      <c r="G313" s="54" t="s">
        <v>3428</v>
      </c>
      <c r="H313" s="54" t="s">
        <v>3553</v>
      </c>
      <c r="I313" s="54" t="s">
        <v>165</v>
      </c>
      <c r="J313" s="54" t="s">
        <v>2760</v>
      </c>
      <c r="L313" s="54" t="s">
        <v>3438</v>
      </c>
      <c r="M313" s="54" t="s">
        <v>3298</v>
      </c>
      <c r="N313" s="54" t="s">
        <v>3552</v>
      </c>
      <c r="O313" s="54">
        <v>10413300</v>
      </c>
      <c r="P313" s="59">
        <v>0.20833333333333334</v>
      </c>
      <c r="Q313" s="57" t="str">
        <f t="shared" si="57"/>
        <v/>
      </c>
      <c r="R313" s="56" t="str">
        <f t="shared" si="58"/>
        <v>Gi/o</v>
      </c>
      <c r="S313" s="56" t="str">
        <f t="shared" si="59"/>
        <v/>
      </c>
      <c r="T313" s="56" t="str">
        <f t="shared" si="60"/>
        <v/>
      </c>
      <c r="U313" s="57">
        <f t="shared" si="61"/>
        <v>0</v>
      </c>
      <c r="V313" s="57">
        <f t="shared" si="62"/>
        <v>1</v>
      </c>
      <c r="W313" s="57">
        <f t="shared" si="63"/>
        <v>0</v>
      </c>
      <c r="X313" s="57">
        <f t="shared" si="64"/>
        <v>0</v>
      </c>
      <c r="Y313" s="57" t="str">
        <f t="shared" si="67"/>
        <v>nc</v>
      </c>
      <c r="Z313" s="56" t="str">
        <f t="shared" si="68"/>
        <v>c</v>
      </c>
      <c r="AA313" s="56" t="str">
        <f t="shared" si="69"/>
        <v>nc</v>
      </c>
      <c r="AB313" s="56" t="str">
        <f t="shared" si="70"/>
        <v>nc</v>
      </c>
      <c r="AC313" s="56">
        <f t="shared" si="65"/>
        <v>3</v>
      </c>
      <c r="AD313" s="54">
        <f t="shared" si="66"/>
        <v>1</v>
      </c>
    </row>
    <row r="314" spans="1:30">
      <c r="A314" s="54" t="s">
        <v>31</v>
      </c>
      <c r="B314" s="54" t="s">
        <v>266</v>
      </c>
      <c r="C314" s="54" t="str">
        <f>VLOOKUP(A314,RecNamesAll!A:C,3,FALSE)</f>
        <v>A1</v>
      </c>
      <c r="D314" s="60">
        <v>18</v>
      </c>
      <c r="E314" s="54" t="s">
        <v>3146</v>
      </c>
      <c r="G314" s="54" t="s">
        <v>3428</v>
      </c>
      <c r="H314" s="54" t="s">
        <v>3532</v>
      </c>
      <c r="I314" s="54" t="s">
        <v>3548</v>
      </c>
      <c r="J314" s="54" t="s">
        <v>2760</v>
      </c>
      <c r="K314" s="54" t="s">
        <v>3409</v>
      </c>
      <c r="L314" s="54" t="s">
        <v>3327</v>
      </c>
      <c r="M314" s="54" t="s">
        <v>3492</v>
      </c>
      <c r="N314" s="54" t="s">
        <v>3551</v>
      </c>
      <c r="O314" s="54">
        <v>15302686</v>
      </c>
      <c r="P314" s="59">
        <v>8.3333333333333329E-2</v>
      </c>
      <c r="Q314" s="57" t="str">
        <f t="shared" si="57"/>
        <v>Gs</v>
      </c>
      <c r="R314" s="56" t="str">
        <f t="shared" si="58"/>
        <v>Gi/o</v>
      </c>
      <c r="S314" s="56" t="str">
        <f t="shared" si="59"/>
        <v>Gq/11</v>
      </c>
      <c r="T314" s="56" t="str">
        <f t="shared" si="60"/>
        <v/>
      </c>
      <c r="U314" s="57">
        <f t="shared" si="61"/>
        <v>2</v>
      </c>
      <c r="V314" s="57">
        <f t="shared" si="62"/>
        <v>1</v>
      </c>
      <c r="W314" s="57">
        <f t="shared" si="63"/>
        <v>2</v>
      </c>
      <c r="X314" s="57">
        <f t="shared" si="64"/>
        <v>0</v>
      </c>
      <c r="Y314" s="57" t="str">
        <f t="shared" si="67"/>
        <v>c</v>
      </c>
      <c r="Z314" s="56" t="str">
        <f t="shared" si="68"/>
        <v>c</v>
      </c>
      <c r="AA314" s="56" t="str">
        <f t="shared" si="69"/>
        <v>c</v>
      </c>
      <c r="AB314" s="56" t="str">
        <f t="shared" si="70"/>
        <v>nc</v>
      </c>
      <c r="AC314" s="56">
        <f t="shared" si="65"/>
        <v>1</v>
      </c>
      <c r="AD314" s="54">
        <f t="shared" si="66"/>
        <v>1</v>
      </c>
    </row>
    <row r="315" spans="1:30">
      <c r="A315" s="54" t="s">
        <v>1</v>
      </c>
      <c r="B315" s="54" t="s">
        <v>267</v>
      </c>
      <c r="C315" s="54" t="str">
        <f>VLOOKUP(A315,RecNamesAll!A:C,3,FALSE)</f>
        <v>A2A</v>
      </c>
      <c r="D315" s="60">
        <v>19</v>
      </c>
      <c r="E315" s="54" t="s">
        <v>3143</v>
      </c>
      <c r="F315" s="54" t="s">
        <v>3550</v>
      </c>
      <c r="G315" s="54" t="s">
        <v>3428</v>
      </c>
      <c r="H315" s="54" t="s">
        <v>3532</v>
      </c>
      <c r="I315" s="54" t="s">
        <v>3548</v>
      </c>
      <c r="J315" s="54" t="s">
        <v>2761</v>
      </c>
      <c r="K315" s="54" t="s">
        <v>2759</v>
      </c>
      <c r="L315" s="54" t="s">
        <v>3369</v>
      </c>
      <c r="M315" s="54" t="s">
        <v>3492</v>
      </c>
      <c r="N315" s="54">
        <v>8995267</v>
      </c>
      <c r="O315" s="54">
        <v>15306230</v>
      </c>
      <c r="P315" s="59">
        <v>4.1666666666666664E-2</v>
      </c>
      <c r="Q315" s="57" t="str">
        <f t="shared" si="57"/>
        <v>Gs</v>
      </c>
      <c r="R315" s="56" t="str">
        <f t="shared" si="58"/>
        <v/>
      </c>
      <c r="S315" s="56" t="str">
        <f t="shared" si="59"/>
        <v>Gq/11</v>
      </c>
      <c r="T315" s="56" t="str">
        <f t="shared" si="60"/>
        <v/>
      </c>
      <c r="U315" s="57">
        <f t="shared" si="61"/>
        <v>1</v>
      </c>
      <c r="V315" s="57">
        <f t="shared" si="62"/>
        <v>0</v>
      </c>
      <c r="W315" s="57">
        <f t="shared" si="63"/>
        <v>2</v>
      </c>
      <c r="X315" s="57">
        <f t="shared" si="64"/>
        <v>0</v>
      </c>
      <c r="Y315" s="57" t="str">
        <f t="shared" si="67"/>
        <v>c</v>
      </c>
      <c r="Z315" s="56" t="str">
        <f t="shared" si="68"/>
        <v>nc</v>
      </c>
      <c r="AA315" s="56" t="str">
        <f t="shared" si="69"/>
        <v>c</v>
      </c>
      <c r="AB315" s="56" t="str">
        <f t="shared" si="70"/>
        <v>nc</v>
      </c>
      <c r="AC315" s="56">
        <f t="shared" si="65"/>
        <v>2</v>
      </c>
      <c r="AD315" s="54">
        <f t="shared" si="66"/>
        <v>1</v>
      </c>
    </row>
    <row r="316" spans="1:30">
      <c r="A316" s="54" t="s">
        <v>32</v>
      </c>
      <c r="B316" s="54" t="s">
        <v>268</v>
      </c>
      <c r="C316" s="54" t="str">
        <f>VLOOKUP(A316,RecNamesAll!A:C,3,FALSE)</f>
        <v>A2B</v>
      </c>
      <c r="D316" s="60">
        <v>20</v>
      </c>
      <c r="E316" s="54" t="s">
        <v>3141</v>
      </c>
      <c r="G316" s="54" t="s">
        <v>3428</v>
      </c>
      <c r="H316" s="54" t="s">
        <v>3532</v>
      </c>
      <c r="I316" s="54" t="s">
        <v>3548</v>
      </c>
      <c r="J316" s="54" t="s">
        <v>2761</v>
      </c>
      <c r="K316" s="54" t="s">
        <v>2759</v>
      </c>
      <c r="L316" s="54" t="s">
        <v>3369</v>
      </c>
      <c r="M316" s="54" t="s">
        <v>3320</v>
      </c>
      <c r="N316" s="54" t="s">
        <v>3549</v>
      </c>
      <c r="O316" s="54" t="s">
        <v>3549</v>
      </c>
      <c r="P316" s="59">
        <v>8.3333333333333329E-2</v>
      </c>
      <c r="Q316" s="57" t="str">
        <f t="shared" si="57"/>
        <v>Gs</v>
      </c>
      <c r="R316" s="56" t="str">
        <f t="shared" si="58"/>
        <v/>
      </c>
      <c r="S316" s="56" t="str">
        <f t="shared" si="59"/>
        <v>Gq/11</v>
      </c>
      <c r="T316" s="56" t="str">
        <f t="shared" si="60"/>
        <v/>
      </c>
      <c r="U316" s="57">
        <f t="shared" si="61"/>
        <v>1</v>
      </c>
      <c r="V316" s="57">
        <f t="shared" si="62"/>
        <v>0</v>
      </c>
      <c r="W316" s="57">
        <f t="shared" si="63"/>
        <v>2</v>
      </c>
      <c r="X316" s="57">
        <f t="shared" si="64"/>
        <v>0</v>
      </c>
      <c r="Y316" s="57" t="str">
        <f t="shared" si="67"/>
        <v>c</v>
      </c>
      <c r="Z316" s="56" t="str">
        <f t="shared" si="68"/>
        <v>nc</v>
      </c>
      <c r="AA316" s="56" t="str">
        <f t="shared" si="69"/>
        <v>c</v>
      </c>
      <c r="AB316" s="56" t="str">
        <f t="shared" si="70"/>
        <v>nc</v>
      </c>
      <c r="AC316" s="56">
        <f t="shared" si="65"/>
        <v>2</v>
      </c>
      <c r="AD316" s="54">
        <f t="shared" si="66"/>
        <v>1</v>
      </c>
    </row>
    <row r="317" spans="1:30">
      <c r="A317" s="54" t="s">
        <v>33</v>
      </c>
      <c r="B317" s="54" t="s">
        <v>269</v>
      </c>
      <c r="C317" s="54" t="str">
        <f>VLOOKUP(A317,RecNamesAll!A:C,3,FALSE)</f>
        <v>A3</v>
      </c>
      <c r="D317" s="60">
        <v>21</v>
      </c>
      <c r="E317" s="54" t="s">
        <v>3138</v>
      </c>
      <c r="G317" s="54" t="s">
        <v>3428</v>
      </c>
      <c r="H317" s="54" t="s">
        <v>3532</v>
      </c>
      <c r="I317" s="54" t="s">
        <v>3548</v>
      </c>
      <c r="J317" s="54" t="s">
        <v>2760</v>
      </c>
      <c r="K317" s="54" t="s">
        <v>2760</v>
      </c>
      <c r="L317" s="54" t="s">
        <v>3327</v>
      </c>
      <c r="M317" s="54" t="s">
        <v>3320</v>
      </c>
      <c r="N317" s="54" t="s">
        <v>3547</v>
      </c>
      <c r="O317" s="54" t="s">
        <v>3546</v>
      </c>
      <c r="P317" s="59">
        <v>8.3333333333333329E-2</v>
      </c>
      <c r="Q317" s="57" t="str">
        <f t="shared" si="57"/>
        <v/>
      </c>
      <c r="R317" s="56" t="str">
        <f t="shared" si="58"/>
        <v>Gi/o</v>
      </c>
      <c r="S317" s="56" t="str">
        <f t="shared" si="59"/>
        <v/>
      </c>
      <c r="T317" s="56" t="str">
        <f t="shared" si="60"/>
        <v/>
      </c>
      <c r="U317" s="57">
        <f t="shared" si="61"/>
        <v>0</v>
      </c>
      <c r="V317" s="57">
        <f t="shared" si="62"/>
        <v>1</v>
      </c>
      <c r="W317" s="57">
        <f t="shared" si="63"/>
        <v>0</v>
      </c>
      <c r="X317" s="57">
        <f t="shared" si="64"/>
        <v>0</v>
      </c>
      <c r="Y317" s="57" t="str">
        <f t="shared" si="67"/>
        <v>nc</v>
      </c>
      <c r="Z317" s="56" t="str">
        <f t="shared" si="68"/>
        <v>c</v>
      </c>
      <c r="AA317" s="56" t="str">
        <f t="shared" si="69"/>
        <v>nc</v>
      </c>
      <c r="AB317" s="56" t="str">
        <f t="shared" si="70"/>
        <v>nc</v>
      </c>
      <c r="AC317" s="56">
        <f t="shared" si="65"/>
        <v>3</v>
      </c>
      <c r="AD317" s="54">
        <f t="shared" si="66"/>
        <v>1</v>
      </c>
    </row>
    <row r="318" spans="1:30">
      <c r="A318" s="54" t="s">
        <v>190</v>
      </c>
      <c r="B318" s="54" t="s">
        <v>1984</v>
      </c>
      <c r="C318" s="54" t="str">
        <f>VLOOKUP(A318,RecNamesAll!A:C,3,FALSE)</f>
        <v>P2Y1</v>
      </c>
      <c r="D318" s="60">
        <v>323</v>
      </c>
      <c r="E318" s="54" t="s">
        <v>190</v>
      </c>
      <c r="G318" s="54" t="s">
        <v>3428</v>
      </c>
      <c r="H318" s="54" t="s">
        <v>3532</v>
      </c>
      <c r="I318" s="54" t="s">
        <v>3531</v>
      </c>
      <c r="J318" s="54" t="s">
        <v>2759</v>
      </c>
      <c r="K318" s="54" t="s">
        <v>2760</v>
      </c>
      <c r="L318" s="54" t="s">
        <v>3320</v>
      </c>
      <c r="M318" s="54" t="s">
        <v>3545</v>
      </c>
      <c r="N318" s="54" t="s">
        <v>3544</v>
      </c>
      <c r="O318" s="54" t="s">
        <v>3543</v>
      </c>
      <c r="P318" s="59">
        <v>8.3333333333333329E-2</v>
      </c>
      <c r="Q318" s="57" t="str">
        <f t="shared" si="57"/>
        <v/>
      </c>
      <c r="R318" s="56" t="str">
        <f t="shared" si="58"/>
        <v>Gi/o</v>
      </c>
      <c r="S318" s="56" t="str">
        <f t="shared" si="59"/>
        <v>Gq/11</v>
      </c>
      <c r="T318" s="56" t="str">
        <f t="shared" si="60"/>
        <v/>
      </c>
      <c r="U318" s="57">
        <f t="shared" si="61"/>
        <v>0</v>
      </c>
      <c r="V318" s="57">
        <f t="shared" si="62"/>
        <v>2</v>
      </c>
      <c r="W318" s="57">
        <f t="shared" si="63"/>
        <v>1</v>
      </c>
      <c r="X318" s="57">
        <f t="shared" si="64"/>
        <v>0</v>
      </c>
      <c r="Y318" s="57" t="str">
        <f t="shared" si="67"/>
        <v>nc</v>
      </c>
      <c r="Z318" s="56" t="str">
        <f t="shared" si="68"/>
        <v>c</v>
      </c>
      <c r="AA318" s="56" t="str">
        <f t="shared" si="69"/>
        <v>c</v>
      </c>
      <c r="AB318" s="56" t="str">
        <f t="shared" si="70"/>
        <v>nc</v>
      </c>
      <c r="AC318" s="56">
        <f t="shared" si="65"/>
        <v>2</v>
      </c>
      <c r="AD318" s="54">
        <f t="shared" si="66"/>
        <v>1</v>
      </c>
    </row>
    <row r="319" spans="1:30">
      <c r="A319" s="54" t="s">
        <v>191</v>
      </c>
      <c r="B319" s="54" t="s">
        <v>335</v>
      </c>
      <c r="C319" s="54" t="str">
        <f>VLOOKUP(A319,RecNamesAll!A:C,3,FALSE)</f>
        <v>P2Y2</v>
      </c>
      <c r="D319" s="60">
        <v>324</v>
      </c>
      <c r="E319" s="54" t="s">
        <v>191</v>
      </c>
      <c r="F319" s="54" t="s">
        <v>3542</v>
      </c>
      <c r="G319" s="54" t="s">
        <v>3428</v>
      </c>
      <c r="H319" s="54" t="s">
        <v>3532</v>
      </c>
      <c r="I319" s="54" t="s">
        <v>3531</v>
      </c>
      <c r="J319" s="54" t="s">
        <v>2759</v>
      </c>
      <c r="K319" s="54" t="s">
        <v>3114</v>
      </c>
      <c r="L319" s="54" t="s">
        <v>3320</v>
      </c>
      <c r="M319" s="54" t="s">
        <v>3298</v>
      </c>
      <c r="N319" s="54" t="s">
        <v>3541</v>
      </c>
      <c r="O319" s="54" t="s">
        <v>3540</v>
      </c>
      <c r="P319" s="59">
        <v>8.3333333333333329E-2</v>
      </c>
      <c r="Q319" s="57" t="str">
        <f t="shared" si="57"/>
        <v/>
      </c>
      <c r="R319" s="56" t="str">
        <f t="shared" si="58"/>
        <v>Gi/o</v>
      </c>
      <c r="S319" s="56" t="str">
        <f t="shared" si="59"/>
        <v>Gq/11</v>
      </c>
      <c r="T319" s="56" t="str">
        <f t="shared" si="60"/>
        <v>G12/13</v>
      </c>
      <c r="U319" s="57">
        <f t="shared" si="61"/>
        <v>0</v>
      </c>
      <c r="V319" s="57">
        <f t="shared" si="62"/>
        <v>2</v>
      </c>
      <c r="W319" s="57">
        <f t="shared" si="63"/>
        <v>1</v>
      </c>
      <c r="X319" s="57">
        <f t="shared" si="64"/>
        <v>2</v>
      </c>
      <c r="Y319" s="57" t="str">
        <f t="shared" si="67"/>
        <v>nc</v>
      </c>
      <c r="Z319" s="56" t="str">
        <f t="shared" si="68"/>
        <v>c</v>
      </c>
      <c r="AA319" s="56" t="str">
        <f t="shared" si="69"/>
        <v>c</v>
      </c>
      <c r="AB319" s="56" t="str">
        <f t="shared" si="70"/>
        <v>c</v>
      </c>
      <c r="AC319" s="56">
        <f t="shared" si="65"/>
        <v>1</v>
      </c>
      <c r="AD319" s="54">
        <f t="shared" si="66"/>
        <v>1</v>
      </c>
    </row>
    <row r="320" spans="1:30">
      <c r="A320" s="54" t="s">
        <v>192</v>
      </c>
      <c r="B320" s="54" t="s">
        <v>1997</v>
      </c>
      <c r="C320" s="54" t="str">
        <f>VLOOKUP(A320,RecNamesAll!A:C,3,FALSE)</f>
        <v>P2Y4</v>
      </c>
      <c r="D320" s="60">
        <v>325</v>
      </c>
      <c r="E320" s="54" t="s">
        <v>192</v>
      </c>
      <c r="F320" s="54" t="s">
        <v>3539</v>
      </c>
      <c r="G320" s="54" t="s">
        <v>3428</v>
      </c>
      <c r="H320" s="54" t="s">
        <v>3532</v>
      </c>
      <c r="I320" s="54" t="s">
        <v>3531</v>
      </c>
      <c r="J320" s="54" t="s">
        <v>2759</v>
      </c>
      <c r="L320" s="54" t="s">
        <v>3320</v>
      </c>
      <c r="M320" s="54" t="s">
        <v>3286</v>
      </c>
      <c r="O320" s="54">
        <v>16839719</v>
      </c>
      <c r="Q320" s="57" t="str">
        <f t="shared" si="57"/>
        <v/>
      </c>
      <c r="R320" s="56" t="str">
        <f t="shared" si="58"/>
        <v/>
      </c>
      <c r="S320" s="56" t="str">
        <f t="shared" si="59"/>
        <v>Gq/11</v>
      </c>
      <c r="T320" s="56" t="str">
        <f t="shared" si="60"/>
        <v/>
      </c>
      <c r="U320" s="57">
        <f t="shared" si="61"/>
        <v>0</v>
      </c>
      <c r="V320" s="57">
        <f t="shared" si="62"/>
        <v>0</v>
      </c>
      <c r="W320" s="57">
        <f t="shared" si="63"/>
        <v>1</v>
      </c>
      <c r="X320" s="57">
        <f t="shared" si="64"/>
        <v>0</v>
      </c>
      <c r="Y320" s="57" t="str">
        <f t="shared" si="67"/>
        <v>nc</v>
      </c>
      <c r="Z320" s="56" t="str">
        <f t="shared" si="68"/>
        <v>nc</v>
      </c>
      <c r="AA320" s="56" t="str">
        <f t="shared" si="69"/>
        <v>c</v>
      </c>
      <c r="AB320" s="56" t="str">
        <f t="shared" si="70"/>
        <v>nc</v>
      </c>
      <c r="AC320" s="56">
        <f t="shared" si="65"/>
        <v>3</v>
      </c>
      <c r="AD320" s="54">
        <f t="shared" si="66"/>
        <v>1</v>
      </c>
    </row>
    <row r="321" spans="1:30">
      <c r="A321" s="54" t="s">
        <v>193</v>
      </c>
      <c r="B321" s="54" t="s">
        <v>1999</v>
      </c>
      <c r="C321" s="54" t="str">
        <f>VLOOKUP(A321,RecNamesAll!A:C,3,FALSE)</f>
        <v>P2Y6</v>
      </c>
      <c r="D321" s="60">
        <v>326</v>
      </c>
      <c r="E321" s="54" t="s">
        <v>193</v>
      </c>
      <c r="F321" s="54" t="s">
        <v>3538</v>
      </c>
      <c r="G321" s="54" t="s">
        <v>3428</v>
      </c>
      <c r="H321" s="54" t="s">
        <v>3532</v>
      </c>
      <c r="I321" s="54" t="s">
        <v>3531</v>
      </c>
      <c r="J321" s="54" t="s">
        <v>2759</v>
      </c>
      <c r="K321" s="54" t="s">
        <v>2758</v>
      </c>
      <c r="L321" s="54" t="s">
        <v>3320</v>
      </c>
      <c r="M321" s="54" t="s">
        <v>3298</v>
      </c>
      <c r="O321" s="54" t="s">
        <v>3537</v>
      </c>
      <c r="Q321" s="57" t="str">
        <f t="shared" si="57"/>
        <v/>
      </c>
      <c r="R321" s="56" t="str">
        <f t="shared" si="58"/>
        <v/>
      </c>
      <c r="S321" s="56" t="str">
        <f t="shared" si="59"/>
        <v>Gq/11</v>
      </c>
      <c r="T321" s="56" t="str">
        <f t="shared" si="60"/>
        <v>G12/13</v>
      </c>
      <c r="U321" s="57">
        <f t="shared" si="61"/>
        <v>0</v>
      </c>
      <c r="V321" s="57">
        <f t="shared" si="62"/>
        <v>0</v>
      </c>
      <c r="W321" s="57">
        <f t="shared" si="63"/>
        <v>1</v>
      </c>
      <c r="X321" s="57">
        <f t="shared" si="64"/>
        <v>2</v>
      </c>
      <c r="Y321" s="57" t="str">
        <f t="shared" si="67"/>
        <v>nc</v>
      </c>
      <c r="Z321" s="56" t="str">
        <f t="shared" si="68"/>
        <v>nc</v>
      </c>
      <c r="AA321" s="56" t="str">
        <f t="shared" si="69"/>
        <v>c</v>
      </c>
      <c r="AB321" s="56" t="str">
        <f t="shared" si="70"/>
        <v>c</v>
      </c>
      <c r="AC321" s="56">
        <f t="shared" si="65"/>
        <v>2</v>
      </c>
      <c r="AD321" s="54">
        <f t="shared" si="66"/>
        <v>1</v>
      </c>
    </row>
    <row r="322" spans="1:30">
      <c r="A322" s="54" t="s">
        <v>194</v>
      </c>
      <c r="B322" s="54" t="s">
        <v>2003</v>
      </c>
      <c r="C322" s="54" t="str">
        <f>VLOOKUP(A322,RecNamesAll!A:C,3,FALSE)</f>
        <v>P2Y11</v>
      </c>
      <c r="D322" s="60">
        <v>327</v>
      </c>
      <c r="E322" s="54" t="s">
        <v>3536</v>
      </c>
      <c r="G322" s="54" t="s">
        <v>3428</v>
      </c>
      <c r="H322" s="54" t="s">
        <v>3532</v>
      </c>
      <c r="I322" s="54" t="s">
        <v>3531</v>
      </c>
      <c r="J322" s="54" t="s">
        <v>2759</v>
      </c>
      <c r="K322" s="54" t="s">
        <v>2761</v>
      </c>
      <c r="L322" s="54" t="s">
        <v>3320</v>
      </c>
      <c r="M322" s="54" t="s">
        <v>3369</v>
      </c>
      <c r="N322" s="54">
        <v>11156592</v>
      </c>
      <c r="O322" s="54" t="s">
        <v>3535</v>
      </c>
      <c r="P322" s="59">
        <v>4.1666666666666664E-2</v>
      </c>
      <c r="Q322" s="57" t="str">
        <f t="shared" ref="Q322:Q385" si="71">IF(OR(ISNUMBER(SEARCH("Gs",$J322)),ISNUMBER(SEARCH("Gs",$K322))),"Gs","")</f>
        <v>Gs</v>
      </c>
      <c r="R322" s="56" t="str">
        <f t="shared" ref="R322:R385" si="72">IF(OR(ISNUMBER(SEARCH("Gi/o",$J322)),ISNUMBER(SEARCH("Gi/o",$K322))),"Gi/o","")</f>
        <v/>
      </c>
      <c r="S322" s="56" t="str">
        <f t="shared" ref="S322:S385" si="73">IF(OR(ISNUMBER(SEARCH("Gq/11",$J322)),ISNUMBER(SEARCH("Gq/11",$K322))),"Gq/11","")</f>
        <v>Gq/11</v>
      </c>
      <c r="T322" s="56" t="str">
        <f t="shared" ref="T322:T385" si="74">IF(OR(ISNUMBER(SEARCH("G12/13",$J322)),ISNUMBER(SEARCH("G12/13",$K322))),"G12/13","")</f>
        <v/>
      </c>
      <c r="U322" s="57">
        <f t="shared" ref="U322:U385" si="75">IF(ISNUMBER(SEARCH("Gs",$J322)),1,IF(ISNUMBER(SEARCH("Gs",$K322)),2,0))</f>
        <v>2</v>
      </c>
      <c r="V322" s="57">
        <f t="shared" ref="V322:V385" si="76">IF(ISNUMBER(SEARCH("Gi/o",$J322)),1,IF(ISNUMBER(SEARCH("Gi/o",$K322)),2,0))</f>
        <v>0</v>
      </c>
      <c r="W322" s="57">
        <f t="shared" ref="W322:W385" si="77">IF(ISNUMBER(SEARCH("Gq/11",$J322)),1,IF(ISNUMBER(SEARCH("Gq/11",$K322)),2,0))</f>
        <v>1</v>
      </c>
      <c r="X322" s="57">
        <f t="shared" ref="X322:X385" si="78">IF(ISNUMBER(SEARCH("G12/13",$J322)),1,IF(ISNUMBER(SEARCH("G12/13",$K322)),2,0))</f>
        <v>0</v>
      </c>
      <c r="Y322" s="57" t="str">
        <f t="shared" si="67"/>
        <v>c</v>
      </c>
      <c r="Z322" s="56" t="str">
        <f t="shared" si="68"/>
        <v>nc</v>
      </c>
      <c r="AA322" s="56" t="str">
        <f t="shared" si="69"/>
        <v>c</v>
      </c>
      <c r="AB322" s="56" t="str">
        <f t="shared" si="70"/>
        <v>nc</v>
      </c>
      <c r="AC322" s="56">
        <f t="shared" ref="AC322:AC385" si="79">IF(SUM(U322:X322)&gt;0,COUNTIF(U322:X322,"0"),"")</f>
        <v>2</v>
      </c>
      <c r="AD322" s="54">
        <f t="shared" ref="AD322:AD385" si="80">IF(SUM(U322:X322)&gt;0,1,0)</f>
        <v>1</v>
      </c>
    </row>
    <row r="323" spans="1:30">
      <c r="A323" s="54" t="s">
        <v>196</v>
      </c>
      <c r="B323" s="54" t="s">
        <v>2007</v>
      </c>
      <c r="C323" s="54" t="str">
        <f>VLOOKUP(A323,RecNamesAll!A:C,3,FALSE)</f>
        <v>P2Y13</v>
      </c>
      <c r="D323" s="60">
        <v>329</v>
      </c>
      <c r="E323" s="54" t="s">
        <v>3534</v>
      </c>
      <c r="F323" s="54" t="s">
        <v>3533</v>
      </c>
      <c r="G323" s="54" t="s">
        <v>3428</v>
      </c>
      <c r="H323" s="54" t="s">
        <v>3532</v>
      </c>
      <c r="I323" s="54" t="s">
        <v>3531</v>
      </c>
      <c r="J323" s="54" t="s">
        <v>2760</v>
      </c>
      <c r="L323" s="54" t="s">
        <v>3327</v>
      </c>
      <c r="M323" s="54" t="s">
        <v>3298</v>
      </c>
      <c r="N323" s="54">
        <v>11546776</v>
      </c>
      <c r="P323" s="59">
        <v>4.1666666666666664E-2</v>
      </c>
      <c r="Q323" s="57" t="str">
        <f t="shared" si="71"/>
        <v/>
      </c>
      <c r="R323" s="56" t="str">
        <f t="shared" si="72"/>
        <v>Gi/o</v>
      </c>
      <c r="S323" s="56" t="str">
        <f t="shared" si="73"/>
        <v/>
      </c>
      <c r="T323" s="56" t="str">
        <f t="shared" si="74"/>
        <v/>
      </c>
      <c r="U323" s="57">
        <f t="shared" si="75"/>
        <v>0</v>
      </c>
      <c r="V323" s="57">
        <f t="shared" si="76"/>
        <v>1</v>
      </c>
      <c r="W323" s="57">
        <f t="shared" si="77"/>
        <v>0</v>
      </c>
      <c r="X323" s="57">
        <f t="shared" si="78"/>
        <v>0</v>
      </c>
      <c r="Y323" s="57" t="str">
        <f t="shared" ref="Y323:Y386" si="81">IF(U323&gt;0,"c","nc")</f>
        <v>nc</v>
      </c>
      <c r="Z323" s="56" t="str">
        <f t="shared" ref="Z323:Z386" si="82">IF(V323&gt;0,"c","nc")</f>
        <v>c</v>
      </c>
      <c r="AA323" s="56" t="str">
        <f t="shared" ref="AA323:AA386" si="83">IF(W323&gt;0,"c","nc")</f>
        <v>nc</v>
      </c>
      <c r="AB323" s="56" t="str">
        <f t="shared" ref="AB323:AB386" si="84">IF(X323&gt;0,"c","nc")</f>
        <v>nc</v>
      </c>
      <c r="AC323" s="56">
        <f t="shared" si="79"/>
        <v>3</v>
      </c>
      <c r="AD323" s="54">
        <f t="shared" si="80"/>
        <v>1</v>
      </c>
    </row>
    <row r="324" spans="1:30">
      <c r="A324" s="54" t="s">
        <v>48</v>
      </c>
      <c r="B324" s="54" t="s">
        <v>278</v>
      </c>
      <c r="C324" s="54" t="str">
        <f>VLOOKUP(A324,RecNamesAll!A:C,3,FALSE)</f>
        <v>GPBA</v>
      </c>
      <c r="D324" s="60">
        <v>37</v>
      </c>
      <c r="E324" s="54" t="s">
        <v>2961</v>
      </c>
      <c r="F324" s="54" t="s">
        <v>3530</v>
      </c>
      <c r="G324" s="54" t="s">
        <v>3428</v>
      </c>
      <c r="H324" s="54" t="s">
        <v>3526</v>
      </c>
      <c r="I324" s="54" t="s">
        <v>3529</v>
      </c>
      <c r="J324" s="54" t="s">
        <v>2761</v>
      </c>
      <c r="L324" s="54" t="s">
        <v>3369</v>
      </c>
      <c r="N324" s="54">
        <v>12524422</v>
      </c>
      <c r="P324" s="59">
        <v>4.1666666666666664E-2</v>
      </c>
      <c r="Q324" s="57" t="str">
        <f t="shared" si="71"/>
        <v>Gs</v>
      </c>
      <c r="R324" s="56" t="str">
        <f t="shared" si="72"/>
        <v/>
      </c>
      <c r="S324" s="56" t="str">
        <f t="shared" si="73"/>
        <v/>
      </c>
      <c r="T324" s="56" t="str">
        <f t="shared" si="74"/>
        <v/>
      </c>
      <c r="U324" s="57">
        <f t="shared" si="75"/>
        <v>1</v>
      </c>
      <c r="V324" s="57">
        <f t="shared" si="76"/>
        <v>0</v>
      </c>
      <c r="W324" s="57">
        <f t="shared" si="77"/>
        <v>0</v>
      </c>
      <c r="X324" s="57">
        <f t="shared" si="78"/>
        <v>0</v>
      </c>
      <c r="Y324" s="57" t="str">
        <f t="shared" si="81"/>
        <v>c</v>
      </c>
      <c r="Z324" s="56" t="str">
        <f t="shared" si="82"/>
        <v>nc</v>
      </c>
      <c r="AA324" s="56" t="str">
        <f t="shared" si="83"/>
        <v>nc</v>
      </c>
      <c r="AB324" s="56" t="str">
        <f t="shared" si="84"/>
        <v>nc</v>
      </c>
      <c r="AC324" s="56">
        <f t="shared" si="79"/>
        <v>3</v>
      </c>
      <c r="AD324" s="54">
        <f t="shared" si="80"/>
        <v>1</v>
      </c>
    </row>
    <row r="325" spans="1:30">
      <c r="A325" s="54" t="s">
        <v>3528</v>
      </c>
      <c r="B325" s="54" t="s">
        <v>1425</v>
      </c>
      <c r="C325" s="54" t="str">
        <f>VLOOKUP(A325,RecNamesAll!A:C,3,FALSE)</f>
        <v>GPER</v>
      </c>
      <c r="D325" s="60">
        <v>221</v>
      </c>
      <c r="E325" s="54" t="s">
        <v>3528</v>
      </c>
      <c r="F325" s="54" t="s">
        <v>3527</v>
      </c>
      <c r="G325" s="54" t="s">
        <v>3428</v>
      </c>
      <c r="H325" s="54" t="s">
        <v>3526</v>
      </c>
      <c r="I325" s="54" t="s">
        <v>3525</v>
      </c>
      <c r="J325" s="54" t="s">
        <v>2760</v>
      </c>
      <c r="K325" s="54" t="s">
        <v>2761</v>
      </c>
      <c r="L325" s="54" t="s">
        <v>3320</v>
      </c>
      <c r="M325" s="54" t="s">
        <v>3369</v>
      </c>
      <c r="N325" s="54" t="s">
        <v>3524</v>
      </c>
      <c r="O325" s="54" t="s">
        <v>3523</v>
      </c>
      <c r="P325" s="59">
        <v>0.125</v>
      </c>
      <c r="Q325" s="57" t="str">
        <f t="shared" si="71"/>
        <v>Gs</v>
      </c>
      <c r="R325" s="56" t="str">
        <f t="shared" si="72"/>
        <v>Gi/o</v>
      </c>
      <c r="S325" s="56" t="str">
        <f t="shared" si="73"/>
        <v/>
      </c>
      <c r="T325" s="56" t="str">
        <f t="shared" si="74"/>
        <v/>
      </c>
      <c r="U325" s="57">
        <f t="shared" si="75"/>
        <v>2</v>
      </c>
      <c r="V325" s="57">
        <f t="shared" si="76"/>
        <v>1</v>
      </c>
      <c r="W325" s="57">
        <f t="shared" si="77"/>
        <v>0</v>
      </c>
      <c r="X325" s="57">
        <f t="shared" si="78"/>
        <v>0</v>
      </c>
      <c r="Y325" s="57" t="str">
        <f t="shared" si="81"/>
        <v>c</v>
      </c>
      <c r="Z325" s="56" t="str">
        <f t="shared" si="82"/>
        <v>c</v>
      </c>
      <c r="AA325" s="56" t="str">
        <f t="shared" si="83"/>
        <v>nc</v>
      </c>
      <c r="AB325" s="56" t="str">
        <f t="shared" si="84"/>
        <v>nc</v>
      </c>
      <c r="AC325" s="56">
        <f t="shared" si="79"/>
        <v>2</v>
      </c>
      <c r="AD325" s="54">
        <f t="shared" si="80"/>
        <v>1</v>
      </c>
    </row>
    <row r="326" spans="1:30">
      <c r="A326" s="54" t="s">
        <v>3522</v>
      </c>
      <c r="B326" s="54" t="s">
        <v>1579</v>
      </c>
      <c r="C326" s="54" t="str">
        <f>VLOOKUP(A326,RecNamesAll!A:C,3,FALSE)</f>
        <v>HCA1</v>
      </c>
      <c r="D326" s="60">
        <v>311</v>
      </c>
      <c r="E326" s="54" t="s">
        <v>3522</v>
      </c>
      <c r="F326" s="54" t="s">
        <v>3521</v>
      </c>
      <c r="G326" s="54" t="s">
        <v>3428</v>
      </c>
      <c r="H326" s="54" t="s">
        <v>3509</v>
      </c>
      <c r="I326" s="54" t="s">
        <v>3516</v>
      </c>
      <c r="J326" s="54" t="s">
        <v>2760</v>
      </c>
      <c r="Q326" s="57" t="str">
        <f t="shared" si="71"/>
        <v/>
      </c>
      <c r="R326" s="56" t="str">
        <f t="shared" si="72"/>
        <v>Gi/o</v>
      </c>
      <c r="S326" s="56" t="str">
        <f t="shared" si="73"/>
        <v/>
      </c>
      <c r="T326" s="56" t="str">
        <f t="shared" si="74"/>
        <v/>
      </c>
      <c r="U326" s="57">
        <f t="shared" si="75"/>
        <v>0</v>
      </c>
      <c r="V326" s="57">
        <f t="shared" si="76"/>
        <v>1</v>
      </c>
      <c r="W326" s="57">
        <f t="shared" si="77"/>
        <v>0</v>
      </c>
      <c r="X326" s="57">
        <f t="shared" si="78"/>
        <v>0</v>
      </c>
      <c r="Y326" s="57" t="str">
        <f t="shared" si="81"/>
        <v>nc</v>
      </c>
      <c r="Z326" s="56" t="str">
        <f t="shared" si="82"/>
        <v>c</v>
      </c>
      <c r="AA326" s="56" t="str">
        <f t="shared" si="83"/>
        <v>nc</v>
      </c>
      <c r="AB326" s="56" t="str">
        <f t="shared" si="84"/>
        <v>nc</v>
      </c>
      <c r="AC326" s="56">
        <f t="shared" si="79"/>
        <v>3</v>
      </c>
      <c r="AD326" s="54">
        <f t="shared" si="80"/>
        <v>1</v>
      </c>
    </row>
    <row r="327" spans="1:30">
      <c r="A327" s="54" t="s">
        <v>140</v>
      </c>
      <c r="B327" s="54" t="s">
        <v>308</v>
      </c>
      <c r="C327" s="54" t="str">
        <f>VLOOKUP(A327,RecNamesAll!A:C,3,FALSE)</f>
        <v>HCA2</v>
      </c>
      <c r="D327" s="60">
        <v>312</v>
      </c>
      <c r="E327" s="54" t="s">
        <v>140</v>
      </c>
      <c r="F327" s="54" t="s">
        <v>3520</v>
      </c>
      <c r="G327" s="54" t="s">
        <v>3428</v>
      </c>
      <c r="H327" s="54" t="s">
        <v>3509</v>
      </c>
      <c r="I327" s="54" t="s">
        <v>3516</v>
      </c>
      <c r="J327" s="54" t="s">
        <v>2760</v>
      </c>
      <c r="L327" s="54" t="s">
        <v>3519</v>
      </c>
      <c r="N327" s="54" t="s">
        <v>3518</v>
      </c>
      <c r="P327" s="59">
        <v>0.16666666666666666</v>
      </c>
      <c r="Q327" s="57" t="str">
        <f t="shared" si="71"/>
        <v/>
      </c>
      <c r="R327" s="56" t="str">
        <f t="shared" si="72"/>
        <v>Gi/o</v>
      </c>
      <c r="S327" s="56" t="str">
        <f t="shared" si="73"/>
        <v/>
      </c>
      <c r="T327" s="56" t="str">
        <f t="shared" si="74"/>
        <v/>
      </c>
      <c r="U327" s="57">
        <f t="shared" si="75"/>
        <v>0</v>
      </c>
      <c r="V327" s="57">
        <f t="shared" si="76"/>
        <v>1</v>
      </c>
      <c r="W327" s="57">
        <f t="shared" si="77"/>
        <v>0</v>
      </c>
      <c r="X327" s="57">
        <f t="shared" si="78"/>
        <v>0</v>
      </c>
      <c r="Y327" s="57" t="str">
        <f t="shared" si="81"/>
        <v>nc</v>
      </c>
      <c r="Z327" s="56" t="str">
        <f t="shared" si="82"/>
        <v>c</v>
      </c>
      <c r="AA327" s="56" t="str">
        <f t="shared" si="83"/>
        <v>nc</v>
      </c>
      <c r="AB327" s="56" t="str">
        <f t="shared" si="84"/>
        <v>nc</v>
      </c>
      <c r="AC327" s="56">
        <f t="shared" si="79"/>
        <v>3</v>
      </c>
      <c r="AD327" s="54">
        <f t="shared" si="80"/>
        <v>1</v>
      </c>
    </row>
    <row r="328" spans="1:30">
      <c r="A328" s="54" t="s">
        <v>141</v>
      </c>
      <c r="B328" s="54" t="s">
        <v>309</v>
      </c>
      <c r="C328" s="54" t="str">
        <f>VLOOKUP(A328,RecNamesAll!A:C,3,FALSE)</f>
        <v>HCA3</v>
      </c>
      <c r="D328" s="60">
        <v>313</v>
      </c>
      <c r="E328" s="54" t="s">
        <v>141</v>
      </c>
      <c r="F328" s="54" t="s">
        <v>3517</v>
      </c>
      <c r="G328" s="54" t="s">
        <v>3428</v>
      </c>
      <c r="H328" s="54" t="s">
        <v>3509</v>
      </c>
      <c r="I328" s="54" t="s">
        <v>3516</v>
      </c>
      <c r="J328" s="54" t="s">
        <v>2760</v>
      </c>
      <c r="L328" s="54" t="s">
        <v>3515</v>
      </c>
      <c r="N328" s="54" t="s">
        <v>3514</v>
      </c>
      <c r="P328" s="59">
        <v>0.16666666666666666</v>
      </c>
      <c r="Q328" s="57" t="str">
        <f t="shared" si="71"/>
        <v/>
      </c>
      <c r="R328" s="56" t="str">
        <f t="shared" si="72"/>
        <v>Gi/o</v>
      </c>
      <c r="S328" s="56" t="str">
        <f t="shared" si="73"/>
        <v/>
      </c>
      <c r="T328" s="56" t="str">
        <f t="shared" si="74"/>
        <v/>
      </c>
      <c r="U328" s="57">
        <f t="shared" si="75"/>
        <v>0</v>
      </c>
      <c r="V328" s="57">
        <f t="shared" si="76"/>
        <v>1</v>
      </c>
      <c r="W328" s="57">
        <f t="shared" si="77"/>
        <v>0</v>
      </c>
      <c r="X328" s="57">
        <f t="shared" si="78"/>
        <v>0</v>
      </c>
      <c r="Y328" s="57" t="str">
        <f t="shared" si="81"/>
        <v>nc</v>
      </c>
      <c r="Z328" s="56" t="str">
        <f t="shared" si="82"/>
        <v>c</v>
      </c>
      <c r="AA328" s="56" t="str">
        <f t="shared" si="83"/>
        <v>nc</v>
      </c>
      <c r="AB328" s="56" t="str">
        <f t="shared" si="84"/>
        <v>nc</v>
      </c>
      <c r="AC328" s="56">
        <f t="shared" si="79"/>
        <v>3</v>
      </c>
      <c r="AD328" s="54">
        <f t="shared" si="80"/>
        <v>1</v>
      </c>
    </row>
    <row r="329" spans="1:30">
      <c r="A329" s="54" t="s">
        <v>188</v>
      </c>
      <c r="B329" s="54" t="s">
        <v>1965</v>
      </c>
      <c r="C329" s="54" t="str">
        <f>VLOOKUP(A329,RecNamesAll!A:C,3,FALSE)</f>
        <v>Oxoglutarate</v>
      </c>
      <c r="D329" s="60">
        <v>162</v>
      </c>
      <c r="E329" s="54" t="s">
        <v>188</v>
      </c>
      <c r="F329" s="54" t="s">
        <v>3513</v>
      </c>
      <c r="G329" s="54" t="s">
        <v>3428</v>
      </c>
      <c r="H329" s="54" t="s">
        <v>3509</v>
      </c>
      <c r="I329" s="54" t="s">
        <v>3512</v>
      </c>
      <c r="J329" s="54" t="s">
        <v>2759</v>
      </c>
      <c r="L329" s="54" t="s">
        <v>3320</v>
      </c>
      <c r="N329" s="54">
        <v>15141213</v>
      </c>
      <c r="P329" s="59">
        <v>4.1666666666666664E-2</v>
      </c>
      <c r="Q329" s="57" t="str">
        <f t="shared" si="71"/>
        <v/>
      </c>
      <c r="R329" s="56" t="str">
        <f t="shared" si="72"/>
        <v/>
      </c>
      <c r="S329" s="56" t="str">
        <f t="shared" si="73"/>
        <v>Gq/11</v>
      </c>
      <c r="T329" s="56" t="str">
        <f t="shared" si="74"/>
        <v/>
      </c>
      <c r="U329" s="57">
        <f t="shared" si="75"/>
        <v>0</v>
      </c>
      <c r="V329" s="57">
        <f t="shared" si="76"/>
        <v>0</v>
      </c>
      <c r="W329" s="57">
        <f t="shared" si="77"/>
        <v>1</v>
      </c>
      <c r="X329" s="57">
        <f t="shared" si="78"/>
        <v>0</v>
      </c>
      <c r="Y329" s="57" t="str">
        <f t="shared" si="81"/>
        <v>nc</v>
      </c>
      <c r="Z329" s="56" t="str">
        <f t="shared" si="82"/>
        <v>nc</v>
      </c>
      <c r="AA329" s="56" t="str">
        <f t="shared" si="83"/>
        <v>c</v>
      </c>
      <c r="AB329" s="56" t="str">
        <f t="shared" si="84"/>
        <v>nc</v>
      </c>
      <c r="AC329" s="56">
        <f t="shared" si="79"/>
        <v>3</v>
      </c>
      <c r="AD329" s="54">
        <f t="shared" si="80"/>
        <v>1</v>
      </c>
    </row>
    <row r="330" spans="1:30">
      <c r="A330" s="54" t="s">
        <v>3511</v>
      </c>
      <c r="B330" s="54" t="s">
        <v>2200</v>
      </c>
      <c r="C330" s="54" t="str">
        <f>VLOOKUP(A330,RecNamesAll!A:C,3,FALSE)</f>
        <v>Succinate</v>
      </c>
      <c r="D330" s="60">
        <v>166</v>
      </c>
      <c r="E330" s="54" t="s">
        <v>2956</v>
      </c>
      <c r="F330" s="54" t="s">
        <v>3510</v>
      </c>
      <c r="G330" s="54" t="s">
        <v>3428</v>
      </c>
      <c r="H330" s="54" t="s">
        <v>3509</v>
      </c>
      <c r="I330" s="54" t="s">
        <v>3508</v>
      </c>
      <c r="J330" s="54" t="s">
        <v>2760</v>
      </c>
      <c r="K330" s="54" t="s">
        <v>2759</v>
      </c>
      <c r="L330" s="54" t="s">
        <v>3507</v>
      </c>
      <c r="M330" s="54" t="s">
        <v>3320</v>
      </c>
      <c r="N330" s="54" t="s">
        <v>3506</v>
      </c>
      <c r="O330" s="54">
        <v>15141213</v>
      </c>
      <c r="P330" s="59">
        <v>0.125</v>
      </c>
      <c r="Q330" s="57" t="str">
        <f t="shared" si="71"/>
        <v/>
      </c>
      <c r="R330" s="56" t="str">
        <f t="shared" si="72"/>
        <v>Gi/o</v>
      </c>
      <c r="S330" s="56" t="str">
        <f t="shared" si="73"/>
        <v>Gq/11</v>
      </c>
      <c r="T330" s="56" t="str">
        <f t="shared" si="74"/>
        <v/>
      </c>
      <c r="U330" s="57">
        <f t="shared" si="75"/>
        <v>0</v>
      </c>
      <c r="V330" s="57">
        <f t="shared" si="76"/>
        <v>1</v>
      </c>
      <c r="W330" s="57">
        <f t="shared" si="77"/>
        <v>2</v>
      </c>
      <c r="X330" s="57">
        <f t="shared" si="78"/>
        <v>0</v>
      </c>
      <c r="Y330" s="57" t="str">
        <f t="shared" si="81"/>
        <v>nc</v>
      </c>
      <c r="Z330" s="56" t="str">
        <f t="shared" si="82"/>
        <v>c</v>
      </c>
      <c r="AA330" s="56" t="str">
        <f t="shared" si="83"/>
        <v>c</v>
      </c>
      <c r="AB330" s="56" t="str">
        <f t="shared" si="84"/>
        <v>nc</v>
      </c>
      <c r="AC330" s="56">
        <f t="shared" si="79"/>
        <v>2</v>
      </c>
      <c r="AD330" s="54">
        <f t="shared" si="80"/>
        <v>1</v>
      </c>
    </row>
    <row r="331" spans="1:30">
      <c r="A331" s="54" t="s">
        <v>3504</v>
      </c>
      <c r="B331" s="54" t="s">
        <v>3505</v>
      </c>
      <c r="C331" s="54" t="str">
        <f>VLOOKUP(A331,RecNamesAll!A:C,3,FALSE)</f>
        <v>OPN4</v>
      </c>
      <c r="D331" s="60">
        <v>2758</v>
      </c>
      <c r="E331" s="54" t="s">
        <v>3504</v>
      </c>
      <c r="F331" s="54" t="s">
        <v>3503</v>
      </c>
      <c r="G331" s="54" t="s">
        <v>3428</v>
      </c>
      <c r="H331" s="54" t="s">
        <v>3499</v>
      </c>
      <c r="I331" s="54" t="s">
        <v>3498</v>
      </c>
      <c r="J331" s="54" t="s">
        <v>3314</v>
      </c>
      <c r="L331" s="54" t="s">
        <v>3438</v>
      </c>
      <c r="N331" s="54">
        <v>23554393</v>
      </c>
      <c r="P331" s="59">
        <v>4.1666666666666664E-2</v>
      </c>
      <c r="Q331" s="57" t="str">
        <f t="shared" si="71"/>
        <v/>
      </c>
      <c r="R331" s="56" t="str">
        <f t="shared" si="72"/>
        <v>Gi/o</v>
      </c>
      <c r="S331" s="56" t="str">
        <f t="shared" si="73"/>
        <v>Gq/11</v>
      </c>
      <c r="T331" s="56" t="str">
        <f t="shared" si="74"/>
        <v/>
      </c>
      <c r="U331" s="57">
        <f t="shared" si="75"/>
        <v>0</v>
      </c>
      <c r="V331" s="57">
        <f t="shared" si="76"/>
        <v>1</v>
      </c>
      <c r="W331" s="57">
        <f t="shared" si="77"/>
        <v>1</v>
      </c>
      <c r="X331" s="57">
        <f t="shared" si="78"/>
        <v>0</v>
      </c>
      <c r="Y331" s="57" t="str">
        <f t="shared" si="81"/>
        <v>nc</v>
      </c>
      <c r="Z331" s="56" t="str">
        <f t="shared" si="82"/>
        <v>c</v>
      </c>
      <c r="AA331" s="56" t="str">
        <f t="shared" si="83"/>
        <v>c</v>
      </c>
      <c r="AB331" s="56" t="str">
        <f t="shared" si="84"/>
        <v>nc</v>
      </c>
      <c r="AC331" s="56">
        <f t="shared" si="79"/>
        <v>2</v>
      </c>
      <c r="AD331" s="54">
        <f t="shared" si="80"/>
        <v>1</v>
      </c>
    </row>
    <row r="332" spans="1:30">
      <c r="A332" s="54" t="s">
        <v>3501</v>
      </c>
      <c r="B332" s="54" t="s">
        <v>3502</v>
      </c>
      <c r="C332" s="54" t="str">
        <f>VLOOKUP(A332,RecNamesAll!A:C,3,FALSE)</f>
        <v>OPN5</v>
      </c>
      <c r="D332" s="60">
        <v>161</v>
      </c>
      <c r="E332" s="54" t="s">
        <v>3501</v>
      </c>
      <c r="F332" s="54" t="s">
        <v>3500</v>
      </c>
      <c r="G332" s="54" t="s">
        <v>3428</v>
      </c>
      <c r="H332" s="54" t="s">
        <v>3499</v>
      </c>
      <c r="I332" s="54" t="s">
        <v>3498</v>
      </c>
      <c r="J332" s="54" t="s">
        <v>2760</v>
      </c>
      <c r="N332" s="54">
        <v>22043319</v>
      </c>
      <c r="P332" s="59">
        <v>4.1666666666666664E-2</v>
      </c>
      <c r="Q332" s="57" t="str">
        <f t="shared" si="71"/>
        <v/>
      </c>
      <c r="R332" s="56" t="str">
        <f t="shared" si="72"/>
        <v>Gi/o</v>
      </c>
      <c r="S332" s="56" t="str">
        <f t="shared" si="73"/>
        <v/>
      </c>
      <c r="T332" s="56" t="str">
        <f t="shared" si="74"/>
        <v/>
      </c>
      <c r="U332" s="57">
        <f t="shared" si="75"/>
        <v>0</v>
      </c>
      <c r="V332" s="57">
        <f t="shared" si="76"/>
        <v>1</v>
      </c>
      <c r="W332" s="57">
        <f t="shared" si="77"/>
        <v>0</v>
      </c>
      <c r="X332" s="57">
        <f t="shared" si="78"/>
        <v>0</v>
      </c>
      <c r="Y332" s="57" t="str">
        <f t="shared" si="81"/>
        <v>nc</v>
      </c>
      <c r="Z332" s="56" t="str">
        <f t="shared" si="82"/>
        <v>c</v>
      </c>
      <c r="AA332" s="56" t="str">
        <f t="shared" si="83"/>
        <v>nc</v>
      </c>
      <c r="AB332" s="56" t="str">
        <f t="shared" si="84"/>
        <v>nc</v>
      </c>
      <c r="AC332" s="56">
        <f t="shared" si="79"/>
        <v>3</v>
      </c>
      <c r="AD332" s="54">
        <f t="shared" si="80"/>
        <v>1</v>
      </c>
    </row>
    <row r="333" spans="1:30">
      <c r="A333" s="54" t="s">
        <v>3497</v>
      </c>
      <c r="B333" s="54" t="s">
        <v>1470</v>
      </c>
      <c r="C333" s="54" t="str">
        <f>VLOOKUP(A333,RecNamesAll!A:C,3,FALSE)</f>
        <v>GPR3</v>
      </c>
      <c r="D333" s="60">
        <v>83</v>
      </c>
      <c r="E333" s="54" t="s">
        <v>3497</v>
      </c>
      <c r="F333" s="54" t="s">
        <v>3496</v>
      </c>
      <c r="G333" s="54" t="s">
        <v>3428</v>
      </c>
      <c r="H333" s="54" t="s">
        <v>3322</v>
      </c>
      <c r="I333" s="54" t="s">
        <v>3427</v>
      </c>
      <c r="J333" s="54" t="s">
        <v>2761</v>
      </c>
      <c r="L333" s="54" t="s">
        <v>3369</v>
      </c>
      <c r="N333" s="54">
        <v>7639700</v>
      </c>
      <c r="P333" s="59">
        <v>4.1666666666666664E-2</v>
      </c>
      <c r="Q333" s="57" t="str">
        <f t="shared" si="71"/>
        <v>Gs</v>
      </c>
      <c r="R333" s="56" t="str">
        <f t="shared" si="72"/>
        <v/>
      </c>
      <c r="S333" s="56" t="str">
        <f t="shared" si="73"/>
        <v/>
      </c>
      <c r="T333" s="56" t="str">
        <f t="shared" si="74"/>
        <v/>
      </c>
      <c r="U333" s="57">
        <f t="shared" si="75"/>
        <v>1</v>
      </c>
      <c r="V333" s="57">
        <f t="shared" si="76"/>
        <v>0</v>
      </c>
      <c r="W333" s="57">
        <f t="shared" si="77"/>
        <v>0</v>
      </c>
      <c r="X333" s="57">
        <f t="shared" si="78"/>
        <v>0</v>
      </c>
      <c r="Y333" s="57" t="str">
        <f t="shared" si="81"/>
        <v>c</v>
      </c>
      <c r="Z333" s="56" t="str">
        <f t="shared" si="82"/>
        <v>nc</v>
      </c>
      <c r="AA333" s="56" t="str">
        <f t="shared" si="83"/>
        <v>nc</v>
      </c>
      <c r="AB333" s="56" t="str">
        <f t="shared" si="84"/>
        <v>nc</v>
      </c>
      <c r="AC333" s="56">
        <f t="shared" si="79"/>
        <v>3</v>
      </c>
      <c r="AD333" s="54">
        <f t="shared" si="80"/>
        <v>1</v>
      </c>
    </row>
    <row r="334" spans="1:30">
      <c r="A334" s="54" t="s">
        <v>92</v>
      </c>
      <c r="B334" s="54" t="s">
        <v>3495</v>
      </c>
      <c r="C334" s="54" t="str">
        <f>VLOOKUP(A334,RecNamesAll!A:C,3,FALSE)</f>
        <v>GPR4</v>
      </c>
      <c r="D334" s="60">
        <v>84</v>
      </c>
      <c r="E334" s="54" t="s">
        <v>92</v>
      </c>
      <c r="F334" s="54" t="s">
        <v>3494</v>
      </c>
      <c r="G334" s="54" t="s">
        <v>3428</v>
      </c>
      <c r="H334" s="54" t="s">
        <v>3322</v>
      </c>
      <c r="I334" s="54" t="s">
        <v>3427</v>
      </c>
      <c r="J334" s="54" t="s">
        <v>3493</v>
      </c>
      <c r="L334" s="54" t="s">
        <v>3492</v>
      </c>
      <c r="N334" s="54">
        <v>15221007</v>
      </c>
      <c r="P334" s="59">
        <v>4.1666666666666664E-2</v>
      </c>
      <c r="Q334" s="57" t="str">
        <f t="shared" si="71"/>
        <v>Gs</v>
      </c>
      <c r="R334" s="56" t="str">
        <f t="shared" si="72"/>
        <v>Gi/o</v>
      </c>
      <c r="S334" s="56" t="str">
        <f t="shared" si="73"/>
        <v>Gq/11</v>
      </c>
      <c r="T334" s="56" t="str">
        <f t="shared" si="74"/>
        <v>G12/13</v>
      </c>
      <c r="U334" s="57">
        <f t="shared" si="75"/>
        <v>1</v>
      </c>
      <c r="V334" s="57">
        <f t="shared" si="76"/>
        <v>1</v>
      </c>
      <c r="W334" s="57">
        <f t="shared" si="77"/>
        <v>1</v>
      </c>
      <c r="X334" s="57">
        <f t="shared" si="78"/>
        <v>1</v>
      </c>
      <c r="Y334" s="57" t="str">
        <f t="shared" si="81"/>
        <v>c</v>
      </c>
      <c r="Z334" s="56" t="str">
        <f t="shared" si="82"/>
        <v>c</v>
      </c>
      <c r="AA334" s="56" t="str">
        <f t="shared" si="83"/>
        <v>c</v>
      </c>
      <c r="AB334" s="56" t="str">
        <f t="shared" si="84"/>
        <v>c</v>
      </c>
      <c r="AC334" s="56">
        <f t="shared" si="79"/>
        <v>0</v>
      </c>
      <c r="AD334" s="54">
        <f t="shared" si="80"/>
        <v>1</v>
      </c>
    </row>
    <row r="335" spans="1:30">
      <c r="A335" s="54" t="s">
        <v>3491</v>
      </c>
      <c r="B335" s="54" t="s">
        <v>1510</v>
      </c>
      <c r="C335" s="54" t="str">
        <f>VLOOKUP(A335,RecNamesAll!A:C,3,FALSE)</f>
        <v>GPR6</v>
      </c>
      <c r="D335" s="60">
        <v>85</v>
      </c>
      <c r="E335" s="54" t="s">
        <v>3491</v>
      </c>
      <c r="G335" s="54" t="s">
        <v>3428</v>
      </c>
      <c r="H335" s="54" t="s">
        <v>3322</v>
      </c>
      <c r="I335" s="54" t="s">
        <v>3427</v>
      </c>
      <c r="J335" s="54" t="s">
        <v>3299</v>
      </c>
      <c r="L335" s="54" t="s">
        <v>3488</v>
      </c>
      <c r="N335" s="54" t="s">
        <v>3490</v>
      </c>
      <c r="P335" s="59">
        <v>8.3333333333333329E-2</v>
      </c>
      <c r="Q335" s="57" t="str">
        <f t="shared" si="71"/>
        <v>Gs</v>
      </c>
      <c r="R335" s="56" t="str">
        <f t="shared" si="72"/>
        <v>Gi/o</v>
      </c>
      <c r="S335" s="56" t="str">
        <f t="shared" si="73"/>
        <v/>
      </c>
      <c r="T335" s="56" t="str">
        <f t="shared" si="74"/>
        <v/>
      </c>
      <c r="U335" s="57">
        <f t="shared" si="75"/>
        <v>1</v>
      </c>
      <c r="V335" s="57">
        <f t="shared" si="76"/>
        <v>1</v>
      </c>
      <c r="W335" s="57">
        <f t="shared" si="77"/>
        <v>0</v>
      </c>
      <c r="X335" s="57">
        <f t="shared" si="78"/>
        <v>0</v>
      </c>
      <c r="Y335" s="57" t="str">
        <f t="shared" si="81"/>
        <v>c</v>
      </c>
      <c r="Z335" s="56" t="str">
        <f t="shared" si="82"/>
        <v>c</v>
      </c>
      <c r="AA335" s="56" t="str">
        <f t="shared" si="83"/>
        <v>nc</v>
      </c>
      <c r="AB335" s="56" t="str">
        <f t="shared" si="84"/>
        <v>nc</v>
      </c>
      <c r="AC335" s="56">
        <f t="shared" si="79"/>
        <v>2</v>
      </c>
      <c r="AD335" s="54">
        <f t="shared" si="80"/>
        <v>1</v>
      </c>
    </row>
    <row r="336" spans="1:30">
      <c r="A336" s="54" t="s">
        <v>3489</v>
      </c>
      <c r="B336" s="54" t="s">
        <v>1434</v>
      </c>
      <c r="C336" s="54" t="str">
        <f>VLOOKUP(A336,RecNamesAll!A:C,3,FALSE)</f>
        <v>GPR12</v>
      </c>
      <c r="D336" s="60">
        <v>86</v>
      </c>
      <c r="E336" s="54" t="s">
        <v>3489</v>
      </c>
      <c r="G336" s="54" t="s">
        <v>3428</v>
      </c>
      <c r="H336" s="54" t="s">
        <v>3322</v>
      </c>
      <c r="I336" s="54" t="s">
        <v>3427</v>
      </c>
      <c r="J336" s="54" t="s">
        <v>3299</v>
      </c>
      <c r="L336" s="54" t="s">
        <v>3488</v>
      </c>
      <c r="N336" s="54" t="s">
        <v>3487</v>
      </c>
      <c r="P336" s="59">
        <v>0.16666666666666666</v>
      </c>
      <c r="Q336" s="57" t="str">
        <f t="shared" si="71"/>
        <v>Gs</v>
      </c>
      <c r="R336" s="56" t="str">
        <f t="shared" si="72"/>
        <v>Gi/o</v>
      </c>
      <c r="S336" s="56" t="str">
        <f t="shared" si="73"/>
        <v/>
      </c>
      <c r="T336" s="56" t="str">
        <f t="shared" si="74"/>
        <v/>
      </c>
      <c r="U336" s="57">
        <f t="shared" si="75"/>
        <v>1</v>
      </c>
      <c r="V336" s="57">
        <f t="shared" si="76"/>
        <v>1</v>
      </c>
      <c r="W336" s="57">
        <f t="shared" si="77"/>
        <v>0</v>
      </c>
      <c r="X336" s="57">
        <f t="shared" si="78"/>
        <v>0</v>
      </c>
      <c r="Y336" s="57" t="str">
        <f t="shared" si="81"/>
        <v>c</v>
      </c>
      <c r="Z336" s="56" t="str">
        <f t="shared" si="82"/>
        <v>c</v>
      </c>
      <c r="AA336" s="56" t="str">
        <f t="shared" si="83"/>
        <v>nc</v>
      </c>
      <c r="AB336" s="56" t="str">
        <f t="shared" si="84"/>
        <v>nc</v>
      </c>
      <c r="AC336" s="56">
        <f t="shared" si="79"/>
        <v>2</v>
      </c>
      <c r="AD336" s="54">
        <f t="shared" si="80"/>
        <v>1</v>
      </c>
    </row>
    <row r="337" spans="1:30">
      <c r="A337" s="54" t="s">
        <v>88</v>
      </c>
      <c r="B337" s="54" t="s">
        <v>1441</v>
      </c>
      <c r="C337" s="54" t="str">
        <f>VLOOKUP(A337,RecNamesAll!A:C,3,FALSE)</f>
        <v>GPR17</v>
      </c>
      <c r="D337" s="60">
        <v>88</v>
      </c>
      <c r="E337" s="54" t="s">
        <v>88</v>
      </c>
      <c r="G337" s="54" t="s">
        <v>3428</v>
      </c>
      <c r="H337" s="54" t="s">
        <v>3322</v>
      </c>
      <c r="I337" s="54" t="s">
        <v>3427</v>
      </c>
      <c r="J337" s="54" t="s">
        <v>2760</v>
      </c>
      <c r="K337" s="54" t="s">
        <v>2759</v>
      </c>
      <c r="L337" s="54" t="s">
        <v>3327</v>
      </c>
      <c r="M337" s="54" t="s">
        <v>3320</v>
      </c>
      <c r="N337" s="54" t="s">
        <v>3486</v>
      </c>
      <c r="O337" s="54" t="s">
        <v>3485</v>
      </c>
      <c r="P337" s="59">
        <v>0.125</v>
      </c>
      <c r="Q337" s="57" t="str">
        <f t="shared" si="71"/>
        <v/>
      </c>
      <c r="R337" s="56" t="str">
        <f t="shared" si="72"/>
        <v>Gi/o</v>
      </c>
      <c r="S337" s="56" t="str">
        <f t="shared" si="73"/>
        <v>Gq/11</v>
      </c>
      <c r="T337" s="56" t="str">
        <f t="shared" si="74"/>
        <v/>
      </c>
      <c r="U337" s="57">
        <f t="shared" si="75"/>
        <v>0</v>
      </c>
      <c r="V337" s="57">
        <f t="shared" si="76"/>
        <v>1</v>
      </c>
      <c r="W337" s="57">
        <f t="shared" si="77"/>
        <v>2</v>
      </c>
      <c r="X337" s="57">
        <f t="shared" si="78"/>
        <v>0</v>
      </c>
      <c r="Y337" s="57" t="str">
        <f t="shared" si="81"/>
        <v>nc</v>
      </c>
      <c r="Z337" s="56" t="str">
        <f t="shared" si="82"/>
        <v>c</v>
      </c>
      <c r="AA337" s="56" t="str">
        <f t="shared" si="83"/>
        <v>c</v>
      </c>
      <c r="AB337" s="56" t="str">
        <f t="shared" si="84"/>
        <v>nc</v>
      </c>
      <c r="AC337" s="56">
        <f t="shared" si="79"/>
        <v>2</v>
      </c>
      <c r="AD337" s="54">
        <f t="shared" si="80"/>
        <v>1</v>
      </c>
    </row>
    <row r="338" spans="1:30">
      <c r="A338" s="54" t="s">
        <v>3483</v>
      </c>
      <c r="B338" s="54" t="s">
        <v>3484</v>
      </c>
      <c r="C338" s="54" t="str">
        <f>VLOOKUP(A338,RecNamesAll!A:C,3,FALSE)</f>
        <v>GPR20</v>
      </c>
      <c r="D338" s="60">
        <v>91</v>
      </c>
      <c r="E338" s="54" t="s">
        <v>3483</v>
      </c>
      <c r="G338" s="54" t="s">
        <v>3428</v>
      </c>
      <c r="H338" s="54" t="s">
        <v>3322</v>
      </c>
      <c r="I338" s="54" t="s">
        <v>3427</v>
      </c>
      <c r="J338" s="54" t="s">
        <v>2760</v>
      </c>
      <c r="L338" s="54" t="s">
        <v>3327</v>
      </c>
      <c r="N338" s="54">
        <v>18347022</v>
      </c>
      <c r="P338" s="59">
        <v>4.1666666666666664E-2</v>
      </c>
      <c r="Q338" s="57" t="str">
        <f t="shared" si="71"/>
        <v/>
      </c>
      <c r="R338" s="56" t="str">
        <f t="shared" si="72"/>
        <v>Gi/o</v>
      </c>
      <c r="S338" s="56" t="str">
        <f t="shared" si="73"/>
        <v/>
      </c>
      <c r="T338" s="56" t="str">
        <f t="shared" si="74"/>
        <v/>
      </c>
      <c r="U338" s="57">
        <f t="shared" si="75"/>
        <v>0</v>
      </c>
      <c r="V338" s="57">
        <f t="shared" si="76"/>
        <v>1</v>
      </c>
      <c r="W338" s="57">
        <f t="shared" si="77"/>
        <v>0</v>
      </c>
      <c r="X338" s="57">
        <f t="shared" si="78"/>
        <v>0</v>
      </c>
      <c r="Y338" s="57" t="str">
        <f t="shared" si="81"/>
        <v>nc</v>
      </c>
      <c r="Z338" s="56" t="str">
        <f t="shared" si="82"/>
        <v>c</v>
      </c>
      <c r="AA338" s="56" t="str">
        <f t="shared" si="83"/>
        <v>nc</v>
      </c>
      <c r="AB338" s="56" t="str">
        <f t="shared" si="84"/>
        <v>nc</v>
      </c>
      <c r="AC338" s="56">
        <f t="shared" si="79"/>
        <v>3</v>
      </c>
      <c r="AD338" s="54">
        <f t="shared" si="80"/>
        <v>1</v>
      </c>
    </row>
    <row r="339" spans="1:30">
      <c r="A339" s="54" t="s">
        <v>3481</v>
      </c>
      <c r="B339" s="54" t="s">
        <v>3482</v>
      </c>
      <c r="C339" s="54" t="str">
        <f>VLOOKUP(A339,RecNamesAll!A:C,3,FALSE)</f>
        <v>GPR22</v>
      </c>
      <c r="D339" s="60">
        <v>93</v>
      </c>
      <c r="E339" s="54" t="s">
        <v>3481</v>
      </c>
      <c r="G339" s="54" t="s">
        <v>3428</v>
      </c>
      <c r="H339" s="54" t="s">
        <v>3322</v>
      </c>
      <c r="I339" s="54" t="s">
        <v>3427</v>
      </c>
      <c r="J339" s="54" t="s">
        <v>2760</v>
      </c>
      <c r="L339" s="54" t="s">
        <v>3327</v>
      </c>
      <c r="N339" s="54">
        <v>18539757</v>
      </c>
      <c r="P339" s="59">
        <v>4.1666666666666664E-2</v>
      </c>
      <c r="Q339" s="57" t="str">
        <f t="shared" si="71"/>
        <v/>
      </c>
      <c r="R339" s="56" t="str">
        <f t="shared" si="72"/>
        <v>Gi/o</v>
      </c>
      <c r="S339" s="56" t="str">
        <f t="shared" si="73"/>
        <v/>
      </c>
      <c r="T339" s="56" t="str">
        <f t="shared" si="74"/>
        <v/>
      </c>
      <c r="U339" s="57">
        <f t="shared" si="75"/>
        <v>0</v>
      </c>
      <c r="V339" s="57">
        <f t="shared" si="76"/>
        <v>1</v>
      </c>
      <c r="W339" s="57">
        <f t="shared" si="77"/>
        <v>0</v>
      </c>
      <c r="X339" s="57">
        <f t="shared" si="78"/>
        <v>0</v>
      </c>
      <c r="Y339" s="57" t="str">
        <f t="shared" si="81"/>
        <v>nc</v>
      </c>
      <c r="Z339" s="56" t="str">
        <f t="shared" si="82"/>
        <v>c</v>
      </c>
      <c r="AA339" s="56" t="str">
        <f t="shared" si="83"/>
        <v>nc</v>
      </c>
      <c r="AB339" s="56" t="str">
        <f t="shared" si="84"/>
        <v>nc</v>
      </c>
      <c r="AC339" s="56">
        <f t="shared" si="79"/>
        <v>3</v>
      </c>
      <c r="AD339" s="54">
        <f t="shared" si="80"/>
        <v>1</v>
      </c>
    </row>
    <row r="340" spans="1:30">
      <c r="A340" s="54" t="s">
        <v>3479</v>
      </c>
      <c r="B340" s="54" t="s">
        <v>3480</v>
      </c>
      <c r="C340" s="54" t="str">
        <f>VLOOKUP(A340,RecNamesAll!A:C,3,FALSE)</f>
        <v>GPR26</v>
      </c>
      <c r="D340" s="60">
        <v>96</v>
      </c>
      <c r="E340" s="54" t="s">
        <v>3479</v>
      </c>
      <c r="G340" s="54" t="s">
        <v>3428</v>
      </c>
      <c r="H340" s="54" t="s">
        <v>3322</v>
      </c>
      <c r="I340" s="54" t="s">
        <v>3427</v>
      </c>
      <c r="J340" s="54" t="s">
        <v>2761</v>
      </c>
      <c r="L340" s="54" t="s">
        <v>3369</v>
      </c>
      <c r="N340" s="54">
        <v>17363172</v>
      </c>
      <c r="P340" s="59">
        <v>4.1666666666666664E-2</v>
      </c>
      <c r="Q340" s="57" t="str">
        <f t="shared" si="71"/>
        <v>Gs</v>
      </c>
      <c r="R340" s="56" t="str">
        <f t="shared" si="72"/>
        <v/>
      </c>
      <c r="S340" s="56" t="str">
        <f t="shared" si="73"/>
        <v/>
      </c>
      <c r="T340" s="56" t="str">
        <f t="shared" si="74"/>
        <v/>
      </c>
      <c r="U340" s="57">
        <f t="shared" si="75"/>
        <v>1</v>
      </c>
      <c r="V340" s="57">
        <f t="shared" si="76"/>
        <v>0</v>
      </c>
      <c r="W340" s="57">
        <f t="shared" si="77"/>
        <v>0</v>
      </c>
      <c r="X340" s="57">
        <f t="shared" si="78"/>
        <v>0</v>
      </c>
      <c r="Y340" s="57" t="str">
        <f t="shared" si="81"/>
        <v>c</v>
      </c>
      <c r="Z340" s="56" t="str">
        <f t="shared" si="82"/>
        <v>nc</v>
      </c>
      <c r="AA340" s="56" t="str">
        <f t="shared" si="83"/>
        <v>nc</v>
      </c>
      <c r="AB340" s="56" t="str">
        <f t="shared" si="84"/>
        <v>nc</v>
      </c>
      <c r="AC340" s="56">
        <f t="shared" si="79"/>
        <v>3</v>
      </c>
      <c r="AD340" s="54">
        <f t="shared" si="80"/>
        <v>1</v>
      </c>
    </row>
    <row r="341" spans="1:30">
      <c r="A341" s="54" t="s">
        <v>3477</v>
      </c>
      <c r="B341" s="54" t="s">
        <v>3478</v>
      </c>
      <c r="C341" s="54" t="str">
        <f>VLOOKUP(A341,RecNamesAll!A:C,3,FALSE)</f>
        <v>GPR27</v>
      </c>
      <c r="D341" s="60">
        <v>97</v>
      </c>
      <c r="E341" s="54" t="s">
        <v>3477</v>
      </c>
      <c r="F341" s="54" t="s">
        <v>3476</v>
      </c>
      <c r="G341" s="54" t="s">
        <v>3428</v>
      </c>
      <c r="H341" s="54" t="s">
        <v>3322</v>
      </c>
      <c r="I341" s="54" t="s">
        <v>3427</v>
      </c>
      <c r="J341" s="54" t="s">
        <v>2759</v>
      </c>
      <c r="L341" s="54" t="s">
        <v>3320</v>
      </c>
      <c r="Q341" s="57" t="str">
        <f t="shared" si="71"/>
        <v/>
      </c>
      <c r="R341" s="56" t="str">
        <f t="shared" si="72"/>
        <v/>
      </c>
      <c r="S341" s="56" t="str">
        <f t="shared" si="73"/>
        <v>Gq/11</v>
      </c>
      <c r="T341" s="56" t="str">
        <f t="shared" si="74"/>
        <v/>
      </c>
      <c r="U341" s="57">
        <f t="shared" si="75"/>
        <v>0</v>
      </c>
      <c r="V341" s="57">
        <f t="shared" si="76"/>
        <v>0</v>
      </c>
      <c r="W341" s="57">
        <f t="shared" si="77"/>
        <v>1</v>
      </c>
      <c r="X341" s="57">
        <f t="shared" si="78"/>
        <v>0</v>
      </c>
      <c r="Y341" s="57" t="str">
        <f t="shared" si="81"/>
        <v>nc</v>
      </c>
      <c r="Z341" s="56" t="str">
        <f t="shared" si="82"/>
        <v>nc</v>
      </c>
      <c r="AA341" s="56" t="str">
        <f t="shared" si="83"/>
        <v>c</v>
      </c>
      <c r="AB341" s="56" t="str">
        <f t="shared" si="84"/>
        <v>nc</v>
      </c>
      <c r="AC341" s="56">
        <f t="shared" si="79"/>
        <v>3</v>
      </c>
      <c r="AD341" s="54">
        <f t="shared" si="80"/>
        <v>1</v>
      </c>
    </row>
    <row r="342" spans="1:30">
      <c r="A342" s="54" t="s">
        <v>3475</v>
      </c>
      <c r="B342" s="54" t="s">
        <v>1472</v>
      </c>
      <c r="C342" s="54" t="str">
        <f>VLOOKUP(A342,RecNamesAll!A:C,3,FALSE)</f>
        <v>GPR31</v>
      </c>
      <c r="D342" s="60">
        <v>98</v>
      </c>
      <c r="E342" s="54" t="s">
        <v>3475</v>
      </c>
      <c r="G342" s="54" t="s">
        <v>3428</v>
      </c>
      <c r="H342" s="54" t="s">
        <v>3322</v>
      </c>
      <c r="I342" s="54" t="s">
        <v>3427</v>
      </c>
      <c r="J342" s="54" t="s">
        <v>2760</v>
      </c>
      <c r="N342" s="54">
        <v>21712392</v>
      </c>
      <c r="P342" s="59">
        <v>4.1666666666666664E-2</v>
      </c>
      <c r="Q342" s="57" t="str">
        <f t="shared" si="71"/>
        <v/>
      </c>
      <c r="R342" s="56" t="str">
        <f t="shared" si="72"/>
        <v>Gi/o</v>
      </c>
      <c r="S342" s="56" t="str">
        <f t="shared" si="73"/>
        <v/>
      </c>
      <c r="T342" s="56" t="str">
        <f t="shared" si="74"/>
        <v/>
      </c>
      <c r="U342" s="57">
        <f t="shared" si="75"/>
        <v>0</v>
      </c>
      <c r="V342" s="57">
        <f t="shared" si="76"/>
        <v>1</v>
      </c>
      <c r="W342" s="57">
        <f t="shared" si="77"/>
        <v>0</v>
      </c>
      <c r="X342" s="57">
        <f t="shared" si="78"/>
        <v>0</v>
      </c>
      <c r="Y342" s="57" t="str">
        <f t="shared" si="81"/>
        <v>nc</v>
      </c>
      <c r="Z342" s="56" t="str">
        <f t="shared" si="82"/>
        <v>c</v>
      </c>
      <c r="AA342" s="56" t="str">
        <f t="shared" si="83"/>
        <v>nc</v>
      </c>
      <c r="AB342" s="56" t="str">
        <f t="shared" si="84"/>
        <v>nc</v>
      </c>
      <c r="AC342" s="56">
        <f t="shared" si="79"/>
        <v>3</v>
      </c>
      <c r="AD342" s="54">
        <f t="shared" si="80"/>
        <v>1</v>
      </c>
    </row>
    <row r="343" spans="1:30">
      <c r="A343" s="54" t="s">
        <v>3473</v>
      </c>
      <c r="B343" s="54" t="s">
        <v>3474</v>
      </c>
      <c r="C343" s="54" t="str">
        <f>VLOOKUP(A343,RecNamesAll!A:C,3,FALSE)</f>
        <v>GPR33</v>
      </c>
      <c r="D343" s="60">
        <v>100</v>
      </c>
      <c r="E343" s="54" t="s">
        <v>3473</v>
      </c>
      <c r="G343" s="54" t="s">
        <v>3428</v>
      </c>
      <c r="H343" s="54" t="s">
        <v>3322</v>
      </c>
      <c r="I343" s="54" t="s">
        <v>3427</v>
      </c>
      <c r="J343" s="54" t="s">
        <v>2760</v>
      </c>
      <c r="L343" s="54" t="s">
        <v>3327</v>
      </c>
      <c r="N343" s="54" t="s">
        <v>3472</v>
      </c>
      <c r="P343" s="59">
        <v>0.125</v>
      </c>
      <c r="Q343" s="57" t="str">
        <f t="shared" si="71"/>
        <v/>
      </c>
      <c r="R343" s="56" t="str">
        <f t="shared" si="72"/>
        <v>Gi/o</v>
      </c>
      <c r="S343" s="56" t="str">
        <f t="shared" si="73"/>
        <v/>
      </c>
      <c r="T343" s="56" t="str">
        <f t="shared" si="74"/>
        <v/>
      </c>
      <c r="U343" s="57">
        <f t="shared" si="75"/>
        <v>0</v>
      </c>
      <c r="V343" s="57">
        <f t="shared" si="76"/>
        <v>1</v>
      </c>
      <c r="W343" s="57">
        <f t="shared" si="77"/>
        <v>0</v>
      </c>
      <c r="X343" s="57">
        <f t="shared" si="78"/>
        <v>0</v>
      </c>
      <c r="Y343" s="57" t="str">
        <f t="shared" si="81"/>
        <v>nc</v>
      </c>
      <c r="Z343" s="56" t="str">
        <f t="shared" si="82"/>
        <v>c</v>
      </c>
      <c r="AA343" s="56" t="str">
        <f t="shared" si="83"/>
        <v>nc</v>
      </c>
      <c r="AB343" s="56" t="str">
        <f t="shared" si="84"/>
        <v>nc</v>
      </c>
      <c r="AC343" s="56">
        <f t="shared" si="79"/>
        <v>3</v>
      </c>
      <c r="AD343" s="54">
        <f t="shared" si="80"/>
        <v>1</v>
      </c>
    </row>
    <row r="344" spans="1:30">
      <c r="A344" s="54" t="s">
        <v>89</v>
      </c>
      <c r="B344" s="54" t="s">
        <v>1481</v>
      </c>
      <c r="C344" s="54" t="str">
        <f>VLOOKUP(A344,RecNamesAll!A:C,3,FALSE)</f>
        <v>GPR34</v>
      </c>
      <c r="D344" s="60">
        <v>101</v>
      </c>
      <c r="E344" s="54" t="s">
        <v>89</v>
      </c>
      <c r="G344" s="54" t="s">
        <v>3428</v>
      </c>
      <c r="H344" s="54" t="s">
        <v>3322</v>
      </c>
      <c r="I344" s="54" t="s">
        <v>3427</v>
      </c>
      <c r="J344" s="54" t="s">
        <v>2760</v>
      </c>
      <c r="L344" s="54" t="s">
        <v>3286</v>
      </c>
      <c r="N344" s="54" t="s">
        <v>3471</v>
      </c>
      <c r="P344" s="59">
        <v>8.3333333333333329E-2</v>
      </c>
      <c r="Q344" s="57" t="str">
        <f t="shared" si="71"/>
        <v/>
      </c>
      <c r="R344" s="56" t="str">
        <f t="shared" si="72"/>
        <v>Gi/o</v>
      </c>
      <c r="S344" s="56" t="str">
        <f t="shared" si="73"/>
        <v/>
      </c>
      <c r="T344" s="56" t="str">
        <f t="shared" si="74"/>
        <v/>
      </c>
      <c r="U344" s="57">
        <f t="shared" si="75"/>
        <v>0</v>
      </c>
      <c r="V344" s="57">
        <f t="shared" si="76"/>
        <v>1</v>
      </c>
      <c r="W344" s="57">
        <f t="shared" si="77"/>
        <v>0</v>
      </c>
      <c r="X344" s="57">
        <f t="shared" si="78"/>
        <v>0</v>
      </c>
      <c r="Y344" s="57" t="str">
        <f t="shared" si="81"/>
        <v>nc</v>
      </c>
      <c r="Z344" s="56" t="str">
        <f t="shared" si="82"/>
        <v>c</v>
      </c>
      <c r="AA344" s="56" t="str">
        <f t="shared" si="83"/>
        <v>nc</v>
      </c>
      <c r="AB344" s="56" t="str">
        <f t="shared" si="84"/>
        <v>nc</v>
      </c>
      <c r="AC344" s="56">
        <f t="shared" si="79"/>
        <v>3</v>
      </c>
      <c r="AD344" s="54">
        <f t="shared" si="80"/>
        <v>1</v>
      </c>
    </row>
    <row r="345" spans="1:30">
      <c r="A345" s="54" t="s">
        <v>3470</v>
      </c>
      <c r="B345" s="54" t="s">
        <v>1495</v>
      </c>
      <c r="C345" s="54" t="str">
        <f>VLOOKUP(A345,RecNamesAll!A:C,3,FALSE)</f>
        <v>GPR37</v>
      </c>
      <c r="D345" s="60">
        <v>103</v>
      </c>
      <c r="E345" s="54" t="s">
        <v>3470</v>
      </c>
      <c r="G345" s="54" t="s">
        <v>3428</v>
      </c>
      <c r="H345" s="54" t="s">
        <v>3322</v>
      </c>
      <c r="I345" s="54" t="s">
        <v>3427</v>
      </c>
      <c r="J345" s="54" t="s">
        <v>2760</v>
      </c>
      <c r="L345" s="54" t="s">
        <v>3327</v>
      </c>
      <c r="N345" s="54">
        <v>16443751</v>
      </c>
      <c r="P345" s="59">
        <v>4.1666666666666664E-2</v>
      </c>
      <c r="Q345" s="57" t="str">
        <f t="shared" si="71"/>
        <v/>
      </c>
      <c r="R345" s="56" t="str">
        <f t="shared" si="72"/>
        <v>Gi/o</v>
      </c>
      <c r="S345" s="56" t="str">
        <f t="shared" si="73"/>
        <v/>
      </c>
      <c r="T345" s="56" t="str">
        <f t="shared" si="74"/>
        <v/>
      </c>
      <c r="U345" s="57">
        <f t="shared" si="75"/>
        <v>0</v>
      </c>
      <c r="V345" s="57">
        <f t="shared" si="76"/>
        <v>1</v>
      </c>
      <c r="W345" s="57">
        <f t="shared" si="77"/>
        <v>0</v>
      </c>
      <c r="X345" s="57">
        <f t="shared" si="78"/>
        <v>0</v>
      </c>
      <c r="Y345" s="57" t="str">
        <f t="shared" si="81"/>
        <v>nc</v>
      </c>
      <c r="Z345" s="56" t="str">
        <f t="shared" si="82"/>
        <v>c</v>
      </c>
      <c r="AA345" s="56" t="str">
        <f t="shared" si="83"/>
        <v>nc</v>
      </c>
      <c r="AB345" s="56" t="str">
        <f t="shared" si="84"/>
        <v>nc</v>
      </c>
      <c r="AC345" s="56">
        <f t="shared" si="79"/>
        <v>3</v>
      </c>
      <c r="AD345" s="54">
        <f t="shared" si="80"/>
        <v>1</v>
      </c>
    </row>
    <row r="346" spans="1:30">
      <c r="A346" s="54" t="s">
        <v>3469</v>
      </c>
      <c r="B346" s="54" t="s">
        <v>1198</v>
      </c>
      <c r="C346" s="54" t="str">
        <f>VLOOKUP(A346,RecNamesAll!A:C,3,FALSE)</f>
        <v>GPR37L1</v>
      </c>
      <c r="D346" s="60">
        <v>104</v>
      </c>
      <c r="E346" s="54" t="s">
        <v>3468</v>
      </c>
      <c r="F346" s="54" t="s">
        <v>3467</v>
      </c>
      <c r="G346" s="54" t="s">
        <v>3428</v>
      </c>
      <c r="H346" s="54" t="s">
        <v>3322</v>
      </c>
      <c r="I346" s="54" t="s">
        <v>3427</v>
      </c>
      <c r="J346" s="54" t="s">
        <v>2760</v>
      </c>
      <c r="L346" s="54" t="s">
        <v>3327</v>
      </c>
      <c r="Q346" s="57" t="str">
        <f t="shared" si="71"/>
        <v/>
      </c>
      <c r="R346" s="56" t="str">
        <f t="shared" si="72"/>
        <v>Gi/o</v>
      </c>
      <c r="S346" s="56" t="str">
        <f t="shared" si="73"/>
        <v/>
      </c>
      <c r="T346" s="56" t="str">
        <f t="shared" si="74"/>
        <v/>
      </c>
      <c r="U346" s="57">
        <f t="shared" si="75"/>
        <v>0</v>
      </c>
      <c r="V346" s="57">
        <f t="shared" si="76"/>
        <v>1</v>
      </c>
      <c r="W346" s="57">
        <f t="shared" si="77"/>
        <v>0</v>
      </c>
      <c r="X346" s="57">
        <f t="shared" si="78"/>
        <v>0</v>
      </c>
      <c r="Y346" s="57" t="str">
        <f t="shared" si="81"/>
        <v>nc</v>
      </c>
      <c r="Z346" s="56" t="str">
        <f t="shared" si="82"/>
        <v>c</v>
      </c>
      <c r="AA346" s="56" t="str">
        <f t="shared" si="83"/>
        <v>nc</v>
      </c>
      <c r="AB346" s="56" t="str">
        <f t="shared" si="84"/>
        <v>nc</v>
      </c>
      <c r="AC346" s="56">
        <f t="shared" si="79"/>
        <v>3</v>
      </c>
      <c r="AD346" s="54">
        <f t="shared" si="80"/>
        <v>1</v>
      </c>
    </row>
    <row r="347" spans="1:30">
      <c r="A347" s="54" t="s">
        <v>91</v>
      </c>
      <c r="B347" s="54" t="s">
        <v>290</v>
      </c>
      <c r="C347" s="54" t="str">
        <f>VLOOKUP(A347,RecNamesAll!A:C,3,FALSE)</f>
        <v>GPR39</v>
      </c>
      <c r="D347" s="60">
        <v>105</v>
      </c>
      <c r="E347" s="54" t="s">
        <v>91</v>
      </c>
      <c r="G347" s="54" t="s">
        <v>3428</v>
      </c>
      <c r="H347" s="54" t="s">
        <v>3322</v>
      </c>
      <c r="I347" s="54" t="s">
        <v>3427</v>
      </c>
      <c r="J347" s="54" t="s">
        <v>2759</v>
      </c>
      <c r="K347" s="54" t="s">
        <v>3466</v>
      </c>
      <c r="L347" s="54" t="s">
        <v>3320</v>
      </c>
      <c r="M347" s="54" t="s">
        <v>3369</v>
      </c>
      <c r="N347" s="54">
        <v>15383539</v>
      </c>
      <c r="O347" s="54">
        <v>15383539</v>
      </c>
      <c r="P347" s="59">
        <v>4.1666666666666664E-2</v>
      </c>
      <c r="Q347" s="57" t="str">
        <f t="shared" si="71"/>
        <v>Gs</v>
      </c>
      <c r="R347" s="56" t="str">
        <f t="shared" si="72"/>
        <v/>
      </c>
      <c r="S347" s="56" t="str">
        <f t="shared" si="73"/>
        <v>Gq/11</v>
      </c>
      <c r="T347" s="56" t="str">
        <f t="shared" si="74"/>
        <v>G12/13</v>
      </c>
      <c r="U347" s="57">
        <f t="shared" si="75"/>
        <v>2</v>
      </c>
      <c r="V347" s="57">
        <f t="shared" si="76"/>
        <v>0</v>
      </c>
      <c r="W347" s="57">
        <f t="shared" si="77"/>
        <v>1</v>
      </c>
      <c r="X347" s="57">
        <f t="shared" si="78"/>
        <v>2</v>
      </c>
      <c r="Y347" s="57" t="str">
        <f t="shared" si="81"/>
        <v>c</v>
      </c>
      <c r="Z347" s="56" t="str">
        <f t="shared" si="82"/>
        <v>nc</v>
      </c>
      <c r="AA347" s="56" t="str">
        <f t="shared" si="83"/>
        <v>c</v>
      </c>
      <c r="AB347" s="56" t="str">
        <f t="shared" si="84"/>
        <v>c</v>
      </c>
      <c r="AC347" s="56">
        <f t="shared" si="79"/>
        <v>1</v>
      </c>
      <c r="AD347" s="54">
        <f t="shared" si="80"/>
        <v>1</v>
      </c>
    </row>
    <row r="348" spans="1:30">
      <c r="A348" s="54" t="s">
        <v>102</v>
      </c>
      <c r="B348" s="54" t="s">
        <v>3465</v>
      </c>
      <c r="C348" s="54" t="str">
        <f>VLOOKUP(A348,RecNamesAll!A:C,3,FALSE)</f>
        <v>GPR65</v>
      </c>
      <c r="D348" s="60">
        <v>113</v>
      </c>
      <c r="E348" s="54" t="s">
        <v>102</v>
      </c>
      <c r="F348" s="54" t="s">
        <v>3464</v>
      </c>
      <c r="G348" s="54" t="s">
        <v>3428</v>
      </c>
      <c r="H348" s="54" t="s">
        <v>3322</v>
      </c>
      <c r="I348" s="54" t="s">
        <v>3427</v>
      </c>
      <c r="J348" s="54" t="s">
        <v>2761</v>
      </c>
      <c r="L348" s="54" t="s">
        <v>3369</v>
      </c>
      <c r="N348" s="54" t="s">
        <v>3463</v>
      </c>
      <c r="P348" s="59">
        <v>0.16666666666666666</v>
      </c>
      <c r="Q348" s="57" t="str">
        <f t="shared" si="71"/>
        <v>Gs</v>
      </c>
      <c r="R348" s="56" t="str">
        <f t="shared" si="72"/>
        <v/>
      </c>
      <c r="S348" s="56" t="str">
        <f t="shared" si="73"/>
        <v/>
      </c>
      <c r="T348" s="56" t="str">
        <f t="shared" si="74"/>
        <v/>
      </c>
      <c r="U348" s="57">
        <f t="shared" si="75"/>
        <v>1</v>
      </c>
      <c r="V348" s="57">
        <f t="shared" si="76"/>
        <v>0</v>
      </c>
      <c r="W348" s="57">
        <f t="shared" si="77"/>
        <v>0</v>
      </c>
      <c r="X348" s="57">
        <f t="shared" si="78"/>
        <v>0</v>
      </c>
      <c r="Y348" s="57" t="str">
        <f t="shared" si="81"/>
        <v>c</v>
      </c>
      <c r="Z348" s="56" t="str">
        <f t="shared" si="82"/>
        <v>nc</v>
      </c>
      <c r="AA348" s="56" t="str">
        <f t="shared" si="83"/>
        <v>nc</v>
      </c>
      <c r="AB348" s="56" t="str">
        <f t="shared" si="84"/>
        <v>nc</v>
      </c>
      <c r="AC348" s="56">
        <f t="shared" si="79"/>
        <v>3</v>
      </c>
      <c r="AD348" s="54">
        <f t="shared" si="80"/>
        <v>1</v>
      </c>
    </row>
    <row r="349" spans="1:30">
      <c r="A349" s="54" t="s">
        <v>99</v>
      </c>
      <c r="B349" s="54" t="s">
        <v>3462</v>
      </c>
      <c r="C349" s="54" t="str">
        <f>VLOOKUP(A349,RecNamesAll!A:C,3,FALSE)</f>
        <v>GPR68</v>
      </c>
      <c r="D349" s="60">
        <v>114</v>
      </c>
      <c r="E349" s="54" t="s">
        <v>99</v>
      </c>
      <c r="F349" s="54" t="s">
        <v>98</v>
      </c>
      <c r="G349" s="54" t="s">
        <v>3428</v>
      </c>
      <c r="H349" s="54" t="s">
        <v>3322</v>
      </c>
      <c r="I349" s="54" t="s">
        <v>3427</v>
      </c>
      <c r="J349" s="54" t="s">
        <v>3314</v>
      </c>
      <c r="L349" s="54" t="s">
        <v>3438</v>
      </c>
      <c r="N349" s="54" t="s">
        <v>3461</v>
      </c>
      <c r="P349" s="59">
        <v>0.16666666666666666</v>
      </c>
      <c r="Q349" s="57" t="str">
        <f t="shared" si="71"/>
        <v/>
      </c>
      <c r="R349" s="56" t="str">
        <f t="shared" si="72"/>
        <v>Gi/o</v>
      </c>
      <c r="S349" s="56" t="str">
        <f t="shared" si="73"/>
        <v>Gq/11</v>
      </c>
      <c r="T349" s="56" t="str">
        <f t="shared" si="74"/>
        <v/>
      </c>
      <c r="U349" s="57">
        <f t="shared" si="75"/>
        <v>0</v>
      </c>
      <c r="V349" s="57">
        <f t="shared" si="76"/>
        <v>1</v>
      </c>
      <c r="W349" s="57">
        <f t="shared" si="77"/>
        <v>1</v>
      </c>
      <c r="X349" s="57">
        <f t="shared" si="78"/>
        <v>0</v>
      </c>
      <c r="Y349" s="57" t="str">
        <f t="shared" si="81"/>
        <v>nc</v>
      </c>
      <c r="Z349" s="56" t="str">
        <f t="shared" si="82"/>
        <v>c</v>
      </c>
      <c r="AA349" s="56" t="str">
        <f t="shared" si="83"/>
        <v>c</v>
      </c>
      <c r="AB349" s="56" t="str">
        <f t="shared" si="84"/>
        <v>nc</v>
      </c>
      <c r="AC349" s="56">
        <f t="shared" si="79"/>
        <v>2</v>
      </c>
      <c r="AD349" s="54">
        <f t="shared" si="80"/>
        <v>1</v>
      </c>
    </row>
    <row r="350" spans="1:30">
      <c r="A350" s="54" t="s">
        <v>3460</v>
      </c>
      <c r="B350" s="54" t="s">
        <v>1524</v>
      </c>
      <c r="C350" s="54" t="str">
        <f>VLOOKUP(A350,RecNamesAll!A:C,3,FALSE)</f>
        <v>GPR75</v>
      </c>
      <c r="D350" s="60">
        <v>115</v>
      </c>
      <c r="E350" s="54" t="s">
        <v>3460</v>
      </c>
      <c r="G350" s="54" t="s">
        <v>3428</v>
      </c>
      <c r="H350" s="54" t="s">
        <v>3322</v>
      </c>
      <c r="I350" s="54" t="s">
        <v>3427</v>
      </c>
      <c r="J350" s="54" t="s">
        <v>2759</v>
      </c>
      <c r="L350" s="54" t="s">
        <v>3320</v>
      </c>
      <c r="N350" s="54">
        <v>17001303</v>
      </c>
      <c r="P350" s="59">
        <v>4.1666666666666664E-2</v>
      </c>
      <c r="Q350" s="57" t="str">
        <f t="shared" si="71"/>
        <v/>
      </c>
      <c r="R350" s="56" t="str">
        <f t="shared" si="72"/>
        <v/>
      </c>
      <c r="S350" s="56" t="str">
        <f t="shared" si="73"/>
        <v>Gq/11</v>
      </c>
      <c r="T350" s="56" t="str">
        <f t="shared" si="74"/>
        <v/>
      </c>
      <c r="U350" s="57">
        <f t="shared" si="75"/>
        <v>0</v>
      </c>
      <c r="V350" s="57">
        <f t="shared" si="76"/>
        <v>0</v>
      </c>
      <c r="W350" s="57">
        <f t="shared" si="77"/>
        <v>1</v>
      </c>
      <c r="X350" s="57">
        <f t="shared" si="78"/>
        <v>0</v>
      </c>
      <c r="Y350" s="57" t="str">
        <f t="shared" si="81"/>
        <v>nc</v>
      </c>
      <c r="Z350" s="56" t="str">
        <f t="shared" si="82"/>
        <v>nc</v>
      </c>
      <c r="AA350" s="56" t="str">
        <f t="shared" si="83"/>
        <v>c</v>
      </c>
      <c r="AB350" s="56" t="str">
        <f t="shared" si="84"/>
        <v>nc</v>
      </c>
      <c r="AC350" s="56">
        <f t="shared" si="79"/>
        <v>3</v>
      </c>
      <c r="AD350" s="54">
        <f t="shared" si="80"/>
        <v>1</v>
      </c>
    </row>
    <row r="351" spans="1:30">
      <c r="A351" s="54" t="s">
        <v>3458</v>
      </c>
      <c r="B351" s="54" t="s">
        <v>3459</v>
      </c>
      <c r="C351" s="54" t="str">
        <f>VLOOKUP(A351,RecNamesAll!A:C,3,FALSE)</f>
        <v>GPR78</v>
      </c>
      <c r="D351" s="60">
        <v>116</v>
      </c>
      <c r="E351" s="54" t="s">
        <v>3458</v>
      </c>
      <c r="F351" s="54" t="s">
        <v>3457</v>
      </c>
      <c r="G351" s="54" t="s">
        <v>3428</v>
      </c>
      <c r="H351" s="54" t="s">
        <v>3322</v>
      </c>
      <c r="I351" s="54" t="s">
        <v>3427</v>
      </c>
      <c r="J351" s="54" t="s">
        <v>2761</v>
      </c>
      <c r="L351" s="54" t="s">
        <v>3369</v>
      </c>
      <c r="N351" s="54">
        <v>17363172</v>
      </c>
      <c r="P351" s="59">
        <v>4.1666666666666664E-2</v>
      </c>
      <c r="Q351" s="57" t="str">
        <f t="shared" si="71"/>
        <v>Gs</v>
      </c>
      <c r="R351" s="56" t="str">
        <f t="shared" si="72"/>
        <v/>
      </c>
      <c r="S351" s="56" t="str">
        <f t="shared" si="73"/>
        <v/>
      </c>
      <c r="T351" s="56" t="str">
        <f t="shared" si="74"/>
        <v/>
      </c>
      <c r="U351" s="57">
        <f t="shared" si="75"/>
        <v>1</v>
      </c>
      <c r="V351" s="57">
        <f t="shared" si="76"/>
        <v>0</v>
      </c>
      <c r="W351" s="57">
        <f t="shared" si="77"/>
        <v>0</v>
      </c>
      <c r="X351" s="57">
        <f t="shared" si="78"/>
        <v>0</v>
      </c>
      <c r="Y351" s="57" t="str">
        <f t="shared" si="81"/>
        <v>c</v>
      </c>
      <c r="Z351" s="56" t="str">
        <f t="shared" si="82"/>
        <v>nc</v>
      </c>
      <c r="AA351" s="56" t="str">
        <f t="shared" si="83"/>
        <v>nc</v>
      </c>
      <c r="AB351" s="56" t="str">
        <f t="shared" si="84"/>
        <v>nc</v>
      </c>
      <c r="AC351" s="56">
        <f t="shared" si="79"/>
        <v>3</v>
      </c>
      <c r="AD351" s="54">
        <f t="shared" si="80"/>
        <v>1</v>
      </c>
    </row>
    <row r="352" spans="1:30">
      <c r="A352" s="54" t="s">
        <v>93</v>
      </c>
      <c r="B352" s="54" t="s">
        <v>3456</v>
      </c>
      <c r="C352" s="54" t="str">
        <f>VLOOKUP(A352,RecNamesAll!A:C,3,FALSE)</f>
        <v>GPR84</v>
      </c>
      <c r="D352" s="60">
        <v>120</v>
      </c>
      <c r="E352" s="54" t="s">
        <v>93</v>
      </c>
      <c r="F352" s="54" t="s">
        <v>3455</v>
      </c>
      <c r="G352" s="54" t="s">
        <v>3428</v>
      </c>
      <c r="H352" s="54" t="s">
        <v>3322</v>
      </c>
      <c r="I352" s="54" t="s">
        <v>3427</v>
      </c>
      <c r="J352" s="54" t="s">
        <v>2760</v>
      </c>
      <c r="N352" s="54">
        <v>16966319</v>
      </c>
      <c r="P352" s="59">
        <v>4.1666666666666664E-2</v>
      </c>
      <c r="Q352" s="57" t="str">
        <f t="shared" si="71"/>
        <v/>
      </c>
      <c r="R352" s="56" t="str">
        <f t="shared" si="72"/>
        <v>Gi/o</v>
      </c>
      <c r="S352" s="56" t="str">
        <f t="shared" si="73"/>
        <v/>
      </c>
      <c r="T352" s="56" t="str">
        <f t="shared" si="74"/>
        <v/>
      </c>
      <c r="U352" s="57">
        <f t="shared" si="75"/>
        <v>0</v>
      </c>
      <c r="V352" s="57">
        <f t="shared" si="76"/>
        <v>1</v>
      </c>
      <c r="W352" s="57">
        <f t="shared" si="77"/>
        <v>0</v>
      </c>
      <c r="X352" s="57">
        <f t="shared" si="78"/>
        <v>0</v>
      </c>
      <c r="Y352" s="57" t="str">
        <f t="shared" si="81"/>
        <v>nc</v>
      </c>
      <c r="Z352" s="56" t="str">
        <f t="shared" si="82"/>
        <v>c</v>
      </c>
      <c r="AA352" s="56" t="str">
        <f t="shared" si="83"/>
        <v>nc</v>
      </c>
      <c r="AB352" s="56" t="str">
        <f t="shared" si="84"/>
        <v>nc</v>
      </c>
      <c r="AC352" s="56">
        <f t="shared" si="79"/>
        <v>3</v>
      </c>
      <c r="AD352" s="54">
        <f t="shared" si="80"/>
        <v>1</v>
      </c>
    </row>
    <row r="353" spans="1:30">
      <c r="A353" s="54" t="s">
        <v>3454</v>
      </c>
      <c r="B353" s="54" t="s">
        <v>3453</v>
      </c>
      <c r="C353" s="54" t="str">
        <f>VLOOKUP(A353,RecNamesAll!A:C,3,FALSE)</f>
        <v>GPR101</v>
      </c>
      <c r="D353" s="60">
        <v>125</v>
      </c>
      <c r="E353" s="54" t="s">
        <v>3452</v>
      </c>
      <c r="G353" s="54" t="s">
        <v>3428</v>
      </c>
      <c r="H353" s="54" t="s">
        <v>3322</v>
      </c>
      <c r="I353" s="54" t="s">
        <v>3427</v>
      </c>
      <c r="J353" s="54" t="s">
        <v>2761</v>
      </c>
      <c r="L353" s="54" t="s">
        <v>3369</v>
      </c>
      <c r="N353" s="54">
        <v>16647048</v>
      </c>
      <c r="P353" s="59">
        <v>4.1666666666666664E-2</v>
      </c>
      <c r="Q353" s="57" t="str">
        <f t="shared" si="71"/>
        <v>Gs</v>
      </c>
      <c r="R353" s="56" t="str">
        <f t="shared" si="72"/>
        <v/>
      </c>
      <c r="S353" s="56" t="str">
        <f t="shared" si="73"/>
        <v/>
      </c>
      <c r="T353" s="56" t="str">
        <f t="shared" si="74"/>
        <v/>
      </c>
      <c r="U353" s="57">
        <f t="shared" si="75"/>
        <v>1</v>
      </c>
      <c r="V353" s="57">
        <f t="shared" si="76"/>
        <v>0</v>
      </c>
      <c r="W353" s="57">
        <f t="shared" si="77"/>
        <v>0</v>
      </c>
      <c r="X353" s="57">
        <f t="shared" si="78"/>
        <v>0</v>
      </c>
      <c r="Y353" s="57" t="str">
        <f t="shared" si="81"/>
        <v>c</v>
      </c>
      <c r="Z353" s="56" t="str">
        <f t="shared" si="82"/>
        <v>nc</v>
      </c>
      <c r="AA353" s="56" t="str">
        <f t="shared" si="83"/>
        <v>nc</v>
      </c>
      <c r="AB353" s="56" t="str">
        <f t="shared" si="84"/>
        <v>nc</v>
      </c>
      <c r="AC353" s="56">
        <f t="shared" si="79"/>
        <v>3</v>
      </c>
      <c r="AD353" s="54">
        <f t="shared" si="80"/>
        <v>1</v>
      </c>
    </row>
    <row r="354" spans="1:30">
      <c r="A354" s="54" t="s">
        <v>3451</v>
      </c>
      <c r="B354" s="54" t="s">
        <v>1298</v>
      </c>
      <c r="C354" s="54" t="str">
        <f>VLOOKUP(A354,RecNamesAll!A:C,3,FALSE)</f>
        <v>GPR139</v>
      </c>
      <c r="D354" s="60">
        <v>130</v>
      </c>
      <c r="E354" s="54" t="s">
        <v>3450</v>
      </c>
      <c r="F354" s="54" t="s">
        <v>3449</v>
      </c>
      <c r="G354" s="54" t="s">
        <v>3428</v>
      </c>
      <c r="H354" s="54" t="s">
        <v>3322</v>
      </c>
      <c r="I354" s="54" t="s">
        <v>3427</v>
      </c>
      <c r="J354" s="54" t="s">
        <v>2759</v>
      </c>
      <c r="L354" s="54" t="s">
        <v>3298</v>
      </c>
      <c r="N354" s="54">
        <v>15845401</v>
      </c>
      <c r="P354" s="59">
        <v>4.1666666666666664E-2</v>
      </c>
      <c r="Q354" s="57" t="str">
        <f t="shared" si="71"/>
        <v/>
      </c>
      <c r="R354" s="56" t="str">
        <f t="shared" si="72"/>
        <v/>
      </c>
      <c r="S354" s="56" t="str">
        <f t="shared" si="73"/>
        <v>Gq/11</v>
      </c>
      <c r="T354" s="56" t="str">
        <f t="shared" si="74"/>
        <v/>
      </c>
      <c r="U354" s="57">
        <f t="shared" si="75"/>
        <v>0</v>
      </c>
      <c r="V354" s="57">
        <f t="shared" si="76"/>
        <v>0</v>
      </c>
      <c r="W354" s="57">
        <f t="shared" si="77"/>
        <v>1</v>
      </c>
      <c r="X354" s="57">
        <f t="shared" si="78"/>
        <v>0</v>
      </c>
      <c r="Y354" s="57" t="str">
        <f t="shared" si="81"/>
        <v>nc</v>
      </c>
      <c r="Z354" s="56" t="str">
        <f t="shared" si="82"/>
        <v>nc</v>
      </c>
      <c r="AA354" s="56" t="str">
        <f t="shared" si="83"/>
        <v>c</v>
      </c>
      <c r="AB354" s="56" t="str">
        <f t="shared" si="84"/>
        <v>nc</v>
      </c>
      <c r="AC354" s="56">
        <f t="shared" si="79"/>
        <v>3</v>
      </c>
      <c r="AD354" s="54">
        <f t="shared" si="80"/>
        <v>1</v>
      </c>
    </row>
    <row r="355" spans="1:30">
      <c r="A355" s="54" t="s">
        <v>86</v>
      </c>
      <c r="B355" s="54" t="s">
        <v>289</v>
      </c>
      <c r="C355" s="54" t="str">
        <f>VLOOKUP(A355,RecNamesAll!A:C,3,FALSE)</f>
        <v>GPR183</v>
      </c>
      <c r="D355" s="60">
        <v>81</v>
      </c>
      <c r="E355" s="54" t="s">
        <v>87</v>
      </c>
      <c r="F355" s="54" t="s">
        <v>3448</v>
      </c>
      <c r="G355" s="54" t="s">
        <v>3428</v>
      </c>
      <c r="H355" s="54" t="s">
        <v>3322</v>
      </c>
      <c r="I355" s="54" t="s">
        <v>3427</v>
      </c>
      <c r="J355" s="54" t="s">
        <v>2760</v>
      </c>
      <c r="L355" s="54" t="s">
        <v>3327</v>
      </c>
      <c r="N355" s="54" t="s">
        <v>3447</v>
      </c>
      <c r="P355" s="59">
        <v>0.16666666666666666</v>
      </c>
      <c r="Q355" s="57" t="str">
        <f t="shared" si="71"/>
        <v/>
      </c>
      <c r="R355" s="56" t="str">
        <f t="shared" si="72"/>
        <v>Gi/o</v>
      </c>
      <c r="S355" s="56" t="str">
        <f t="shared" si="73"/>
        <v/>
      </c>
      <c r="T355" s="56" t="str">
        <f t="shared" si="74"/>
        <v/>
      </c>
      <c r="U355" s="57">
        <f t="shared" si="75"/>
        <v>0</v>
      </c>
      <c r="V355" s="57">
        <f t="shared" si="76"/>
        <v>1</v>
      </c>
      <c r="W355" s="57">
        <f t="shared" si="77"/>
        <v>0</v>
      </c>
      <c r="X355" s="57">
        <f t="shared" si="78"/>
        <v>0</v>
      </c>
      <c r="Y355" s="57" t="str">
        <f t="shared" si="81"/>
        <v>nc</v>
      </c>
      <c r="Z355" s="56" t="str">
        <f t="shared" si="82"/>
        <v>c</v>
      </c>
      <c r="AA355" s="56" t="str">
        <f t="shared" si="83"/>
        <v>nc</v>
      </c>
      <c r="AB355" s="56" t="str">
        <f t="shared" si="84"/>
        <v>nc</v>
      </c>
      <c r="AC355" s="56">
        <f t="shared" si="79"/>
        <v>3</v>
      </c>
      <c r="AD355" s="54">
        <f t="shared" si="80"/>
        <v>1</v>
      </c>
    </row>
    <row r="356" spans="1:30">
      <c r="A356" s="54" t="s">
        <v>3444</v>
      </c>
      <c r="B356" s="54" t="s">
        <v>3446</v>
      </c>
      <c r="C356" s="54" t="str">
        <f>VLOOKUP(A356,RecNamesAll!A:C,3,FALSE)</f>
        <v>MAS1</v>
      </c>
      <c r="D356" s="60">
        <v>150</v>
      </c>
      <c r="E356" s="54" t="s">
        <v>3445</v>
      </c>
      <c r="F356" s="54" t="s">
        <v>3444</v>
      </c>
      <c r="G356" s="54" t="s">
        <v>3428</v>
      </c>
      <c r="H356" s="54" t="s">
        <v>3322</v>
      </c>
      <c r="I356" s="54" t="s">
        <v>3427</v>
      </c>
      <c r="J356" s="54" t="s">
        <v>3314</v>
      </c>
      <c r="L356" s="54" t="s">
        <v>3313</v>
      </c>
      <c r="N356" s="54">
        <v>22003054</v>
      </c>
      <c r="P356" s="59">
        <v>4.1666666666666664E-2</v>
      </c>
      <c r="Q356" s="57" t="str">
        <f t="shared" si="71"/>
        <v/>
      </c>
      <c r="R356" s="56" t="str">
        <f t="shared" si="72"/>
        <v>Gi/o</v>
      </c>
      <c r="S356" s="56" t="str">
        <f t="shared" si="73"/>
        <v>Gq/11</v>
      </c>
      <c r="T356" s="56" t="str">
        <f t="shared" si="74"/>
        <v/>
      </c>
      <c r="U356" s="57">
        <f t="shared" si="75"/>
        <v>0</v>
      </c>
      <c r="V356" s="57">
        <f t="shared" si="76"/>
        <v>1</v>
      </c>
      <c r="W356" s="57">
        <f t="shared" si="77"/>
        <v>1</v>
      </c>
      <c r="X356" s="57">
        <f t="shared" si="78"/>
        <v>0</v>
      </c>
      <c r="Y356" s="57" t="str">
        <f t="shared" si="81"/>
        <v>nc</v>
      </c>
      <c r="Z356" s="56" t="str">
        <f t="shared" si="82"/>
        <v>c</v>
      </c>
      <c r="AA356" s="56" t="str">
        <f t="shared" si="83"/>
        <v>c</v>
      </c>
      <c r="AB356" s="56" t="str">
        <f t="shared" si="84"/>
        <v>nc</v>
      </c>
      <c r="AC356" s="56">
        <f t="shared" si="79"/>
        <v>2</v>
      </c>
      <c r="AD356" s="54">
        <f t="shared" si="80"/>
        <v>1</v>
      </c>
    </row>
    <row r="357" spans="1:30">
      <c r="A357" s="54" t="s">
        <v>3443</v>
      </c>
      <c r="B357" s="54" t="s">
        <v>1723</v>
      </c>
      <c r="C357" s="54" t="str">
        <f>VLOOKUP(A357,RecNamesAll!A:C,3,FALSE)</f>
        <v>MRGPRD</v>
      </c>
      <c r="D357" s="60">
        <v>152</v>
      </c>
      <c r="E357" s="54" t="s">
        <v>3442</v>
      </c>
      <c r="F357" s="54" t="s">
        <v>3441</v>
      </c>
      <c r="G357" s="54" t="s">
        <v>3428</v>
      </c>
      <c r="H357" s="54" t="s">
        <v>3322</v>
      </c>
      <c r="I357" s="54" t="s">
        <v>3427</v>
      </c>
      <c r="J357" s="54" t="s">
        <v>3314</v>
      </c>
      <c r="L357" s="54" t="s">
        <v>3438</v>
      </c>
      <c r="N357" s="54" t="s">
        <v>3440</v>
      </c>
      <c r="P357" s="59">
        <v>8.3333333333333329E-2</v>
      </c>
      <c r="Q357" s="57" t="str">
        <f t="shared" si="71"/>
        <v/>
      </c>
      <c r="R357" s="56" t="str">
        <f t="shared" si="72"/>
        <v>Gi/o</v>
      </c>
      <c r="S357" s="56" t="str">
        <f t="shared" si="73"/>
        <v>Gq/11</v>
      </c>
      <c r="T357" s="56" t="str">
        <f t="shared" si="74"/>
        <v/>
      </c>
      <c r="U357" s="57">
        <f t="shared" si="75"/>
        <v>0</v>
      </c>
      <c r="V357" s="57">
        <f t="shared" si="76"/>
        <v>1</v>
      </c>
      <c r="W357" s="57">
        <f t="shared" si="77"/>
        <v>1</v>
      </c>
      <c r="X357" s="57">
        <f t="shared" si="78"/>
        <v>0</v>
      </c>
      <c r="Y357" s="57" t="str">
        <f t="shared" si="81"/>
        <v>nc</v>
      </c>
      <c r="Z357" s="56" t="str">
        <f t="shared" si="82"/>
        <v>c</v>
      </c>
      <c r="AA357" s="56" t="str">
        <f t="shared" si="83"/>
        <v>c</v>
      </c>
      <c r="AB357" s="56" t="str">
        <f t="shared" si="84"/>
        <v>nc</v>
      </c>
      <c r="AC357" s="56">
        <f t="shared" si="79"/>
        <v>2</v>
      </c>
      <c r="AD357" s="54">
        <f t="shared" si="80"/>
        <v>1</v>
      </c>
    </row>
    <row r="358" spans="1:30">
      <c r="A358" s="54" t="s">
        <v>94</v>
      </c>
      <c r="B358" s="54" t="s">
        <v>1729</v>
      </c>
      <c r="C358" s="54" t="str">
        <f>VLOOKUP(A358,RecNamesAll!A:C,3,FALSE)</f>
        <v>MRGPRX1</v>
      </c>
      <c r="D358" s="60">
        <v>156</v>
      </c>
      <c r="E358" s="54" t="s">
        <v>95</v>
      </c>
      <c r="F358" s="54" t="s">
        <v>3439</v>
      </c>
      <c r="G358" s="54" t="s">
        <v>3428</v>
      </c>
      <c r="H358" s="54" t="s">
        <v>3322</v>
      </c>
      <c r="I358" s="54" t="s">
        <v>3427</v>
      </c>
      <c r="J358" s="54" t="s">
        <v>2759</v>
      </c>
      <c r="L358" s="54" t="s">
        <v>3320</v>
      </c>
      <c r="N358" s="54">
        <v>12397184</v>
      </c>
      <c r="P358" s="59">
        <v>4.1666666666666664E-2</v>
      </c>
      <c r="Q358" s="57" t="str">
        <f t="shared" si="71"/>
        <v/>
      </c>
      <c r="R358" s="56" t="str">
        <f t="shared" si="72"/>
        <v/>
      </c>
      <c r="S358" s="56" t="str">
        <f t="shared" si="73"/>
        <v>Gq/11</v>
      </c>
      <c r="T358" s="56" t="str">
        <f t="shared" si="74"/>
        <v/>
      </c>
      <c r="U358" s="57">
        <f t="shared" si="75"/>
        <v>0</v>
      </c>
      <c r="V358" s="57">
        <f t="shared" si="76"/>
        <v>0</v>
      </c>
      <c r="W358" s="57">
        <f t="shared" si="77"/>
        <v>1</v>
      </c>
      <c r="X358" s="57">
        <f t="shared" si="78"/>
        <v>0</v>
      </c>
      <c r="Y358" s="57" t="str">
        <f t="shared" si="81"/>
        <v>nc</v>
      </c>
      <c r="Z358" s="56" t="str">
        <f t="shared" si="82"/>
        <v>nc</v>
      </c>
      <c r="AA358" s="56" t="str">
        <f t="shared" si="83"/>
        <v>c</v>
      </c>
      <c r="AB358" s="56" t="str">
        <f t="shared" si="84"/>
        <v>nc</v>
      </c>
      <c r="AC358" s="56">
        <f t="shared" si="79"/>
        <v>3</v>
      </c>
      <c r="AD358" s="54">
        <f t="shared" si="80"/>
        <v>1</v>
      </c>
    </row>
    <row r="359" spans="1:30">
      <c r="A359" s="54" t="s">
        <v>96</v>
      </c>
      <c r="B359" s="54" t="s">
        <v>1735</v>
      </c>
      <c r="C359" s="54" t="str">
        <f>VLOOKUP(A359,RecNamesAll!A:C,3,FALSE)</f>
        <v>MRGPRX2</v>
      </c>
      <c r="D359" s="60">
        <v>157</v>
      </c>
      <c r="E359" s="54" t="s">
        <v>97</v>
      </c>
      <c r="F359" s="54" t="s">
        <v>96</v>
      </c>
      <c r="G359" s="54" t="s">
        <v>3428</v>
      </c>
      <c r="H359" s="54" t="s">
        <v>3322</v>
      </c>
      <c r="I359" s="54" t="s">
        <v>3427</v>
      </c>
      <c r="J359" s="54" t="s">
        <v>3314</v>
      </c>
      <c r="L359" s="54" t="s">
        <v>3438</v>
      </c>
      <c r="N359" s="54" t="s">
        <v>3437</v>
      </c>
      <c r="P359" s="59">
        <v>0.125</v>
      </c>
      <c r="Q359" s="57" t="str">
        <f t="shared" si="71"/>
        <v/>
      </c>
      <c r="R359" s="56" t="str">
        <f t="shared" si="72"/>
        <v>Gi/o</v>
      </c>
      <c r="S359" s="56" t="str">
        <f t="shared" si="73"/>
        <v>Gq/11</v>
      </c>
      <c r="T359" s="56" t="str">
        <f t="shared" si="74"/>
        <v/>
      </c>
      <c r="U359" s="57">
        <f t="shared" si="75"/>
        <v>0</v>
      </c>
      <c r="V359" s="57">
        <f t="shared" si="76"/>
        <v>1</v>
      </c>
      <c r="W359" s="57">
        <f t="shared" si="77"/>
        <v>1</v>
      </c>
      <c r="X359" s="57">
        <f t="shared" si="78"/>
        <v>0</v>
      </c>
      <c r="Y359" s="57" t="str">
        <f t="shared" si="81"/>
        <v>nc</v>
      </c>
      <c r="Z359" s="56" t="str">
        <f t="shared" si="82"/>
        <v>c</v>
      </c>
      <c r="AA359" s="56" t="str">
        <f t="shared" si="83"/>
        <v>c</v>
      </c>
      <c r="AB359" s="56" t="str">
        <f t="shared" si="84"/>
        <v>nc</v>
      </c>
      <c r="AC359" s="56">
        <f t="shared" si="79"/>
        <v>2</v>
      </c>
      <c r="AD359" s="54">
        <f t="shared" si="80"/>
        <v>1</v>
      </c>
    </row>
    <row r="360" spans="1:30">
      <c r="A360" s="54" t="s">
        <v>3436</v>
      </c>
      <c r="B360" s="54" t="s">
        <v>3435</v>
      </c>
      <c r="C360" s="54" t="str">
        <f>VLOOKUP(A360,RecNamesAll!A:C,3,FALSE)</f>
        <v>MRGPRX3</v>
      </c>
      <c r="D360" s="60">
        <v>158</v>
      </c>
      <c r="E360" s="54" t="s">
        <v>3434</v>
      </c>
      <c r="F360" s="54" t="s">
        <v>3433</v>
      </c>
      <c r="G360" s="54" t="s">
        <v>3428</v>
      </c>
      <c r="H360" s="54" t="s">
        <v>3322</v>
      </c>
      <c r="I360" s="54" t="s">
        <v>3427</v>
      </c>
      <c r="J360" s="54" t="s">
        <v>2759</v>
      </c>
      <c r="L360" s="54" t="s">
        <v>3320</v>
      </c>
      <c r="N360" s="54">
        <v>16284629</v>
      </c>
      <c r="P360" s="59">
        <v>4.1666666666666664E-2</v>
      </c>
      <c r="Q360" s="57" t="str">
        <f t="shared" si="71"/>
        <v/>
      </c>
      <c r="R360" s="56" t="str">
        <f t="shared" si="72"/>
        <v/>
      </c>
      <c r="S360" s="56" t="str">
        <f t="shared" si="73"/>
        <v>Gq/11</v>
      </c>
      <c r="T360" s="56" t="str">
        <f t="shared" si="74"/>
        <v/>
      </c>
      <c r="U360" s="57">
        <f t="shared" si="75"/>
        <v>0</v>
      </c>
      <c r="V360" s="57">
        <f t="shared" si="76"/>
        <v>0</v>
      </c>
      <c r="W360" s="57">
        <f t="shared" si="77"/>
        <v>1</v>
      </c>
      <c r="X360" s="57">
        <f t="shared" si="78"/>
        <v>0</v>
      </c>
      <c r="Y360" s="57" t="str">
        <f t="shared" si="81"/>
        <v>nc</v>
      </c>
      <c r="Z360" s="56" t="str">
        <f t="shared" si="82"/>
        <v>nc</v>
      </c>
      <c r="AA360" s="56" t="str">
        <f t="shared" si="83"/>
        <v>c</v>
      </c>
      <c r="AB360" s="56" t="str">
        <f t="shared" si="84"/>
        <v>nc</v>
      </c>
      <c r="AC360" s="56">
        <f t="shared" si="79"/>
        <v>3</v>
      </c>
      <c r="AD360" s="54">
        <f t="shared" si="80"/>
        <v>1</v>
      </c>
    </row>
    <row r="361" spans="1:30">
      <c r="A361" s="54" t="s">
        <v>3432</v>
      </c>
      <c r="B361" s="54" t="s">
        <v>3431</v>
      </c>
      <c r="C361" s="54" t="str">
        <f>VLOOKUP(A361,RecNamesAll!A:C,3,FALSE)</f>
        <v>MRGPRX4</v>
      </c>
      <c r="D361" s="60">
        <v>159</v>
      </c>
      <c r="E361" s="54" t="s">
        <v>3430</v>
      </c>
      <c r="F361" s="54" t="s">
        <v>3429</v>
      </c>
      <c r="G361" s="54" t="s">
        <v>3428</v>
      </c>
      <c r="H361" s="54" t="s">
        <v>3322</v>
      </c>
      <c r="I361" s="54" t="s">
        <v>3427</v>
      </c>
      <c r="J361" s="54" t="s">
        <v>2759</v>
      </c>
      <c r="L361" s="54" t="s">
        <v>3320</v>
      </c>
      <c r="N361" s="54">
        <v>16284629</v>
      </c>
      <c r="P361" s="59">
        <v>4.1666666666666664E-2</v>
      </c>
      <c r="Q361" s="57" t="str">
        <f t="shared" si="71"/>
        <v/>
      </c>
      <c r="R361" s="56" t="str">
        <f t="shared" si="72"/>
        <v/>
      </c>
      <c r="S361" s="56" t="str">
        <f t="shared" si="73"/>
        <v>Gq/11</v>
      </c>
      <c r="T361" s="56" t="str">
        <f t="shared" si="74"/>
        <v/>
      </c>
      <c r="U361" s="57">
        <f t="shared" si="75"/>
        <v>0</v>
      </c>
      <c r="V361" s="57">
        <f t="shared" si="76"/>
        <v>0</v>
      </c>
      <c r="W361" s="57">
        <f t="shared" si="77"/>
        <v>1</v>
      </c>
      <c r="X361" s="57">
        <f t="shared" si="78"/>
        <v>0</v>
      </c>
      <c r="Y361" s="57" t="str">
        <f t="shared" si="81"/>
        <v>nc</v>
      </c>
      <c r="Z361" s="56" t="str">
        <f t="shared" si="82"/>
        <v>nc</v>
      </c>
      <c r="AA361" s="56" t="str">
        <f t="shared" si="83"/>
        <v>c</v>
      </c>
      <c r="AB361" s="56" t="str">
        <f t="shared" si="84"/>
        <v>nc</v>
      </c>
      <c r="AC361" s="56">
        <f t="shared" si="79"/>
        <v>3</v>
      </c>
      <c r="AD361" s="54">
        <f t="shared" si="80"/>
        <v>1</v>
      </c>
    </row>
    <row r="362" spans="1:30">
      <c r="A362" s="54" t="s">
        <v>55</v>
      </c>
      <c r="B362" s="54" t="s">
        <v>3426</v>
      </c>
      <c r="C362" s="54" t="str">
        <f>VLOOKUP(A362,RecNamesAll!A:C,3,FALSE)</f>
        <v>CT</v>
      </c>
      <c r="D362" s="60">
        <v>43</v>
      </c>
      <c r="E362" s="54" t="s">
        <v>55</v>
      </c>
      <c r="G362" s="54" t="s">
        <v>3283</v>
      </c>
      <c r="H362" s="54" t="s">
        <v>3403</v>
      </c>
      <c r="I362" s="54" t="s">
        <v>3282</v>
      </c>
      <c r="J362" s="54" t="s">
        <v>2761</v>
      </c>
      <c r="K362" s="54" t="s">
        <v>2759</v>
      </c>
      <c r="L362" s="54" t="s">
        <v>3369</v>
      </c>
      <c r="M362" s="54" t="s">
        <v>3320</v>
      </c>
      <c r="N362" s="54" t="s">
        <v>3425</v>
      </c>
      <c r="O362" s="54" t="s">
        <v>3424</v>
      </c>
      <c r="P362" s="59">
        <v>0.125</v>
      </c>
      <c r="Q362" s="57" t="str">
        <f t="shared" si="71"/>
        <v>Gs</v>
      </c>
      <c r="R362" s="56" t="str">
        <f t="shared" si="72"/>
        <v/>
      </c>
      <c r="S362" s="56" t="str">
        <f t="shared" si="73"/>
        <v>Gq/11</v>
      </c>
      <c r="T362" s="56" t="str">
        <f t="shared" si="74"/>
        <v/>
      </c>
      <c r="U362" s="57">
        <f t="shared" si="75"/>
        <v>1</v>
      </c>
      <c r="V362" s="57">
        <f t="shared" si="76"/>
        <v>0</v>
      </c>
      <c r="W362" s="57">
        <f t="shared" si="77"/>
        <v>2</v>
      </c>
      <c r="X362" s="57">
        <f t="shared" si="78"/>
        <v>0</v>
      </c>
      <c r="Y362" s="57" t="str">
        <f t="shared" si="81"/>
        <v>c</v>
      </c>
      <c r="Z362" s="56" t="str">
        <f t="shared" si="82"/>
        <v>nc</v>
      </c>
      <c r="AA362" s="56" t="str">
        <f t="shared" si="83"/>
        <v>c</v>
      </c>
      <c r="AB362" s="56" t="str">
        <f t="shared" si="84"/>
        <v>nc</v>
      </c>
      <c r="AC362" s="56">
        <f t="shared" si="79"/>
        <v>2</v>
      </c>
      <c r="AD362" s="54">
        <f t="shared" si="80"/>
        <v>1</v>
      </c>
    </row>
    <row r="363" spans="1:30">
      <c r="A363" s="54" t="s">
        <v>2896</v>
      </c>
      <c r="B363" s="54" t="s">
        <v>3423</v>
      </c>
      <c r="C363" s="54" t="str">
        <f>VLOOKUP(A363,RecNamesAll!A:C,3,FALSE)</f>
        <v>CRF1</v>
      </c>
      <c r="D363" s="60">
        <v>212</v>
      </c>
      <c r="E363" s="54" t="s">
        <v>2896</v>
      </c>
      <c r="F363" s="54" t="s">
        <v>3422</v>
      </c>
      <c r="G363" s="54" t="s">
        <v>3283</v>
      </c>
      <c r="H363" s="54" t="s">
        <v>3403</v>
      </c>
      <c r="I363" s="54" t="s">
        <v>3418</v>
      </c>
      <c r="J363" s="54" t="s">
        <v>2761</v>
      </c>
      <c r="K363" s="54" t="s">
        <v>2759</v>
      </c>
      <c r="L363" s="54" t="s">
        <v>3369</v>
      </c>
      <c r="M363" s="54" t="s">
        <v>3320</v>
      </c>
      <c r="N363" s="54" t="s">
        <v>3421</v>
      </c>
      <c r="O363" s="54" t="s">
        <v>3420</v>
      </c>
      <c r="P363" s="59">
        <v>0.45833333333333331</v>
      </c>
      <c r="Q363" s="57" t="str">
        <f t="shared" si="71"/>
        <v>Gs</v>
      </c>
      <c r="R363" s="56" t="str">
        <f t="shared" si="72"/>
        <v/>
      </c>
      <c r="S363" s="56" t="str">
        <f t="shared" si="73"/>
        <v>Gq/11</v>
      </c>
      <c r="T363" s="56" t="str">
        <f t="shared" si="74"/>
        <v/>
      </c>
      <c r="U363" s="57">
        <f t="shared" si="75"/>
        <v>1</v>
      </c>
      <c r="V363" s="57">
        <f t="shared" si="76"/>
        <v>0</v>
      </c>
      <c r="W363" s="57">
        <f t="shared" si="77"/>
        <v>2</v>
      </c>
      <c r="X363" s="57">
        <f t="shared" si="78"/>
        <v>0</v>
      </c>
      <c r="Y363" s="57" t="str">
        <f t="shared" si="81"/>
        <v>c</v>
      </c>
      <c r="Z363" s="56" t="str">
        <f t="shared" si="82"/>
        <v>nc</v>
      </c>
      <c r="AA363" s="56" t="str">
        <f t="shared" si="83"/>
        <v>c</v>
      </c>
      <c r="AB363" s="56" t="str">
        <f t="shared" si="84"/>
        <v>nc</v>
      </c>
      <c r="AC363" s="56">
        <f t="shared" si="79"/>
        <v>2</v>
      </c>
      <c r="AD363" s="54">
        <f t="shared" si="80"/>
        <v>1</v>
      </c>
    </row>
    <row r="364" spans="1:30">
      <c r="A364" s="54" t="s">
        <v>2893</v>
      </c>
      <c r="B364" s="54" t="s">
        <v>292</v>
      </c>
      <c r="C364" s="54" t="str">
        <f>VLOOKUP(A364,RecNamesAll!A:C,3,FALSE)</f>
        <v>CRF2</v>
      </c>
      <c r="D364" s="60">
        <v>213</v>
      </c>
      <c r="E364" s="54" t="s">
        <v>2893</v>
      </c>
      <c r="F364" s="54" t="s">
        <v>3419</v>
      </c>
      <c r="G364" s="54" t="s">
        <v>3283</v>
      </c>
      <c r="H364" s="54" t="s">
        <v>3403</v>
      </c>
      <c r="I364" s="54" t="s">
        <v>3418</v>
      </c>
      <c r="J364" s="54" t="s">
        <v>2761</v>
      </c>
      <c r="K364" s="54" t="s">
        <v>2759</v>
      </c>
      <c r="L364" s="54" t="s">
        <v>3369</v>
      </c>
      <c r="M364" s="54" t="s">
        <v>3320</v>
      </c>
      <c r="N364" s="54" t="s">
        <v>3417</v>
      </c>
      <c r="O364" s="54">
        <v>15450949</v>
      </c>
      <c r="P364" s="59">
        <v>0.375</v>
      </c>
      <c r="Q364" s="57" t="str">
        <f t="shared" si="71"/>
        <v>Gs</v>
      </c>
      <c r="R364" s="56" t="str">
        <f t="shared" si="72"/>
        <v/>
      </c>
      <c r="S364" s="56" t="str">
        <f t="shared" si="73"/>
        <v>Gq/11</v>
      </c>
      <c r="T364" s="56" t="str">
        <f t="shared" si="74"/>
        <v/>
      </c>
      <c r="U364" s="57">
        <f t="shared" si="75"/>
        <v>1</v>
      </c>
      <c r="V364" s="57">
        <f t="shared" si="76"/>
        <v>0</v>
      </c>
      <c r="W364" s="57">
        <f t="shared" si="77"/>
        <v>2</v>
      </c>
      <c r="X364" s="57">
        <f t="shared" si="78"/>
        <v>0</v>
      </c>
      <c r="Y364" s="57" t="str">
        <f t="shared" si="81"/>
        <v>c</v>
      </c>
      <c r="Z364" s="56" t="str">
        <f t="shared" si="82"/>
        <v>nc</v>
      </c>
      <c r="AA364" s="56" t="str">
        <f t="shared" si="83"/>
        <v>c</v>
      </c>
      <c r="AB364" s="56" t="str">
        <f t="shared" si="84"/>
        <v>nc</v>
      </c>
      <c r="AC364" s="56">
        <f t="shared" si="79"/>
        <v>2</v>
      </c>
      <c r="AD364" s="54">
        <f t="shared" si="80"/>
        <v>1</v>
      </c>
    </row>
    <row r="365" spans="1:30">
      <c r="A365" s="54" t="s">
        <v>2938</v>
      </c>
      <c r="B365" s="54" t="s">
        <v>1231</v>
      </c>
      <c r="C365" s="54" t="str">
        <f>VLOOKUP(A365,RecNamesAll!A:C,3,FALSE)</f>
        <v>GHRH</v>
      </c>
      <c r="D365" s="60">
        <v>247</v>
      </c>
      <c r="E365" s="54" t="s">
        <v>2938</v>
      </c>
      <c r="G365" s="54" t="s">
        <v>3283</v>
      </c>
      <c r="H365" s="54" t="s">
        <v>3403</v>
      </c>
      <c r="I365" s="54" t="s">
        <v>3415</v>
      </c>
      <c r="J365" s="54" t="s">
        <v>2761</v>
      </c>
      <c r="L365" s="54" t="s">
        <v>3416</v>
      </c>
      <c r="N365" s="54">
        <v>11867632</v>
      </c>
      <c r="P365" s="59">
        <v>4.1666666666666664E-2</v>
      </c>
      <c r="Q365" s="57" t="str">
        <f t="shared" si="71"/>
        <v>Gs</v>
      </c>
      <c r="R365" s="56" t="str">
        <f t="shared" si="72"/>
        <v/>
      </c>
      <c r="S365" s="56" t="str">
        <f t="shared" si="73"/>
        <v/>
      </c>
      <c r="T365" s="56" t="str">
        <f t="shared" si="74"/>
        <v/>
      </c>
      <c r="U365" s="57">
        <f t="shared" si="75"/>
        <v>1</v>
      </c>
      <c r="V365" s="57">
        <f t="shared" si="76"/>
        <v>0</v>
      </c>
      <c r="W365" s="57">
        <f t="shared" si="77"/>
        <v>0</v>
      </c>
      <c r="X365" s="57">
        <f t="shared" si="78"/>
        <v>0</v>
      </c>
      <c r="Y365" s="57" t="str">
        <f t="shared" si="81"/>
        <v>c</v>
      </c>
      <c r="Z365" s="56" t="str">
        <f t="shared" si="82"/>
        <v>nc</v>
      </c>
      <c r="AA365" s="56" t="str">
        <f t="shared" si="83"/>
        <v>nc</v>
      </c>
      <c r="AB365" s="56" t="str">
        <f t="shared" si="84"/>
        <v>nc</v>
      </c>
      <c r="AC365" s="56">
        <f t="shared" si="79"/>
        <v>3</v>
      </c>
      <c r="AD365" s="54">
        <f t="shared" si="80"/>
        <v>1</v>
      </c>
    </row>
    <row r="366" spans="1:30">
      <c r="A366" s="54" t="s">
        <v>127</v>
      </c>
      <c r="B366" s="54" t="s">
        <v>301</v>
      </c>
      <c r="C366" s="54" t="str">
        <f>VLOOKUP(A366,RecNamesAll!A:C,3,FALSE)</f>
        <v>GIP</v>
      </c>
      <c r="D366" s="60">
        <v>248</v>
      </c>
      <c r="E366" s="54" t="s">
        <v>127</v>
      </c>
      <c r="G366" s="54" t="s">
        <v>3283</v>
      </c>
      <c r="H366" s="54" t="s">
        <v>3403</v>
      </c>
      <c r="I366" s="54" t="s">
        <v>3415</v>
      </c>
      <c r="J366" s="54" t="s">
        <v>2761</v>
      </c>
      <c r="L366" s="54" t="s">
        <v>3369</v>
      </c>
      <c r="M366" s="54" t="s">
        <v>3286</v>
      </c>
      <c r="O366" s="54">
        <v>11323439</v>
      </c>
      <c r="Q366" s="57" t="str">
        <f t="shared" si="71"/>
        <v>Gs</v>
      </c>
      <c r="R366" s="56" t="str">
        <f t="shared" si="72"/>
        <v/>
      </c>
      <c r="S366" s="56" t="str">
        <f t="shared" si="73"/>
        <v/>
      </c>
      <c r="T366" s="56" t="str">
        <f t="shared" si="74"/>
        <v/>
      </c>
      <c r="U366" s="57">
        <f t="shared" si="75"/>
        <v>1</v>
      </c>
      <c r="V366" s="57">
        <f t="shared" si="76"/>
        <v>0</v>
      </c>
      <c r="W366" s="57">
        <f t="shared" si="77"/>
        <v>0</v>
      </c>
      <c r="X366" s="57">
        <f t="shared" si="78"/>
        <v>0</v>
      </c>
      <c r="Y366" s="57" t="str">
        <f t="shared" si="81"/>
        <v>c</v>
      </c>
      <c r="Z366" s="56" t="str">
        <f t="shared" si="82"/>
        <v>nc</v>
      </c>
      <c r="AA366" s="56" t="str">
        <f t="shared" si="83"/>
        <v>nc</v>
      </c>
      <c r="AB366" s="56" t="str">
        <f t="shared" si="84"/>
        <v>nc</v>
      </c>
      <c r="AC366" s="56">
        <f t="shared" si="79"/>
        <v>3</v>
      </c>
      <c r="AD366" s="54">
        <f t="shared" si="80"/>
        <v>1</v>
      </c>
    </row>
    <row r="367" spans="1:30">
      <c r="A367" s="54" t="s">
        <v>128</v>
      </c>
      <c r="B367" s="54" t="s">
        <v>302</v>
      </c>
      <c r="C367" s="54" t="str">
        <f>VLOOKUP(A367,RecNamesAll!A:C,3,FALSE)</f>
        <v>GLP-1</v>
      </c>
      <c r="D367" s="60">
        <v>249</v>
      </c>
      <c r="E367" s="54" t="s">
        <v>128</v>
      </c>
      <c r="G367" s="54" t="s">
        <v>3283</v>
      </c>
      <c r="H367" s="54" t="s">
        <v>3403</v>
      </c>
      <c r="I367" s="54" t="s">
        <v>3415</v>
      </c>
      <c r="J367" s="54" t="s">
        <v>2761</v>
      </c>
      <c r="L367" s="54" t="s">
        <v>3369</v>
      </c>
      <c r="N367" s="54">
        <v>10909973</v>
      </c>
      <c r="P367" s="59">
        <v>4.1666666666666664E-2</v>
      </c>
      <c r="Q367" s="57" t="str">
        <f t="shared" si="71"/>
        <v>Gs</v>
      </c>
      <c r="R367" s="56" t="str">
        <f t="shared" si="72"/>
        <v/>
      </c>
      <c r="S367" s="56" t="str">
        <f t="shared" si="73"/>
        <v/>
      </c>
      <c r="T367" s="56" t="str">
        <f t="shared" si="74"/>
        <v/>
      </c>
      <c r="U367" s="57">
        <f t="shared" si="75"/>
        <v>1</v>
      </c>
      <c r="V367" s="57">
        <f t="shared" si="76"/>
        <v>0</v>
      </c>
      <c r="W367" s="57">
        <f t="shared" si="77"/>
        <v>0</v>
      </c>
      <c r="X367" s="57">
        <f t="shared" si="78"/>
        <v>0</v>
      </c>
      <c r="Y367" s="57" t="str">
        <f t="shared" si="81"/>
        <v>c</v>
      </c>
      <c r="Z367" s="56" t="str">
        <f t="shared" si="82"/>
        <v>nc</v>
      </c>
      <c r="AA367" s="56" t="str">
        <f t="shared" si="83"/>
        <v>nc</v>
      </c>
      <c r="AB367" s="56" t="str">
        <f t="shared" si="84"/>
        <v>nc</v>
      </c>
      <c r="AC367" s="56">
        <f t="shared" si="79"/>
        <v>3</v>
      </c>
      <c r="AD367" s="54">
        <f t="shared" si="80"/>
        <v>1</v>
      </c>
    </row>
    <row r="368" spans="1:30">
      <c r="A368" s="54" t="s">
        <v>129</v>
      </c>
      <c r="B368" s="54" t="s">
        <v>303</v>
      </c>
      <c r="C368" s="54" t="str">
        <f>VLOOKUP(A368,RecNamesAll!A:C,3,FALSE)</f>
        <v>GLP-2</v>
      </c>
      <c r="D368" s="60">
        <v>250</v>
      </c>
      <c r="E368" s="54" t="s">
        <v>129</v>
      </c>
      <c r="G368" s="54" t="s">
        <v>3283</v>
      </c>
      <c r="H368" s="54" t="s">
        <v>3403</v>
      </c>
      <c r="I368" s="54" t="s">
        <v>3415</v>
      </c>
      <c r="J368" s="54" t="s">
        <v>2761</v>
      </c>
      <c r="L368" s="54" t="s">
        <v>3369</v>
      </c>
      <c r="P368" s="59">
        <v>4.1666666666666664E-2</v>
      </c>
      <c r="Q368" s="57" t="str">
        <f t="shared" si="71"/>
        <v>Gs</v>
      </c>
      <c r="R368" s="56" t="str">
        <f t="shared" si="72"/>
        <v/>
      </c>
      <c r="S368" s="56" t="str">
        <f t="shared" si="73"/>
        <v/>
      </c>
      <c r="T368" s="56" t="str">
        <f t="shared" si="74"/>
        <v/>
      </c>
      <c r="U368" s="57">
        <f t="shared" si="75"/>
        <v>1</v>
      </c>
      <c r="V368" s="57">
        <f t="shared" si="76"/>
        <v>0</v>
      </c>
      <c r="W368" s="57">
        <f t="shared" si="77"/>
        <v>0</v>
      </c>
      <c r="X368" s="57">
        <f t="shared" si="78"/>
        <v>0</v>
      </c>
      <c r="Y368" s="57" t="str">
        <f t="shared" si="81"/>
        <v>c</v>
      </c>
      <c r="Z368" s="56" t="str">
        <f t="shared" si="82"/>
        <v>nc</v>
      </c>
      <c r="AA368" s="56" t="str">
        <f t="shared" si="83"/>
        <v>nc</v>
      </c>
      <c r="AB368" s="56" t="str">
        <f t="shared" si="84"/>
        <v>nc</v>
      </c>
      <c r="AC368" s="56">
        <f t="shared" si="79"/>
        <v>3</v>
      </c>
      <c r="AD368" s="54">
        <f t="shared" si="80"/>
        <v>1</v>
      </c>
    </row>
    <row r="369" spans="1:30">
      <c r="A369" s="54" t="s">
        <v>130</v>
      </c>
      <c r="B369" s="54" t="s">
        <v>304</v>
      </c>
      <c r="C369" s="54" t="str">
        <f>VLOOKUP(A369,RecNamesAll!A:C,3,FALSE)</f>
        <v>Glucagon</v>
      </c>
      <c r="D369" s="60">
        <v>251</v>
      </c>
      <c r="E369" s="54" t="s">
        <v>2945</v>
      </c>
      <c r="G369" s="54" t="s">
        <v>3283</v>
      </c>
      <c r="H369" s="54" t="s">
        <v>3403</v>
      </c>
      <c r="I369" s="54" t="s">
        <v>3415</v>
      </c>
      <c r="J369" s="54" t="s">
        <v>2761</v>
      </c>
      <c r="L369" s="54" t="s">
        <v>3369</v>
      </c>
      <c r="N369" s="54">
        <v>6309844</v>
      </c>
      <c r="P369" s="59">
        <v>4.1666666666666664E-2</v>
      </c>
      <c r="Q369" s="57" t="str">
        <f t="shared" si="71"/>
        <v>Gs</v>
      </c>
      <c r="R369" s="56" t="str">
        <f t="shared" si="72"/>
        <v/>
      </c>
      <c r="S369" s="56" t="str">
        <f t="shared" si="73"/>
        <v/>
      </c>
      <c r="T369" s="56" t="str">
        <f t="shared" si="74"/>
        <v/>
      </c>
      <c r="U369" s="57">
        <f t="shared" si="75"/>
        <v>1</v>
      </c>
      <c r="V369" s="57">
        <f t="shared" si="76"/>
        <v>0</v>
      </c>
      <c r="W369" s="57">
        <f t="shared" si="77"/>
        <v>0</v>
      </c>
      <c r="X369" s="57">
        <f t="shared" si="78"/>
        <v>0</v>
      </c>
      <c r="Y369" s="57" t="str">
        <f t="shared" si="81"/>
        <v>c</v>
      </c>
      <c r="Z369" s="56" t="str">
        <f t="shared" si="82"/>
        <v>nc</v>
      </c>
      <c r="AA369" s="56" t="str">
        <f t="shared" si="83"/>
        <v>nc</v>
      </c>
      <c r="AB369" s="56" t="str">
        <f t="shared" si="84"/>
        <v>nc</v>
      </c>
      <c r="AC369" s="56">
        <f t="shared" si="79"/>
        <v>3</v>
      </c>
      <c r="AD369" s="54">
        <f t="shared" si="80"/>
        <v>1</v>
      </c>
    </row>
    <row r="370" spans="1:30">
      <c r="A370" s="54" t="s">
        <v>2926</v>
      </c>
      <c r="B370" s="54" t="s">
        <v>2174</v>
      </c>
      <c r="C370" s="54" t="str">
        <f>VLOOKUP(A370,RecNamesAll!A:C,3,FALSE)</f>
        <v>Secretin</v>
      </c>
      <c r="D370" s="60">
        <v>252</v>
      </c>
      <c r="E370" s="54" t="s">
        <v>2926</v>
      </c>
      <c r="G370" s="54" t="s">
        <v>3283</v>
      </c>
      <c r="H370" s="54" t="s">
        <v>3403</v>
      </c>
      <c r="I370" s="54" t="s">
        <v>3415</v>
      </c>
      <c r="J370" s="54" t="s">
        <v>2761</v>
      </c>
      <c r="L370" s="54" t="s">
        <v>3369</v>
      </c>
      <c r="P370" s="59">
        <v>4.1666666666666664E-2</v>
      </c>
      <c r="Q370" s="57" t="str">
        <f t="shared" si="71"/>
        <v>Gs</v>
      </c>
      <c r="R370" s="56" t="str">
        <f t="shared" si="72"/>
        <v/>
      </c>
      <c r="S370" s="56" t="str">
        <f t="shared" si="73"/>
        <v/>
      </c>
      <c r="T370" s="56" t="str">
        <f t="shared" si="74"/>
        <v/>
      </c>
      <c r="U370" s="57">
        <f t="shared" si="75"/>
        <v>1</v>
      </c>
      <c r="V370" s="57">
        <f t="shared" si="76"/>
        <v>0</v>
      </c>
      <c r="W370" s="57">
        <f t="shared" si="77"/>
        <v>0</v>
      </c>
      <c r="X370" s="57">
        <f t="shared" si="78"/>
        <v>0</v>
      </c>
      <c r="Y370" s="57" t="str">
        <f t="shared" si="81"/>
        <v>c</v>
      </c>
      <c r="Z370" s="56" t="str">
        <f t="shared" si="82"/>
        <v>nc</v>
      </c>
      <c r="AA370" s="56" t="str">
        <f t="shared" si="83"/>
        <v>nc</v>
      </c>
      <c r="AB370" s="56" t="str">
        <f t="shared" si="84"/>
        <v>nc</v>
      </c>
      <c r="AC370" s="56">
        <f t="shared" si="79"/>
        <v>3</v>
      </c>
      <c r="AD370" s="54">
        <f t="shared" si="80"/>
        <v>1</v>
      </c>
    </row>
    <row r="371" spans="1:30">
      <c r="A371" s="54" t="s">
        <v>198</v>
      </c>
      <c r="B371" s="54" t="s">
        <v>336</v>
      </c>
      <c r="C371" s="54" t="str">
        <f>VLOOKUP(A371,RecNamesAll!A:C,3,FALSE)</f>
        <v>PTH1</v>
      </c>
      <c r="D371" s="60">
        <v>331</v>
      </c>
      <c r="E371" s="54" t="s">
        <v>198</v>
      </c>
      <c r="F371" s="54" t="s">
        <v>3414</v>
      </c>
      <c r="G371" s="54" t="s">
        <v>3283</v>
      </c>
      <c r="H371" s="54" t="s">
        <v>3403</v>
      </c>
      <c r="I371" s="54" t="s">
        <v>3413</v>
      </c>
      <c r="J371" s="54" t="s">
        <v>2761</v>
      </c>
      <c r="K371" s="54" t="s">
        <v>2759</v>
      </c>
      <c r="L371" s="54" t="s">
        <v>3369</v>
      </c>
      <c r="M371" s="54" t="s">
        <v>3320</v>
      </c>
      <c r="N371" s="54" t="s">
        <v>3412</v>
      </c>
      <c r="O371" s="54" t="s">
        <v>3411</v>
      </c>
      <c r="P371" s="59">
        <v>0.16666666666666666</v>
      </c>
      <c r="Q371" s="57" t="str">
        <f t="shared" si="71"/>
        <v>Gs</v>
      </c>
      <c r="R371" s="56" t="str">
        <f t="shared" si="72"/>
        <v/>
      </c>
      <c r="S371" s="56" t="str">
        <f t="shared" si="73"/>
        <v>Gq/11</v>
      </c>
      <c r="T371" s="56" t="str">
        <f t="shared" si="74"/>
        <v/>
      </c>
      <c r="U371" s="57">
        <f t="shared" si="75"/>
        <v>1</v>
      </c>
      <c r="V371" s="57">
        <f t="shared" si="76"/>
        <v>0</v>
      </c>
      <c r="W371" s="57">
        <f t="shared" si="77"/>
        <v>2</v>
      </c>
      <c r="X371" s="57">
        <f t="shared" si="78"/>
        <v>0</v>
      </c>
      <c r="Y371" s="57" t="str">
        <f t="shared" si="81"/>
        <v>c</v>
      </c>
      <c r="Z371" s="56" t="str">
        <f t="shared" si="82"/>
        <v>nc</v>
      </c>
      <c r="AA371" s="56" t="str">
        <f t="shared" si="83"/>
        <v>c</v>
      </c>
      <c r="AB371" s="56" t="str">
        <f t="shared" si="84"/>
        <v>nc</v>
      </c>
      <c r="AC371" s="56">
        <f t="shared" si="79"/>
        <v>2</v>
      </c>
      <c r="AD371" s="54">
        <f t="shared" si="80"/>
        <v>1</v>
      </c>
    </row>
    <row r="372" spans="1:30">
      <c r="A372" s="54" t="s">
        <v>231</v>
      </c>
      <c r="B372" s="54" t="s">
        <v>2021</v>
      </c>
      <c r="C372" s="54" t="str">
        <f>VLOOKUP(A372,RecNamesAll!A:C,3,FALSE)</f>
        <v>PAC1</v>
      </c>
      <c r="D372" s="60">
        <v>370</v>
      </c>
      <c r="E372" s="54" t="s">
        <v>3410</v>
      </c>
      <c r="G372" s="54" t="s">
        <v>3283</v>
      </c>
      <c r="H372" s="54" t="s">
        <v>3403</v>
      </c>
      <c r="I372" s="54" t="s">
        <v>3402</v>
      </c>
      <c r="J372" s="54" t="s">
        <v>3409</v>
      </c>
      <c r="K372" s="54" t="s">
        <v>3396</v>
      </c>
      <c r="L372" s="54" t="s">
        <v>3369</v>
      </c>
      <c r="M372" s="54" t="s">
        <v>3320</v>
      </c>
      <c r="N372" s="54" t="s">
        <v>3408</v>
      </c>
      <c r="O372" s="54">
        <v>7796937</v>
      </c>
      <c r="P372" s="59">
        <v>8.3333333333333329E-2</v>
      </c>
      <c r="Q372" s="57" t="str">
        <f t="shared" si="71"/>
        <v>Gs</v>
      </c>
      <c r="R372" s="56" t="str">
        <f t="shared" si="72"/>
        <v/>
      </c>
      <c r="S372" s="56" t="str">
        <f t="shared" si="73"/>
        <v>Gq/11</v>
      </c>
      <c r="T372" s="56" t="str">
        <f t="shared" si="74"/>
        <v/>
      </c>
      <c r="U372" s="57">
        <f t="shared" si="75"/>
        <v>1</v>
      </c>
      <c r="V372" s="57">
        <f t="shared" si="76"/>
        <v>0</v>
      </c>
      <c r="W372" s="57">
        <f t="shared" si="77"/>
        <v>1</v>
      </c>
      <c r="X372" s="57">
        <f t="shared" si="78"/>
        <v>0</v>
      </c>
      <c r="Y372" s="57" t="str">
        <f t="shared" si="81"/>
        <v>c</v>
      </c>
      <c r="Z372" s="56" t="str">
        <f t="shared" si="82"/>
        <v>nc</v>
      </c>
      <c r="AA372" s="56" t="str">
        <f t="shared" si="83"/>
        <v>c</v>
      </c>
      <c r="AB372" s="56" t="str">
        <f t="shared" si="84"/>
        <v>nc</v>
      </c>
      <c r="AC372" s="56">
        <f t="shared" si="79"/>
        <v>2</v>
      </c>
      <c r="AD372" s="54">
        <f t="shared" si="80"/>
        <v>1</v>
      </c>
    </row>
    <row r="373" spans="1:30">
      <c r="A373" s="54" t="s">
        <v>232</v>
      </c>
      <c r="B373" s="54" t="s">
        <v>347</v>
      </c>
      <c r="C373" s="54" t="str">
        <f>VLOOKUP(A373,RecNamesAll!A:C,3,FALSE)</f>
        <v>VPAC1</v>
      </c>
      <c r="D373" s="60">
        <v>371</v>
      </c>
      <c r="E373" s="54" t="s">
        <v>232</v>
      </c>
      <c r="G373" s="54" t="s">
        <v>3283</v>
      </c>
      <c r="H373" s="54" t="s">
        <v>3403</v>
      </c>
      <c r="I373" s="54" t="s">
        <v>3402</v>
      </c>
      <c r="J373" s="54" t="s">
        <v>2761</v>
      </c>
      <c r="K373" s="54" t="s">
        <v>3407</v>
      </c>
      <c r="L373" s="54" t="s">
        <v>3369</v>
      </c>
      <c r="M373" s="54" t="s">
        <v>3401</v>
      </c>
      <c r="N373" s="54" t="s">
        <v>3406</v>
      </c>
      <c r="O373" s="54" t="s">
        <v>3405</v>
      </c>
      <c r="P373" s="59">
        <v>0.16666666666666666</v>
      </c>
      <c r="Q373" s="57" t="str">
        <f t="shared" si="71"/>
        <v>Gs</v>
      </c>
      <c r="R373" s="56" t="str">
        <f t="shared" si="72"/>
        <v>Gi/o</v>
      </c>
      <c r="S373" s="56" t="str">
        <f t="shared" si="73"/>
        <v>Gq/11</v>
      </c>
      <c r="T373" s="56" t="str">
        <f t="shared" si="74"/>
        <v/>
      </c>
      <c r="U373" s="57">
        <f t="shared" si="75"/>
        <v>1</v>
      </c>
      <c r="V373" s="57">
        <f t="shared" si="76"/>
        <v>2</v>
      </c>
      <c r="W373" s="57">
        <f t="shared" si="77"/>
        <v>2</v>
      </c>
      <c r="X373" s="57">
        <f t="shared" si="78"/>
        <v>0</v>
      </c>
      <c r="Y373" s="57" t="str">
        <f t="shared" si="81"/>
        <v>c</v>
      </c>
      <c r="Z373" s="56" t="str">
        <f t="shared" si="82"/>
        <v>c</v>
      </c>
      <c r="AA373" s="56" t="str">
        <f t="shared" si="83"/>
        <v>c</v>
      </c>
      <c r="AB373" s="56" t="str">
        <f t="shared" si="84"/>
        <v>nc</v>
      </c>
      <c r="AC373" s="56">
        <f t="shared" si="79"/>
        <v>1</v>
      </c>
      <c r="AD373" s="54">
        <f t="shared" si="80"/>
        <v>1</v>
      </c>
    </row>
    <row r="374" spans="1:30">
      <c r="A374" s="54" t="s">
        <v>2904</v>
      </c>
      <c r="B374" s="54" t="s">
        <v>2272</v>
      </c>
      <c r="C374" s="54" t="str">
        <f>VLOOKUP(A374,RecNamesAll!A:C,3,FALSE)</f>
        <v>VPAC2</v>
      </c>
      <c r="D374" s="60">
        <v>372</v>
      </c>
      <c r="E374" s="54" t="s">
        <v>2904</v>
      </c>
      <c r="F374" s="54" t="s">
        <v>3404</v>
      </c>
      <c r="G374" s="54" t="s">
        <v>3283</v>
      </c>
      <c r="H374" s="54" t="s">
        <v>3403</v>
      </c>
      <c r="I374" s="54" t="s">
        <v>3402</v>
      </c>
      <c r="J374" s="54" t="s">
        <v>2761</v>
      </c>
      <c r="K374" s="54" t="s">
        <v>3396</v>
      </c>
      <c r="L374" s="54" t="s">
        <v>3369</v>
      </c>
      <c r="M374" s="54" t="s">
        <v>3401</v>
      </c>
      <c r="O374" s="54" t="s">
        <v>3400</v>
      </c>
      <c r="Q374" s="57" t="str">
        <f t="shared" si="71"/>
        <v>Gs</v>
      </c>
      <c r="R374" s="56" t="str">
        <f t="shared" si="72"/>
        <v/>
      </c>
      <c r="S374" s="56" t="str">
        <f t="shared" si="73"/>
        <v/>
      </c>
      <c r="T374" s="56" t="str">
        <f t="shared" si="74"/>
        <v/>
      </c>
      <c r="U374" s="57">
        <f t="shared" si="75"/>
        <v>1</v>
      </c>
      <c r="V374" s="57">
        <f t="shared" si="76"/>
        <v>0</v>
      </c>
      <c r="W374" s="57">
        <f t="shared" si="77"/>
        <v>0</v>
      </c>
      <c r="X374" s="57">
        <f t="shared" si="78"/>
        <v>0</v>
      </c>
      <c r="Y374" s="57" t="str">
        <f t="shared" si="81"/>
        <v>c</v>
      </c>
      <c r="Z374" s="56" t="str">
        <f t="shared" si="82"/>
        <v>nc</v>
      </c>
      <c r="AA374" s="56" t="str">
        <f t="shared" si="83"/>
        <v>nc</v>
      </c>
      <c r="AB374" s="56" t="str">
        <f t="shared" si="84"/>
        <v>nc</v>
      </c>
      <c r="AC374" s="56">
        <f t="shared" si="79"/>
        <v>3</v>
      </c>
      <c r="AD374" s="54">
        <f t="shared" si="80"/>
        <v>1</v>
      </c>
    </row>
    <row r="375" spans="1:30">
      <c r="A375" s="54" t="s">
        <v>3399</v>
      </c>
      <c r="B375" s="54" t="s">
        <v>718</v>
      </c>
      <c r="C375" s="54" t="str">
        <f>VLOOKUP(A375,RecNamesAll!A:C,3,FALSE)</f>
        <v>ADGRL1</v>
      </c>
      <c r="D375" s="60">
        <v>206</v>
      </c>
      <c r="E375" s="54" t="s">
        <v>719</v>
      </c>
      <c r="F375" s="54" t="s">
        <v>3398</v>
      </c>
      <c r="G375" s="54" t="s">
        <v>3364</v>
      </c>
      <c r="H375" s="54" t="s">
        <v>3363</v>
      </c>
      <c r="I375" s="54" t="s">
        <v>3397</v>
      </c>
      <c r="J375" s="54" t="s">
        <v>2759</v>
      </c>
      <c r="K375" s="54" t="s">
        <v>3396</v>
      </c>
      <c r="L375" s="54" t="s">
        <v>3395</v>
      </c>
      <c r="M375" s="54" t="s">
        <v>3369</v>
      </c>
      <c r="N375" s="54" t="s">
        <v>3394</v>
      </c>
      <c r="O375" s="54">
        <v>9261169</v>
      </c>
      <c r="P375" s="59">
        <v>0.29166666666666669</v>
      </c>
      <c r="Q375" s="57" t="str">
        <f t="shared" si="71"/>
        <v/>
      </c>
      <c r="R375" s="56" t="str">
        <f t="shared" si="72"/>
        <v/>
      </c>
      <c r="S375" s="56" t="str">
        <f t="shared" si="73"/>
        <v>Gq/11</v>
      </c>
      <c r="T375" s="56" t="str">
        <f t="shared" si="74"/>
        <v/>
      </c>
      <c r="U375" s="57">
        <f t="shared" si="75"/>
        <v>0</v>
      </c>
      <c r="V375" s="57">
        <f t="shared" si="76"/>
        <v>0</v>
      </c>
      <c r="W375" s="57">
        <f t="shared" si="77"/>
        <v>1</v>
      </c>
      <c r="X375" s="57">
        <f t="shared" si="78"/>
        <v>0</v>
      </c>
      <c r="Y375" s="57" t="str">
        <f t="shared" si="81"/>
        <v>nc</v>
      </c>
      <c r="Z375" s="56" t="str">
        <f t="shared" si="82"/>
        <v>nc</v>
      </c>
      <c r="AA375" s="56" t="str">
        <f t="shared" si="83"/>
        <v>c</v>
      </c>
      <c r="AB375" s="56" t="str">
        <f t="shared" si="84"/>
        <v>nc</v>
      </c>
      <c r="AC375" s="56">
        <f t="shared" si="79"/>
        <v>3</v>
      </c>
      <c r="AD375" s="54">
        <f t="shared" si="80"/>
        <v>1</v>
      </c>
    </row>
    <row r="376" spans="1:30">
      <c r="A376" s="54" t="s">
        <v>3393</v>
      </c>
      <c r="B376" s="54" t="s">
        <v>3392</v>
      </c>
      <c r="C376" s="54" t="str">
        <f>VLOOKUP(A376,RecNamesAll!A:C,3,FALSE)</f>
        <v>ADGRE2</v>
      </c>
      <c r="D376" s="60">
        <v>183</v>
      </c>
      <c r="E376" s="54" t="s">
        <v>3391</v>
      </c>
      <c r="F376" s="54" t="s">
        <v>3390</v>
      </c>
      <c r="G376" s="54" t="s">
        <v>3364</v>
      </c>
      <c r="H376" s="54" t="s">
        <v>3363</v>
      </c>
      <c r="I376" s="54" t="s">
        <v>3386</v>
      </c>
      <c r="J376" s="54" t="s">
        <v>2759</v>
      </c>
      <c r="N376" s="54">
        <v>22575658</v>
      </c>
      <c r="P376" s="59">
        <v>4.1666666666666664E-2</v>
      </c>
      <c r="Q376" s="57" t="str">
        <f t="shared" si="71"/>
        <v/>
      </c>
      <c r="R376" s="56" t="str">
        <f t="shared" si="72"/>
        <v/>
      </c>
      <c r="S376" s="56" t="str">
        <f t="shared" si="73"/>
        <v>Gq/11</v>
      </c>
      <c r="T376" s="56" t="str">
        <f t="shared" si="74"/>
        <v/>
      </c>
      <c r="U376" s="57">
        <f t="shared" si="75"/>
        <v>0</v>
      </c>
      <c r="V376" s="57">
        <f t="shared" si="76"/>
        <v>0</v>
      </c>
      <c r="W376" s="57">
        <f t="shared" si="77"/>
        <v>1</v>
      </c>
      <c r="X376" s="57">
        <f t="shared" si="78"/>
        <v>0</v>
      </c>
      <c r="Y376" s="57" t="str">
        <f t="shared" si="81"/>
        <v>nc</v>
      </c>
      <c r="Z376" s="56" t="str">
        <f t="shared" si="82"/>
        <v>nc</v>
      </c>
      <c r="AA376" s="56" t="str">
        <f t="shared" si="83"/>
        <v>c</v>
      </c>
      <c r="AB376" s="56" t="str">
        <f t="shared" si="84"/>
        <v>nc</v>
      </c>
      <c r="AC376" s="56">
        <f t="shared" si="79"/>
        <v>3</v>
      </c>
      <c r="AD376" s="54">
        <f t="shared" si="80"/>
        <v>1</v>
      </c>
    </row>
    <row r="377" spans="1:30">
      <c r="A377" s="54" t="s">
        <v>3389</v>
      </c>
      <c r="B377" s="54" t="s">
        <v>3388</v>
      </c>
      <c r="C377" s="54" t="str">
        <f>VLOOKUP(A377,RecNamesAll!A:C,3,FALSE)</f>
        <v>ADGRE5</v>
      </c>
      <c r="D377" s="60">
        <v>177</v>
      </c>
      <c r="E377" s="54" t="s">
        <v>3387</v>
      </c>
      <c r="G377" s="54" t="s">
        <v>3364</v>
      </c>
      <c r="H377" s="54" t="s">
        <v>3363</v>
      </c>
      <c r="I377" s="54" t="s">
        <v>3386</v>
      </c>
      <c r="J377" s="54" t="s">
        <v>2758</v>
      </c>
      <c r="N377" s="54" t="s">
        <v>3385</v>
      </c>
      <c r="P377" s="59">
        <v>8.3333333333333329E-2</v>
      </c>
      <c r="Q377" s="57" t="str">
        <f t="shared" si="71"/>
        <v/>
      </c>
      <c r="R377" s="56" t="str">
        <f t="shared" si="72"/>
        <v/>
      </c>
      <c r="S377" s="56" t="str">
        <f t="shared" si="73"/>
        <v/>
      </c>
      <c r="T377" s="56" t="str">
        <f t="shared" si="74"/>
        <v>G12/13</v>
      </c>
      <c r="U377" s="57">
        <f t="shared" si="75"/>
        <v>0</v>
      </c>
      <c r="V377" s="57">
        <f t="shared" si="76"/>
        <v>0</v>
      </c>
      <c r="W377" s="57">
        <f t="shared" si="77"/>
        <v>0</v>
      </c>
      <c r="X377" s="57">
        <f t="shared" si="78"/>
        <v>1</v>
      </c>
      <c r="Y377" s="57" t="str">
        <f t="shared" si="81"/>
        <v>nc</v>
      </c>
      <c r="Z377" s="56" t="str">
        <f t="shared" si="82"/>
        <v>nc</v>
      </c>
      <c r="AA377" s="56" t="str">
        <f t="shared" si="83"/>
        <v>nc</v>
      </c>
      <c r="AB377" s="56" t="str">
        <f t="shared" si="84"/>
        <v>c</v>
      </c>
      <c r="AC377" s="56">
        <f t="shared" si="79"/>
        <v>3</v>
      </c>
      <c r="AD377" s="54">
        <f t="shared" si="80"/>
        <v>1</v>
      </c>
    </row>
    <row r="378" spans="1:30">
      <c r="A378" s="54" t="s">
        <v>3384</v>
      </c>
      <c r="B378" s="54" t="s">
        <v>3383</v>
      </c>
      <c r="C378" s="54" t="str">
        <f>VLOOKUP(A378,RecNamesAll!A:C,3,FALSE)</f>
        <v>ADGRD1</v>
      </c>
      <c r="D378" s="60">
        <v>202</v>
      </c>
      <c r="E378" s="54" t="s">
        <v>3382</v>
      </c>
      <c r="F378" s="54" t="s">
        <v>3381</v>
      </c>
      <c r="G378" s="54" t="s">
        <v>3364</v>
      </c>
      <c r="H378" s="54" t="s">
        <v>3363</v>
      </c>
      <c r="I378" s="54" t="s">
        <v>3380</v>
      </c>
      <c r="J378" s="54" t="s">
        <v>2761</v>
      </c>
      <c r="K378" s="54" t="s">
        <v>2761</v>
      </c>
      <c r="L378" s="54" t="s">
        <v>3369</v>
      </c>
      <c r="M378" s="54" t="s">
        <v>3369</v>
      </c>
      <c r="N378" s="54">
        <v>22025619</v>
      </c>
      <c r="O378" s="54">
        <v>22025619</v>
      </c>
      <c r="P378" s="59">
        <v>4.1666666666666664E-2</v>
      </c>
      <c r="Q378" s="57" t="str">
        <f t="shared" si="71"/>
        <v>Gs</v>
      </c>
      <c r="R378" s="56" t="str">
        <f t="shared" si="72"/>
        <v/>
      </c>
      <c r="S378" s="56" t="str">
        <f t="shared" si="73"/>
        <v/>
      </c>
      <c r="T378" s="56" t="str">
        <f t="shared" si="74"/>
        <v/>
      </c>
      <c r="U378" s="57">
        <f t="shared" si="75"/>
        <v>1</v>
      </c>
      <c r="V378" s="57">
        <f t="shared" si="76"/>
        <v>0</v>
      </c>
      <c r="W378" s="57">
        <f t="shared" si="77"/>
        <v>0</v>
      </c>
      <c r="X378" s="57">
        <f t="shared" si="78"/>
        <v>0</v>
      </c>
      <c r="Y378" s="57" t="str">
        <f t="shared" si="81"/>
        <v>c</v>
      </c>
      <c r="Z378" s="56" t="str">
        <f t="shared" si="82"/>
        <v>nc</v>
      </c>
      <c r="AA378" s="56" t="str">
        <f t="shared" si="83"/>
        <v>nc</v>
      </c>
      <c r="AB378" s="56" t="str">
        <f t="shared" si="84"/>
        <v>nc</v>
      </c>
      <c r="AC378" s="56">
        <f t="shared" si="79"/>
        <v>3</v>
      </c>
      <c r="AD378" s="54">
        <f t="shared" si="80"/>
        <v>1</v>
      </c>
    </row>
    <row r="379" spans="1:30">
      <c r="A379" s="54" t="s">
        <v>3379</v>
      </c>
      <c r="B379" s="54" t="s">
        <v>3378</v>
      </c>
      <c r="C379" s="54" t="str">
        <f>VLOOKUP(A379,RecNamesAll!A:C,3,FALSE)</f>
        <v>ADGRG1</v>
      </c>
      <c r="D379" s="60">
        <v>186</v>
      </c>
      <c r="E379" s="54" t="s">
        <v>3377</v>
      </c>
      <c r="F379" s="54" t="s">
        <v>3376</v>
      </c>
      <c r="G379" s="54" t="s">
        <v>3364</v>
      </c>
      <c r="H379" s="54" t="s">
        <v>3363</v>
      </c>
      <c r="I379" s="54" t="s">
        <v>3362</v>
      </c>
      <c r="J379" s="54" t="s">
        <v>3375</v>
      </c>
      <c r="L379" s="54" t="s">
        <v>3298</v>
      </c>
      <c r="M379" s="54" t="s">
        <v>3298</v>
      </c>
      <c r="N379" s="54" t="s">
        <v>3374</v>
      </c>
      <c r="O379" s="54">
        <v>23001883</v>
      </c>
      <c r="P379" s="59">
        <v>8.3333333333333329E-2</v>
      </c>
      <c r="Q379" s="57" t="str">
        <f t="shared" si="71"/>
        <v/>
      </c>
      <c r="R379" s="56" t="str">
        <f t="shared" si="72"/>
        <v/>
      </c>
      <c r="S379" s="56" t="str">
        <f t="shared" si="73"/>
        <v>Gq/11</v>
      </c>
      <c r="T379" s="56" t="str">
        <f t="shared" si="74"/>
        <v>G12/13</v>
      </c>
      <c r="U379" s="57">
        <f t="shared" si="75"/>
        <v>0</v>
      </c>
      <c r="V379" s="57">
        <f t="shared" si="76"/>
        <v>0</v>
      </c>
      <c r="W379" s="57">
        <f t="shared" si="77"/>
        <v>1</v>
      </c>
      <c r="X379" s="57">
        <f t="shared" si="78"/>
        <v>1</v>
      </c>
      <c r="Y379" s="57" t="str">
        <f t="shared" si="81"/>
        <v>nc</v>
      </c>
      <c r="Z379" s="56" t="str">
        <f t="shared" si="82"/>
        <v>nc</v>
      </c>
      <c r="AA379" s="56" t="str">
        <f t="shared" si="83"/>
        <v>c</v>
      </c>
      <c r="AB379" s="56" t="str">
        <f t="shared" si="84"/>
        <v>c</v>
      </c>
      <c r="AC379" s="56">
        <f t="shared" si="79"/>
        <v>2</v>
      </c>
      <c r="AD379" s="54">
        <f t="shared" si="80"/>
        <v>1</v>
      </c>
    </row>
    <row r="380" spans="1:30">
      <c r="A380" s="54" t="s">
        <v>3373</v>
      </c>
      <c r="B380" s="54" t="s">
        <v>3372</v>
      </c>
      <c r="C380" s="54" t="str">
        <f>VLOOKUP(A380,RecNamesAll!A:C,3,FALSE)</f>
        <v>ADGRG2</v>
      </c>
      <c r="D380" s="60">
        <v>187</v>
      </c>
      <c r="E380" s="54" t="s">
        <v>3371</v>
      </c>
      <c r="F380" s="54" t="s">
        <v>3370</v>
      </c>
      <c r="G380" s="54" t="s">
        <v>3364</v>
      </c>
      <c r="H380" s="54" t="s">
        <v>3363</v>
      </c>
      <c r="I380" s="54" t="s">
        <v>3362</v>
      </c>
      <c r="K380" s="54" t="s">
        <v>2759</v>
      </c>
      <c r="L380" s="54" t="s">
        <v>3369</v>
      </c>
      <c r="M380" s="54" t="s">
        <v>3320</v>
      </c>
      <c r="N380" s="54">
        <v>16442214</v>
      </c>
      <c r="P380" s="59">
        <v>4.1666666666666664E-2</v>
      </c>
      <c r="Q380" s="57" t="str">
        <f t="shared" si="71"/>
        <v/>
      </c>
      <c r="R380" s="56" t="str">
        <f t="shared" si="72"/>
        <v/>
      </c>
      <c r="S380" s="56" t="str">
        <f t="shared" si="73"/>
        <v>Gq/11</v>
      </c>
      <c r="T380" s="56" t="str">
        <f t="shared" si="74"/>
        <v/>
      </c>
      <c r="U380" s="57">
        <f t="shared" si="75"/>
        <v>0</v>
      </c>
      <c r="V380" s="57">
        <f t="shared" si="76"/>
        <v>0</v>
      </c>
      <c r="W380" s="57">
        <f t="shared" si="77"/>
        <v>2</v>
      </c>
      <c r="X380" s="57">
        <f t="shared" si="78"/>
        <v>0</v>
      </c>
      <c r="Y380" s="57" t="str">
        <f t="shared" si="81"/>
        <v>nc</v>
      </c>
      <c r="Z380" s="56" t="str">
        <f t="shared" si="82"/>
        <v>nc</v>
      </c>
      <c r="AA380" s="56" t="str">
        <f t="shared" si="83"/>
        <v>c</v>
      </c>
      <c r="AB380" s="56" t="str">
        <f t="shared" si="84"/>
        <v>nc</v>
      </c>
      <c r="AC380" s="56">
        <f t="shared" si="79"/>
        <v>3</v>
      </c>
      <c r="AD380" s="54">
        <f t="shared" si="80"/>
        <v>1</v>
      </c>
    </row>
    <row r="381" spans="1:30">
      <c r="A381" s="54" t="s">
        <v>3368</v>
      </c>
      <c r="B381" s="54" t="s">
        <v>3367</v>
      </c>
      <c r="C381" s="54" t="str">
        <f>VLOOKUP(A381,RecNamesAll!A:C,3,FALSE)</f>
        <v>ADGRG3</v>
      </c>
      <c r="D381" s="60">
        <v>188</v>
      </c>
      <c r="E381" s="54" t="s">
        <v>3366</v>
      </c>
      <c r="F381" s="54" t="s">
        <v>3365</v>
      </c>
      <c r="G381" s="54" t="s">
        <v>3364</v>
      </c>
      <c r="H381" s="54" t="s">
        <v>3363</v>
      </c>
      <c r="I381" s="54" t="s">
        <v>3362</v>
      </c>
      <c r="J381" s="54" t="s">
        <v>2760</v>
      </c>
      <c r="N381" s="54">
        <v>22575658</v>
      </c>
      <c r="P381" s="59">
        <v>4.1666666666666664E-2</v>
      </c>
      <c r="Q381" s="57" t="str">
        <f t="shared" si="71"/>
        <v/>
      </c>
      <c r="R381" s="56" t="str">
        <f t="shared" si="72"/>
        <v>Gi/o</v>
      </c>
      <c r="S381" s="56" t="str">
        <f t="shared" si="73"/>
        <v/>
      </c>
      <c r="T381" s="56" t="str">
        <f t="shared" si="74"/>
        <v/>
      </c>
      <c r="U381" s="57">
        <f t="shared" si="75"/>
        <v>0</v>
      </c>
      <c r="V381" s="57">
        <f t="shared" si="76"/>
        <v>1</v>
      </c>
      <c r="W381" s="57">
        <f t="shared" si="77"/>
        <v>0</v>
      </c>
      <c r="X381" s="57">
        <f t="shared" si="78"/>
        <v>0</v>
      </c>
      <c r="Y381" s="57" t="str">
        <f t="shared" si="81"/>
        <v>nc</v>
      </c>
      <c r="Z381" s="56" t="str">
        <f t="shared" si="82"/>
        <v>c</v>
      </c>
      <c r="AA381" s="56" t="str">
        <f t="shared" si="83"/>
        <v>nc</v>
      </c>
      <c r="AB381" s="56" t="str">
        <f t="shared" si="84"/>
        <v>nc</v>
      </c>
      <c r="AC381" s="56">
        <f t="shared" si="79"/>
        <v>3</v>
      </c>
      <c r="AD381" s="54">
        <f t="shared" si="80"/>
        <v>1</v>
      </c>
    </row>
    <row r="382" spans="1:30">
      <c r="A382" s="54" t="s">
        <v>3361</v>
      </c>
      <c r="B382" s="54" t="s">
        <v>829</v>
      </c>
      <c r="C382" s="54" t="str">
        <f>VLOOKUP(A382,RecNamesAll!A:C,3,FALSE)</f>
        <v>CaS</v>
      </c>
      <c r="D382" s="60">
        <v>54</v>
      </c>
      <c r="E382" s="54" t="s">
        <v>3361</v>
      </c>
      <c r="F382" s="54" t="s">
        <v>3360</v>
      </c>
      <c r="G382" s="54" t="s">
        <v>3323</v>
      </c>
      <c r="H382" s="54" t="s">
        <v>3359</v>
      </c>
      <c r="I382" s="54" t="s">
        <v>3358</v>
      </c>
      <c r="J382" s="54" t="s">
        <v>3357</v>
      </c>
      <c r="K382" s="54" t="s">
        <v>3356</v>
      </c>
      <c r="L382" s="54" t="s">
        <v>3355</v>
      </c>
      <c r="M382" s="54" t="s">
        <v>3354</v>
      </c>
      <c r="N382" s="54" t="s">
        <v>3353</v>
      </c>
      <c r="O382" s="54" t="s">
        <v>3352</v>
      </c>
      <c r="P382" s="59">
        <v>0.20833333333333334</v>
      </c>
      <c r="Q382" s="57" t="str">
        <f t="shared" si="71"/>
        <v/>
      </c>
      <c r="R382" s="56" t="str">
        <f t="shared" si="72"/>
        <v>Gi/o</v>
      </c>
      <c r="S382" s="56" t="str">
        <f t="shared" si="73"/>
        <v>Gq/11</v>
      </c>
      <c r="T382" s="56" t="str">
        <f t="shared" si="74"/>
        <v>G12/13</v>
      </c>
      <c r="U382" s="57">
        <f t="shared" si="75"/>
        <v>0</v>
      </c>
      <c r="V382" s="57">
        <f t="shared" si="76"/>
        <v>1</v>
      </c>
      <c r="W382" s="57">
        <f t="shared" si="77"/>
        <v>1</v>
      </c>
      <c r="X382" s="57">
        <f t="shared" si="78"/>
        <v>1</v>
      </c>
      <c r="Y382" s="57" t="str">
        <f t="shared" si="81"/>
        <v>nc</v>
      </c>
      <c r="Z382" s="56" t="str">
        <f t="shared" si="82"/>
        <v>c</v>
      </c>
      <c r="AA382" s="56" t="str">
        <f t="shared" si="83"/>
        <v>c</v>
      </c>
      <c r="AB382" s="56" t="str">
        <f t="shared" si="84"/>
        <v>c</v>
      </c>
      <c r="AC382" s="56">
        <f t="shared" si="79"/>
        <v>1</v>
      </c>
      <c r="AD382" s="54">
        <f t="shared" si="80"/>
        <v>1</v>
      </c>
    </row>
    <row r="383" spans="1:30">
      <c r="A383" s="54" t="s">
        <v>2886</v>
      </c>
      <c r="B383" s="54" t="s">
        <v>1533</v>
      </c>
      <c r="C383" s="54" t="str">
        <f>VLOOKUP(A383,RecNamesAll!A:C,3,FALSE)</f>
        <v>mGlu1</v>
      </c>
      <c r="D383" s="60">
        <v>289</v>
      </c>
      <c r="E383" s="54" t="s">
        <v>2886</v>
      </c>
      <c r="F383" s="54" t="s">
        <v>3351</v>
      </c>
      <c r="G383" s="54" t="s">
        <v>3323</v>
      </c>
      <c r="H383" s="54" t="s">
        <v>3329</v>
      </c>
      <c r="I383" s="54" t="s">
        <v>3328</v>
      </c>
      <c r="J383" s="54" t="s">
        <v>2759</v>
      </c>
      <c r="K383" s="54" t="s">
        <v>3350</v>
      </c>
      <c r="L383" s="54" t="s">
        <v>3320</v>
      </c>
      <c r="M383" s="54" t="s">
        <v>3349</v>
      </c>
      <c r="N383" s="54" t="s">
        <v>3348</v>
      </c>
      <c r="O383" s="54" t="s">
        <v>3348</v>
      </c>
      <c r="P383" s="59">
        <v>0.16666666666666666</v>
      </c>
      <c r="Q383" s="57" t="str">
        <f t="shared" si="71"/>
        <v>Gs</v>
      </c>
      <c r="R383" s="56" t="str">
        <f t="shared" si="72"/>
        <v>Gi/o</v>
      </c>
      <c r="S383" s="56" t="str">
        <f t="shared" si="73"/>
        <v>Gq/11</v>
      </c>
      <c r="T383" s="56" t="str">
        <f t="shared" si="74"/>
        <v/>
      </c>
      <c r="U383" s="57">
        <f t="shared" si="75"/>
        <v>2</v>
      </c>
      <c r="V383" s="57">
        <f t="shared" si="76"/>
        <v>2</v>
      </c>
      <c r="W383" s="57">
        <f t="shared" si="77"/>
        <v>1</v>
      </c>
      <c r="X383" s="57">
        <f t="shared" si="78"/>
        <v>0</v>
      </c>
      <c r="Y383" s="57" t="str">
        <f t="shared" si="81"/>
        <v>c</v>
      </c>
      <c r="Z383" s="56" t="str">
        <f t="shared" si="82"/>
        <v>c</v>
      </c>
      <c r="AA383" s="56" t="str">
        <f t="shared" si="83"/>
        <v>c</v>
      </c>
      <c r="AB383" s="56" t="str">
        <f t="shared" si="84"/>
        <v>nc</v>
      </c>
      <c r="AC383" s="56">
        <f t="shared" si="79"/>
        <v>1</v>
      </c>
      <c r="AD383" s="54">
        <f t="shared" si="80"/>
        <v>1</v>
      </c>
    </row>
    <row r="384" spans="1:30">
      <c r="A384" s="54" t="s">
        <v>167</v>
      </c>
      <c r="B384" s="54" t="s">
        <v>321</v>
      </c>
      <c r="C384" s="54" t="str">
        <f>VLOOKUP(A384,RecNamesAll!A:C,3,FALSE)</f>
        <v>mGlu2</v>
      </c>
      <c r="D384" s="60">
        <v>290</v>
      </c>
      <c r="E384" s="54" t="s">
        <v>167</v>
      </c>
      <c r="F384" s="54" t="s">
        <v>3347</v>
      </c>
      <c r="G384" s="54" t="s">
        <v>3323</v>
      </c>
      <c r="H384" s="54" t="s">
        <v>3329</v>
      </c>
      <c r="I384" s="54" t="s">
        <v>3328</v>
      </c>
      <c r="J384" s="54" t="s">
        <v>2760</v>
      </c>
      <c r="L384" s="54" t="s">
        <v>3346</v>
      </c>
      <c r="N384" s="54" t="s">
        <v>3345</v>
      </c>
      <c r="P384" s="59">
        <v>8.3333333333333329E-2</v>
      </c>
      <c r="Q384" s="57" t="str">
        <f t="shared" si="71"/>
        <v/>
      </c>
      <c r="R384" s="56" t="str">
        <f t="shared" si="72"/>
        <v>Gi/o</v>
      </c>
      <c r="S384" s="56" t="str">
        <f t="shared" si="73"/>
        <v/>
      </c>
      <c r="T384" s="56" t="str">
        <f t="shared" si="74"/>
        <v/>
      </c>
      <c r="U384" s="57">
        <f t="shared" si="75"/>
        <v>0</v>
      </c>
      <c r="V384" s="57">
        <f t="shared" si="76"/>
        <v>1</v>
      </c>
      <c r="W384" s="57">
        <f t="shared" si="77"/>
        <v>0</v>
      </c>
      <c r="X384" s="57">
        <f t="shared" si="78"/>
        <v>0</v>
      </c>
      <c r="Y384" s="57" t="str">
        <f t="shared" si="81"/>
        <v>nc</v>
      </c>
      <c r="Z384" s="56" t="str">
        <f t="shared" si="82"/>
        <v>c</v>
      </c>
      <c r="AA384" s="56" t="str">
        <f t="shared" si="83"/>
        <v>nc</v>
      </c>
      <c r="AB384" s="56" t="str">
        <f t="shared" si="84"/>
        <v>nc</v>
      </c>
      <c r="AC384" s="56">
        <f t="shared" si="79"/>
        <v>3</v>
      </c>
      <c r="AD384" s="54">
        <f t="shared" si="80"/>
        <v>1</v>
      </c>
    </row>
    <row r="385" spans="1:30">
      <c r="A385" s="54" t="s">
        <v>2882</v>
      </c>
      <c r="B385" s="54" t="s">
        <v>1542</v>
      </c>
      <c r="C385" s="54" t="str">
        <f>VLOOKUP(A385,RecNamesAll!A:C,3,FALSE)</f>
        <v>mGlu3</v>
      </c>
      <c r="D385" s="60">
        <v>291</v>
      </c>
      <c r="E385" s="54" t="s">
        <v>2882</v>
      </c>
      <c r="F385" s="54" t="s">
        <v>3344</v>
      </c>
      <c r="G385" s="54" t="s">
        <v>3323</v>
      </c>
      <c r="H385" s="54" t="s">
        <v>3329</v>
      </c>
      <c r="I385" s="54" t="s">
        <v>3328</v>
      </c>
      <c r="J385" s="54" t="s">
        <v>2760</v>
      </c>
      <c r="L385" s="54" t="s">
        <v>3343</v>
      </c>
      <c r="N385" s="54">
        <v>11168538</v>
      </c>
      <c r="P385" s="59">
        <v>4.1666666666666664E-2</v>
      </c>
      <c r="Q385" s="57" t="str">
        <f t="shared" si="71"/>
        <v/>
      </c>
      <c r="R385" s="56" t="str">
        <f t="shared" si="72"/>
        <v>Gi/o</v>
      </c>
      <c r="S385" s="56" t="str">
        <f t="shared" si="73"/>
        <v/>
      </c>
      <c r="T385" s="56" t="str">
        <f t="shared" si="74"/>
        <v/>
      </c>
      <c r="U385" s="57">
        <f t="shared" si="75"/>
        <v>0</v>
      </c>
      <c r="V385" s="57">
        <f t="shared" si="76"/>
        <v>1</v>
      </c>
      <c r="W385" s="57">
        <f t="shared" si="77"/>
        <v>0</v>
      </c>
      <c r="X385" s="57">
        <f t="shared" si="78"/>
        <v>0</v>
      </c>
      <c r="Y385" s="57" t="str">
        <f t="shared" si="81"/>
        <v>nc</v>
      </c>
      <c r="Z385" s="56" t="str">
        <f t="shared" si="82"/>
        <v>c</v>
      </c>
      <c r="AA385" s="56" t="str">
        <f t="shared" si="83"/>
        <v>nc</v>
      </c>
      <c r="AB385" s="56" t="str">
        <f t="shared" si="84"/>
        <v>nc</v>
      </c>
      <c r="AC385" s="56">
        <f t="shared" si="79"/>
        <v>3</v>
      </c>
      <c r="AD385" s="54">
        <f t="shared" si="80"/>
        <v>1</v>
      </c>
    </row>
    <row r="386" spans="1:30">
      <c r="A386" s="54" t="s">
        <v>168</v>
      </c>
      <c r="B386" s="54" t="s">
        <v>322</v>
      </c>
      <c r="C386" s="54" t="str">
        <f>VLOOKUP(A386,RecNamesAll!A:C,3,FALSE)</f>
        <v>mGlu4</v>
      </c>
      <c r="D386" s="60">
        <v>292</v>
      </c>
      <c r="E386" s="54" t="s">
        <v>168</v>
      </c>
      <c r="F386" s="54" t="s">
        <v>3342</v>
      </c>
      <c r="G386" s="54" t="s">
        <v>3323</v>
      </c>
      <c r="H386" s="54" t="s">
        <v>3329</v>
      </c>
      <c r="I386" s="54" t="s">
        <v>3328</v>
      </c>
      <c r="J386" s="54" t="s">
        <v>2760</v>
      </c>
      <c r="L386" s="54" t="s">
        <v>3327</v>
      </c>
      <c r="N386" s="54" t="s">
        <v>3341</v>
      </c>
      <c r="P386" s="59">
        <v>8.3333333333333329E-2</v>
      </c>
      <c r="Q386" s="57" t="str">
        <f t="shared" ref="Q386:Q401" si="85">IF(OR(ISNUMBER(SEARCH("Gs",$J386)),ISNUMBER(SEARCH("Gs",$K386))),"Gs","")</f>
        <v/>
      </c>
      <c r="R386" s="56" t="str">
        <f t="shared" ref="R386:R401" si="86">IF(OR(ISNUMBER(SEARCH("Gi/o",$J386)),ISNUMBER(SEARCH("Gi/o",$K386))),"Gi/o","")</f>
        <v>Gi/o</v>
      </c>
      <c r="S386" s="56" t="str">
        <f t="shared" ref="S386:S401" si="87">IF(OR(ISNUMBER(SEARCH("Gq/11",$J386)),ISNUMBER(SEARCH("Gq/11",$K386))),"Gq/11","")</f>
        <v/>
      </c>
      <c r="T386" s="56" t="str">
        <f t="shared" ref="T386:T401" si="88">IF(OR(ISNUMBER(SEARCH("G12/13",$J386)),ISNUMBER(SEARCH("G12/13",$K386))),"G12/13","")</f>
        <v/>
      </c>
      <c r="U386" s="57">
        <f t="shared" ref="U386:U401" si="89">IF(ISNUMBER(SEARCH("Gs",$J386)),1,IF(ISNUMBER(SEARCH("Gs",$K386)),2,0))</f>
        <v>0</v>
      </c>
      <c r="V386" s="57">
        <f t="shared" ref="V386:V401" si="90">IF(ISNUMBER(SEARCH("Gi/o",$J386)),1,IF(ISNUMBER(SEARCH("Gi/o",$K386)),2,0))</f>
        <v>1</v>
      </c>
      <c r="W386" s="57">
        <f t="shared" ref="W386:W401" si="91">IF(ISNUMBER(SEARCH("Gq/11",$J386)),1,IF(ISNUMBER(SEARCH("Gq/11",$K386)),2,0))</f>
        <v>0</v>
      </c>
      <c r="X386" s="57">
        <f t="shared" ref="X386:X401" si="92">IF(ISNUMBER(SEARCH("G12/13",$J386)),1,IF(ISNUMBER(SEARCH("G12/13",$K386)),2,0))</f>
        <v>0</v>
      </c>
      <c r="Y386" s="57" t="str">
        <f t="shared" si="81"/>
        <v>nc</v>
      </c>
      <c r="Z386" s="56" t="str">
        <f t="shared" si="82"/>
        <v>c</v>
      </c>
      <c r="AA386" s="56" t="str">
        <f t="shared" si="83"/>
        <v>nc</v>
      </c>
      <c r="AB386" s="56" t="str">
        <f t="shared" si="84"/>
        <v>nc</v>
      </c>
      <c r="AC386" s="56">
        <f t="shared" ref="AC386:AC401" si="93">IF(SUM(U386:X386)&gt;0,COUNTIF(U386:X386,"0"),"")</f>
        <v>3</v>
      </c>
      <c r="AD386" s="54">
        <f t="shared" ref="AD386:AD401" si="94">IF(SUM(U386:X386)&gt;0,1,0)</f>
        <v>1</v>
      </c>
    </row>
    <row r="387" spans="1:30">
      <c r="A387" s="54" t="s">
        <v>0</v>
      </c>
      <c r="B387" s="54" t="s">
        <v>323</v>
      </c>
      <c r="C387" s="54" t="str">
        <f>VLOOKUP(A387,RecNamesAll!A:C,3,FALSE)</f>
        <v>mGlu5</v>
      </c>
      <c r="D387" s="60">
        <v>293</v>
      </c>
      <c r="E387" s="54" t="s">
        <v>0</v>
      </c>
      <c r="F387" s="54" t="s">
        <v>3340</v>
      </c>
      <c r="G387" s="54" t="s">
        <v>3323</v>
      </c>
      <c r="H387" s="54" t="s">
        <v>3329</v>
      </c>
      <c r="I387" s="54" t="s">
        <v>3328</v>
      </c>
      <c r="J387" s="54" t="s">
        <v>2759</v>
      </c>
      <c r="K387" s="54" t="s">
        <v>3299</v>
      </c>
      <c r="L387" s="54" t="s">
        <v>3320</v>
      </c>
      <c r="M387" s="54" t="s">
        <v>3339</v>
      </c>
      <c r="N387" s="54" t="s">
        <v>3338</v>
      </c>
      <c r="O387" s="54" t="s">
        <v>3337</v>
      </c>
      <c r="P387" s="59">
        <v>8.3333333333333329E-2</v>
      </c>
      <c r="Q387" s="57" t="str">
        <f t="shared" si="85"/>
        <v>Gs</v>
      </c>
      <c r="R387" s="56" t="str">
        <f t="shared" si="86"/>
        <v>Gi/o</v>
      </c>
      <c r="S387" s="56" t="str">
        <f t="shared" si="87"/>
        <v>Gq/11</v>
      </c>
      <c r="T387" s="56" t="str">
        <f t="shared" si="88"/>
        <v/>
      </c>
      <c r="U387" s="57">
        <f t="shared" si="89"/>
        <v>2</v>
      </c>
      <c r="V387" s="57">
        <f t="shared" si="90"/>
        <v>2</v>
      </c>
      <c r="W387" s="57">
        <f t="shared" si="91"/>
        <v>1</v>
      </c>
      <c r="X387" s="57">
        <f t="shared" si="92"/>
        <v>0</v>
      </c>
      <c r="Y387" s="57" t="str">
        <f t="shared" ref="Y387:Y401" si="95">IF(U387&gt;0,"c","nc")</f>
        <v>c</v>
      </c>
      <c r="Z387" s="56" t="str">
        <f t="shared" ref="Z387:Z401" si="96">IF(V387&gt;0,"c","nc")</f>
        <v>c</v>
      </c>
      <c r="AA387" s="56" t="str">
        <f t="shared" ref="AA387:AA401" si="97">IF(W387&gt;0,"c","nc")</f>
        <v>c</v>
      </c>
      <c r="AB387" s="56" t="str">
        <f t="shared" ref="AB387:AB401" si="98">IF(X387&gt;0,"c","nc")</f>
        <v>nc</v>
      </c>
      <c r="AC387" s="56">
        <f t="shared" si="93"/>
        <v>1</v>
      </c>
      <c r="AD387" s="54">
        <f t="shared" si="94"/>
        <v>1</v>
      </c>
    </row>
    <row r="388" spans="1:30">
      <c r="A388" s="54" t="s">
        <v>169</v>
      </c>
      <c r="B388" s="54" t="s">
        <v>324</v>
      </c>
      <c r="C388" s="54" t="str">
        <f>VLOOKUP(A388,RecNamesAll!A:C,3,FALSE)</f>
        <v>mGlu6</v>
      </c>
      <c r="D388" s="60">
        <v>294</v>
      </c>
      <c r="E388" s="54" t="s">
        <v>169</v>
      </c>
      <c r="F388" s="54" t="s">
        <v>3336</v>
      </c>
      <c r="G388" s="54" t="s">
        <v>3323</v>
      </c>
      <c r="H388" s="54" t="s">
        <v>3329</v>
      </c>
      <c r="I388" s="54" t="s">
        <v>3328</v>
      </c>
      <c r="J388" s="54" t="s">
        <v>2760</v>
      </c>
      <c r="K388" s="54" t="s">
        <v>2760</v>
      </c>
      <c r="L388" s="54" t="s">
        <v>3298</v>
      </c>
      <c r="M388" s="54" t="s">
        <v>3327</v>
      </c>
      <c r="N388" s="54" t="s">
        <v>3335</v>
      </c>
      <c r="O388" s="54" t="s">
        <v>3334</v>
      </c>
      <c r="P388" s="59">
        <v>8.3333333333333329E-2</v>
      </c>
      <c r="Q388" s="57" t="str">
        <f t="shared" si="85"/>
        <v/>
      </c>
      <c r="R388" s="56" t="str">
        <f t="shared" si="86"/>
        <v>Gi/o</v>
      </c>
      <c r="S388" s="56" t="str">
        <f t="shared" si="87"/>
        <v/>
      </c>
      <c r="T388" s="56" t="str">
        <f t="shared" si="88"/>
        <v/>
      </c>
      <c r="U388" s="57">
        <f t="shared" si="89"/>
        <v>0</v>
      </c>
      <c r="V388" s="57">
        <f t="shared" si="90"/>
        <v>1</v>
      </c>
      <c r="W388" s="57">
        <f t="shared" si="91"/>
        <v>0</v>
      </c>
      <c r="X388" s="57">
        <f t="shared" si="92"/>
        <v>0</v>
      </c>
      <c r="Y388" s="57" t="str">
        <f t="shared" si="95"/>
        <v>nc</v>
      </c>
      <c r="Z388" s="56" t="str">
        <f t="shared" si="96"/>
        <v>c</v>
      </c>
      <c r="AA388" s="56" t="str">
        <f t="shared" si="97"/>
        <v>nc</v>
      </c>
      <c r="AB388" s="56" t="str">
        <f t="shared" si="98"/>
        <v>nc</v>
      </c>
      <c r="AC388" s="56">
        <f t="shared" si="93"/>
        <v>3</v>
      </c>
      <c r="AD388" s="54">
        <f t="shared" si="94"/>
        <v>1</v>
      </c>
    </row>
    <row r="389" spans="1:30">
      <c r="A389" s="54" t="s">
        <v>2874</v>
      </c>
      <c r="B389" s="54" t="s">
        <v>1559</v>
      </c>
      <c r="C389" s="54" t="str">
        <f>VLOOKUP(A389,RecNamesAll!A:C,3,FALSE)</f>
        <v>mGlu7</v>
      </c>
      <c r="D389" s="60">
        <v>295</v>
      </c>
      <c r="E389" s="54" t="s">
        <v>2874</v>
      </c>
      <c r="F389" s="54" t="s">
        <v>3333</v>
      </c>
      <c r="G389" s="54" t="s">
        <v>3323</v>
      </c>
      <c r="H389" s="54" t="s">
        <v>3329</v>
      </c>
      <c r="I389" s="54" t="s">
        <v>3328</v>
      </c>
      <c r="J389" s="54" t="s">
        <v>2760</v>
      </c>
      <c r="K389" s="54" t="s">
        <v>2760</v>
      </c>
      <c r="L389" s="54" t="s">
        <v>3332</v>
      </c>
      <c r="M389" s="54" t="s">
        <v>3320</v>
      </c>
      <c r="N389" s="54" t="s">
        <v>3331</v>
      </c>
      <c r="O389" s="54">
        <v>11050109</v>
      </c>
      <c r="P389" s="59">
        <v>0.16666666666666666</v>
      </c>
      <c r="Q389" s="57" t="str">
        <f t="shared" si="85"/>
        <v/>
      </c>
      <c r="R389" s="56" t="str">
        <f t="shared" si="86"/>
        <v>Gi/o</v>
      </c>
      <c r="S389" s="56" t="str">
        <f t="shared" si="87"/>
        <v/>
      </c>
      <c r="T389" s="56" t="str">
        <f t="shared" si="88"/>
        <v/>
      </c>
      <c r="U389" s="57">
        <f t="shared" si="89"/>
        <v>0</v>
      </c>
      <c r="V389" s="57">
        <f t="shared" si="90"/>
        <v>1</v>
      </c>
      <c r="W389" s="57">
        <f t="shared" si="91"/>
        <v>0</v>
      </c>
      <c r="X389" s="57">
        <f t="shared" si="92"/>
        <v>0</v>
      </c>
      <c r="Y389" s="57" t="str">
        <f t="shared" si="95"/>
        <v>nc</v>
      </c>
      <c r="Z389" s="56" t="str">
        <f t="shared" si="96"/>
        <v>c</v>
      </c>
      <c r="AA389" s="56" t="str">
        <f t="shared" si="97"/>
        <v>nc</v>
      </c>
      <c r="AB389" s="56" t="str">
        <f t="shared" si="98"/>
        <v>nc</v>
      </c>
      <c r="AC389" s="56">
        <f t="shared" si="93"/>
        <v>3</v>
      </c>
      <c r="AD389" s="54">
        <f t="shared" si="94"/>
        <v>1</v>
      </c>
    </row>
    <row r="390" spans="1:30">
      <c r="A390" s="54" t="s">
        <v>170</v>
      </c>
      <c r="B390" s="54" t="s">
        <v>325</v>
      </c>
      <c r="C390" s="54" t="str">
        <f>VLOOKUP(A390,RecNamesAll!A:C,3,FALSE)</f>
        <v>mGlu8</v>
      </c>
      <c r="D390" s="60">
        <v>296</v>
      </c>
      <c r="E390" s="54" t="s">
        <v>170</v>
      </c>
      <c r="F390" s="54" t="s">
        <v>3330</v>
      </c>
      <c r="G390" s="54" t="s">
        <v>3323</v>
      </c>
      <c r="H390" s="54" t="s">
        <v>3329</v>
      </c>
      <c r="I390" s="54" t="s">
        <v>3328</v>
      </c>
      <c r="J390" s="54" t="s">
        <v>2760</v>
      </c>
      <c r="L390" s="54" t="s">
        <v>3327</v>
      </c>
      <c r="N390" s="54" t="s">
        <v>3326</v>
      </c>
      <c r="P390" s="59">
        <v>0.125</v>
      </c>
      <c r="Q390" s="57" t="str">
        <f t="shared" si="85"/>
        <v/>
      </c>
      <c r="R390" s="56" t="str">
        <f t="shared" si="86"/>
        <v>Gi/o</v>
      </c>
      <c r="S390" s="56" t="str">
        <f t="shared" si="87"/>
        <v/>
      </c>
      <c r="T390" s="56" t="str">
        <f t="shared" si="88"/>
        <v/>
      </c>
      <c r="U390" s="57">
        <f t="shared" si="89"/>
        <v>0</v>
      </c>
      <c r="V390" s="57">
        <f t="shared" si="90"/>
        <v>1</v>
      </c>
      <c r="W390" s="57">
        <f t="shared" si="91"/>
        <v>0</v>
      </c>
      <c r="X390" s="57">
        <f t="shared" si="92"/>
        <v>0</v>
      </c>
      <c r="Y390" s="57" t="str">
        <f t="shared" si="95"/>
        <v>nc</v>
      </c>
      <c r="Z390" s="56" t="str">
        <f t="shared" si="96"/>
        <v>c</v>
      </c>
      <c r="AA390" s="56" t="str">
        <f t="shared" si="97"/>
        <v>nc</v>
      </c>
      <c r="AB390" s="56" t="str">
        <f t="shared" si="98"/>
        <v>nc</v>
      </c>
      <c r="AC390" s="56">
        <f t="shared" si="93"/>
        <v>3</v>
      </c>
      <c r="AD390" s="54">
        <f t="shared" si="94"/>
        <v>1</v>
      </c>
    </row>
    <row r="391" spans="1:30">
      <c r="A391" s="54" t="s">
        <v>3325</v>
      </c>
      <c r="B391" s="54" t="s">
        <v>1381</v>
      </c>
      <c r="C391" s="54" t="str">
        <f>VLOOKUP(A391,RecNamesAll!A:C,3,FALSE)</f>
        <v>GPRC6</v>
      </c>
      <c r="D391" s="60">
        <v>55</v>
      </c>
      <c r="E391" s="54" t="s">
        <v>3324</v>
      </c>
      <c r="G391" s="54" t="s">
        <v>3323</v>
      </c>
      <c r="H391" s="54" t="s">
        <v>3322</v>
      </c>
      <c r="I391" s="54" t="s">
        <v>3321</v>
      </c>
      <c r="J391" s="54" t="s">
        <v>2759</v>
      </c>
      <c r="L391" s="54" t="s">
        <v>3320</v>
      </c>
      <c r="N391" s="54" t="s">
        <v>3319</v>
      </c>
      <c r="P391" s="59">
        <v>8.3333333333333329E-2</v>
      </c>
      <c r="Q391" s="57" t="str">
        <f t="shared" si="85"/>
        <v/>
      </c>
      <c r="R391" s="56" t="str">
        <f t="shared" si="86"/>
        <v/>
      </c>
      <c r="S391" s="56" t="str">
        <f t="shared" si="87"/>
        <v>Gq/11</v>
      </c>
      <c r="T391" s="56" t="str">
        <f t="shared" si="88"/>
        <v/>
      </c>
      <c r="U391" s="57">
        <f t="shared" si="89"/>
        <v>0</v>
      </c>
      <c r="V391" s="57">
        <f t="shared" si="90"/>
        <v>0</v>
      </c>
      <c r="W391" s="57">
        <f t="shared" si="91"/>
        <v>1</v>
      </c>
      <c r="X391" s="57">
        <f t="shared" si="92"/>
        <v>0</v>
      </c>
      <c r="Y391" s="57" t="str">
        <f t="shared" si="95"/>
        <v>nc</v>
      </c>
      <c r="Z391" s="56" t="str">
        <f t="shared" si="96"/>
        <v>nc</v>
      </c>
      <c r="AA391" s="56" t="str">
        <f t="shared" si="97"/>
        <v>c</v>
      </c>
      <c r="AB391" s="56" t="str">
        <f t="shared" si="98"/>
        <v>nc</v>
      </c>
      <c r="AC391" s="56">
        <f t="shared" si="93"/>
        <v>3</v>
      </c>
      <c r="AD391" s="54">
        <f t="shared" si="94"/>
        <v>1</v>
      </c>
    </row>
    <row r="392" spans="1:30">
      <c r="A392" s="54" t="s">
        <v>3295</v>
      </c>
      <c r="B392" s="54" t="s">
        <v>3318</v>
      </c>
      <c r="C392" s="54" t="str">
        <f>VLOOKUP(A392,RecNamesAll!A:C,3,FALSE)</f>
        <v>FZD3</v>
      </c>
      <c r="D392" s="60">
        <v>231</v>
      </c>
      <c r="E392" s="54" t="s">
        <v>3295</v>
      </c>
      <c r="G392" s="54" t="s">
        <v>3289</v>
      </c>
      <c r="H392" s="54" t="s">
        <v>3288</v>
      </c>
      <c r="I392" s="54" t="s">
        <v>3287</v>
      </c>
      <c r="J392" s="54" t="s">
        <v>3317</v>
      </c>
      <c r="N392" s="54" t="s">
        <v>3316</v>
      </c>
      <c r="P392" s="59">
        <v>8.3333333333333329E-2</v>
      </c>
      <c r="Q392" s="57" t="str">
        <f t="shared" si="85"/>
        <v>Gs</v>
      </c>
      <c r="R392" s="56" t="str">
        <f t="shared" si="86"/>
        <v/>
      </c>
      <c r="S392" s="56" t="str">
        <f t="shared" si="87"/>
        <v/>
      </c>
      <c r="T392" s="56" t="str">
        <f t="shared" si="88"/>
        <v/>
      </c>
      <c r="U392" s="57">
        <f t="shared" si="89"/>
        <v>1</v>
      </c>
      <c r="V392" s="57">
        <f t="shared" si="90"/>
        <v>0</v>
      </c>
      <c r="W392" s="57">
        <f t="shared" si="91"/>
        <v>0</v>
      </c>
      <c r="X392" s="57">
        <f t="shared" si="92"/>
        <v>0</v>
      </c>
      <c r="Y392" s="57" t="str">
        <f t="shared" si="95"/>
        <v>c</v>
      </c>
      <c r="Z392" s="56" t="str">
        <f t="shared" si="96"/>
        <v>nc</v>
      </c>
      <c r="AA392" s="56" t="str">
        <f t="shared" si="97"/>
        <v>nc</v>
      </c>
      <c r="AB392" s="56" t="str">
        <f t="shared" si="98"/>
        <v>nc</v>
      </c>
      <c r="AC392" s="56">
        <f t="shared" si="93"/>
        <v>3</v>
      </c>
      <c r="AD392" s="54">
        <f t="shared" si="94"/>
        <v>1</v>
      </c>
    </row>
    <row r="393" spans="1:30">
      <c r="A393" s="54" t="s">
        <v>3315</v>
      </c>
      <c r="B393" s="54" t="s">
        <v>1175</v>
      </c>
      <c r="C393" s="54" t="str">
        <f>VLOOKUP(A393,RecNamesAll!A:C,3,FALSE)</f>
        <v>FZD1</v>
      </c>
      <c r="D393" s="60">
        <v>229</v>
      </c>
      <c r="E393" s="54" t="s">
        <v>3315</v>
      </c>
      <c r="G393" s="54" t="s">
        <v>3289</v>
      </c>
      <c r="H393" s="54" t="s">
        <v>3288</v>
      </c>
      <c r="I393" s="54" t="s">
        <v>3287</v>
      </c>
      <c r="K393" s="54" t="s">
        <v>3314</v>
      </c>
      <c r="L393" s="54" t="s">
        <v>3298</v>
      </c>
      <c r="M393" s="54" t="s">
        <v>3313</v>
      </c>
      <c r="N393" s="54" t="s">
        <v>3312</v>
      </c>
      <c r="O393" s="54" t="s">
        <v>3311</v>
      </c>
      <c r="P393" s="59">
        <v>0.16666666666666666</v>
      </c>
      <c r="Q393" s="57" t="str">
        <f t="shared" si="85"/>
        <v/>
      </c>
      <c r="R393" s="56" t="str">
        <f t="shared" si="86"/>
        <v>Gi/o</v>
      </c>
      <c r="S393" s="56" t="str">
        <f t="shared" si="87"/>
        <v>Gq/11</v>
      </c>
      <c r="T393" s="56" t="str">
        <f t="shared" si="88"/>
        <v/>
      </c>
      <c r="U393" s="57">
        <f t="shared" si="89"/>
        <v>0</v>
      </c>
      <c r="V393" s="57">
        <f t="shared" si="90"/>
        <v>2</v>
      </c>
      <c r="W393" s="57">
        <f t="shared" si="91"/>
        <v>2</v>
      </c>
      <c r="X393" s="57">
        <f t="shared" si="92"/>
        <v>0</v>
      </c>
      <c r="Y393" s="57" t="str">
        <f t="shared" si="95"/>
        <v>nc</v>
      </c>
      <c r="Z393" s="56" t="str">
        <f t="shared" si="96"/>
        <v>c</v>
      </c>
      <c r="AA393" s="56" t="str">
        <f t="shared" si="97"/>
        <v>c</v>
      </c>
      <c r="AB393" s="56" t="str">
        <f t="shared" si="98"/>
        <v>nc</v>
      </c>
      <c r="AC393" s="56">
        <f t="shared" si="93"/>
        <v>2</v>
      </c>
      <c r="AD393" s="54">
        <f t="shared" si="94"/>
        <v>1</v>
      </c>
    </row>
    <row r="394" spans="1:30">
      <c r="A394" s="54" t="s">
        <v>3310</v>
      </c>
      <c r="B394" s="54" t="s">
        <v>1191</v>
      </c>
      <c r="C394" s="54" t="str">
        <f>VLOOKUP(A394,RecNamesAll!A:C,3,FALSE)</f>
        <v>FZD2</v>
      </c>
      <c r="D394" s="60">
        <v>230</v>
      </c>
      <c r="E394" s="54" t="s">
        <v>3310</v>
      </c>
      <c r="G394" s="54" t="s">
        <v>3289</v>
      </c>
      <c r="H394" s="54" t="s">
        <v>3288</v>
      </c>
      <c r="I394" s="54" t="s">
        <v>3287</v>
      </c>
      <c r="J394" s="54" t="s">
        <v>3309</v>
      </c>
      <c r="L394" s="54" t="s">
        <v>3308</v>
      </c>
      <c r="N394" s="54" t="s">
        <v>3307</v>
      </c>
      <c r="P394" s="59">
        <v>0.125</v>
      </c>
      <c r="Q394" s="57" t="str">
        <f t="shared" si="85"/>
        <v/>
      </c>
      <c r="R394" s="56" t="str">
        <f t="shared" si="86"/>
        <v>Gi/o</v>
      </c>
      <c r="S394" s="56" t="str">
        <f t="shared" si="87"/>
        <v/>
      </c>
      <c r="T394" s="56" t="str">
        <f t="shared" si="88"/>
        <v/>
      </c>
      <c r="U394" s="57">
        <f t="shared" si="89"/>
        <v>0</v>
      </c>
      <c r="V394" s="57">
        <f t="shared" si="90"/>
        <v>1</v>
      </c>
      <c r="W394" s="57">
        <f t="shared" si="91"/>
        <v>0</v>
      </c>
      <c r="X394" s="57">
        <f t="shared" si="92"/>
        <v>0</v>
      </c>
      <c r="Y394" s="57" t="str">
        <f t="shared" si="95"/>
        <v>nc</v>
      </c>
      <c r="Z394" s="56" t="str">
        <f t="shared" si="96"/>
        <v>c</v>
      </c>
      <c r="AA394" s="56" t="str">
        <f t="shared" si="97"/>
        <v>nc</v>
      </c>
      <c r="AB394" s="56" t="str">
        <f t="shared" si="98"/>
        <v>nc</v>
      </c>
      <c r="AC394" s="56">
        <f t="shared" si="93"/>
        <v>3</v>
      </c>
      <c r="AD394" s="54">
        <f t="shared" si="94"/>
        <v>1</v>
      </c>
    </row>
    <row r="395" spans="1:30">
      <c r="A395" s="54" t="s">
        <v>3305</v>
      </c>
      <c r="B395" s="54" t="s">
        <v>3306</v>
      </c>
      <c r="C395" s="54" t="str">
        <f>VLOOKUP(A395,RecNamesAll!A:C,3,FALSE)</f>
        <v>FZD4</v>
      </c>
      <c r="D395" s="60">
        <v>232</v>
      </c>
      <c r="E395" s="54" t="s">
        <v>3305</v>
      </c>
      <c r="G395" s="54" t="s">
        <v>3289</v>
      </c>
      <c r="H395" s="54" t="s">
        <v>3288</v>
      </c>
      <c r="I395" s="54" t="s">
        <v>3287</v>
      </c>
      <c r="J395" s="54" t="s">
        <v>2758</v>
      </c>
      <c r="K395" s="54" t="s">
        <v>2758</v>
      </c>
      <c r="N395" s="54" t="s">
        <v>3304</v>
      </c>
      <c r="O395" s="54">
        <v>27458145</v>
      </c>
      <c r="P395" s="59">
        <v>8.3333333333333329E-2</v>
      </c>
      <c r="Q395" s="57" t="str">
        <f t="shared" si="85"/>
        <v/>
      </c>
      <c r="R395" s="56" t="str">
        <f t="shared" si="86"/>
        <v/>
      </c>
      <c r="S395" s="56" t="str">
        <f t="shared" si="87"/>
        <v/>
      </c>
      <c r="T395" s="56" t="str">
        <f t="shared" si="88"/>
        <v>G12/13</v>
      </c>
      <c r="U395" s="57">
        <f t="shared" si="89"/>
        <v>0</v>
      </c>
      <c r="V395" s="57">
        <f t="shared" si="90"/>
        <v>0</v>
      </c>
      <c r="W395" s="57">
        <f t="shared" si="91"/>
        <v>0</v>
      </c>
      <c r="X395" s="57">
        <f t="shared" si="92"/>
        <v>1</v>
      </c>
      <c r="Y395" s="57" t="str">
        <f t="shared" si="95"/>
        <v>nc</v>
      </c>
      <c r="Z395" s="56" t="str">
        <f t="shared" si="96"/>
        <v>nc</v>
      </c>
      <c r="AA395" s="56" t="str">
        <f t="shared" si="97"/>
        <v>nc</v>
      </c>
      <c r="AB395" s="56" t="str">
        <f t="shared" si="98"/>
        <v>c</v>
      </c>
      <c r="AC395" s="56">
        <f t="shared" si="93"/>
        <v>3</v>
      </c>
      <c r="AD395" s="54">
        <f t="shared" si="94"/>
        <v>1</v>
      </c>
    </row>
    <row r="396" spans="1:30">
      <c r="A396" s="54" t="s">
        <v>3303</v>
      </c>
      <c r="B396" s="54" t="s">
        <v>1193</v>
      </c>
      <c r="C396" s="54" t="str">
        <f>VLOOKUP(A396,RecNamesAll!A:C,3,FALSE)</f>
        <v>FZD6</v>
      </c>
      <c r="D396" s="60">
        <v>234</v>
      </c>
      <c r="E396" s="54" t="s">
        <v>3303</v>
      </c>
      <c r="G396" s="54" t="s">
        <v>3289</v>
      </c>
      <c r="H396" s="54" t="s">
        <v>3288</v>
      </c>
      <c r="I396" s="54" t="s">
        <v>3287</v>
      </c>
      <c r="J396" s="54" t="s">
        <v>3302</v>
      </c>
      <c r="K396" s="54" t="s">
        <v>2760</v>
      </c>
      <c r="M396" s="54" t="s">
        <v>3298</v>
      </c>
      <c r="N396" s="54">
        <v>16936075</v>
      </c>
      <c r="O396" s="54">
        <v>21128903</v>
      </c>
      <c r="P396" s="59">
        <v>4.1666666666666664E-2</v>
      </c>
      <c r="Q396" s="57" t="str">
        <f t="shared" si="85"/>
        <v/>
      </c>
      <c r="R396" s="56" t="str">
        <f t="shared" si="86"/>
        <v>Gi/o</v>
      </c>
      <c r="S396" s="56" t="str">
        <f t="shared" si="87"/>
        <v>Gq/11</v>
      </c>
      <c r="T396" s="56" t="str">
        <f t="shared" si="88"/>
        <v/>
      </c>
      <c r="U396" s="57">
        <f t="shared" si="89"/>
        <v>0</v>
      </c>
      <c r="V396" s="57">
        <f t="shared" si="90"/>
        <v>1</v>
      </c>
      <c r="W396" s="57">
        <f t="shared" si="91"/>
        <v>1</v>
      </c>
      <c r="X396" s="57">
        <f t="shared" si="92"/>
        <v>0</v>
      </c>
      <c r="Y396" s="57" t="str">
        <f t="shared" si="95"/>
        <v>nc</v>
      </c>
      <c r="Z396" s="56" t="str">
        <f t="shared" si="96"/>
        <v>c</v>
      </c>
      <c r="AA396" s="56" t="str">
        <f t="shared" si="97"/>
        <v>c</v>
      </c>
      <c r="AB396" s="56" t="str">
        <f t="shared" si="98"/>
        <v>nc</v>
      </c>
      <c r="AC396" s="56">
        <f t="shared" si="93"/>
        <v>2</v>
      </c>
      <c r="AD396" s="54">
        <f t="shared" si="94"/>
        <v>1</v>
      </c>
    </row>
    <row r="397" spans="1:30">
      <c r="A397" s="54" t="s">
        <v>3300</v>
      </c>
      <c r="B397" s="54" t="s">
        <v>3301</v>
      </c>
      <c r="C397" s="54" t="str">
        <f>VLOOKUP(A397,RecNamesAll!A:C,3,FALSE)</f>
        <v>FZD7</v>
      </c>
      <c r="D397" s="60">
        <v>235</v>
      </c>
      <c r="E397" s="54" t="s">
        <v>3300</v>
      </c>
      <c r="G397" s="54" t="s">
        <v>3289</v>
      </c>
      <c r="H397" s="54" t="s">
        <v>3288</v>
      </c>
      <c r="I397" s="54" t="s">
        <v>3287</v>
      </c>
      <c r="J397" s="54" t="s">
        <v>3299</v>
      </c>
      <c r="M397" s="54" t="s">
        <v>3298</v>
      </c>
      <c r="N397" s="54">
        <v>24032637</v>
      </c>
      <c r="O397" s="54">
        <v>24032637</v>
      </c>
      <c r="P397" s="59">
        <v>4.1666666666666664E-2</v>
      </c>
      <c r="Q397" s="57" t="str">
        <f t="shared" si="85"/>
        <v>Gs</v>
      </c>
      <c r="R397" s="56" t="str">
        <f t="shared" si="86"/>
        <v>Gi/o</v>
      </c>
      <c r="S397" s="56" t="str">
        <f t="shared" si="87"/>
        <v/>
      </c>
      <c r="T397" s="56" t="str">
        <f t="shared" si="88"/>
        <v/>
      </c>
      <c r="U397" s="57">
        <f t="shared" si="89"/>
        <v>1</v>
      </c>
      <c r="V397" s="57">
        <f t="shared" si="90"/>
        <v>1</v>
      </c>
      <c r="W397" s="57">
        <f t="shared" si="91"/>
        <v>0</v>
      </c>
      <c r="X397" s="57">
        <f t="shared" si="92"/>
        <v>0</v>
      </c>
      <c r="Y397" s="57" t="str">
        <f t="shared" si="95"/>
        <v>c</v>
      </c>
      <c r="Z397" s="56" t="str">
        <f t="shared" si="96"/>
        <v>c</v>
      </c>
      <c r="AA397" s="56" t="str">
        <f t="shared" si="97"/>
        <v>nc</v>
      </c>
      <c r="AB397" s="56" t="str">
        <f t="shared" si="98"/>
        <v>nc</v>
      </c>
      <c r="AC397" s="56">
        <f t="shared" si="93"/>
        <v>2</v>
      </c>
      <c r="AD397" s="54">
        <f t="shared" si="94"/>
        <v>1</v>
      </c>
    </row>
    <row r="398" spans="1:30">
      <c r="A398" s="54" t="s">
        <v>3296</v>
      </c>
      <c r="B398" s="54" t="s">
        <v>3297</v>
      </c>
      <c r="C398" s="54" t="str">
        <f>VLOOKUP(A398,RecNamesAll!A:C,3,FALSE)</f>
        <v>FZD9</v>
      </c>
      <c r="D398" s="60">
        <v>237</v>
      </c>
      <c r="E398" s="54" t="s">
        <v>3296</v>
      </c>
      <c r="F398" s="54" t="s">
        <v>3295</v>
      </c>
      <c r="G398" s="54" t="s">
        <v>3289</v>
      </c>
      <c r="H398" s="54" t="s">
        <v>3288</v>
      </c>
      <c r="I398" s="54" t="s">
        <v>3287</v>
      </c>
      <c r="J398" s="54" t="s">
        <v>2760</v>
      </c>
      <c r="N398" s="54">
        <v>27402827</v>
      </c>
      <c r="P398" s="59">
        <v>4.1666666666666664E-2</v>
      </c>
      <c r="Q398" s="57" t="str">
        <f t="shared" si="85"/>
        <v/>
      </c>
      <c r="R398" s="56" t="str">
        <f t="shared" si="86"/>
        <v>Gi/o</v>
      </c>
      <c r="S398" s="56" t="str">
        <f t="shared" si="87"/>
        <v/>
      </c>
      <c r="T398" s="56" t="str">
        <f t="shared" si="88"/>
        <v/>
      </c>
      <c r="U398" s="57">
        <f t="shared" si="89"/>
        <v>0</v>
      </c>
      <c r="V398" s="57">
        <f t="shared" si="90"/>
        <v>1</v>
      </c>
      <c r="W398" s="57">
        <f t="shared" si="91"/>
        <v>0</v>
      </c>
      <c r="X398" s="57">
        <f t="shared" si="92"/>
        <v>0</v>
      </c>
      <c r="Y398" s="57" t="str">
        <f t="shared" si="95"/>
        <v>nc</v>
      </c>
      <c r="Z398" s="56" t="str">
        <f t="shared" si="96"/>
        <v>c</v>
      </c>
      <c r="AA398" s="56" t="str">
        <f t="shared" si="97"/>
        <v>nc</v>
      </c>
      <c r="AB398" s="56" t="str">
        <f t="shared" si="98"/>
        <v>nc</v>
      </c>
      <c r="AC398" s="56">
        <f t="shared" si="93"/>
        <v>3</v>
      </c>
      <c r="AD398" s="54">
        <f t="shared" si="94"/>
        <v>1</v>
      </c>
    </row>
    <row r="399" spans="1:30">
      <c r="A399" s="54" t="s">
        <v>3293</v>
      </c>
      <c r="B399" s="54" t="s">
        <v>3294</v>
      </c>
      <c r="C399" s="54" t="str">
        <f>VLOOKUP(A399,RecNamesAll!A:C,3,FALSE)</f>
        <v>FZD10</v>
      </c>
      <c r="D399" s="60">
        <v>238</v>
      </c>
      <c r="E399" s="54" t="s">
        <v>3293</v>
      </c>
      <c r="G399" s="54" t="s">
        <v>3289</v>
      </c>
      <c r="H399" s="54" t="s">
        <v>3288</v>
      </c>
      <c r="I399" s="54" t="s">
        <v>3287</v>
      </c>
      <c r="K399" s="54" t="s">
        <v>2758</v>
      </c>
      <c r="O399" s="54">
        <v>28126591</v>
      </c>
      <c r="Q399" s="57" t="str">
        <f t="shared" si="85"/>
        <v/>
      </c>
      <c r="R399" s="56" t="str">
        <f t="shared" si="86"/>
        <v/>
      </c>
      <c r="S399" s="56" t="str">
        <f t="shared" si="87"/>
        <v/>
      </c>
      <c r="T399" s="56" t="str">
        <f t="shared" si="88"/>
        <v>G12/13</v>
      </c>
      <c r="U399" s="57">
        <f t="shared" si="89"/>
        <v>0</v>
      </c>
      <c r="V399" s="57">
        <f t="shared" si="90"/>
        <v>0</v>
      </c>
      <c r="W399" s="57">
        <f t="shared" si="91"/>
        <v>0</v>
      </c>
      <c r="X399" s="57">
        <f t="shared" si="92"/>
        <v>2</v>
      </c>
      <c r="Y399" s="57" t="str">
        <f t="shared" si="95"/>
        <v>nc</v>
      </c>
      <c r="Z399" s="56" t="str">
        <f t="shared" si="96"/>
        <v>nc</v>
      </c>
      <c r="AA399" s="56" t="str">
        <f t="shared" si="97"/>
        <v>nc</v>
      </c>
      <c r="AB399" s="56" t="str">
        <f t="shared" si="98"/>
        <v>c</v>
      </c>
      <c r="AC399" s="56">
        <f t="shared" si="93"/>
        <v>3</v>
      </c>
      <c r="AD399" s="54">
        <f t="shared" si="94"/>
        <v>1</v>
      </c>
    </row>
    <row r="400" spans="1:30">
      <c r="A400" s="54" t="s">
        <v>3291</v>
      </c>
      <c r="B400" s="54" t="s">
        <v>3292</v>
      </c>
      <c r="C400" s="54" t="str">
        <f>VLOOKUP(A400,RecNamesAll!A:C,3,FALSE)</f>
        <v>SMO</v>
      </c>
      <c r="D400" s="60">
        <v>239</v>
      </c>
      <c r="E400" s="54" t="s">
        <v>3291</v>
      </c>
      <c r="F400" s="54" t="s">
        <v>3290</v>
      </c>
      <c r="G400" s="54" t="s">
        <v>3289</v>
      </c>
      <c r="H400" s="54" t="s">
        <v>3288</v>
      </c>
      <c r="I400" s="54" t="s">
        <v>3287</v>
      </c>
      <c r="J400" s="54" t="s">
        <v>3114</v>
      </c>
      <c r="M400" s="54" t="s">
        <v>3286</v>
      </c>
      <c r="N400" s="54" t="s">
        <v>3285</v>
      </c>
      <c r="P400" s="59">
        <v>8.3333333333333329E-2</v>
      </c>
      <c r="Q400" s="57" t="str">
        <f t="shared" si="85"/>
        <v/>
      </c>
      <c r="R400" s="56" t="str">
        <f t="shared" si="86"/>
        <v>Gi/o</v>
      </c>
      <c r="S400" s="56" t="str">
        <f t="shared" si="87"/>
        <v/>
      </c>
      <c r="T400" s="56" t="str">
        <f t="shared" si="88"/>
        <v>G12/13</v>
      </c>
      <c r="U400" s="57">
        <f t="shared" si="89"/>
        <v>0</v>
      </c>
      <c r="V400" s="57">
        <f t="shared" si="90"/>
        <v>1</v>
      </c>
      <c r="W400" s="57">
        <f t="shared" si="91"/>
        <v>0</v>
      </c>
      <c r="X400" s="57">
        <f t="shared" si="92"/>
        <v>1</v>
      </c>
      <c r="Y400" s="57" t="str">
        <f t="shared" si="95"/>
        <v>nc</v>
      </c>
      <c r="Z400" s="56" t="str">
        <f t="shared" si="96"/>
        <v>c</v>
      </c>
      <c r="AA400" s="56" t="str">
        <f t="shared" si="97"/>
        <v>nc</v>
      </c>
      <c r="AB400" s="56" t="str">
        <f t="shared" si="98"/>
        <v>c</v>
      </c>
      <c r="AC400" s="56">
        <f t="shared" si="93"/>
        <v>2</v>
      </c>
      <c r="AD400" s="54">
        <f t="shared" si="94"/>
        <v>1</v>
      </c>
    </row>
    <row r="401" spans="1:30">
      <c r="A401" s="54" t="s">
        <v>252</v>
      </c>
      <c r="C401" s="54" t="str">
        <f>VLOOKUP(A401,RecNamesAll!A:C,3,FALSE)</f>
        <v>AMY3</v>
      </c>
      <c r="D401" s="58">
        <v>47</v>
      </c>
      <c r="G401" s="54" t="s">
        <v>3283</v>
      </c>
      <c r="I401" s="54" t="s">
        <v>3282</v>
      </c>
      <c r="J401" s="54" t="s">
        <v>2761</v>
      </c>
      <c r="Q401" s="57" t="str">
        <f t="shared" si="85"/>
        <v>Gs</v>
      </c>
      <c r="R401" s="56" t="str">
        <f t="shared" si="86"/>
        <v/>
      </c>
      <c r="S401" s="56" t="str">
        <f t="shared" si="87"/>
        <v/>
      </c>
      <c r="T401" s="56" t="str">
        <f t="shared" si="88"/>
        <v/>
      </c>
      <c r="U401" s="57">
        <f t="shared" si="89"/>
        <v>1</v>
      </c>
      <c r="V401" s="57">
        <f t="shared" si="90"/>
        <v>0</v>
      </c>
      <c r="W401" s="57">
        <f t="shared" si="91"/>
        <v>0</v>
      </c>
      <c r="X401" s="57">
        <f t="shared" si="92"/>
        <v>0</v>
      </c>
      <c r="Y401" s="57" t="str">
        <f t="shared" si="95"/>
        <v>c</v>
      </c>
      <c r="Z401" s="56" t="str">
        <f t="shared" si="96"/>
        <v>nc</v>
      </c>
      <c r="AA401" s="56" t="str">
        <f t="shared" si="97"/>
        <v>nc</v>
      </c>
      <c r="AB401" s="56" t="str">
        <f t="shared" si="98"/>
        <v>nc</v>
      </c>
      <c r="AC401" s="56">
        <f t="shared" si="93"/>
        <v>3</v>
      </c>
      <c r="AD401" s="54">
        <f t="shared" si="94"/>
        <v>1</v>
      </c>
    </row>
  </sheetData>
  <conditionalFormatting sqref="U1:X1048576">
    <cfRule type="colorScale" priority="3">
      <colorScale>
        <cfvo type="min"/>
        <cfvo type="max"/>
        <color rgb="FFFFEF9C"/>
        <color rgb="FF63BE7B"/>
      </colorScale>
    </cfRule>
  </conditionalFormatting>
  <conditionalFormatting sqref="Z1:AB1">
    <cfRule type="colorScale" priority="1">
      <colorScale>
        <cfvo type="min"/>
        <cfvo type="max"/>
        <color rgb="FFFFEF9C"/>
        <color rgb="FF63BE7B"/>
      </colorScale>
    </cfRule>
  </conditionalFormatting>
  <conditionalFormatting sqref="AC1 Y1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11E3-D08F-D44C-A2D1-46B20E11DAA6}">
  <sheetPr>
    <tabColor theme="7"/>
  </sheetPr>
  <dimension ref="A1:L51"/>
  <sheetViews>
    <sheetView zoomScale="137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sqref="A1:A1048576"/>
    </sheetView>
  </sheetViews>
  <sheetFormatPr baseColWidth="10" defaultColWidth="8.83203125" defaultRowHeight="14"/>
  <cols>
    <col min="1" max="1" width="8.6640625" style="89" bestFit="1" customWidth="1"/>
    <col min="2" max="2" width="8" style="92" customWidth="1"/>
    <col min="3" max="3" width="6" style="92" customWidth="1"/>
    <col min="4" max="4" width="7.6640625" style="327" bestFit="1" customWidth="1"/>
    <col min="5" max="5" width="9" style="72" bestFit="1" customWidth="1"/>
    <col min="6" max="6" width="9.33203125" style="90" bestFit="1" customWidth="1"/>
    <col min="7" max="7" width="9" style="90" bestFit="1" customWidth="1"/>
    <col min="8" max="8" width="6.5" style="199" bestFit="1" customWidth="1"/>
    <col min="9" max="9" width="8.83203125" style="199"/>
    <col min="10" max="11" width="8.83203125" style="49"/>
    <col min="12" max="12" width="8.83203125" style="199"/>
    <col min="13" max="16384" width="8.83203125" style="49"/>
  </cols>
  <sheetData>
    <row r="1" spans="1:12" s="75" customFormat="1" ht="74" customHeight="1">
      <c r="A1" s="97" t="s">
        <v>5152</v>
      </c>
      <c r="B1" s="91" t="s">
        <v>5681</v>
      </c>
      <c r="C1" s="91" t="s">
        <v>5682</v>
      </c>
      <c r="D1" s="195" t="s">
        <v>5675</v>
      </c>
      <c r="E1" s="76" t="s">
        <v>5169</v>
      </c>
      <c r="F1" s="195" t="s">
        <v>5683</v>
      </c>
      <c r="G1" s="195" t="s">
        <v>5168</v>
      </c>
      <c r="H1" s="200" t="s">
        <v>5508</v>
      </c>
      <c r="I1" s="76" t="s">
        <v>5169</v>
      </c>
      <c r="J1" s="195" t="s">
        <v>5170</v>
      </c>
      <c r="K1" s="195" t="s">
        <v>5168</v>
      </c>
      <c r="L1" s="198"/>
    </row>
    <row r="2" spans="1:12" ht="16" customHeight="1">
      <c r="A2" s="51" t="s">
        <v>198</v>
      </c>
      <c r="B2" s="92">
        <f>VLOOKUP($A2,'Bouvier-GEMTA'!$A:$CF,MATCH("Gq",'Bouvier-GEMTA'!$A$1:$CF$1,0),FALSE)</f>
        <v>7.7559164261146494</v>
      </c>
      <c r="C2" s="101">
        <f>_xlfn.IFNA(VLOOKUP($A2,'Inoue-TGFa'!$A:$AL,MATCH("Gq",'Inoue-TGFa'!$A$1:$AL$1,0),FALSE),0)</f>
        <v>7.0673173347481768</v>
      </c>
      <c r="D2" s="92">
        <f>VLOOKUP($A2,'Martemyanov-FreeGβγ-Nluc'!$A:$BG,MATCH("Gq",'Martemyanov-FreeGβγ-Nluc'!$A$1:$BG$1,0),FALSE)</f>
        <v>9.9099999999999994E-2</v>
      </c>
      <c r="E2" s="72" t="str">
        <f t="shared" ref="E2:E33" si="0">IF(B2&gt;0,$A2,"")</f>
        <v>PTH1R</v>
      </c>
      <c r="F2" s="90" t="str">
        <f t="shared" ref="F2:F19" si="1">IF(AND(C2&gt;=7),$A2,"")</f>
        <v>PTH1R</v>
      </c>
      <c r="G2" s="90" t="str">
        <f t="shared" ref="G2:G33" si="2">IF(D2&gt;0,$A2,"")</f>
        <v>PTH1R</v>
      </c>
      <c r="H2" s="199" t="str">
        <f t="shared" ref="H2:H33" si="3">IF(COUNTBLANK(E2:G2)&gt;1,"Non-coupling","Coupling")</f>
        <v>Coupling</v>
      </c>
      <c r="I2" s="201" t="str">
        <f t="shared" ref="I2:I17" si="4">E2</f>
        <v>PTH1R</v>
      </c>
      <c r="J2" s="49" t="str">
        <f t="shared" ref="J2:J17" si="5">F2</f>
        <v>PTH1R</v>
      </c>
      <c r="K2" s="49" t="str">
        <f t="shared" ref="K2:K17" si="6">G2</f>
        <v>PTH1R</v>
      </c>
    </row>
    <row r="3" spans="1:12" ht="18.75" customHeight="1">
      <c r="A3" s="88" t="s">
        <v>26</v>
      </c>
      <c r="B3" s="92">
        <f>VLOOKUP($A3,'Bouvier-GEMTA'!$A:$CF,MATCH("Gq",'Bouvier-GEMTA'!$A$1:$CF$1,0),FALSE)</f>
        <v>7.5280751850109855</v>
      </c>
      <c r="C3" s="101">
        <f>_xlfn.IFNA(VLOOKUP($A3,'Inoue-TGFa'!$A:$AL,MATCH("Gq",'Inoue-TGFa'!$A$1:$AL$1,0),FALSE),0)</f>
        <v>7.5177109650189129</v>
      </c>
      <c r="D3" s="92">
        <f>VLOOKUP($A3,'Martemyanov-FreeGβγ-Nluc'!$A:$BG,MATCH("Gq",'Martemyanov-FreeGβγ-Nluc'!$A$1:$BG$1,0),FALSE)</f>
        <v>2.3908999999999998</v>
      </c>
      <c r="E3" s="72" t="str">
        <f t="shared" si="0"/>
        <v>ACM1</v>
      </c>
      <c r="F3" s="90" t="str">
        <f t="shared" si="1"/>
        <v>ACM1</v>
      </c>
      <c r="G3" s="90" t="str">
        <f t="shared" si="2"/>
        <v>ACM1</v>
      </c>
      <c r="H3" s="199" t="str">
        <f t="shared" si="3"/>
        <v>Coupling</v>
      </c>
      <c r="I3" s="201" t="str">
        <f t="shared" si="4"/>
        <v>ACM1</v>
      </c>
      <c r="J3" s="49" t="str">
        <f t="shared" si="5"/>
        <v>ACM1</v>
      </c>
      <c r="K3" s="49" t="str">
        <f t="shared" si="6"/>
        <v>ACM1</v>
      </c>
    </row>
    <row r="4" spans="1:12" ht="18.75" customHeight="1">
      <c r="A4" s="51" t="s">
        <v>135</v>
      </c>
      <c r="B4" s="92">
        <f>VLOOKUP($A4,'Bouvier-GEMTA'!$A:$CF,MATCH("Gq",'Bouvier-GEMTA'!$A$1:$CF$1,0),FALSE)</f>
        <v>7.518145469517008</v>
      </c>
      <c r="C4" s="101">
        <f>_xlfn.IFNA(VLOOKUP($A4,'Inoue-TGFa'!$A:$AL,MATCH("Gq",'Inoue-TGFa'!$A$1:$AL$1,0),FALSE),0)</f>
        <v>7.182288344383057</v>
      </c>
      <c r="D4" s="92">
        <f>VLOOKUP($A4,'Martemyanov-FreeGβγ-Nluc'!$A:$BG,MATCH("Gq",'Martemyanov-FreeGβγ-Nluc'!$A$1:$BG$1,0),FALSE)</f>
        <v>1.2636000000000001</v>
      </c>
      <c r="E4" s="72" t="str">
        <f t="shared" si="0"/>
        <v>HRH1</v>
      </c>
      <c r="F4" s="90" t="str">
        <f t="shared" si="1"/>
        <v>HRH1</v>
      </c>
      <c r="G4" s="90" t="str">
        <f t="shared" si="2"/>
        <v>HRH1</v>
      </c>
      <c r="H4" s="199" t="str">
        <f t="shared" si="3"/>
        <v>Coupling</v>
      </c>
      <c r="I4" s="201" t="str">
        <f t="shared" si="4"/>
        <v>HRH1</v>
      </c>
      <c r="J4" s="49" t="str">
        <f t="shared" si="5"/>
        <v>HRH1</v>
      </c>
      <c r="K4" s="49" t="str">
        <f t="shared" si="6"/>
        <v>HRH1</v>
      </c>
    </row>
    <row r="5" spans="1:12" ht="18.75" customHeight="1">
      <c r="A5" s="51" t="s">
        <v>20</v>
      </c>
      <c r="B5" s="92">
        <f>VLOOKUP($A5,'Bouvier-GEMTA'!$A:$CF,MATCH("Gq",'Bouvier-GEMTA'!$A$1:$CF$1,0),FALSE)</f>
        <v>8.4193766572979047</v>
      </c>
      <c r="C5" s="101">
        <f>_xlfn.IFNA(VLOOKUP($A5,'Inoue-TGFa'!$A:$AL,MATCH("Gq",'Inoue-TGFa'!$A$1:$AL$1,0),FALSE),0)</f>
        <v>7.17</v>
      </c>
      <c r="D5" s="92">
        <f>VLOOKUP($A5,'Martemyanov-FreeGβγ-Nluc'!$A:$BG,MATCH("Gq",'Martemyanov-FreeGβγ-Nluc'!$A$1:$BG$1,0),FALSE)</f>
        <v>0.5151</v>
      </c>
      <c r="E5" s="72" t="str">
        <f t="shared" si="0"/>
        <v>5HT2A</v>
      </c>
      <c r="F5" s="90" t="str">
        <f t="shared" si="1"/>
        <v>5HT2A</v>
      </c>
      <c r="G5" s="90" t="str">
        <f t="shared" si="2"/>
        <v>5HT2A</v>
      </c>
      <c r="H5" s="199" t="str">
        <f t="shared" si="3"/>
        <v>Coupling</v>
      </c>
      <c r="I5" s="201" t="str">
        <f t="shared" si="4"/>
        <v>5HT2A</v>
      </c>
      <c r="J5" s="49" t="str">
        <f t="shared" si="5"/>
        <v>5HT2A</v>
      </c>
      <c r="K5" s="49" t="str">
        <f t="shared" si="6"/>
        <v>5HT2A</v>
      </c>
    </row>
    <row r="6" spans="1:12" ht="18.75" customHeight="1">
      <c r="A6" s="88" t="s">
        <v>187</v>
      </c>
      <c r="B6" s="92">
        <f>VLOOKUP($A6,'Bouvier-GEMTA'!$A:$CF,MATCH("Gq",'Bouvier-GEMTA'!$A$1:$CF$1,0),FALSE)</f>
        <v>9.1477351449961386</v>
      </c>
      <c r="C6" s="101">
        <f>_xlfn.IFNA(VLOOKUP($A6,'Inoue-TGFa'!$A:$AL,MATCH("Gq",'Inoue-TGFa'!$A$1:$AL$1,0),FALSE),0)</f>
        <v>7.8463403673750438</v>
      </c>
      <c r="D6" s="92">
        <f>VLOOKUP($A6,'Martemyanov-FreeGβγ-Nluc'!$A:$BG,MATCH("Gq",'Martemyanov-FreeGβγ-Nluc'!$A$1:$BG$1,0),FALSE)</f>
        <v>0.79610000000000003</v>
      </c>
      <c r="E6" s="72" t="str">
        <f t="shared" si="0"/>
        <v>OX2R</v>
      </c>
      <c r="F6" s="90" t="str">
        <f t="shared" si="1"/>
        <v>OX2R</v>
      </c>
      <c r="G6" s="90" t="str">
        <f t="shared" si="2"/>
        <v>OX2R</v>
      </c>
      <c r="H6" s="199" t="str">
        <f t="shared" si="3"/>
        <v>Coupling</v>
      </c>
      <c r="I6" s="201" t="str">
        <f t="shared" si="4"/>
        <v>OX2R</v>
      </c>
      <c r="J6" s="49" t="str">
        <f t="shared" si="5"/>
        <v>OX2R</v>
      </c>
      <c r="K6" s="49" t="str">
        <f t="shared" si="6"/>
        <v>OX2R</v>
      </c>
    </row>
    <row r="7" spans="1:12" ht="18.75" customHeight="1">
      <c r="A7" s="88" t="s">
        <v>34</v>
      </c>
      <c r="B7" s="92">
        <f>VLOOKUP($A7,'Bouvier-GEMTA'!$A:$CF,MATCH("Gq",'Bouvier-GEMTA'!$A$1:$CF$1,0),FALSE)</f>
        <v>7.5529416750322884</v>
      </c>
      <c r="C7" s="101">
        <f>_xlfn.IFNA(VLOOKUP($A7,'Inoue-TGFa'!$A:$AL,MATCH("Gq",'Inoue-TGFa'!$A$1:$AL$1,0),FALSE),0)</f>
        <v>7.9928254269591799</v>
      </c>
      <c r="D7" s="92">
        <f>VLOOKUP($A7,'Martemyanov-FreeGβγ-Nluc'!$A:$BG,MATCH("Gq",'Martemyanov-FreeGβγ-Nluc'!$A$1:$BG$1,0),FALSE)</f>
        <v>1.2834000000000001</v>
      </c>
      <c r="E7" s="72" t="str">
        <f t="shared" si="0"/>
        <v>ADA1A</v>
      </c>
      <c r="F7" s="90" t="str">
        <f t="shared" si="1"/>
        <v>ADA1A</v>
      </c>
      <c r="G7" s="90" t="str">
        <f t="shared" si="2"/>
        <v>ADA1A</v>
      </c>
      <c r="H7" s="199" t="str">
        <f t="shared" si="3"/>
        <v>Coupling</v>
      </c>
      <c r="I7" s="201" t="str">
        <f t="shared" si="4"/>
        <v>ADA1A</v>
      </c>
      <c r="J7" s="49" t="str">
        <f t="shared" si="5"/>
        <v>ADA1A</v>
      </c>
      <c r="K7" s="49" t="str">
        <f t="shared" si="6"/>
        <v>ADA1A</v>
      </c>
    </row>
    <row r="8" spans="1:12" ht="18.75" customHeight="1">
      <c r="A8" s="88" t="s">
        <v>227</v>
      </c>
      <c r="B8" s="92">
        <f>VLOOKUP($A8,'Bouvier-GEMTA'!$A:$CF,MATCH("Gq",'Bouvier-GEMTA'!$A$1:$CF$1,0),FALSE)</f>
        <v>7.5953853014160035</v>
      </c>
      <c r="C8" s="101">
        <f>_xlfn.IFNA(VLOOKUP($A8,'Inoue-TGFa'!$A:$AL,MATCH("Gq",'Inoue-TGFa'!$A$1:$AL$1,0),FALSE),0)</f>
        <v>8.0109090820652185</v>
      </c>
      <c r="D8" s="92">
        <f>VLOOKUP($A8,'Martemyanov-FreeGβγ-Nluc'!$A:$BG,MATCH("Gq",'Martemyanov-FreeGβγ-Nluc'!$A$1:$BG$1,0),FALSE)</f>
        <v>0.628</v>
      </c>
      <c r="E8" s="72" t="str">
        <f t="shared" si="0"/>
        <v>OXYR</v>
      </c>
      <c r="F8" s="90" t="str">
        <f t="shared" si="1"/>
        <v>OXYR</v>
      </c>
      <c r="G8" s="90" t="str">
        <f t="shared" si="2"/>
        <v>OXYR</v>
      </c>
      <c r="H8" s="199" t="str">
        <f t="shared" si="3"/>
        <v>Coupling</v>
      </c>
      <c r="I8" s="201" t="str">
        <f t="shared" si="4"/>
        <v>OXYR</v>
      </c>
      <c r="J8" s="49" t="str">
        <f t="shared" si="5"/>
        <v>OXYR</v>
      </c>
      <c r="K8" s="49" t="str">
        <f t="shared" si="6"/>
        <v>OXYR</v>
      </c>
    </row>
    <row r="9" spans="1:12" ht="18.75" customHeight="1">
      <c r="A9" s="51" t="s">
        <v>21</v>
      </c>
      <c r="B9" s="92">
        <f>VLOOKUP($A9,'Bouvier-GEMTA'!$A:$CF,MATCH("Gq",'Bouvier-GEMTA'!$A$1:$CF$1,0),FALSE)</f>
        <v>7.7848319510706103</v>
      </c>
      <c r="C9" s="101">
        <f>_xlfn.IFNA(VLOOKUP($A9,'Inoue-TGFa'!$A:$AL,MATCH("Gq",'Inoue-TGFa'!$A$1:$AL$1,0),FALSE),0)</f>
        <v>7.6330784434834209</v>
      </c>
      <c r="D9" s="92">
        <f>VLOOKUP($A9,'Martemyanov-FreeGβγ-Nluc'!$A:$BG,MATCH("Gq",'Martemyanov-FreeGβγ-Nluc'!$A$1:$BG$1,0),FALSE)</f>
        <v>0.1386</v>
      </c>
      <c r="E9" s="72" t="str">
        <f t="shared" si="0"/>
        <v>5HT2B</v>
      </c>
      <c r="F9" s="90" t="str">
        <f t="shared" si="1"/>
        <v>5HT2B</v>
      </c>
      <c r="G9" s="90" t="str">
        <f t="shared" si="2"/>
        <v>5HT2B</v>
      </c>
      <c r="H9" s="199" t="str">
        <f t="shared" si="3"/>
        <v>Coupling</v>
      </c>
      <c r="I9" s="201" t="str">
        <f t="shared" si="4"/>
        <v>5HT2B</v>
      </c>
      <c r="J9" s="49" t="str">
        <f t="shared" si="5"/>
        <v>5HT2B</v>
      </c>
      <c r="K9" s="49" t="str">
        <f t="shared" si="6"/>
        <v>5HT2B</v>
      </c>
    </row>
    <row r="10" spans="1:12" ht="18.75" customHeight="1">
      <c r="A10" s="88" t="s">
        <v>28</v>
      </c>
      <c r="B10" s="92">
        <f>VLOOKUP($A10,'Bouvier-GEMTA'!$A:$CF,MATCH("Gq",'Bouvier-GEMTA'!$A$1:$CF$1,0),FALSE)</f>
        <v>7.0888391009660205</v>
      </c>
      <c r="C10" s="101">
        <f>_xlfn.IFNA(VLOOKUP($A10,'Inoue-TGFa'!$A:$AL,MATCH("Gq",'Inoue-TGFa'!$A$1:$AL$1,0),FALSE),0)</f>
        <v>8.1148448600085121</v>
      </c>
      <c r="D10" s="92">
        <f>VLOOKUP($A10,'Martemyanov-FreeGβγ-Nluc'!$A:$BG,MATCH("Gq",'Martemyanov-FreeGβγ-Nluc'!$A$1:$BG$1,0),FALSE)</f>
        <v>4.9637000000000002</v>
      </c>
      <c r="E10" s="72" t="str">
        <f t="shared" si="0"/>
        <v>ACM3</v>
      </c>
      <c r="F10" s="90" t="str">
        <f t="shared" si="1"/>
        <v>ACM3</v>
      </c>
      <c r="G10" s="90" t="str">
        <f t="shared" si="2"/>
        <v>ACM3</v>
      </c>
      <c r="H10" s="199" t="str">
        <f t="shared" si="3"/>
        <v>Coupling</v>
      </c>
      <c r="I10" s="201" t="str">
        <f t="shared" si="4"/>
        <v>ACM3</v>
      </c>
      <c r="J10" s="49" t="str">
        <f t="shared" si="5"/>
        <v>ACM3</v>
      </c>
      <c r="K10" s="49" t="str">
        <f t="shared" si="6"/>
        <v>ACM3</v>
      </c>
    </row>
    <row r="11" spans="1:12" ht="18.75" customHeight="1">
      <c r="A11" s="88" t="s">
        <v>203</v>
      </c>
      <c r="B11" s="92">
        <f>VLOOKUP($A11,'Bouvier-GEMTA'!$A:$CF,MATCH("Gq",'Bouvier-GEMTA'!$A$1:$CF$1,0),FALSE)</f>
        <v>7.6725036146091847</v>
      </c>
      <c r="C11" s="101">
        <f>_xlfn.IFNA(VLOOKUP($A11,'Inoue-TGFa'!$A:$AL,MATCH("Gq",'Inoue-TGFa'!$A$1:$AL$1,0),FALSE),0)</f>
        <v>8.5210646070264993</v>
      </c>
      <c r="D11" s="92">
        <f>VLOOKUP($A11,'Martemyanov-FreeGβγ-Nluc'!$A:$BG,MATCH("Gq",'Martemyanov-FreeGβγ-Nluc'!$A$1:$BG$1,0),FALSE)</f>
        <v>0.56730000000000003</v>
      </c>
      <c r="E11" s="72" t="str">
        <f t="shared" si="0"/>
        <v>PE2R1</v>
      </c>
      <c r="F11" s="90" t="str">
        <f t="shared" si="1"/>
        <v>PE2R1</v>
      </c>
      <c r="G11" s="90" t="str">
        <f t="shared" si="2"/>
        <v>PE2R1</v>
      </c>
      <c r="H11" s="199" t="str">
        <f t="shared" si="3"/>
        <v>Coupling</v>
      </c>
      <c r="I11" s="201" t="str">
        <f t="shared" si="4"/>
        <v>PE2R1</v>
      </c>
      <c r="J11" s="49" t="str">
        <f t="shared" si="5"/>
        <v>PE2R1</v>
      </c>
      <c r="K11" s="49" t="str">
        <f t="shared" si="6"/>
        <v>PE2R1</v>
      </c>
    </row>
    <row r="12" spans="1:12" ht="18.75" customHeight="1">
      <c r="A12" s="88" t="s">
        <v>230</v>
      </c>
      <c r="B12" s="92">
        <f>VLOOKUP($A12,'Bouvier-GEMTA'!$A:$CF,MATCH("Gq",'Bouvier-GEMTA'!$A$1:$CF$1,0),FALSE)</f>
        <v>6.9292620376118164</v>
      </c>
      <c r="C12" s="101">
        <f>_xlfn.IFNA(VLOOKUP($A12,'Inoue-TGFa'!$A:$AL,MATCH("Gq",'Inoue-TGFa'!$A$1:$AL$1,0),FALSE),0)</f>
        <v>8.4948337166199384</v>
      </c>
      <c r="D12" s="92">
        <f>VLOOKUP($A12,'Martemyanov-FreeGβγ-Nluc'!$A:$BG,MATCH("Gq",'Martemyanov-FreeGβγ-Nluc'!$A$1:$BG$1,0),FALSE)</f>
        <v>0.16400000000000001</v>
      </c>
      <c r="E12" s="72" t="str">
        <f t="shared" si="0"/>
        <v>V2R</v>
      </c>
      <c r="F12" s="90" t="str">
        <f t="shared" si="1"/>
        <v>V2R</v>
      </c>
      <c r="G12" s="90" t="str">
        <f t="shared" si="2"/>
        <v>V2R</v>
      </c>
      <c r="H12" s="199" t="str">
        <f t="shared" si="3"/>
        <v>Coupling</v>
      </c>
      <c r="I12" s="201" t="str">
        <f t="shared" si="4"/>
        <v>V2R</v>
      </c>
      <c r="J12" s="49" t="str">
        <f t="shared" si="5"/>
        <v>V2R</v>
      </c>
      <c r="K12" s="49" t="str">
        <f t="shared" si="6"/>
        <v>V2R</v>
      </c>
    </row>
    <row r="13" spans="1:12" ht="18.75" customHeight="1">
      <c r="A13" s="88" t="s">
        <v>54</v>
      </c>
      <c r="B13" s="92">
        <f>VLOOKUP($A13,'Bouvier-GEMTA'!$A:$CF,MATCH("Gq",'Bouvier-GEMTA'!$A$1:$CF$1,0),FALSE)</f>
        <v>9.4463334558020584</v>
      </c>
      <c r="C13" s="101">
        <f>_xlfn.IFNA(VLOOKUP($A13,'Inoue-TGFa'!$A:$AL,MATCH("Gq",'Inoue-TGFa'!$A$1:$AL$1,0),FALSE),0)</f>
        <v>9.8085507165004469</v>
      </c>
      <c r="D13" s="92">
        <f>VLOOKUP($A13,'Martemyanov-FreeGβγ-Nluc'!$A:$BG,MATCH("Gq",'Martemyanov-FreeGβγ-Nluc'!$A$1:$BG$1,0),FALSE)</f>
        <v>4.4024000000000001</v>
      </c>
      <c r="E13" s="72" t="str">
        <f t="shared" si="0"/>
        <v>BKRB2</v>
      </c>
      <c r="F13" s="90" t="str">
        <f t="shared" si="1"/>
        <v>BKRB2</v>
      </c>
      <c r="G13" s="90" t="str">
        <f t="shared" si="2"/>
        <v>BKRB2</v>
      </c>
      <c r="H13" s="199" t="str">
        <f t="shared" si="3"/>
        <v>Coupling</v>
      </c>
      <c r="I13" s="201" t="str">
        <f t="shared" si="4"/>
        <v>BKRB2</v>
      </c>
      <c r="J13" s="49" t="str">
        <f t="shared" si="5"/>
        <v>BKRB2</v>
      </c>
      <c r="K13" s="49" t="str">
        <f t="shared" si="6"/>
        <v>BKRB2</v>
      </c>
    </row>
    <row r="14" spans="1:12" ht="18.75" customHeight="1">
      <c r="A14" s="51" t="s">
        <v>112</v>
      </c>
      <c r="B14" s="92">
        <f>VLOOKUP($A14,'Bouvier-GEMTA'!$A:$CF,MATCH("Gq",'Bouvier-GEMTA'!$A$1:$CF$1,0),FALSE)</f>
        <v>9.4810018765087296</v>
      </c>
      <c r="C14" s="101">
        <f>_xlfn.IFNA(VLOOKUP($A14,'Inoue-TGFa'!$A:$AL,MATCH("Gq",'Inoue-TGFa'!$A$1:$AL$1,0),FALSE),0)</f>
        <v>10.0070003411209</v>
      </c>
      <c r="D14" s="92">
        <f>VLOOKUP($A14,'Martemyanov-FreeGβγ-Nluc'!$A:$BG,MATCH("Gq",'Martemyanov-FreeGβγ-Nluc'!$A$1:$BG$1,0),FALSE)</f>
        <v>0.2034</v>
      </c>
      <c r="E14" s="72" t="str">
        <f t="shared" si="0"/>
        <v>EDNRA</v>
      </c>
      <c r="F14" s="90" t="str">
        <f t="shared" si="1"/>
        <v>EDNRA</v>
      </c>
      <c r="G14" s="90" t="str">
        <f t="shared" si="2"/>
        <v>EDNRA</v>
      </c>
      <c r="H14" s="199" t="str">
        <f t="shared" si="3"/>
        <v>Coupling</v>
      </c>
      <c r="I14" s="201" t="str">
        <f t="shared" si="4"/>
        <v>EDNRA</v>
      </c>
      <c r="J14" s="49" t="str">
        <f t="shared" si="5"/>
        <v>EDNRA</v>
      </c>
      <c r="K14" s="49" t="str">
        <f t="shared" si="6"/>
        <v>EDNRA</v>
      </c>
    </row>
    <row r="15" spans="1:12" ht="18.75" customHeight="1">
      <c r="A15" s="88" t="s">
        <v>228</v>
      </c>
      <c r="B15" s="92">
        <f>VLOOKUP($A15,'Bouvier-GEMTA'!$A:$CF,MATCH("Gq",'Bouvier-GEMTA'!$A$1:$CF$1,0),FALSE)</f>
        <v>8.5401341917349711</v>
      </c>
      <c r="C15" s="101">
        <f>_xlfn.IFNA(VLOOKUP($A15,'Inoue-TGFa'!$A:$AL,MATCH("Gq",'Inoue-TGFa'!$A$1:$AL$1,0),FALSE),0)</f>
        <v>10.124026106056135</v>
      </c>
      <c r="D15" s="92">
        <f>VLOOKUP($A15,'Martemyanov-FreeGβγ-Nluc'!$A:$BG,MATCH("Gq",'Martemyanov-FreeGβγ-Nluc'!$A$1:$BG$1,0),FALSE)</f>
        <v>0.69640000000000002</v>
      </c>
      <c r="E15" s="72" t="str">
        <f t="shared" si="0"/>
        <v>V1AR</v>
      </c>
      <c r="F15" s="90" t="str">
        <f t="shared" si="1"/>
        <v>V1AR</v>
      </c>
      <c r="G15" s="90" t="str">
        <f t="shared" si="2"/>
        <v>V1AR</v>
      </c>
      <c r="H15" s="199" t="str">
        <f t="shared" si="3"/>
        <v>Coupling</v>
      </c>
      <c r="I15" s="201" t="str">
        <f t="shared" si="4"/>
        <v>V1AR</v>
      </c>
      <c r="J15" s="49" t="str">
        <f t="shared" si="5"/>
        <v>V1AR</v>
      </c>
      <c r="K15" s="49" t="str">
        <f t="shared" si="6"/>
        <v>V1AR</v>
      </c>
    </row>
    <row r="16" spans="1:12" ht="18.75" customHeight="1">
      <c r="A16" s="51" t="s">
        <v>80</v>
      </c>
      <c r="B16" s="92">
        <f>VLOOKUP($A16,'Bouvier-GEMTA'!$A:$CF,MATCH("Gq",'Bouvier-GEMTA'!$A$1:$CF$1,0),FALSE)</f>
        <v>9.3608468018648612</v>
      </c>
      <c r="C16" s="101">
        <f>_xlfn.IFNA(VLOOKUP($A16,'Inoue-TGFa'!$A:$AL,MATCH("Gq",'Inoue-TGFa'!$A$1:$AL$1,0),FALSE),0)</f>
        <v>10.503941998634089</v>
      </c>
      <c r="D16" s="92">
        <f>VLOOKUP($A16,'Martemyanov-FreeGβγ-Nluc'!$A:$BG,MATCH("Gq",'Martemyanov-FreeGβγ-Nluc'!$A$1:$BG$1,0),FALSE)</f>
        <v>4.0716999999999999</v>
      </c>
      <c r="E16" s="72" t="str">
        <f t="shared" si="0"/>
        <v>CCKAR</v>
      </c>
      <c r="F16" s="90" t="str">
        <f t="shared" si="1"/>
        <v>CCKAR</v>
      </c>
      <c r="G16" s="90" t="str">
        <f t="shared" si="2"/>
        <v>CCKAR</v>
      </c>
      <c r="H16" s="199" t="str">
        <f t="shared" si="3"/>
        <v>Coupling</v>
      </c>
      <c r="I16" s="201" t="str">
        <f t="shared" si="4"/>
        <v>CCKAR</v>
      </c>
      <c r="J16" s="49" t="str">
        <f t="shared" si="5"/>
        <v>CCKAR</v>
      </c>
      <c r="K16" s="49" t="str">
        <f t="shared" si="6"/>
        <v>CCKAR</v>
      </c>
    </row>
    <row r="17" spans="1:11" ht="18.75" customHeight="1">
      <c r="A17" s="51" t="s">
        <v>22</v>
      </c>
      <c r="B17" s="92">
        <f>VLOOKUP($A17,'Bouvier-GEMTA'!$A:$CF,MATCH("Gq",'Bouvier-GEMTA'!$A$1:$CF$1,0),FALSE)</f>
        <v>0</v>
      </c>
      <c r="C17" s="101">
        <f>_xlfn.IFNA(VLOOKUP($A17,'Inoue-TGFa'!$A:$AL,MATCH("Gq",'Inoue-TGFa'!$A$1:$AL$1,0),FALSE),0)</f>
        <v>7.3642758696007897</v>
      </c>
      <c r="D17" s="92">
        <f>VLOOKUP($A17,'Martemyanov-FreeGβγ-Nluc'!$A:$BG,MATCH("Gq",'Martemyanov-FreeGβγ-Nluc'!$A$1:$BG$1,0),FALSE)</f>
        <v>10.3154</v>
      </c>
      <c r="E17" s="72" t="str">
        <f t="shared" si="0"/>
        <v/>
      </c>
      <c r="F17" s="90" t="str">
        <f t="shared" si="1"/>
        <v>5HT2C</v>
      </c>
      <c r="G17" s="90" t="str">
        <f t="shared" si="2"/>
        <v>5HT2C</v>
      </c>
      <c r="H17" s="199" t="str">
        <f t="shared" si="3"/>
        <v>Coupling</v>
      </c>
      <c r="I17" s="201" t="str">
        <f t="shared" si="4"/>
        <v/>
      </c>
      <c r="J17" s="49" t="str">
        <f t="shared" si="5"/>
        <v>5HT2C</v>
      </c>
      <c r="K17" s="49" t="str">
        <f t="shared" si="6"/>
        <v>5HT2C</v>
      </c>
    </row>
    <row r="18" spans="1:11" ht="18.75" customHeight="1">
      <c r="A18" s="88" t="s">
        <v>218</v>
      </c>
      <c r="B18" s="92">
        <f>VLOOKUP($A18,'Bouvier-GEMTA'!$A:$CF,MATCH("Gq",'Bouvier-GEMTA'!$A$1:$CF$1,0),FALSE)</f>
        <v>6.5887752271262876</v>
      </c>
      <c r="C18" s="101">
        <f>_xlfn.IFNA(VLOOKUP($A18,'Inoue-TGFa'!$A:$AL,MATCH("Gq",'Inoue-TGFa'!$A$1:$AL$1,0),FALSE),0)</f>
        <v>0</v>
      </c>
      <c r="D18" s="92">
        <f>VLOOKUP($A18,'Martemyanov-FreeGβγ-Nluc'!$A:$BG,MATCH("Gq",'Martemyanov-FreeGβγ-Nluc'!$A$1:$BG$1,0),FALSE)</f>
        <v>0</v>
      </c>
      <c r="E18" s="72" t="str">
        <f t="shared" si="0"/>
        <v>SSR2</v>
      </c>
      <c r="F18" s="90" t="str">
        <f t="shared" si="1"/>
        <v/>
      </c>
      <c r="G18" s="90" t="str">
        <f t="shared" si="2"/>
        <v/>
      </c>
      <c r="H18" s="199" t="str">
        <f t="shared" si="3"/>
        <v>Non-coupling</v>
      </c>
      <c r="J18" s="49" t="str">
        <f t="shared" ref="J18:K20" si="7">"nc_"&amp;$A18</f>
        <v>nc_SSR2</v>
      </c>
      <c r="K18" s="49" t="str">
        <f t="shared" si="7"/>
        <v>nc_SSR2</v>
      </c>
    </row>
    <row r="19" spans="1:11" ht="18.75" customHeight="1">
      <c r="A19" s="51" t="s">
        <v>37</v>
      </c>
      <c r="B19" s="92">
        <f>VLOOKUP($A19,'Bouvier-GEMTA'!$A:$CF,MATCH("Gq",'Bouvier-GEMTA'!$A$1:$CF$1,0),FALSE)</f>
        <v>4.5690376751638837</v>
      </c>
      <c r="C19" s="101">
        <f>_xlfn.IFNA(VLOOKUP($A19,'Inoue-TGFa'!$A:$AL,MATCH("Gq",'Inoue-TGFa'!$A$1:$AL$1,0),FALSE),0)</f>
        <v>0</v>
      </c>
      <c r="D19" s="92">
        <f>VLOOKUP($A19,'Martemyanov-FreeGβγ-Nluc'!$A:$BG,MATCH("Gq",'Martemyanov-FreeGβγ-Nluc'!$A$1:$BG$1,0),FALSE)</f>
        <v>0</v>
      </c>
      <c r="E19" s="72" t="str">
        <f t="shared" si="0"/>
        <v>ADA2A</v>
      </c>
      <c r="F19" s="90" t="str">
        <f t="shared" si="1"/>
        <v/>
      </c>
      <c r="G19" s="90" t="str">
        <f t="shared" si="2"/>
        <v/>
      </c>
      <c r="H19" s="199" t="str">
        <f t="shared" si="3"/>
        <v>Non-coupling</v>
      </c>
      <c r="J19" s="49" t="str">
        <f t="shared" si="7"/>
        <v>nc_ADA2A</v>
      </c>
      <c r="K19" s="49" t="str">
        <f t="shared" si="7"/>
        <v>nc_ADA2A</v>
      </c>
    </row>
    <row r="20" spans="1:11" ht="18.75" customHeight="1">
      <c r="A20" s="51" t="s">
        <v>108</v>
      </c>
      <c r="B20" s="92">
        <f>VLOOKUP($A20,'Bouvier-GEMTA'!$A:$CF,MATCH("Gq",'Bouvier-GEMTA'!$A$1:$CF$1,0),FALSE)</f>
        <v>0</v>
      </c>
      <c r="C20" s="101">
        <f>_xlfn.IFNA(VLOOKUP($A20,'Inoue-TGFa'!$A:$AL,MATCH("Gq",'Inoue-TGFa'!$A$1:$AL$1,0),FALSE),0)</f>
        <v>0</v>
      </c>
      <c r="D20" s="92">
        <f>VLOOKUP($A20,'Martemyanov-FreeGβγ-Nluc'!$A:$BG,MATCH("Gq",'Martemyanov-FreeGβγ-Nluc'!$A$1:$BG$1,0),FALSE)</f>
        <v>0</v>
      </c>
      <c r="E20" s="72" t="str">
        <f t="shared" si="0"/>
        <v/>
      </c>
      <c r="F20" s="90" t="str">
        <f t="shared" ref="F20:F51" si="8">IF(AND(C20&gt;=7),$A20,"")</f>
        <v/>
      </c>
      <c r="G20" s="90" t="str">
        <f t="shared" si="2"/>
        <v/>
      </c>
      <c r="H20" s="199" t="str">
        <f t="shared" si="3"/>
        <v>Non-coupling</v>
      </c>
      <c r="I20" s="199" t="str">
        <f>"nc_"&amp;$A20</f>
        <v>nc_DRD2</v>
      </c>
      <c r="J20" s="49" t="str">
        <f t="shared" si="7"/>
        <v>nc_DRD2</v>
      </c>
      <c r="K20" s="49" t="str">
        <f t="shared" si="7"/>
        <v>nc_DRD2</v>
      </c>
    </row>
    <row r="21" spans="1:11" ht="18.75" customHeight="1">
      <c r="A21" s="51" t="s">
        <v>58</v>
      </c>
      <c r="B21" s="92">
        <f>VLOOKUP($A21,'Bouvier-GEMTA'!$A:$CF,MATCH("Gq",'Bouvier-GEMTA'!$A$1:$CF$1,0),FALSE)</f>
        <v>0</v>
      </c>
      <c r="C21" s="101">
        <f>_xlfn.IFNA(VLOOKUP($A21,'Inoue-TGFa'!$A:$AL,MATCH("Gq",'Inoue-TGFa'!$A$1:$AL$1,0),FALSE),0)</f>
        <v>0</v>
      </c>
      <c r="D21" s="92">
        <f>VLOOKUP($A21,'Martemyanov-FreeGβγ-Nluc'!$A:$BG,MATCH("Gq",'Martemyanov-FreeGβγ-Nluc'!$A$1:$BG$1,0),FALSE)</f>
        <v>0</v>
      </c>
      <c r="E21" s="72" t="str">
        <f t="shared" si="0"/>
        <v/>
      </c>
      <c r="F21" s="90" t="str">
        <f t="shared" si="8"/>
        <v/>
      </c>
      <c r="G21" s="90" t="str">
        <f t="shared" si="2"/>
        <v/>
      </c>
      <c r="H21" s="199" t="str">
        <f t="shared" si="3"/>
        <v>Non-coupling</v>
      </c>
      <c r="I21" s="199" t="str">
        <f t="shared" ref="I21:K51" si="9">"nc_"&amp;$A21</f>
        <v>nc_CNR1</v>
      </c>
      <c r="J21" s="49" t="str">
        <f t="shared" si="9"/>
        <v>nc_CNR1</v>
      </c>
      <c r="K21" s="49" t="str">
        <f t="shared" si="9"/>
        <v>nc_CNR1</v>
      </c>
    </row>
    <row r="22" spans="1:11" ht="18.75" customHeight="1">
      <c r="A22" s="88" t="s">
        <v>164</v>
      </c>
      <c r="B22" s="92">
        <f>VLOOKUP($A22,'Bouvier-GEMTA'!$A:$CF,MATCH("Gq",'Bouvier-GEMTA'!$A$1:$CF$1,0),FALSE)</f>
        <v>0</v>
      </c>
      <c r="C22" s="101">
        <f>_xlfn.IFNA(VLOOKUP($A22,'Inoue-TGFa'!$A:$AL,MATCH("Gq",'Inoue-TGFa'!$A$1:$AL$1,0),FALSE),0)</f>
        <v>0</v>
      </c>
      <c r="D22" s="92">
        <f>VLOOKUP($A22,'Martemyanov-FreeGβγ-Nluc'!$A:$BG,MATCH("Gq",'Martemyanov-FreeGβγ-Nluc'!$A$1:$BG$1,0),FALSE)</f>
        <v>0</v>
      </c>
      <c r="E22" s="72" t="str">
        <f t="shared" si="0"/>
        <v/>
      </c>
      <c r="F22" s="90" t="str">
        <f t="shared" si="8"/>
        <v/>
      </c>
      <c r="G22" s="90" t="str">
        <f t="shared" si="2"/>
        <v/>
      </c>
      <c r="H22" s="199" t="str">
        <f t="shared" si="3"/>
        <v>Non-coupling</v>
      </c>
      <c r="I22" s="199" t="str">
        <f t="shared" si="9"/>
        <v>nc_MTR1A</v>
      </c>
      <c r="J22" s="49" t="str">
        <f t="shared" si="9"/>
        <v>nc_MTR1A</v>
      </c>
      <c r="K22" s="49" t="str">
        <f t="shared" si="9"/>
        <v>nc_MTR1A</v>
      </c>
    </row>
    <row r="23" spans="1:11" ht="18.75" customHeight="1">
      <c r="A23" s="88" t="s">
        <v>166</v>
      </c>
      <c r="B23" s="92">
        <f>VLOOKUP($A23,'Bouvier-GEMTA'!$A:$CF,MATCH("Gq",'Bouvier-GEMTA'!$A$1:$CF$1,0),FALSE)</f>
        <v>0</v>
      </c>
      <c r="C23" s="101">
        <f>_xlfn.IFNA(VLOOKUP($A23,'Inoue-TGFa'!$A:$AL,MATCH("Gq",'Inoue-TGFa'!$A$1:$AL$1,0),FALSE),0)</f>
        <v>0</v>
      </c>
      <c r="D23" s="92">
        <f>VLOOKUP($A23,'Martemyanov-FreeGβγ-Nluc'!$A:$BG,MATCH("Gq",'Martemyanov-FreeGβγ-Nluc'!$A$1:$BG$1,0),FALSE)</f>
        <v>0</v>
      </c>
      <c r="E23" s="72" t="str">
        <f t="shared" si="0"/>
        <v/>
      </c>
      <c r="F23" s="90" t="str">
        <f t="shared" si="8"/>
        <v/>
      </c>
      <c r="G23" s="90" t="str">
        <f t="shared" si="2"/>
        <v/>
      </c>
      <c r="H23" s="199" t="str">
        <f t="shared" si="3"/>
        <v>Non-coupling</v>
      </c>
      <c r="I23" s="199" t="str">
        <f t="shared" si="9"/>
        <v>nc_MTR1B</v>
      </c>
      <c r="J23" s="49" t="str">
        <f t="shared" si="9"/>
        <v>nc_MTR1B</v>
      </c>
      <c r="K23" s="49" t="str">
        <f t="shared" si="9"/>
        <v>nc_MTR1B</v>
      </c>
    </row>
    <row r="24" spans="1:11" ht="18.75" customHeight="1">
      <c r="A24" s="88" t="s">
        <v>33</v>
      </c>
      <c r="B24" s="92">
        <f>VLOOKUP($A24,'Bouvier-GEMTA'!$A:$CF,MATCH("Gq",'Bouvier-GEMTA'!$A$1:$CF$1,0),FALSE)</f>
        <v>0</v>
      </c>
      <c r="C24" s="101">
        <f>_xlfn.IFNA(VLOOKUP($A24,'Inoue-TGFa'!$A:$AL,MATCH("Gq",'Inoue-TGFa'!$A$1:$AL$1,0),FALSE),0)</f>
        <v>0</v>
      </c>
      <c r="D24" s="92">
        <f>VLOOKUP($A24,'Martemyanov-FreeGβγ-Nluc'!$A:$BG,MATCH("Gq",'Martemyanov-FreeGβγ-Nluc'!$A$1:$BG$1,0),FALSE)</f>
        <v>0</v>
      </c>
      <c r="E24" s="72" t="str">
        <f t="shared" si="0"/>
        <v/>
      </c>
      <c r="F24" s="90" t="str">
        <f t="shared" si="8"/>
        <v/>
      </c>
      <c r="G24" s="90" t="str">
        <f t="shared" si="2"/>
        <v/>
      </c>
      <c r="H24" s="199" t="str">
        <f t="shared" si="3"/>
        <v>Non-coupling</v>
      </c>
      <c r="I24" s="199" t="str">
        <f t="shared" si="9"/>
        <v>nc_AA3R</v>
      </c>
      <c r="J24" s="49" t="str">
        <f t="shared" si="9"/>
        <v>nc_AA3R</v>
      </c>
      <c r="K24" s="49" t="str">
        <f t="shared" si="9"/>
        <v>nc_AA3R</v>
      </c>
    </row>
    <row r="25" spans="1:11" ht="18.75" customHeight="1">
      <c r="A25" s="88" t="s">
        <v>183</v>
      </c>
      <c r="B25" s="92">
        <f>VLOOKUP($A25,'Bouvier-GEMTA'!$A:$CF,MATCH("Gq",'Bouvier-GEMTA'!$A$1:$CF$1,0),FALSE)</f>
        <v>0</v>
      </c>
      <c r="C25" s="101">
        <f>_xlfn.IFNA(VLOOKUP($A25,'Inoue-TGFa'!$A:$AL,MATCH("Gq",'Inoue-TGFa'!$A$1:$AL$1,0),FALSE),0)</f>
        <v>0</v>
      </c>
      <c r="D25" s="92">
        <f>VLOOKUP($A25,'Martemyanov-FreeGβγ-Nluc'!$A:$BG,MATCH("Gq",'Martemyanov-FreeGβγ-Nluc'!$A$1:$BG$1,0),FALSE)</f>
        <v>0</v>
      </c>
      <c r="E25" s="72" t="str">
        <f t="shared" si="0"/>
        <v/>
      </c>
      <c r="F25" s="90" t="str">
        <f t="shared" si="8"/>
        <v/>
      </c>
      <c r="G25" s="90" t="str">
        <f t="shared" si="2"/>
        <v/>
      </c>
      <c r="H25" s="199" t="str">
        <f t="shared" si="3"/>
        <v>Non-coupling</v>
      </c>
      <c r="I25" s="199" t="str">
        <f t="shared" si="9"/>
        <v>nc_OPRM</v>
      </c>
      <c r="J25" s="49" t="str">
        <f t="shared" si="9"/>
        <v>nc_OPRM</v>
      </c>
      <c r="K25" s="49" t="str">
        <f t="shared" si="9"/>
        <v>nc_OPRM</v>
      </c>
    </row>
    <row r="26" spans="1:11" ht="18.75" customHeight="1">
      <c r="A26" s="88" t="s">
        <v>181</v>
      </c>
      <c r="B26" s="92">
        <f>VLOOKUP($A26,'Bouvier-GEMTA'!$A:$CF,MATCH("Gq",'Bouvier-GEMTA'!$A$1:$CF$1,0),FALSE)</f>
        <v>0</v>
      </c>
      <c r="C26" s="101">
        <f>_xlfn.IFNA(VLOOKUP($A26,'Inoue-TGFa'!$A:$AL,MATCH("Gq",'Inoue-TGFa'!$A$1:$AL$1,0),FALSE),0)</f>
        <v>0</v>
      </c>
      <c r="D26" s="92">
        <f>VLOOKUP($A26,'Martemyanov-FreeGβγ-Nluc'!$A:$BG,MATCH("Gq",'Martemyanov-FreeGβγ-Nluc'!$A$1:$BG$1,0),FALSE)</f>
        <v>0</v>
      </c>
      <c r="E26" s="72" t="str">
        <f t="shared" si="0"/>
        <v/>
      </c>
      <c r="F26" s="90" t="str">
        <f t="shared" si="8"/>
        <v/>
      </c>
      <c r="G26" s="90" t="str">
        <f t="shared" si="2"/>
        <v/>
      </c>
      <c r="H26" s="199" t="str">
        <f t="shared" si="3"/>
        <v>Non-coupling</v>
      </c>
      <c r="I26" s="199" t="str">
        <f t="shared" si="9"/>
        <v>nc_OPRD</v>
      </c>
      <c r="J26" s="49" t="str">
        <f t="shared" si="9"/>
        <v>nc_OPRD</v>
      </c>
      <c r="K26" s="49" t="str">
        <f t="shared" si="9"/>
        <v>nc_OPRD</v>
      </c>
    </row>
    <row r="27" spans="1:11" ht="18.75" customHeight="1">
      <c r="A27" s="88" t="s">
        <v>174</v>
      </c>
      <c r="B27" s="92">
        <f>VLOOKUP($A27,'Bouvier-GEMTA'!$A:$CF,MATCH("Gq",'Bouvier-GEMTA'!$A$1:$CF$1,0),FALSE)</f>
        <v>0</v>
      </c>
      <c r="C27" s="101">
        <f>_xlfn.IFNA(VLOOKUP($A27,'Inoue-TGFa'!$A:$AL,MATCH("Gq",'Inoue-TGFa'!$A$1:$AL$1,0),FALSE),0)</f>
        <v>0</v>
      </c>
      <c r="D27" s="92">
        <f>VLOOKUP($A27,'Martemyanov-FreeGβγ-Nluc'!$A:$BG,MATCH("Gq",'Martemyanov-FreeGβγ-Nluc'!$A$1:$BG$1,0),FALSE)</f>
        <v>0</v>
      </c>
      <c r="E27" s="72" t="str">
        <f t="shared" si="0"/>
        <v/>
      </c>
      <c r="F27" s="90" t="str">
        <f t="shared" si="8"/>
        <v/>
      </c>
      <c r="G27" s="90" t="str">
        <f t="shared" si="2"/>
        <v/>
      </c>
      <c r="H27" s="199" t="str">
        <f t="shared" si="3"/>
        <v>Non-coupling</v>
      </c>
      <c r="I27" s="199" t="str">
        <f t="shared" si="9"/>
        <v>nc_NPFF1</v>
      </c>
      <c r="J27" s="49" t="str">
        <f t="shared" si="9"/>
        <v>nc_NPFF1</v>
      </c>
      <c r="K27" s="49" t="str">
        <f t="shared" si="9"/>
        <v>nc_NPFF1</v>
      </c>
    </row>
    <row r="28" spans="1:11" ht="18.75" customHeight="1">
      <c r="A28" s="51" t="s">
        <v>127</v>
      </c>
      <c r="B28" s="92">
        <f>VLOOKUP($A28,'Bouvier-GEMTA'!$A:$CF,MATCH("Gq",'Bouvier-GEMTA'!$A$1:$CF$1,0),FALSE)</f>
        <v>0</v>
      </c>
      <c r="C28" s="101">
        <f>_xlfn.IFNA(VLOOKUP($A28,'Inoue-TGFa'!$A:$AL,MATCH("Gq",'Inoue-TGFa'!$A$1:$AL$1,0),FALSE),0)</f>
        <v>0</v>
      </c>
      <c r="D28" s="92">
        <f>VLOOKUP($A28,'Martemyanov-FreeGβγ-Nluc'!$A:$BG,MATCH("Gq",'Martemyanov-FreeGβγ-Nluc'!$A$1:$BG$1,0),FALSE)</f>
        <v>0</v>
      </c>
      <c r="E28" s="72" t="str">
        <f t="shared" si="0"/>
        <v/>
      </c>
      <c r="F28" s="90" t="str">
        <f t="shared" si="8"/>
        <v/>
      </c>
      <c r="G28" s="90" t="str">
        <f t="shared" si="2"/>
        <v/>
      </c>
      <c r="H28" s="199" t="str">
        <f t="shared" si="3"/>
        <v>Non-coupling</v>
      </c>
      <c r="I28" s="199" t="str">
        <f t="shared" si="9"/>
        <v>nc_GIPR</v>
      </c>
      <c r="J28" s="49" t="str">
        <f t="shared" si="9"/>
        <v>nc_GIPR</v>
      </c>
      <c r="K28" s="49" t="str">
        <f t="shared" si="9"/>
        <v>nc_GIPR</v>
      </c>
    </row>
    <row r="29" spans="1:11" ht="18.75" customHeight="1">
      <c r="A29" s="88" t="s">
        <v>32</v>
      </c>
      <c r="B29" s="92">
        <f>VLOOKUP($A29,'Bouvier-GEMTA'!$A:$CF,MATCH("Gq",'Bouvier-GEMTA'!$A$1:$CF$1,0),FALSE)</f>
        <v>0</v>
      </c>
      <c r="C29" s="101">
        <f>_xlfn.IFNA(VLOOKUP($A29,'Inoue-TGFa'!$A:$AL,MATCH("Gq",'Inoue-TGFa'!$A$1:$AL$1,0),FALSE),0)</f>
        <v>0</v>
      </c>
      <c r="D29" s="92">
        <f>VLOOKUP($A29,'Martemyanov-FreeGβγ-Nluc'!$A:$BG,MATCH("Gq",'Martemyanov-FreeGβγ-Nluc'!$A$1:$BG$1,0),FALSE)</f>
        <v>0</v>
      </c>
      <c r="E29" s="72" t="str">
        <f t="shared" si="0"/>
        <v/>
      </c>
      <c r="F29" s="90" t="str">
        <f t="shared" si="8"/>
        <v/>
      </c>
      <c r="G29" s="90" t="str">
        <f t="shared" si="2"/>
        <v/>
      </c>
      <c r="H29" s="199" t="str">
        <f t="shared" si="3"/>
        <v>Non-coupling</v>
      </c>
      <c r="I29" s="199" t="str">
        <f t="shared" si="9"/>
        <v>nc_AA2BR</v>
      </c>
      <c r="J29" s="49" t="str">
        <f t="shared" si="9"/>
        <v>nc_AA2BR</v>
      </c>
      <c r="K29" s="49" t="str">
        <f t="shared" si="9"/>
        <v>nc_AA2BR</v>
      </c>
    </row>
    <row r="30" spans="1:11" ht="18.75" customHeight="1">
      <c r="A30" s="51" t="s">
        <v>106</v>
      </c>
      <c r="B30" s="92">
        <f>VLOOKUP($A30,'Bouvier-GEMTA'!$A:$CF,MATCH("Gq",'Bouvier-GEMTA'!$A$1:$CF$1,0),FALSE)</f>
        <v>0</v>
      </c>
      <c r="C30" s="101">
        <f>_xlfn.IFNA(VLOOKUP($A30,'Inoue-TGFa'!$A:$AL,MATCH("Gq",'Inoue-TGFa'!$A$1:$AL$1,0),FALSE),0)</f>
        <v>0</v>
      </c>
      <c r="D30" s="92">
        <f>VLOOKUP($A30,'Martemyanov-FreeGβγ-Nluc'!$A:$BG,MATCH("Gq",'Martemyanov-FreeGβγ-Nluc'!$A$1:$BG$1,0),FALSE)</f>
        <v>0</v>
      </c>
      <c r="E30" s="72" t="str">
        <f t="shared" si="0"/>
        <v/>
      </c>
      <c r="F30" s="90" t="str">
        <f t="shared" si="8"/>
        <v/>
      </c>
      <c r="G30" s="90" t="str">
        <f t="shared" si="2"/>
        <v/>
      </c>
      <c r="H30" s="199" t="str">
        <f t="shared" si="3"/>
        <v>Non-coupling</v>
      </c>
      <c r="I30" s="199" t="str">
        <f t="shared" si="9"/>
        <v>nc_DRD1</v>
      </c>
      <c r="J30" s="49" t="str">
        <f t="shared" si="9"/>
        <v>nc_DRD1</v>
      </c>
      <c r="K30" s="49" t="str">
        <f t="shared" si="9"/>
        <v>nc_DRD1</v>
      </c>
    </row>
    <row r="31" spans="1:11" ht="18.75" customHeight="1">
      <c r="A31" s="51" t="s">
        <v>137</v>
      </c>
      <c r="B31" s="92">
        <f>VLOOKUP($A31,'Bouvier-GEMTA'!$A:$CF,MATCH("Gq",'Bouvier-GEMTA'!$A$1:$CF$1,0),FALSE)</f>
        <v>0</v>
      </c>
      <c r="C31" s="101">
        <f>_xlfn.IFNA(VLOOKUP($A31,'Inoue-TGFa'!$A:$AL,MATCH("Gq",'Inoue-TGFa'!$A$1:$AL$1,0),FALSE),0)</f>
        <v>0</v>
      </c>
      <c r="D31" s="92">
        <f>VLOOKUP($A31,'Martemyanov-FreeGβγ-Nluc'!$A:$BG,MATCH("Gq",'Martemyanov-FreeGβγ-Nluc'!$A$1:$BG$1,0),FALSE)</f>
        <v>0</v>
      </c>
      <c r="E31" s="72" t="str">
        <f t="shared" si="0"/>
        <v/>
      </c>
      <c r="F31" s="90" t="str">
        <f t="shared" si="8"/>
        <v/>
      </c>
      <c r="G31" s="90" t="str">
        <f t="shared" si="2"/>
        <v/>
      </c>
      <c r="H31" s="199" t="str">
        <f t="shared" si="3"/>
        <v>Non-coupling</v>
      </c>
      <c r="I31" s="199" t="str">
        <f t="shared" si="9"/>
        <v>nc_HRH2</v>
      </c>
      <c r="J31" s="49" t="str">
        <f t="shared" si="9"/>
        <v>nc_HRH2</v>
      </c>
      <c r="K31" s="49" t="str">
        <f t="shared" si="9"/>
        <v>nc_HRH2</v>
      </c>
    </row>
    <row r="32" spans="1:11" ht="18.75" customHeight="1">
      <c r="A32" s="88" t="s">
        <v>31</v>
      </c>
      <c r="B32" s="92">
        <f>VLOOKUP($A32,'Bouvier-GEMTA'!$A:$CF,MATCH("Gq",'Bouvier-GEMTA'!$A$1:$CF$1,0),FALSE)</f>
        <v>0</v>
      </c>
      <c r="C32" s="101">
        <f>_xlfn.IFNA(VLOOKUP($A32,'Inoue-TGFa'!$A:$AL,MATCH("Gq",'Inoue-TGFa'!$A$1:$AL$1,0),FALSE),0)</f>
        <v>0</v>
      </c>
      <c r="D32" s="92">
        <f>VLOOKUP($A32,'Martemyanov-FreeGβγ-Nluc'!$A:$BG,MATCH("Gq",'Martemyanov-FreeGβγ-Nluc'!$A$1:$BG$1,0),FALSE)</f>
        <v>0</v>
      </c>
      <c r="E32" s="72" t="str">
        <f t="shared" si="0"/>
        <v/>
      </c>
      <c r="F32" s="90" t="str">
        <f t="shared" si="8"/>
        <v/>
      </c>
      <c r="G32" s="90" t="str">
        <f t="shared" si="2"/>
        <v/>
      </c>
      <c r="H32" s="199" t="str">
        <f t="shared" si="3"/>
        <v>Non-coupling</v>
      </c>
      <c r="I32" s="199" t="str">
        <f t="shared" si="9"/>
        <v>nc_AA1R</v>
      </c>
      <c r="J32" s="49" t="str">
        <f t="shared" si="9"/>
        <v>nc_AA1R</v>
      </c>
      <c r="K32" s="49" t="str">
        <f t="shared" si="9"/>
        <v>nc_AA1R</v>
      </c>
    </row>
    <row r="33" spans="1:11" ht="18.75" customHeight="1">
      <c r="A33" s="51" t="s">
        <v>14</v>
      </c>
      <c r="B33" s="92">
        <f>VLOOKUP($A33,'Bouvier-GEMTA'!$A:$CF,MATCH("Gq",'Bouvier-GEMTA'!$A$1:$CF$1,0),FALSE)</f>
        <v>0</v>
      </c>
      <c r="C33" s="101">
        <f>_xlfn.IFNA(VLOOKUP($A33,'Inoue-TGFa'!$A:$AL,MATCH("Gq",'Inoue-TGFa'!$A$1:$AL$1,0),FALSE),0)</f>
        <v>0</v>
      </c>
      <c r="D33" s="92">
        <f>VLOOKUP($A33,'Martemyanov-FreeGβγ-Nluc'!$A:$BG,MATCH("Gq",'Martemyanov-FreeGβγ-Nluc'!$A$1:$BG$1,0),FALSE)</f>
        <v>0</v>
      </c>
      <c r="E33" s="72" t="str">
        <f t="shared" si="0"/>
        <v/>
      </c>
      <c r="F33" s="90" t="str">
        <f t="shared" si="8"/>
        <v/>
      </c>
      <c r="G33" s="90" t="str">
        <f t="shared" si="2"/>
        <v/>
      </c>
      <c r="H33" s="199" t="str">
        <f t="shared" si="3"/>
        <v>Non-coupling</v>
      </c>
      <c r="I33" s="199" t="str">
        <f t="shared" si="9"/>
        <v>nc_5HT1A</v>
      </c>
      <c r="J33" s="49" t="str">
        <f t="shared" si="9"/>
        <v>nc_5HT1A</v>
      </c>
      <c r="K33" s="49" t="str">
        <f t="shared" si="9"/>
        <v>nc_5HT1A</v>
      </c>
    </row>
    <row r="34" spans="1:11" ht="18.75" customHeight="1">
      <c r="A34" s="88" t="s">
        <v>27</v>
      </c>
      <c r="B34" s="92">
        <f>VLOOKUP($A34,'Bouvier-GEMTA'!$A:$CF,MATCH("Gq",'Bouvier-GEMTA'!$A$1:$CF$1,0),FALSE)</f>
        <v>0</v>
      </c>
      <c r="C34" s="101">
        <f>_xlfn.IFNA(VLOOKUP($A34,'Inoue-TGFa'!$A:$AL,MATCH("Gq",'Inoue-TGFa'!$A$1:$AL$1,0),FALSE),0)</f>
        <v>0</v>
      </c>
      <c r="D34" s="92">
        <f>VLOOKUP($A34,'Martemyanov-FreeGβγ-Nluc'!$A:$BG,MATCH("Gq",'Martemyanov-FreeGβγ-Nluc'!$A$1:$BG$1,0),FALSE)</f>
        <v>0</v>
      </c>
      <c r="E34" s="72" t="str">
        <f t="shared" ref="E34:E51" si="10">IF(B34&gt;0,$A34,"")</f>
        <v/>
      </c>
      <c r="F34" s="90" t="str">
        <f t="shared" si="8"/>
        <v/>
      </c>
      <c r="G34" s="90" t="str">
        <f t="shared" ref="G34:G51" si="11">IF(D34&gt;0,$A34,"")</f>
        <v/>
      </c>
      <c r="H34" s="199" t="str">
        <f t="shared" ref="H34:H51" si="12">IF(COUNTBLANK(E34:G34)&gt;1,"Non-coupling","Coupling")</f>
        <v>Non-coupling</v>
      </c>
      <c r="I34" s="199" t="str">
        <f t="shared" si="9"/>
        <v>nc_ACM2</v>
      </c>
      <c r="J34" s="49" t="str">
        <f t="shared" si="9"/>
        <v>nc_ACM2</v>
      </c>
      <c r="K34" s="49" t="str">
        <f t="shared" si="9"/>
        <v>nc_ACM2</v>
      </c>
    </row>
    <row r="35" spans="1:11" ht="18.75" customHeight="1">
      <c r="A35" s="51" t="s">
        <v>39</v>
      </c>
      <c r="B35" s="92">
        <f>VLOOKUP($A35,'Bouvier-GEMTA'!$A:$CF,MATCH("Gq",'Bouvier-GEMTA'!$A$1:$CF$1,0),FALSE)</f>
        <v>0</v>
      </c>
      <c r="C35" s="101">
        <f>_xlfn.IFNA(VLOOKUP($A35,'Inoue-TGFa'!$A:$AL,MATCH("Gq",'Inoue-TGFa'!$A$1:$AL$1,0),FALSE),0)</f>
        <v>0</v>
      </c>
      <c r="D35" s="92">
        <f>VLOOKUP($A35,'Martemyanov-FreeGβγ-Nluc'!$A:$BG,MATCH("Gq",'Martemyanov-FreeGβγ-Nluc'!$A$1:$BG$1,0),FALSE)</f>
        <v>0</v>
      </c>
      <c r="E35" s="72" t="str">
        <f t="shared" si="10"/>
        <v/>
      </c>
      <c r="F35" s="90" t="str">
        <f t="shared" si="8"/>
        <v/>
      </c>
      <c r="G35" s="90" t="str">
        <f t="shared" si="11"/>
        <v/>
      </c>
      <c r="H35" s="199" t="str">
        <f t="shared" si="12"/>
        <v>Non-coupling</v>
      </c>
      <c r="I35" s="199" t="str">
        <f t="shared" si="9"/>
        <v>nc_ADA2C</v>
      </c>
      <c r="J35" s="49" t="str">
        <f t="shared" si="9"/>
        <v>nc_ADA2C</v>
      </c>
      <c r="K35" s="49" t="str">
        <f t="shared" si="9"/>
        <v>nc_ADA2C</v>
      </c>
    </row>
    <row r="36" spans="1:11" ht="18.75" customHeight="1">
      <c r="A36" s="88" t="s">
        <v>1</v>
      </c>
      <c r="B36" s="92">
        <f>VLOOKUP($A36,'Bouvier-GEMTA'!$A:$CF,MATCH("Gq",'Bouvier-GEMTA'!$A$1:$CF$1,0),FALSE)</f>
        <v>0</v>
      </c>
      <c r="C36" s="101">
        <f>_xlfn.IFNA(VLOOKUP($A36,'Inoue-TGFa'!$A:$AL,MATCH("Gq",'Inoue-TGFa'!$A$1:$AL$1,0),FALSE),0)</f>
        <v>0</v>
      </c>
      <c r="D36" s="92">
        <f>VLOOKUP($A36,'Martemyanov-FreeGβγ-Nluc'!$A:$BG,MATCH("Gq",'Martemyanov-FreeGβγ-Nluc'!$A$1:$BG$1,0),FALSE)</f>
        <v>0</v>
      </c>
      <c r="E36" s="72" t="str">
        <f t="shared" si="10"/>
        <v/>
      </c>
      <c r="F36" s="90" t="str">
        <f t="shared" si="8"/>
        <v/>
      </c>
      <c r="G36" s="90" t="str">
        <f t="shared" si="11"/>
        <v/>
      </c>
      <c r="H36" s="199" t="str">
        <f t="shared" si="12"/>
        <v>Non-coupling</v>
      </c>
      <c r="I36" s="199" t="str">
        <f t="shared" si="9"/>
        <v>nc_AA2AR</v>
      </c>
      <c r="J36" s="49" t="str">
        <f t="shared" si="9"/>
        <v>nc_AA2AR</v>
      </c>
      <c r="K36" s="49" t="str">
        <f t="shared" si="9"/>
        <v>nc_AA2AR</v>
      </c>
    </row>
    <row r="37" spans="1:11" ht="18.75" customHeight="1">
      <c r="A37" s="88" t="s">
        <v>29</v>
      </c>
      <c r="B37" s="92">
        <f>VLOOKUP($A37,'Bouvier-GEMTA'!$A:$CF,MATCH("Gq",'Bouvier-GEMTA'!$A$1:$CF$1,0),FALSE)</f>
        <v>4.5584653051210431</v>
      </c>
      <c r="C37" s="101">
        <f>_xlfn.IFNA(VLOOKUP($A37,'Inoue-TGFa'!$A:$AL,MATCH("Gq",'Inoue-TGFa'!$A$1:$AL$1,0),FALSE),0)</f>
        <v>0</v>
      </c>
      <c r="D37" s="92">
        <f>VLOOKUP($A37,'Martemyanov-FreeGβγ-Nluc'!$A:$BG,MATCH("Gq",'Martemyanov-FreeGβγ-Nluc'!$A$1:$BG$1,0),FALSE)</f>
        <v>0</v>
      </c>
      <c r="E37" s="72" t="str">
        <f t="shared" si="10"/>
        <v>ACM4</v>
      </c>
      <c r="F37" s="90" t="str">
        <f t="shared" si="8"/>
        <v/>
      </c>
      <c r="G37" s="90" t="str">
        <f t="shared" si="11"/>
        <v/>
      </c>
      <c r="H37" s="199" t="str">
        <f t="shared" si="12"/>
        <v>Non-coupling</v>
      </c>
      <c r="J37" s="49" t="str">
        <f t="shared" si="9"/>
        <v>nc_ACM4</v>
      </c>
      <c r="K37" s="49" t="str">
        <f t="shared" si="9"/>
        <v>nc_ACM4</v>
      </c>
    </row>
    <row r="38" spans="1:11" ht="18.75" customHeight="1">
      <c r="A38" s="51" t="s">
        <v>111</v>
      </c>
      <c r="B38" s="92">
        <f>VLOOKUP($A38,'Bouvier-GEMTA'!$A:$CF,MATCH("Gq",'Bouvier-GEMTA'!$A$1:$CF$1,0),FALSE)</f>
        <v>0</v>
      </c>
      <c r="C38" s="101">
        <f>_xlfn.IFNA(VLOOKUP($A38,'Inoue-TGFa'!$A:$AL,MATCH("Gq",'Inoue-TGFa'!$A$1:$AL$1,0),FALSE),0)</f>
        <v>0</v>
      </c>
      <c r="D38" s="92">
        <f>VLOOKUP($A38,'Martemyanov-FreeGβγ-Nluc'!$A:$BG,MATCH("Gq",'Martemyanov-FreeGβγ-Nluc'!$A$1:$BG$1,0),FALSE)</f>
        <v>0</v>
      </c>
      <c r="E38" s="72" t="str">
        <f t="shared" si="10"/>
        <v/>
      </c>
      <c r="F38" s="90" t="str">
        <f t="shared" si="8"/>
        <v/>
      </c>
      <c r="G38" s="90" t="str">
        <f t="shared" si="11"/>
        <v/>
      </c>
      <c r="H38" s="199" t="str">
        <f t="shared" si="12"/>
        <v>Non-coupling</v>
      </c>
      <c r="I38" s="199" t="str">
        <f t="shared" si="9"/>
        <v>nc_DRD5</v>
      </c>
      <c r="J38" s="49" t="str">
        <f t="shared" si="9"/>
        <v>nc_DRD5</v>
      </c>
      <c r="K38" s="49" t="str">
        <f t="shared" si="9"/>
        <v>nc_DRD5</v>
      </c>
    </row>
    <row r="39" spans="1:11" ht="18.75" customHeight="1">
      <c r="A39" s="51" t="s">
        <v>38</v>
      </c>
      <c r="B39" s="92">
        <f>VLOOKUP($A39,'Bouvier-GEMTA'!$A:$CF,MATCH("Gq",'Bouvier-GEMTA'!$A$1:$CF$1,0),FALSE)</f>
        <v>0</v>
      </c>
      <c r="C39" s="101">
        <f>_xlfn.IFNA(VLOOKUP($A39,'Inoue-TGFa'!$A:$AL,MATCH("Gq",'Inoue-TGFa'!$A$1:$AL$1,0),FALSE),0)</f>
        <v>0</v>
      </c>
      <c r="D39" s="92">
        <f>VLOOKUP($A39,'Martemyanov-FreeGβγ-Nluc'!$A:$BG,MATCH("Gq",'Martemyanov-FreeGβγ-Nluc'!$A$1:$BG$1,0),FALSE)</f>
        <v>0</v>
      </c>
      <c r="E39" s="72" t="str">
        <f t="shared" si="10"/>
        <v/>
      </c>
      <c r="F39" s="90" t="str">
        <f t="shared" si="8"/>
        <v/>
      </c>
      <c r="G39" s="90" t="str">
        <f t="shared" si="11"/>
        <v/>
      </c>
      <c r="H39" s="199" t="str">
        <f t="shared" si="12"/>
        <v>Non-coupling</v>
      </c>
      <c r="I39" s="199" t="str">
        <f t="shared" si="9"/>
        <v>nc_ADA2B</v>
      </c>
      <c r="J39" s="49" t="str">
        <f t="shared" si="9"/>
        <v>nc_ADA2B</v>
      </c>
      <c r="K39" s="49" t="str">
        <f t="shared" si="9"/>
        <v>nc_ADA2B</v>
      </c>
    </row>
    <row r="40" spans="1:11" ht="18.75" customHeight="1">
      <c r="A40" s="88" t="s">
        <v>182</v>
      </c>
      <c r="B40" s="92">
        <f>VLOOKUP($A40,'Bouvier-GEMTA'!$A:$CF,MATCH("Gq",'Bouvier-GEMTA'!$A$1:$CF$1,0),FALSE)</f>
        <v>0</v>
      </c>
      <c r="C40" s="101">
        <f>_xlfn.IFNA(VLOOKUP($A40,'Inoue-TGFa'!$A:$AL,MATCH("Gq",'Inoue-TGFa'!$A$1:$AL$1,0),FALSE),0)</f>
        <v>0</v>
      </c>
      <c r="D40" s="92">
        <f>VLOOKUP($A40,'Martemyanov-FreeGβγ-Nluc'!$A:$BG,MATCH("Gq",'Martemyanov-FreeGβγ-Nluc'!$A$1:$BG$1,0),FALSE)</f>
        <v>0</v>
      </c>
      <c r="E40" s="72" t="str">
        <f t="shared" si="10"/>
        <v/>
      </c>
      <c r="F40" s="90" t="str">
        <f t="shared" si="8"/>
        <v/>
      </c>
      <c r="G40" s="90" t="str">
        <f t="shared" si="11"/>
        <v/>
      </c>
      <c r="H40" s="199" t="str">
        <f t="shared" si="12"/>
        <v>Non-coupling</v>
      </c>
      <c r="I40" s="199" t="str">
        <f t="shared" si="9"/>
        <v>nc_OPRK</v>
      </c>
      <c r="J40" s="49" t="str">
        <f t="shared" si="9"/>
        <v>nc_OPRK</v>
      </c>
      <c r="K40" s="49" t="str">
        <f t="shared" si="9"/>
        <v>nc_OPRK</v>
      </c>
    </row>
    <row r="41" spans="1:11" ht="18.75" customHeight="1">
      <c r="A41" s="51" t="s">
        <v>16</v>
      </c>
      <c r="B41" s="92">
        <f>VLOOKUP($A41,'Bouvier-GEMTA'!$A:$CF,MATCH("Gq",'Bouvier-GEMTA'!$A$1:$CF$1,0),FALSE)</f>
        <v>0</v>
      </c>
      <c r="C41" s="101">
        <f>_xlfn.IFNA(VLOOKUP($A41,'Inoue-TGFa'!$A:$AL,MATCH("Gq",'Inoue-TGFa'!$A$1:$AL$1,0),FALSE),0)</f>
        <v>0</v>
      </c>
      <c r="D41" s="92">
        <f>VLOOKUP($A41,'Martemyanov-FreeGβγ-Nluc'!$A:$BG,MATCH("Gq",'Martemyanov-FreeGβγ-Nluc'!$A$1:$BG$1,0),FALSE)</f>
        <v>0</v>
      </c>
      <c r="E41" s="72" t="str">
        <f t="shared" si="10"/>
        <v/>
      </c>
      <c r="F41" s="90" t="str">
        <f t="shared" si="8"/>
        <v/>
      </c>
      <c r="G41" s="90" t="str">
        <f t="shared" si="11"/>
        <v/>
      </c>
      <c r="H41" s="199" t="str">
        <f t="shared" si="12"/>
        <v>Non-coupling</v>
      </c>
      <c r="I41" s="199" t="str">
        <f t="shared" si="9"/>
        <v>nc_5HT1B</v>
      </c>
      <c r="J41" s="49" t="str">
        <f t="shared" si="9"/>
        <v>nc_5HT1B</v>
      </c>
      <c r="K41" s="49" t="str">
        <f t="shared" si="9"/>
        <v>nc_5HT1B</v>
      </c>
    </row>
    <row r="42" spans="1:11" ht="18.75" customHeight="1">
      <c r="A42" s="51" t="s">
        <v>41</v>
      </c>
      <c r="B42" s="92">
        <f>VLOOKUP($A42,'Bouvier-GEMTA'!$A:$CF,MATCH("Gq",'Bouvier-GEMTA'!$A$1:$CF$1,0),FALSE)</f>
        <v>0</v>
      </c>
      <c r="C42" s="101">
        <f>_xlfn.IFNA(VLOOKUP($A42,'Inoue-TGFa'!$A:$AL,MATCH("Gq",'Inoue-TGFa'!$A$1:$AL$1,0),FALSE),0)</f>
        <v>0</v>
      </c>
      <c r="D42" s="92">
        <f>VLOOKUP($A42,'Martemyanov-FreeGβγ-Nluc'!$A:$BG,MATCH("Gq",'Martemyanov-FreeGβγ-Nluc'!$A$1:$BG$1,0),FALSE)</f>
        <v>0</v>
      </c>
      <c r="E42" s="72" t="str">
        <f t="shared" si="10"/>
        <v/>
      </c>
      <c r="F42" s="90" t="str">
        <f t="shared" si="8"/>
        <v/>
      </c>
      <c r="G42" s="90" t="str">
        <f t="shared" si="11"/>
        <v/>
      </c>
      <c r="H42" s="199" t="str">
        <f t="shared" si="12"/>
        <v>Non-coupling</v>
      </c>
      <c r="I42" s="199" t="str">
        <f t="shared" si="9"/>
        <v>nc_ADRB2</v>
      </c>
      <c r="J42" s="49" t="str">
        <f t="shared" si="9"/>
        <v>nc_ADRB2</v>
      </c>
      <c r="K42" s="49" t="str">
        <f t="shared" si="9"/>
        <v>nc_ADRB2</v>
      </c>
    </row>
    <row r="43" spans="1:11" ht="18.75" customHeight="1">
      <c r="A43" s="88" t="s">
        <v>204</v>
      </c>
      <c r="B43" s="92">
        <f>VLOOKUP($A43,'Bouvier-GEMTA'!$A:$CF,MATCH("Gq",'Bouvier-GEMTA'!$A$1:$CF$1,0),FALSE)</f>
        <v>0</v>
      </c>
      <c r="C43" s="101">
        <f>_xlfn.IFNA(VLOOKUP($A43,'Inoue-TGFa'!$A:$AL,MATCH("Gq",'Inoue-TGFa'!$A$1:$AL$1,0),FALSE),0)</f>
        <v>0</v>
      </c>
      <c r="D43" s="92">
        <f>VLOOKUP($A43,'Martemyanov-FreeGβγ-Nluc'!$A:$BG,MATCH("Gq",'Martemyanov-FreeGβγ-Nluc'!$A$1:$BG$1,0),FALSE)</f>
        <v>0</v>
      </c>
      <c r="E43" s="72" t="str">
        <f t="shared" si="10"/>
        <v/>
      </c>
      <c r="F43" s="90" t="str">
        <f t="shared" si="8"/>
        <v/>
      </c>
      <c r="G43" s="90" t="str">
        <f t="shared" si="11"/>
        <v/>
      </c>
      <c r="H43" s="199" t="str">
        <f t="shared" si="12"/>
        <v>Non-coupling</v>
      </c>
      <c r="I43" s="199" t="str">
        <f t="shared" si="9"/>
        <v>nc_PE2R2</v>
      </c>
      <c r="J43" s="49" t="str">
        <f t="shared" si="9"/>
        <v>nc_PE2R2</v>
      </c>
      <c r="K43" s="49" t="str">
        <f t="shared" si="9"/>
        <v>nc_PE2R2</v>
      </c>
    </row>
    <row r="44" spans="1:11" ht="18.75" customHeight="1">
      <c r="A44" s="51" t="s">
        <v>45</v>
      </c>
      <c r="B44" s="92">
        <f>VLOOKUP($A44,'Bouvier-GEMTA'!$A:$CF,MATCH("Gq",'Bouvier-GEMTA'!$A$1:$CF$1,0),FALSE)</f>
        <v>0</v>
      </c>
      <c r="C44" s="101">
        <f>_xlfn.IFNA(VLOOKUP($A44,'Inoue-TGFa'!$A:$AL,MATCH("Gq",'Inoue-TGFa'!$A$1:$AL$1,0),FALSE),0)</f>
        <v>0</v>
      </c>
      <c r="D44" s="92">
        <f>VLOOKUP($A44,'Martemyanov-FreeGβγ-Nluc'!$A:$BG,MATCH("Gq",'Martemyanov-FreeGβγ-Nluc'!$A$1:$BG$1,0),FALSE)</f>
        <v>0</v>
      </c>
      <c r="E44" s="72" t="str">
        <f t="shared" si="10"/>
        <v/>
      </c>
      <c r="F44" s="90" t="str">
        <f t="shared" si="8"/>
        <v/>
      </c>
      <c r="G44" s="90" t="str">
        <f t="shared" si="11"/>
        <v/>
      </c>
      <c r="H44" s="199" t="str">
        <f t="shared" si="12"/>
        <v>Non-coupling</v>
      </c>
      <c r="I44" s="199" t="str">
        <f t="shared" si="9"/>
        <v>nc_APJ</v>
      </c>
      <c r="J44" s="49" t="str">
        <f t="shared" si="9"/>
        <v>nc_APJ</v>
      </c>
      <c r="K44" s="49" t="str">
        <f t="shared" si="9"/>
        <v>nc_APJ</v>
      </c>
    </row>
    <row r="45" spans="1:11" ht="18.75" customHeight="1">
      <c r="A45" s="51" t="s">
        <v>40</v>
      </c>
      <c r="B45" s="92">
        <f>VLOOKUP($A45,'Bouvier-GEMTA'!$A:$CF,MATCH("Gq",'Bouvier-GEMTA'!$A$1:$CF$1,0),FALSE)</f>
        <v>4.6154152970799851</v>
      </c>
      <c r="C45" s="101">
        <f>_xlfn.IFNA(VLOOKUP($A45,'Inoue-TGFa'!$A:$AL,MATCH("Gq",'Inoue-TGFa'!$A$1:$AL$1,0),FALSE),0)</f>
        <v>0</v>
      </c>
      <c r="D45" s="92">
        <f>VLOOKUP($A45,'Martemyanov-FreeGβγ-Nluc'!$A:$BG,MATCH("Gq",'Martemyanov-FreeGβγ-Nluc'!$A$1:$BG$1,0),FALSE)</f>
        <v>0</v>
      </c>
      <c r="E45" s="72" t="str">
        <f t="shared" si="10"/>
        <v>ADRB1</v>
      </c>
      <c r="F45" s="90" t="str">
        <f t="shared" si="8"/>
        <v/>
      </c>
      <c r="G45" s="90" t="str">
        <f t="shared" si="11"/>
        <v/>
      </c>
      <c r="H45" s="199" t="str">
        <f t="shared" si="12"/>
        <v>Non-coupling</v>
      </c>
      <c r="J45" s="49" t="str">
        <f t="shared" si="9"/>
        <v>nc_ADRB1</v>
      </c>
      <c r="K45" s="49" t="str">
        <f t="shared" si="9"/>
        <v>nc_ADRB1</v>
      </c>
    </row>
    <row r="46" spans="1:11" ht="18.75" customHeight="1">
      <c r="A46" s="51" t="s">
        <v>161</v>
      </c>
      <c r="B46" s="92">
        <f>VLOOKUP($A46,'Bouvier-GEMTA'!$A:$CF,MATCH("Gq",'Bouvier-GEMTA'!$A$1:$CF$1,0),FALSE)</f>
        <v>0</v>
      </c>
      <c r="C46" s="101">
        <f>_xlfn.IFNA(VLOOKUP($A46,'Inoue-TGFa'!$A:$AL,MATCH("Gq",'Inoue-TGFa'!$A$1:$AL$1,0),FALSE),0)</f>
        <v>0</v>
      </c>
      <c r="D46" s="92">
        <f>VLOOKUP($A46,'Martemyanov-FreeGβγ-Nluc'!$A:$BG,MATCH("Gq",'Martemyanov-FreeGβγ-Nluc'!$A$1:$BG$1,0),FALSE)</f>
        <v>0</v>
      </c>
      <c r="E46" s="72" t="str">
        <f t="shared" si="10"/>
        <v/>
      </c>
      <c r="F46" s="90" t="str">
        <f t="shared" si="8"/>
        <v/>
      </c>
      <c r="G46" s="90" t="str">
        <f t="shared" si="11"/>
        <v/>
      </c>
      <c r="H46" s="199" t="str">
        <f t="shared" si="12"/>
        <v>Non-coupling</v>
      </c>
      <c r="I46" s="199" t="str">
        <f t="shared" si="9"/>
        <v>nc_MC4R</v>
      </c>
      <c r="J46" s="49" t="str">
        <f t="shared" si="9"/>
        <v>nc_MC4R</v>
      </c>
      <c r="K46" s="49" t="str">
        <f t="shared" si="9"/>
        <v>nc_MC4R</v>
      </c>
    </row>
    <row r="47" spans="1:11" ht="18.75" customHeight="1">
      <c r="A47" s="88" t="s">
        <v>184</v>
      </c>
      <c r="B47" s="92">
        <f>VLOOKUP($A47,'Bouvier-GEMTA'!$A:$CF,MATCH("Gq",'Bouvier-GEMTA'!$A$1:$CF$1,0),FALSE)</f>
        <v>0</v>
      </c>
      <c r="C47" s="101">
        <f>_xlfn.IFNA(VLOOKUP($A47,'Inoue-TGFa'!$A:$AL,MATCH("Gq",'Inoue-TGFa'!$A$1:$AL$1,0),FALSE),0)</f>
        <v>0</v>
      </c>
      <c r="D47" s="92">
        <f>VLOOKUP($A47,'Martemyanov-FreeGβγ-Nluc'!$A:$BG,MATCH("Gq",'Martemyanov-FreeGβγ-Nluc'!$A$1:$BG$1,0),FALSE)</f>
        <v>0</v>
      </c>
      <c r="E47" s="72" t="str">
        <f t="shared" si="10"/>
        <v/>
      </c>
      <c r="F47" s="90" t="str">
        <f t="shared" si="8"/>
        <v/>
      </c>
      <c r="G47" s="90" t="str">
        <f t="shared" si="11"/>
        <v/>
      </c>
      <c r="H47" s="199" t="str">
        <f t="shared" si="12"/>
        <v>Non-coupling</v>
      </c>
      <c r="I47" s="199" t="str">
        <f t="shared" si="9"/>
        <v>nc_OPRX</v>
      </c>
      <c r="J47" s="49" t="str">
        <f t="shared" si="9"/>
        <v>nc_OPRX</v>
      </c>
      <c r="K47" s="49" t="str">
        <f t="shared" si="9"/>
        <v>nc_OPRX</v>
      </c>
    </row>
    <row r="48" spans="1:11" ht="18.75" customHeight="1">
      <c r="A48" s="51" t="s">
        <v>17</v>
      </c>
      <c r="B48" s="92">
        <f>VLOOKUP($A48,'Bouvier-GEMTA'!$A:$CF,MATCH("Gq",'Bouvier-GEMTA'!$A$1:$CF$1,0),FALSE)</f>
        <v>0</v>
      </c>
      <c r="C48" s="101">
        <f>_xlfn.IFNA(VLOOKUP($A48,'Inoue-TGFa'!$A:$AL,MATCH("Gq",'Inoue-TGFa'!$A$1:$AL$1,0),FALSE),0)</f>
        <v>0</v>
      </c>
      <c r="D48" s="92">
        <f>VLOOKUP($A48,'Martemyanov-FreeGβγ-Nluc'!$A:$BG,MATCH("Gq",'Martemyanov-FreeGβγ-Nluc'!$A$1:$BG$1,0),FALSE)</f>
        <v>0</v>
      </c>
      <c r="E48" s="72" t="str">
        <f t="shared" si="10"/>
        <v/>
      </c>
      <c r="F48" s="90" t="str">
        <f t="shared" si="8"/>
        <v/>
      </c>
      <c r="G48" s="90" t="str">
        <f t="shared" si="11"/>
        <v/>
      </c>
      <c r="H48" s="199" t="str">
        <f t="shared" si="12"/>
        <v>Non-coupling</v>
      </c>
      <c r="I48" s="199" t="str">
        <f t="shared" si="9"/>
        <v>nc_5HT1D</v>
      </c>
      <c r="J48" s="49" t="str">
        <f t="shared" si="9"/>
        <v>nc_5HT1D</v>
      </c>
      <c r="K48" s="49" t="str">
        <f t="shared" si="9"/>
        <v>nc_5HT1D</v>
      </c>
    </row>
    <row r="49" spans="1:11" ht="18.75" customHeight="1">
      <c r="A49" s="88" t="s">
        <v>206</v>
      </c>
      <c r="B49" s="92">
        <f>VLOOKUP($A49,'Bouvier-GEMTA'!$A:$CF,MATCH("Gq",'Bouvier-GEMTA'!$A$1:$CF$1,0),FALSE)</f>
        <v>0</v>
      </c>
      <c r="C49" s="101">
        <f>_xlfn.IFNA(VLOOKUP($A49,'Inoue-TGFa'!$A:$AL,MATCH("Gq",'Inoue-TGFa'!$A$1:$AL$1,0),FALSE),0)</f>
        <v>0</v>
      </c>
      <c r="D49" s="92">
        <f>VLOOKUP($A49,'Martemyanov-FreeGβγ-Nluc'!$A:$BG,MATCH("Gq",'Martemyanov-FreeGβγ-Nluc'!$A$1:$BG$1,0),FALSE)</f>
        <v>0</v>
      </c>
      <c r="E49" s="72" t="str">
        <f t="shared" si="10"/>
        <v/>
      </c>
      <c r="F49" s="90" t="str">
        <f t="shared" si="8"/>
        <v/>
      </c>
      <c r="G49" s="90" t="str">
        <f t="shared" si="11"/>
        <v/>
      </c>
      <c r="H49" s="199" t="str">
        <f t="shared" si="12"/>
        <v>Non-coupling</v>
      </c>
      <c r="I49" s="199" t="str">
        <f t="shared" si="9"/>
        <v>nc_PE2R4</v>
      </c>
      <c r="J49" s="49" t="str">
        <f t="shared" si="9"/>
        <v>nc_PE2R4</v>
      </c>
      <c r="K49" s="49" t="str">
        <f t="shared" si="9"/>
        <v>nc_PE2R4</v>
      </c>
    </row>
    <row r="50" spans="1:11" ht="18.75" customHeight="1">
      <c r="A50" s="88" t="s">
        <v>205</v>
      </c>
      <c r="B50" s="92">
        <f>VLOOKUP($A50,'Bouvier-GEMTA'!$A:$CF,MATCH("Gq",'Bouvier-GEMTA'!$A$1:$CF$1,0),FALSE)</f>
        <v>0</v>
      </c>
      <c r="C50" s="101">
        <f>_xlfn.IFNA(VLOOKUP($A50,'Inoue-TGFa'!$A:$AL,MATCH("Gq",'Inoue-TGFa'!$A$1:$AL$1,0),FALSE),0)</f>
        <v>7.4838153659804316</v>
      </c>
      <c r="D50" s="92">
        <f>VLOOKUP($A50,'Martemyanov-FreeGβγ-Nluc'!$A:$BG,MATCH("Gq",'Martemyanov-FreeGβγ-Nluc'!$A$1:$BG$1,0),FALSE)</f>
        <v>0</v>
      </c>
      <c r="E50" s="72" t="str">
        <f t="shared" si="10"/>
        <v/>
      </c>
      <c r="F50" s="90" t="str">
        <f t="shared" si="8"/>
        <v>PE2R3</v>
      </c>
      <c r="G50" s="90" t="str">
        <f t="shared" si="11"/>
        <v/>
      </c>
      <c r="H50" s="199" t="str">
        <f t="shared" si="12"/>
        <v>Non-coupling</v>
      </c>
      <c r="I50" s="199" t="str">
        <f t="shared" si="9"/>
        <v>nc_PE2R3</v>
      </c>
      <c r="K50" s="49" t="str">
        <f t="shared" si="9"/>
        <v>nc_PE2R3</v>
      </c>
    </row>
    <row r="51" spans="1:11" ht="18.75" customHeight="1">
      <c r="A51" s="51" t="s">
        <v>160</v>
      </c>
      <c r="B51" s="92">
        <f>VLOOKUP($A51,'Bouvier-GEMTA'!$A:$CF,MATCH("Gq",'Bouvier-GEMTA'!$A$1:$CF$1,0),FALSE)</f>
        <v>0</v>
      </c>
      <c r="C51" s="101">
        <f>_xlfn.IFNA(VLOOKUP($A51,'Inoue-TGFa'!$A:$AL,MATCH("Gq",'Inoue-TGFa'!$A$1:$AL$1,0),FALSE),0)</f>
        <v>7.4923937598229688</v>
      </c>
      <c r="D51" s="92">
        <f>VLOOKUP($A51,'Martemyanov-FreeGβγ-Nluc'!$A:$BG,MATCH("Gq",'Martemyanov-FreeGβγ-Nluc'!$A$1:$BG$1,0),FALSE)</f>
        <v>0</v>
      </c>
      <c r="E51" s="72" t="str">
        <f t="shared" si="10"/>
        <v/>
      </c>
      <c r="F51" s="90" t="str">
        <f t="shared" si="8"/>
        <v>MC3R</v>
      </c>
      <c r="G51" s="90" t="str">
        <f t="shared" si="11"/>
        <v/>
      </c>
      <c r="H51" s="199" t="str">
        <f t="shared" si="12"/>
        <v>Non-coupling</v>
      </c>
      <c r="I51" s="199" t="str">
        <f t="shared" si="9"/>
        <v>nc_MC3R</v>
      </c>
      <c r="K51" s="49" t="str">
        <f t="shared" si="9"/>
        <v>nc_MC3R</v>
      </c>
    </row>
  </sheetData>
  <sortState xmlns:xlrd2="http://schemas.microsoft.com/office/spreadsheetml/2017/richdata2" ref="A2:L19">
    <sortCondition ref="H2:H19"/>
  </sortState>
  <conditionalFormatting sqref="H1:H1048576">
    <cfRule type="cellIs" dxfId="4" priority="1" operator="equal">
      <formula>"Coupling"</formula>
    </cfRule>
    <cfRule type="cellIs" dxfId="3" priority="2" operator="equal">
      <formula>"Non-coupling"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03F0-A498-C842-BC19-DCEB00C0161F}">
  <sheetPr>
    <tabColor theme="7"/>
  </sheetPr>
  <dimension ref="A1:L31"/>
  <sheetViews>
    <sheetView zoomScale="207" zoomScaleNormal="120" workbookViewId="0">
      <pane xSplit="1" ySplit="1" topLeftCell="B2" activePane="bottomRight" state="frozen"/>
      <selection activeCell="B4" sqref="B4"/>
      <selection pane="topRight" activeCell="B4" sqref="B4"/>
      <selection pane="bottomLeft" activeCell="B4" sqref="B4"/>
      <selection pane="bottomRight" sqref="A1:A1048576"/>
    </sheetView>
  </sheetViews>
  <sheetFormatPr baseColWidth="10" defaultRowHeight="16"/>
  <cols>
    <col min="1" max="1" width="8.6640625" style="27" bestFit="1" customWidth="1"/>
    <col min="2" max="2" width="7.6640625" style="330" bestFit="1" customWidth="1"/>
    <col min="3" max="3" width="7.6640625" style="9" bestFit="1" customWidth="1"/>
    <col min="4" max="4" width="22.33203125" style="334" bestFit="1" customWidth="1"/>
    <col min="5" max="16384" width="10.83203125" style="23"/>
  </cols>
  <sheetData>
    <row r="1" spans="1:5" s="126" customFormat="1" ht="66" customHeight="1">
      <c r="A1" s="122" t="s">
        <v>5685</v>
      </c>
      <c r="B1" s="328" t="s">
        <v>5655</v>
      </c>
      <c r="C1" s="331" t="s">
        <v>5684</v>
      </c>
      <c r="D1" s="126" t="s">
        <v>5686</v>
      </c>
      <c r="E1" s="126" t="s">
        <v>3258</v>
      </c>
    </row>
    <row r="2" spans="1:5" s="28" customFormat="1">
      <c r="A2" s="51" t="s">
        <v>20</v>
      </c>
      <c r="B2" s="329" t="str">
        <f>VLOOKUP(A2,'Lambert-RGB-GDP_Econst'!A:U,21,FALSE)</f>
        <v>-</v>
      </c>
      <c r="C2" s="332" t="s">
        <v>2853</v>
      </c>
      <c r="D2" s="333" t="str">
        <f t="shared" ref="D2:D28" si="0">IF(B2="-","Coupling required agonist",IF(B2=C2,"Same","Diff"))</f>
        <v>Coupling required agonist</v>
      </c>
    </row>
    <row r="3" spans="1:5" s="28" customFormat="1">
      <c r="A3" s="51" t="s">
        <v>43</v>
      </c>
      <c r="B3" s="329" t="str">
        <f>VLOOKUP(A3,'Lambert-RGB-GDP_Econst'!A:U,21,FALSE)</f>
        <v>-</v>
      </c>
      <c r="C3" s="332" t="s">
        <v>2853</v>
      </c>
      <c r="D3" s="333" t="str">
        <f t="shared" si="0"/>
        <v>Coupling required agonist</v>
      </c>
    </row>
    <row r="4" spans="1:5" s="28" customFormat="1">
      <c r="A4" s="51" t="s">
        <v>111</v>
      </c>
      <c r="B4" s="329" t="str">
        <f>VLOOKUP(A4,'Lambert-RGB-GDP_Econst'!A:U,21,FALSE)</f>
        <v>-</v>
      </c>
      <c r="C4" s="332" t="s">
        <v>3264</v>
      </c>
      <c r="D4" s="333" t="str">
        <f t="shared" si="0"/>
        <v>Coupling required agonist</v>
      </c>
    </row>
    <row r="5" spans="1:5" s="28" customFormat="1">
      <c r="A5" s="51" t="s">
        <v>112</v>
      </c>
      <c r="B5" s="329" t="str">
        <f>VLOOKUP(A5,'Lambert-RGB-GDP_Econst'!A:U,21,FALSE)</f>
        <v>-</v>
      </c>
      <c r="C5" s="332" t="s">
        <v>5528</v>
      </c>
      <c r="D5" s="333" t="str">
        <f t="shared" si="0"/>
        <v>Coupling required agonist</v>
      </c>
    </row>
    <row r="6" spans="1:5" s="28" customFormat="1">
      <c r="A6" s="51" t="s">
        <v>113</v>
      </c>
      <c r="B6" s="329" t="str">
        <f>VLOOKUP(A6,'Lambert-RGB-GDP_Econst'!A:U,21,FALSE)</f>
        <v>-</v>
      </c>
      <c r="C6" s="332" t="s">
        <v>5528</v>
      </c>
      <c r="D6" s="333" t="str">
        <f t="shared" si="0"/>
        <v>Coupling required agonist</v>
      </c>
    </row>
    <row r="7" spans="1:5" s="28" customFormat="1">
      <c r="A7" s="51" t="s">
        <v>90</v>
      </c>
      <c r="B7" s="329" t="str">
        <f>VLOOKUP(A7,'Lambert-RGB-GDP_Econst'!A:U,21,FALSE)</f>
        <v>-</v>
      </c>
      <c r="C7" s="332" t="s">
        <v>5529</v>
      </c>
      <c r="D7" s="333" t="str">
        <f t="shared" si="0"/>
        <v>Coupling required agonist</v>
      </c>
    </row>
    <row r="8" spans="1:5" s="28" customFormat="1">
      <c r="A8" s="51" t="s">
        <v>227</v>
      </c>
      <c r="B8" s="329" t="str">
        <f>VLOOKUP(A8,'Lambert-RGB-GDP_Econst'!A:U,21,FALSE)</f>
        <v>-</v>
      </c>
      <c r="C8" s="332" t="s">
        <v>2853</v>
      </c>
      <c r="D8" s="333" t="str">
        <f t="shared" si="0"/>
        <v>Coupling required agonist</v>
      </c>
    </row>
    <row r="9" spans="1:5" s="28" customFormat="1">
      <c r="A9" s="51" t="s">
        <v>209</v>
      </c>
      <c r="B9" s="329" t="str">
        <f>VLOOKUP(A9,'Lambert-RGB-GDP_Econst'!A:U,21,FALSE)</f>
        <v>-</v>
      </c>
      <c r="C9" s="332" t="s">
        <v>2853</v>
      </c>
      <c r="D9" s="333" t="str">
        <f t="shared" si="0"/>
        <v>Coupling required agonist</v>
      </c>
    </row>
    <row r="10" spans="1:5" s="28" customFormat="1">
      <c r="A10" s="51" t="s">
        <v>230</v>
      </c>
      <c r="B10" s="329" t="str">
        <f>VLOOKUP(A10,'Lambert-RGB-GDP_Econst'!A:U,21,FALSE)</f>
        <v>-</v>
      </c>
      <c r="C10" s="332" t="s">
        <v>3264</v>
      </c>
      <c r="D10" s="333" t="str">
        <f t="shared" si="0"/>
        <v>Coupling required agonist</v>
      </c>
    </row>
    <row r="11" spans="1:5" s="28" customFormat="1">
      <c r="A11" s="51" t="s">
        <v>100</v>
      </c>
      <c r="B11" s="329" t="str">
        <f>VLOOKUP(A11,'Lambert-RGB-GDP_Econst'!A:U,21,FALSE)</f>
        <v>Gi1</v>
      </c>
      <c r="C11" s="332" t="s">
        <v>5529</v>
      </c>
      <c r="D11" s="333" t="str">
        <f t="shared" si="0"/>
        <v>Diff</v>
      </c>
      <c r="E11" s="205" t="s">
        <v>5687</v>
      </c>
    </row>
    <row r="12" spans="1:5" s="28" customFormat="1">
      <c r="A12" s="51" t="s">
        <v>31</v>
      </c>
      <c r="B12" s="329" t="str">
        <f>VLOOKUP(A12,'Lambert-RGB-GDP_Econst'!A:U,21,FALSE)</f>
        <v>Gi1</v>
      </c>
      <c r="C12" s="332" t="s">
        <v>5528</v>
      </c>
      <c r="D12" s="333" t="str">
        <f t="shared" si="0"/>
        <v>Same</v>
      </c>
    </row>
    <row r="13" spans="1:5" s="28" customFormat="1">
      <c r="A13" s="51" t="s">
        <v>28</v>
      </c>
      <c r="B13" s="329" t="str">
        <f>VLOOKUP(A13,'Lambert-RGB-GDP_Econst'!A:U,21,FALSE)</f>
        <v>Gq</v>
      </c>
      <c r="C13" s="332" t="s">
        <v>2853</v>
      </c>
      <c r="D13" s="333" t="str">
        <f t="shared" si="0"/>
        <v>Same</v>
      </c>
    </row>
    <row r="14" spans="1:5" s="28" customFormat="1">
      <c r="A14" s="51" t="s">
        <v>29</v>
      </c>
      <c r="B14" s="329" t="str">
        <f>VLOOKUP(A14,'Lambert-RGB-GDP_Econst'!A:U,21,FALSE)</f>
        <v>Gi1</v>
      </c>
      <c r="C14" s="332" t="s">
        <v>5528</v>
      </c>
      <c r="D14" s="333" t="str">
        <f t="shared" si="0"/>
        <v>Same</v>
      </c>
    </row>
    <row r="15" spans="1:5" s="28" customFormat="1">
      <c r="A15" s="51" t="s">
        <v>37</v>
      </c>
      <c r="B15" s="329" t="str">
        <f>VLOOKUP(A15,'Lambert-RGB-GDP_Econst'!A:U,21,FALSE)</f>
        <v>Gi1</v>
      </c>
      <c r="C15" s="332" t="s">
        <v>5528</v>
      </c>
      <c r="D15" s="333" t="str">
        <f t="shared" si="0"/>
        <v>Same</v>
      </c>
    </row>
    <row r="16" spans="1:5" s="28" customFormat="1">
      <c r="A16" s="51" t="s">
        <v>41</v>
      </c>
      <c r="B16" s="329" t="str">
        <f>VLOOKUP(A16,'Lambert-RGB-GDP_Econst'!A:U,21,FALSE)</f>
        <v>GsL</v>
      </c>
      <c r="C16" s="332" t="s">
        <v>3264</v>
      </c>
      <c r="D16" s="333" t="str">
        <f t="shared" si="0"/>
        <v>Same</v>
      </c>
    </row>
    <row r="17" spans="1:12" s="28" customFormat="1">
      <c r="A17" s="51" t="s">
        <v>103</v>
      </c>
      <c r="B17" s="329" t="str">
        <f>VLOOKUP(A17,'Lambert-RGB-GDP_Econst'!A:U,21,FALSE)</f>
        <v>Gi1</v>
      </c>
      <c r="C17" s="332" t="s">
        <v>5528</v>
      </c>
      <c r="D17" s="333" t="str">
        <f t="shared" si="0"/>
        <v>Same</v>
      </c>
      <c r="E17" s="23"/>
      <c r="F17" s="23"/>
      <c r="G17" s="23"/>
      <c r="H17" s="23"/>
      <c r="I17" s="23"/>
      <c r="J17" s="23"/>
      <c r="K17" s="23"/>
      <c r="L17" s="23"/>
    </row>
    <row r="18" spans="1:12" s="28" customFormat="1">
      <c r="A18" s="51" t="s">
        <v>58</v>
      </c>
      <c r="B18" s="329" t="str">
        <f>VLOOKUP(A18,'Lambert-RGB-GDP_Econst'!A:U,21,FALSE)</f>
        <v>Gi1</v>
      </c>
      <c r="C18" s="332" t="s">
        <v>5528</v>
      </c>
      <c r="D18" s="333" t="str">
        <f t="shared" si="0"/>
        <v>Same</v>
      </c>
    </row>
    <row r="19" spans="1:12" s="28" customFormat="1">
      <c r="A19" s="51" t="s">
        <v>106</v>
      </c>
      <c r="B19" s="329" t="str">
        <f>VLOOKUP(A19,'Lambert-RGB-GDP_Econst'!A:U,21,FALSE)</f>
        <v>GsL</v>
      </c>
      <c r="C19" s="332" t="s">
        <v>3264</v>
      </c>
      <c r="D19" s="333" t="str">
        <f t="shared" si="0"/>
        <v>Same</v>
      </c>
    </row>
    <row r="20" spans="1:12" s="28" customFormat="1">
      <c r="A20" s="51" t="s">
        <v>108</v>
      </c>
      <c r="B20" s="329" t="str">
        <f>VLOOKUP(A20,'Lambert-RGB-GDP_Econst'!A:U,21,FALSE)</f>
        <v>Gi1</v>
      </c>
      <c r="C20" s="332" t="s">
        <v>5528</v>
      </c>
      <c r="D20" s="333" t="str">
        <f t="shared" si="0"/>
        <v>Same</v>
      </c>
    </row>
    <row r="21" spans="1:12" s="28" customFormat="1">
      <c r="A21" s="51" t="s">
        <v>114</v>
      </c>
      <c r="B21" s="329" t="str">
        <f>VLOOKUP(A21,'Lambert-RGB-GDP_Econst'!A:U,21,FALSE)</f>
        <v>Gi1</v>
      </c>
      <c r="C21" s="332" t="s">
        <v>5528</v>
      </c>
      <c r="D21" s="333" t="str">
        <f t="shared" si="0"/>
        <v>Same</v>
      </c>
    </row>
    <row r="22" spans="1:12" s="28" customFormat="1">
      <c r="A22" s="51" t="s">
        <v>115</v>
      </c>
      <c r="B22" s="329" t="str">
        <f>VLOOKUP(A22,'Lambert-RGB-GDP_Econst'!A:U,21,FALSE)</f>
        <v>Gi1</v>
      </c>
      <c r="C22" s="332" t="s">
        <v>5528</v>
      </c>
      <c r="D22" s="333" t="str">
        <f t="shared" si="0"/>
        <v>Same</v>
      </c>
      <c r="E22" s="23"/>
      <c r="F22" s="23"/>
      <c r="G22" s="23"/>
      <c r="H22" s="23"/>
      <c r="I22" s="23"/>
      <c r="J22" s="23"/>
      <c r="K22" s="23"/>
      <c r="L22" s="23"/>
    </row>
    <row r="23" spans="1:12" s="28" customFormat="1">
      <c r="A23" s="51" t="s">
        <v>3522</v>
      </c>
      <c r="B23" s="329" t="str">
        <f>VLOOKUP(A23,'Lambert-RGB-GDP_Econst'!A:U,21,FALSE)</f>
        <v>Gi1</v>
      </c>
      <c r="C23" s="332" t="s">
        <v>5528</v>
      </c>
      <c r="D23" s="333" t="str">
        <f t="shared" si="0"/>
        <v>Same</v>
      </c>
      <c r="E23" s="23"/>
      <c r="F23" s="23"/>
      <c r="G23" s="23"/>
      <c r="H23" s="23"/>
      <c r="I23" s="23"/>
      <c r="J23" s="23"/>
      <c r="K23" s="23"/>
      <c r="L23" s="23"/>
    </row>
    <row r="24" spans="1:12">
      <c r="A24" s="51" t="s">
        <v>140</v>
      </c>
      <c r="B24" s="329" t="str">
        <f>VLOOKUP(A24,'Lambert-RGB-GDP_Econst'!A:U,21,FALSE)</f>
        <v>Gi1</v>
      </c>
      <c r="C24" s="332" t="s">
        <v>5528</v>
      </c>
      <c r="D24" s="333" t="str">
        <f t="shared" si="0"/>
        <v>Same</v>
      </c>
    </row>
    <row r="25" spans="1:12">
      <c r="A25" s="51" t="s">
        <v>141</v>
      </c>
      <c r="B25" s="329" t="str">
        <f>VLOOKUP(A25,'Lambert-RGB-GDP_Econst'!A:U,21,FALSE)</f>
        <v>Gi1</v>
      </c>
      <c r="C25" s="332" t="s">
        <v>5528</v>
      </c>
      <c r="D25" s="333" t="str">
        <f t="shared" si="0"/>
        <v>Same</v>
      </c>
    </row>
    <row r="26" spans="1:12">
      <c r="A26" s="51" t="s">
        <v>135</v>
      </c>
      <c r="B26" s="329" t="str">
        <f>VLOOKUP(A26,'Lambert-RGB-GDP_Econst'!A:U,21,FALSE)</f>
        <v>Gq</v>
      </c>
      <c r="C26" s="332" t="s">
        <v>2853</v>
      </c>
      <c r="D26" s="333" t="str">
        <f t="shared" si="0"/>
        <v>Same</v>
      </c>
      <c r="E26" s="28"/>
      <c r="F26" s="28"/>
      <c r="G26" s="28"/>
      <c r="H26" s="28"/>
      <c r="I26" s="28"/>
      <c r="J26" s="28"/>
      <c r="K26" s="28"/>
      <c r="L26" s="28"/>
    </row>
    <row r="27" spans="1:12">
      <c r="A27" s="51" t="s">
        <v>137</v>
      </c>
      <c r="B27" s="329" t="str">
        <f>VLOOKUP(A27,'Lambert-RGB-GDP_Econst'!A:U,21,FALSE)</f>
        <v>GsL</v>
      </c>
      <c r="C27" s="332" t="s">
        <v>3264</v>
      </c>
      <c r="D27" s="333" t="str">
        <f t="shared" si="0"/>
        <v>Same</v>
      </c>
      <c r="E27" s="28"/>
      <c r="F27" s="28"/>
      <c r="G27" s="28"/>
      <c r="H27" s="28"/>
      <c r="I27" s="28"/>
      <c r="J27" s="28"/>
      <c r="K27" s="28"/>
      <c r="L27" s="28"/>
    </row>
    <row r="28" spans="1:12">
      <c r="A28" s="51" t="s">
        <v>183</v>
      </c>
      <c r="B28" s="329" t="str">
        <f>VLOOKUP(A28,'Lambert-RGB-GDP_Econst'!A:U,21,FALSE)</f>
        <v>Gi1</v>
      </c>
      <c r="C28" s="332" t="s">
        <v>5528</v>
      </c>
      <c r="D28" s="333" t="str">
        <f t="shared" si="0"/>
        <v>Same</v>
      </c>
      <c r="E28" s="28"/>
      <c r="F28" s="28"/>
      <c r="G28" s="28"/>
      <c r="H28" s="28"/>
      <c r="I28" s="28"/>
      <c r="J28" s="28"/>
      <c r="K28" s="28"/>
      <c r="L28" s="28"/>
    </row>
    <row r="29" spans="1:12">
      <c r="F29" s="126"/>
      <c r="G29" s="126" t="s">
        <v>5688</v>
      </c>
    </row>
    <row r="30" spans="1:12">
      <c r="F30" s="28" t="s">
        <v>5690</v>
      </c>
      <c r="G30" s="28">
        <f>COUNTIF(B:B,"-")</f>
        <v>9</v>
      </c>
    </row>
    <row r="31" spans="1:12">
      <c r="F31" s="28" t="s">
        <v>5689</v>
      </c>
      <c r="G31" s="28">
        <f>COUNTIF(B:B,"G*")</f>
        <v>18</v>
      </c>
    </row>
  </sheetData>
  <sortState xmlns:xlrd2="http://schemas.microsoft.com/office/spreadsheetml/2017/richdata2" ref="A2:L28">
    <sortCondition ref="D2:D28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90B5-5D1D-C84C-A78B-9EE244B96D79}">
  <sheetPr>
    <tabColor theme="7"/>
  </sheetPr>
  <dimension ref="A1:S67"/>
  <sheetViews>
    <sheetView zoomScale="120" zoomScaleNormal="120" workbookViewId="0">
      <pane xSplit="1" ySplit="1" topLeftCell="B30" activePane="bottomRight" state="frozen"/>
      <selection activeCell="J2" sqref="J2"/>
      <selection pane="topRight" activeCell="J2" sqref="J2"/>
      <selection pane="bottomLeft" activeCell="J2" sqref="J2"/>
      <selection pane="bottomRight" activeCell="A54" sqref="A1:A1048576"/>
    </sheetView>
  </sheetViews>
  <sheetFormatPr baseColWidth="10" defaultRowHeight="16"/>
  <cols>
    <col min="1" max="1" width="8.6640625" style="27" bestFit="1" customWidth="1"/>
    <col min="2" max="2" width="12.83203125" style="27" bestFit="1" customWidth="1"/>
    <col min="3" max="6" width="7.33203125" style="27" bestFit="1" customWidth="1"/>
    <col min="7" max="7" width="13.83203125" style="2" bestFit="1" customWidth="1"/>
    <col min="8" max="9" width="7.5" style="9" bestFit="1" customWidth="1"/>
    <col min="10" max="10" width="7.5" style="9" customWidth="1"/>
    <col min="11" max="11" width="7.5" style="9" bestFit="1" customWidth="1"/>
    <col min="12" max="12" width="11" style="346" bestFit="1" customWidth="1"/>
    <col min="13" max="13" width="12.6640625" style="27" bestFit="1" customWidth="1"/>
    <col min="14" max="17" width="8.5" style="27" bestFit="1" customWidth="1"/>
    <col min="18" max="18" width="11.33203125" style="27" bestFit="1" customWidth="1"/>
    <col min="19" max="19" width="10.83203125" style="27"/>
    <col min="20" max="16384" width="10.83203125" style="23"/>
  </cols>
  <sheetData>
    <row r="1" spans="1:19" s="126" customFormat="1" ht="66" customHeight="1">
      <c r="A1" s="122" t="s">
        <v>3</v>
      </c>
      <c r="B1" s="341" t="s">
        <v>5703</v>
      </c>
      <c r="C1" s="335" t="s">
        <v>5704</v>
      </c>
      <c r="D1" s="336" t="s">
        <v>5705</v>
      </c>
      <c r="E1" s="337" t="s">
        <v>5706</v>
      </c>
      <c r="F1" s="337" t="s">
        <v>5707</v>
      </c>
      <c r="G1" s="342" t="s">
        <v>5696</v>
      </c>
      <c r="H1" s="337" t="s">
        <v>5691</v>
      </c>
      <c r="I1" s="336" t="s">
        <v>5692</v>
      </c>
      <c r="J1" s="337" t="s">
        <v>5693</v>
      </c>
      <c r="K1" s="337" t="s">
        <v>5694</v>
      </c>
      <c r="L1" s="344" t="s">
        <v>5695</v>
      </c>
      <c r="M1" s="340" t="s">
        <v>5697</v>
      </c>
      <c r="N1" s="209" t="s">
        <v>5698</v>
      </c>
      <c r="O1" s="338" t="s">
        <v>5699</v>
      </c>
      <c r="P1" s="210" t="s">
        <v>5700</v>
      </c>
      <c r="Q1" s="210" t="s">
        <v>5701</v>
      </c>
      <c r="R1" s="339" t="s">
        <v>5702</v>
      </c>
    </row>
    <row r="2" spans="1:19" s="28" customFormat="1">
      <c r="A2" s="33" t="s">
        <v>112</v>
      </c>
      <c r="B2" s="33" t="s">
        <v>5708</v>
      </c>
      <c r="C2" s="33" t="s">
        <v>2870</v>
      </c>
      <c r="D2" s="33" t="s">
        <v>2870</v>
      </c>
      <c r="E2" s="33" t="s">
        <v>112</v>
      </c>
      <c r="F2" s="33" t="s">
        <v>2870</v>
      </c>
      <c r="G2" s="343" t="s">
        <v>5774</v>
      </c>
      <c r="H2" s="347" t="s">
        <v>112</v>
      </c>
      <c r="I2" s="347" t="s">
        <v>112</v>
      </c>
      <c r="J2" s="347" t="s">
        <v>112</v>
      </c>
      <c r="K2" s="347" t="s">
        <v>112</v>
      </c>
      <c r="L2" s="345" t="s">
        <v>5784</v>
      </c>
      <c r="M2" s="33" t="s">
        <v>5850</v>
      </c>
      <c r="N2" s="33" t="s">
        <v>2870</v>
      </c>
      <c r="O2" s="33" t="s">
        <v>112</v>
      </c>
      <c r="P2" s="33" t="s">
        <v>112</v>
      </c>
      <c r="Q2" s="33" t="s">
        <v>112</v>
      </c>
      <c r="R2" s="33" t="s">
        <v>5853</v>
      </c>
      <c r="S2" s="33"/>
    </row>
    <row r="3" spans="1:19" s="28" customFormat="1">
      <c r="A3" s="33" t="s">
        <v>0</v>
      </c>
      <c r="B3" s="33" t="s">
        <v>5709</v>
      </c>
      <c r="C3" s="33" t="s">
        <v>0</v>
      </c>
      <c r="D3" s="33" t="s">
        <v>0</v>
      </c>
      <c r="E3" s="33" t="s">
        <v>0</v>
      </c>
      <c r="F3" s="33" t="s">
        <v>2870</v>
      </c>
      <c r="G3" s="343" t="s">
        <v>5709</v>
      </c>
      <c r="H3" s="347" t="s">
        <v>2870</v>
      </c>
      <c r="I3" s="347" t="s">
        <v>0</v>
      </c>
      <c r="J3" s="347" t="s">
        <v>0</v>
      </c>
      <c r="K3" s="347" t="s">
        <v>2870</v>
      </c>
      <c r="L3" s="345" t="s">
        <v>5785</v>
      </c>
      <c r="M3" s="33" t="s">
        <v>5851</v>
      </c>
      <c r="N3" s="33" t="s">
        <v>2870</v>
      </c>
      <c r="O3" s="33" t="s">
        <v>0</v>
      </c>
      <c r="P3" s="33" t="s">
        <v>0</v>
      </c>
      <c r="Q3" s="33" t="s">
        <v>2870</v>
      </c>
      <c r="R3" s="33" t="s">
        <v>5854</v>
      </c>
      <c r="S3" s="33"/>
    </row>
    <row r="4" spans="1:19" s="28" customFormat="1">
      <c r="A4" s="33" t="s">
        <v>58</v>
      </c>
      <c r="B4" s="33" t="s">
        <v>5710</v>
      </c>
      <c r="C4" s="33" t="s">
        <v>58</v>
      </c>
      <c r="D4" s="33" t="s">
        <v>58</v>
      </c>
      <c r="E4" s="33" t="s">
        <v>2870</v>
      </c>
      <c r="F4" s="33" t="s">
        <v>2870</v>
      </c>
      <c r="G4" s="343" t="s">
        <v>5775</v>
      </c>
      <c r="H4" s="347" t="s">
        <v>2870</v>
      </c>
      <c r="I4" s="347" t="s">
        <v>58</v>
      </c>
      <c r="J4" s="347" t="s">
        <v>58</v>
      </c>
      <c r="K4" s="347" t="s">
        <v>58</v>
      </c>
      <c r="L4" s="345" t="s">
        <v>5786</v>
      </c>
      <c r="M4" s="33" t="s">
        <v>5710</v>
      </c>
      <c r="N4" s="33" t="s">
        <v>2870</v>
      </c>
      <c r="O4" s="33" t="s">
        <v>58</v>
      </c>
      <c r="P4" s="33" t="s">
        <v>2870</v>
      </c>
      <c r="Q4" s="33" t="s">
        <v>2870</v>
      </c>
      <c r="R4" s="33" t="s">
        <v>5855</v>
      </c>
      <c r="S4" s="33"/>
    </row>
    <row r="5" spans="1:19" s="28" customFormat="1">
      <c r="A5" s="33" t="s">
        <v>31</v>
      </c>
      <c r="B5" s="33" t="s">
        <v>5711</v>
      </c>
      <c r="C5" s="33" t="s">
        <v>31</v>
      </c>
      <c r="D5" s="33" t="s">
        <v>31</v>
      </c>
      <c r="E5" s="33" t="s">
        <v>31</v>
      </c>
      <c r="F5" s="33" t="s">
        <v>2870</v>
      </c>
      <c r="G5" s="343" t="s">
        <v>5776</v>
      </c>
      <c r="H5" s="347" t="s">
        <v>2870</v>
      </c>
      <c r="I5" s="347" t="s">
        <v>31</v>
      </c>
      <c r="J5" s="347" t="s">
        <v>31</v>
      </c>
      <c r="K5" s="347" t="s">
        <v>31</v>
      </c>
      <c r="L5" s="345" t="s">
        <v>5787</v>
      </c>
      <c r="M5" s="33" t="s">
        <v>5711</v>
      </c>
      <c r="N5" s="33" t="s">
        <v>2870</v>
      </c>
      <c r="O5" s="33" t="s">
        <v>31</v>
      </c>
      <c r="P5" s="33" t="s">
        <v>31</v>
      </c>
      <c r="Q5" s="33" t="s">
        <v>2870</v>
      </c>
      <c r="R5" s="33" t="s">
        <v>5856</v>
      </c>
      <c r="S5" s="33"/>
    </row>
    <row r="6" spans="1:19" s="28" customFormat="1">
      <c r="A6" s="33" t="s">
        <v>164</v>
      </c>
      <c r="B6" s="33" t="s">
        <v>5712</v>
      </c>
      <c r="C6" s="33" t="s">
        <v>2870</v>
      </c>
      <c r="D6" s="33" t="s">
        <v>164</v>
      </c>
      <c r="E6" s="33" t="s">
        <v>164</v>
      </c>
      <c r="F6" s="33" t="s">
        <v>2870</v>
      </c>
      <c r="G6" s="343" t="s">
        <v>5712</v>
      </c>
      <c r="H6" s="347" t="s">
        <v>2870</v>
      </c>
      <c r="I6" s="347" t="s">
        <v>164</v>
      </c>
      <c r="J6" s="347" t="s">
        <v>164</v>
      </c>
      <c r="K6" s="347" t="s">
        <v>2870</v>
      </c>
      <c r="L6" s="345" t="s">
        <v>5788</v>
      </c>
      <c r="M6" s="33" t="s">
        <v>5712</v>
      </c>
      <c r="N6" s="33" t="s">
        <v>2870</v>
      </c>
      <c r="O6" s="33" t="s">
        <v>164</v>
      </c>
      <c r="P6" s="33" t="s">
        <v>164</v>
      </c>
      <c r="Q6" s="33" t="s">
        <v>2870</v>
      </c>
      <c r="R6" s="33" t="s">
        <v>5857</v>
      </c>
      <c r="S6" s="33"/>
    </row>
    <row r="7" spans="1:19" s="28" customFormat="1">
      <c r="A7" s="33" t="s">
        <v>167</v>
      </c>
      <c r="B7" s="33" t="s">
        <v>5713</v>
      </c>
      <c r="C7" s="33" t="s">
        <v>2870</v>
      </c>
      <c r="D7" s="33" t="s">
        <v>167</v>
      </c>
      <c r="E7" s="33" t="s">
        <v>2870</v>
      </c>
      <c r="F7" s="33" t="s">
        <v>2870</v>
      </c>
      <c r="G7" s="343" t="s">
        <v>5713</v>
      </c>
      <c r="H7" s="347" t="s">
        <v>2870</v>
      </c>
      <c r="I7" s="347" t="s">
        <v>167</v>
      </c>
      <c r="J7" s="347" t="s">
        <v>167</v>
      </c>
      <c r="K7" s="347" t="s">
        <v>2870</v>
      </c>
      <c r="L7" s="345" t="s">
        <v>5789</v>
      </c>
      <c r="M7" s="33" t="s">
        <v>5713</v>
      </c>
      <c r="N7" s="33" t="s">
        <v>2870</v>
      </c>
      <c r="O7" s="33" t="s">
        <v>167</v>
      </c>
      <c r="P7" s="33" t="s">
        <v>167</v>
      </c>
      <c r="Q7" s="33" t="s">
        <v>2870</v>
      </c>
      <c r="R7" s="33" t="s">
        <v>5858</v>
      </c>
      <c r="S7" s="33"/>
    </row>
    <row r="8" spans="1:19" s="28" customFormat="1">
      <c r="A8" s="33" t="s">
        <v>45</v>
      </c>
      <c r="B8" s="33" t="s">
        <v>5714</v>
      </c>
      <c r="C8" s="33" t="s">
        <v>2870</v>
      </c>
      <c r="D8" s="33" t="s">
        <v>45</v>
      </c>
      <c r="E8" s="33" t="s">
        <v>2870</v>
      </c>
      <c r="F8" s="33" t="s">
        <v>2870</v>
      </c>
      <c r="G8" s="343" t="s">
        <v>5714</v>
      </c>
      <c r="H8" s="347" t="s">
        <v>2870</v>
      </c>
      <c r="I8" s="347" t="s">
        <v>45</v>
      </c>
      <c r="J8" s="347" t="s">
        <v>45</v>
      </c>
      <c r="K8" s="347" t="s">
        <v>45</v>
      </c>
      <c r="L8" s="345" t="s">
        <v>5790</v>
      </c>
      <c r="M8" s="33" t="s">
        <v>5714</v>
      </c>
      <c r="N8" s="33" t="s">
        <v>2870</v>
      </c>
      <c r="O8" s="33" t="s">
        <v>45</v>
      </c>
      <c r="P8" s="33" t="s">
        <v>45</v>
      </c>
      <c r="Q8" s="33" t="s">
        <v>2870</v>
      </c>
      <c r="R8" s="33" t="s">
        <v>5859</v>
      </c>
      <c r="S8" s="33"/>
    </row>
    <row r="9" spans="1:19" s="28" customFormat="1">
      <c r="A9" s="33" t="s">
        <v>166</v>
      </c>
      <c r="B9" s="33" t="s">
        <v>5715</v>
      </c>
      <c r="C9" s="33" t="s">
        <v>2870</v>
      </c>
      <c r="D9" s="33" t="s">
        <v>166</v>
      </c>
      <c r="E9" s="33" t="s">
        <v>2870</v>
      </c>
      <c r="F9" s="33" t="s">
        <v>2870</v>
      </c>
      <c r="G9" s="343" t="s">
        <v>5715</v>
      </c>
      <c r="H9" s="347" t="s">
        <v>2870</v>
      </c>
      <c r="I9" s="347" t="s">
        <v>166</v>
      </c>
      <c r="J9" s="347" t="s">
        <v>166</v>
      </c>
      <c r="K9" s="347" t="s">
        <v>2870</v>
      </c>
      <c r="L9" s="345" t="s">
        <v>5791</v>
      </c>
      <c r="M9" s="33" t="s">
        <v>5715</v>
      </c>
      <c r="N9" s="33" t="s">
        <v>2870</v>
      </c>
      <c r="O9" s="33" t="s">
        <v>166</v>
      </c>
      <c r="P9" s="33" t="s">
        <v>166</v>
      </c>
      <c r="Q9" s="33" t="s">
        <v>2870</v>
      </c>
      <c r="R9" s="33" t="s">
        <v>5860</v>
      </c>
      <c r="S9" s="33"/>
    </row>
    <row r="10" spans="1:19" s="28" customFormat="1">
      <c r="A10" s="33" t="s">
        <v>170</v>
      </c>
      <c r="B10" s="33" t="s">
        <v>5716</v>
      </c>
      <c r="C10" s="33" t="s">
        <v>2870</v>
      </c>
      <c r="D10" s="33" t="s">
        <v>170</v>
      </c>
      <c r="E10" s="33" t="s">
        <v>2870</v>
      </c>
      <c r="F10" s="33" t="s">
        <v>2870</v>
      </c>
      <c r="G10" s="343" t="s">
        <v>5716</v>
      </c>
      <c r="H10" s="347" t="s">
        <v>2870</v>
      </c>
      <c r="I10" s="347" t="s">
        <v>170</v>
      </c>
      <c r="J10" s="347" t="s">
        <v>2870</v>
      </c>
      <c r="K10" s="347" t="s">
        <v>2870</v>
      </c>
      <c r="L10" s="345" t="s">
        <v>5792</v>
      </c>
      <c r="M10" s="33" t="s">
        <v>5716</v>
      </c>
      <c r="N10" s="33" t="s">
        <v>2870</v>
      </c>
      <c r="O10" s="33" t="s">
        <v>170</v>
      </c>
      <c r="P10" s="33" t="s">
        <v>2870</v>
      </c>
      <c r="Q10" s="33" t="s">
        <v>2870</v>
      </c>
      <c r="R10" s="33" t="s">
        <v>5861</v>
      </c>
      <c r="S10" s="33"/>
    </row>
    <row r="11" spans="1:19" s="28" customFormat="1">
      <c r="A11" s="33" t="s">
        <v>17</v>
      </c>
      <c r="B11" s="33" t="s">
        <v>5717</v>
      </c>
      <c r="C11" s="33" t="s">
        <v>2870</v>
      </c>
      <c r="D11" s="33" t="s">
        <v>17</v>
      </c>
      <c r="E11" s="33" t="s">
        <v>2870</v>
      </c>
      <c r="F11" s="33" t="s">
        <v>2870</v>
      </c>
      <c r="G11" s="343" t="s">
        <v>5717</v>
      </c>
      <c r="H11" s="347" t="s">
        <v>2870</v>
      </c>
      <c r="I11" s="347" t="s">
        <v>17</v>
      </c>
      <c r="J11" s="347" t="s">
        <v>2870</v>
      </c>
      <c r="K11" s="347" t="s">
        <v>2870</v>
      </c>
      <c r="L11" s="345" t="s">
        <v>5793</v>
      </c>
      <c r="M11" s="33" t="s">
        <v>5717</v>
      </c>
      <c r="N11" s="33" t="s">
        <v>2870</v>
      </c>
      <c r="O11" s="33" t="s">
        <v>17</v>
      </c>
      <c r="P11" s="33" t="s">
        <v>2870</v>
      </c>
      <c r="Q11" s="33" t="s">
        <v>2870</v>
      </c>
      <c r="R11" s="33" t="s">
        <v>5862</v>
      </c>
      <c r="S11" s="33"/>
    </row>
    <row r="12" spans="1:19" s="28" customFormat="1">
      <c r="A12" s="33" t="s">
        <v>76</v>
      </c>
      <c r="B12" s="33" t="s">
        <v>5718</v>
      </c>
      <c r="C12" s="33" t="s">
        <v>2870</v>
      </c>
      <c r="D12" s="33" t="s">
        <v>76</v>
      </c>
      <c r="E12" s="33" t="s">
        <v>2870</v>
      </c>
      <c r="F12" s="33" t="s">
        <v>2870</v>
      </c>
      <c r="G12" s="343" t="s">
        <v>5718</v>
      </c>
      <c r="H12" s="347" t="s">
        <v>2870</v>
      </c>
      <c r="I12" s="347" t="s">
        <v>76</v>
      </c>
      <c r="J12" s="347" t="s">
        <v>2870</v>
      </c>
      <c r="K12" s="347" t="s">
        <v>2870</v>
      </c>
      <c r="L12" s="345" t="s">
        <v>5794</v>
      </c>
      <c r="M12" s="33" t="s">
        <v>5718</v>
      </c>
      <c r="N12" s="33" t="s">
        <v>2870</v>
      </c>
      <c r="O12" s="33" t="s">
        <v>76</v>
      </c>
      <c r="P12" s="33" t="s">
        <v>76</v>
      </c>
      <c r="Q12" s="33" t="s">
        <v>2870</v>
      </c>
      <c r="R12" s="33" t="s">
        <v>5863</v>
      </c>
      <c r="S12" s="33"/>
    </row>
    <row r="13" spans="1:19" s="28" customFormat="1">
      <c r="A13" s="33" t="s">
        <v>178</v>
      </c>
      <c r="B13" s="33" t="s">
        <v>5719</v>
      </c>
      <c r="C13" s="33" t="s">
        <v>2870</v>
      </c>
      <c r="D13" s="33" t="s">
        <v>178</v>
      </c>
      <c r="E13" s="33" t="s">
        <v>2870</v>
      </c>
      <c r="F13" s="33" t="s">
        <v>2870</v>
      </c>
      <c r="G13" s="343" t="s">
        <v>5719</v>
      </c>
      <c r="H13" s="347" t="s">
        <v>2870</v>
      </c>
      <c r="I13" s="347" t="s">
        <v>178</v>
      </c>
      <c r="J13" s="347" t="s">
        <v>2870</v>
      </c>
      <c r="K13" s="347" t="s">
        <v>2870</v>
      </c>
      <c r="L13" s="345" t="s">
        <v>5795</v>
      </c>
      <c r="M13" s="33" t="s">
        <v>5719</v>
      </c>
      <c r="N13" s="33" t="s">
        <v>2870</v>
      </c>
      <c r="O13" s="33" t="s">
        <v>178</v>
      </c>
      <c r="P13" s="33" t="s">
        <v>2870</v>
      </c>
      <c r="Q13" s="33" t="s">
        <v>2870</v>
      </c>
      <c r="R13" s="33" t="s">
        <v>5795</v>
      </c>
      <c r="S13" s="33"/>
    </row>
    <row r="14" spans="1:19" s="28" customFormat="1">
      <c r="A14" s="33" t="s">
        <v>168</v>
      </c>
      <c r="B14" s="33" t="s">
        <v>5720</v>
      </c>
      <c r="C14" s="33" t="s">
        <v>2870</v>
      </c>
      <c r="D14" s="33" t="s">
        <v>168</v>
      </c>
      <c r="E14" s="33" t="s">
        <v>2870</v>
      </c>
      <c r="F14" s="33" t="s">
        <v>2870</v>
      </c>
      <c r="G14" s="343" t="s">
        <v>5720</v>
      </c>
      <c r="H14" s="347" t="s">
        <v>2870</v>
      </c>
      <c r="I14" s="347" t="s">
        <v>168</v>
      </c>
      <c r="J14" s="347" t="s">
        <v>2870</v>
      </c>
      <c r="K14" s="347" t="s">
        <v>2870</v>
      </c>
      <c r="L14" s="345" t="s">
        <v>5796</v>
      </c>
      <c r="M14" s="33" t="s">
        <v>5720</v>
      </c>
      <c r="N14" s="33" t="s">
        <v>2870</v>
      </c>
      <c r="O14" s="33" t="s">
        <v>168</v>
      </c>
      <c r="P14" s="33" t="s">
        <v>2870</v>
      </c>
      <c r="Q14" s="33" t="s">
        <v>2870</v>
      </c>
      <c r="R14" s="33" t="s">
        <v>5796</v>
      </c>
      <c r="S14" s="33"/>
    </row>
    <row r="15" spans="1:19" s="28" customFormat="1">
      <c r="A15" s="33" t="s">
        <v>27</v>
      </c>
      <c r="B15" s="33" t="s">
        <v>5721</v>
      </c>
      <c r="C15" s="33" t="s">
        <v>27</v>
      </c>
      <c r="D15" s="33" t="s">
        <v>27</v>
      </c>
      <c r="E15" s="33" t="s">
        <v>27</v>
      </c>
      <c r="F15" s="33" t="s">
        <v>2870</v>
      </c>
      <c r="G15" s="343" t="s">
        <v>5721</v>
      </c>
      <c r="H15" s="347" t="s">
        <v>27</v>
      </c>
      <c r="I15" s="347" t="s">
        <v>27</v>
      </c>
      <c r="J15" s="347" t="s">
        <v>27</v>
      </c>
      <c r="K15" s="347" t="s">
        <v>2870</v>
      </c>
      <c r="L15" s="345" t="s">
        <v>5797</v>
      </c>
      <c r="M15" s="33" t="s">
        <v>5721</v>
      </c>
      <c r="N15" s="33" t="s">
        <v>2870</v>
      </c>
      <c r="O15" s="33" t="s">
        <v>27</v>
      </c>
      <c r="P15" s="33" t="s">
        <v>27</v>
      </c>
      <c r="Q15" s="33" t="s">
        <v>2870</v>
      </c>
      <c r="R15" s="33" t="s">
        <v>5864</v>
      </c>
      <c r="S15" s="33"/>
    </row>
    <row r="16" spans="1:19" s="28" customFormat="1">
      <c r="A16" s="33" t="s">
        <v>29</v>
      </c>
      <c r="B16" s="33" t="s">
        <v>5722</v>
      </c>
      <c r="C16" s="33" t="s">
        <v>2870</v>
      </c>
      <c r="D16" s="33" t="s">
        <v>29</v>
      </c>
      <c r="E16" s="33" t="s">
        <v>2870</v>
      </c>
      <c r="F16" s="33" t="s">
        <v>2870</v>
      </c>
      <c r="G16" s="343" t="s">
        <v>5722</v>
      </c>
      <c r="H16" s="347" t="s">
        <v>2870</v>
      </c>
      <c r="I16" s="347" t="s">
        <v>29</v>
      </c>
      <c r="J16" s="347" t="s">
        <v>29</v>
      </c>
      <c r="K16" s="347" t="s">
        <v>2870</v>
      </c>
      <c r="L16" s="345" t="s">
        <v>5798</v>
      </c>
      <c r="M16" s="33" t="s">
        <v>5722</v>
      </c>
      <c r="N16" s="33" t="s">
        <v>2870</v>
      </c>
      <c r="O16" s="33" t="s">
        <v>29</v>
      </c>
      <c r="P16" s="33" t="s">
        <v>29</v>
      </c>
      <c r="Q16" s="33" t="s">
        <v>2870</v>
      </c>
      <c r="R16" s="33" t="s">
        <v>5865</v>
      </c>
      <c r="S16" s="33"/>
    </row>
    <row r="17" spans="1:19" s="28" customFormat="1">
      <c r="A17" s="33" t="s">
        <v>14</v>
      </c>
      <c r="B17" s="33" t="s">
        <v>5723</v>
      </c>
      <c r="C17" s="33" t="s">
        <v>2870</v>
      </c>
      <c r="D17" s="33" t="s">
        <v>14</v>
      </c>
      <c r="E17" s="33" t="s">
        <v>2870</v>
      </c>
      <c r="F17" s="33" t="s">
        <v>2870</v>
      </c>
      <c r="G17" s="343" t="s">
        <v>5723</v>
      </c>
      <c r="H17" s="347" t="s">
        <v>2870</v>
      </c>
      <c r="I17" s="347" t="s">
        <v>14</v>
      </c>
      <c r="J17" s="347" t="s">
        <v>14</v>
      </c>
      <c r="K17" s="347" t="s">
        <v>2870</v>
      </c>
      <c r="L17" s="345" t="s">
        <v>5799</v>
      </c>
      <c r="M17" s="33" t="s">
        <v>5723</v>
      </c>
      <c r="N17" s="33" t="s">
        <v>2870</v>
      </c>
      <c r="O17" s="33" t="s">
        <v>14</v>
      </c>
      <c r="P17" s="33" t="s">
        <v>14</v>
      </c>
      <c r="Q17" s="33" t="s">
        <v>2870</v>
      </c>
      <c r="R17" s="33" t="s">
        <v>5866</v>
      </c>
      <c r="S17" s="33"/>
    </row>
    <row r="18" spans="1:19" s="28" customFormat="1">
      <c r="A18" s="33" t="s">
        <v>182</v>
      </c>
      <c r="B18" s="33" t="s">
        <v>5724</v>
      </c>
      <c r="C18" s="33" t="s">
        <v>2870</v>
      </c>
      <c r="D18" s="33" t="s">
        <v>182</v>
      </c>
      <c r="E18" s="33" t="s">
        <v>2870</v>
      </c>
      <c r="F18" s="33" t="s">
        <v>182</v>
      </c>
      <c r="G18" s="343" t="s">
        <v>5724</v>
      </c>
      <c r="H18" s="347" t="s">
        <v>2870</v>
      </c>
      <c r="I18" s="347" t="s">
        <v>182</v>
      </c>
      <c r="J18" s="347" t="s">
        <v>182</v>
      </c>
      <c r="K18" s="347" t="s">
        <v>182</v>
      </c>
      <c r="L18" s="345" t="s">
        <v>5800</v>
      </c>
      <c r="M18" s="33" t="s">
        <v>5724</v>
      </c>
      <c r="N18" s="33" t="s">
        <v>2870</v>
      </c>
      <c r="O18" s="33" t="s">
        <v>182</v>
      </c>
      <c r="P18" s="33" t="s">
        <v>2870</v>
      </c>
      <c r="Q18" s="33" t="s">
        <v>2870</v>
      </c>
      <c r="R18" s="33" t="s">
        <v>5867</v>
      </c>
      <c r="S18" s="33"/>
    </row>
    <row r="19" spans="1:19" s="28" customFormat="1">
      <c r="A19" s="33" t="s">
        <v>16</v>
      </c>
      <c r="B19" s="33" t="s">
        <v>5725</v>
      </c>
      <c r="C19" s="33" t="s">
        <v>2870</v>
      </c>
      <c r="D19" s="33" t="s">
        <v>16</v>
      </c>
      <c r="E19" s="33" t="s">
        <v>2870</v>
      </c>
      <c r="F19" s="33" t="s">
        <v>2870</v>
      </c>
      <c r="G19" s="343" t="s">
        <v>5725</v>
      </c>
      <c r="H19" s="347" t="s">
        <v>2870</v>
      </c>
      <c r="I19" s="347" t="s">
        <v>16</v>
      </c>
      <c r="J19" s="347" t="s">
        <v>16</v>
      </c>
      <c r="K19" s="347" t="s">
        <v>2870</v>
      </c>
      <c r="L19" s="345" t="s">
        <v>5801</v>
      </c>
      <c r="M19" s="33" t="s">
        <v>5725</v>
      </c>
      <c r="N19" s="33" t="s">
        <v>2870</v>
      </c>
      <c r="O19" s="33" t="s">
        <v>16</v>
      </c>
      <c r="P19" s="33" t="s">
        <v>2870</v>
      </c>
      <c r="Q19" s="33" t="s">
        <v>2870</v>
      </c>
      <c r="R19" s="33" t="s">
        <v>5868</v>
      </c>
      <c r="S19" s="33"/>
    </row>
    <row r="20" spans="1:19" s="28" customFormat="1">
      <c r="A20" s="33" t="s">
        <v>108</v>
      </c>
      <c r="B20" s="33" t="s">
        <v>5726</v>
      </c>
      <c r="C20" s="33" t="s">
        <v>2870</v>
      </c>
      <c r="D20" s="33" t="s">
        <v>108</v>
      </c>
      <c r="E20" s="33" t="s">
        <v>2870</v>
      </c>
      <c r="F20" s="33" t="s">
        <v>2870</v>
      </c>
      <c r="G20" s="343" t="s">
        <v>5726</v>
      </c>
      <c r="H20" s="347" t="s">
        <v>2870</v>
      </c>
      <c r="I20" s="347" t="s">
        <v>108</v>
      </c>
      <c r="J20" s="347" t="s">
        <v>108</v>
      </c>
      <c r="K20" s="347" t="s">
        <v>2870</v>
      </c>
      <c r="L20" s="345" t="s">
        <v>5802</v>
      </c>
      <c r="M20" s="33" t="s">
        <v>5726</v>
      </c>
      <c r="N20" s="33" t="s">
        <v>2870</v>
      </c>
      <c r="O20" s="33" t="s">
        <v>108</v>
      </c>
      <c r="P20" s="33" t="s">
        <v>2870</v>
      </c>
      <c r="Q20" s="33" t="s">
        <v>2870</v>
      </c>
      <c r="R20" s="33" t="s">
        <v>5869</v>
      </c>
      <c r="S20" s="33"/>
    </row>
    <row r="21" spans="1:19" s="28" customFormat="1">
      <c r="A21" s="33" t="s">
        <v>169</v>
      </c>
      <c r="B21" s="33" t="s">
        <v>5727</v>
      </c>
      <c r="C21" s="33" t="s">
        <v>2870</v>
      </c>
      <c r="D21" s="33" t="s">
        <v>169</v>
      </c>
      <c r="E21" s="33" t="s">
        <v>2870</v>
      </c>
      <c r="F21" s="33" t="s">
        <v>2870</v>
      </c>
      <c r="G21" s="343" t="s">
        <v>5727</v>
      </c>
      <c r="H21" s="347" t="s">
        <v>2870</v>
      </c>
      <c r="I21" s="347" t="s">
        <v>169</v>
      </c>
      <c r="J21" s="347" t="s">
        <v>2870</v>
      </c>
      <c r="K21" s="347" t="s">
        <v>2870</v>
      </c>
      <c r="L21" s="345" t="s">
        <v>5803</v>
      </c>
      <c r="M21" s="33" t="s">
        <v>5727</v>
      </c>
      <c r="N21" s="33" t="s">
        <v>2870</v>
      </c>
      <c r="O21" s="33" t="s">
        <v>169</v>
      </c>
      <c r="P21" s="33" t="s">
        <v>2870</v>
      </c>
      <c r="Q21" s="33" t="s">
        <v>2870</v>
      </c>
      <c r="R21" s="33" t="s">
        <v>5870</v>
      </c>
      <c r="S21" s="33"/>
    </row>
    <row r="22" spans="1:19" s="28" customFormat="1">
      <c r="A22" s="33" t="s">
        <v>37</v>
      </c>
      <c r="B22" s="33" t="s">
        <v>5728</v>
      </c>
      <c r="C22" s="33" t="s">
        <v>37</v>
      </c>
      <c r="D22" s="33" t="s">
        <v>37</v>
      </c>
      <c r="E22" s="33" t="s">
        <v>2870</v>
      </c>
      <c r="F22" s="33" t="s">
        <v>2870</v>
      </c>
      <c r="G22" s="343" t="s">
        <v>5728</v>
      </c>
      <c r="H22" s="347" t="s">
        <v>37</v>
      </c>
      <c r="I22" s="347" t="s">
        <v>37</v>
      </c>
      <c r="J22" s="347" t="s">
        <v>37</v>
      </c>
      <c r="K22" s="347" t="s">
        <v>37</v>
      </c>
      <c r="L22" s="345" t="s">
        <v>5804</v>
      </c>
      <c r="M22" s="33" t="s">
        <v>5728</v>
      </c>
      <c r="N22" s="33" t="s">
        <v>2870</v>
      </c>
      <c r="O22" s="33" t="s">
        <v>37</v>
      </c>
      <c r="P22" s="33" t="s">
        <v>37</v>
      </c>
      <c r="Q22" s="33" t="s">
        <v>2870</v>
      </c>
      <c r="R22" s="33" t="s">
        <v>5871</v>
      </c>
      <c r="S22" s="33"/>
    </row>
    <row r="23" spans="1:19" s="28" customFormat="1">
      <c r="A23" s="33" t="s">
        <v>184</v>
      </c>
      <c r="B23" s="33" t="s">
        <v>5729</v>
      </c>
      <c r="C23" s="33" t="s">
        <v>2870</v>
      </c>
      <c r="D23" s="33" t="s">
        <v>184</v>
      </c>
      <c r="E23" s="33" t="s">
        <v>2870</v>
      </c>
      <c r="F23" s="33" t="s">
        <v>2870</v>
      </c>
      <c r="G23" s="343" t="s">
        <v>5729</v>
      </c>
      <c r="H23" s="347" t="s">
        <v>2870</v>
      </c>
      <c r="I23" s="347" t="s">
        <v>184</v>
      </c>
      <c r="J23" s="347" t="s">
        <v>184</v>
      </c>
      <c r="K23" s="347" t="s">
        <v>2870</v>
      </c>
      <c r="L23" s="345" t="s">
        <v>5805</v>
      </c>
      <c r="M23" s="33" t="s">
        <v>5729</v>
      </c>
      <c r="N23" s="33" t="s">
        <v>2870</v>
      </c>
      <c r="O23" s="33" t="s">
        <v>184</v>
      </c>
      <c r="P23" s="33" t="s">
        <v>184</v>
      </c>
      <c r="Q23" s="33" t="s">
        <v>2870</v>
      </c>
      <c r="R23" s="33" t="s">
        <v>5872</v>
      </c>
      <c r="S23" s="33"/>
    </row>
    <row r="24" spans="1:19" s="28" customFormat="1">
      <c r="A24" s="33" t="s">
        <v>218</v>
      </c>
      <c r="B24" s="33" t="s">
        <v>5730</v>
      </c>
      <c r="C24" s="33" t="s">
        <v>2870</v>
      </c>
      <c r="D24" s="33" t="s">
        <v>218</v>
      </c>
      <c r="E24" s="33" t="s">
        <v>2870</v>
      </c>
      <c r="F24" s="33" t="s">
        <v>2870</v>
      </c>
      <c r="G24" s="343" t="s">
        <v>5730</v>
      </c>
      <c r="H24" s="347" t="s">
        <v>2870</v>
      </c>
      <c r="I24" s="347" t="s">
        <v>218</v>
      </c>
      <c r="J24" s="347" t="s">
        <v>218</v>
      </c>
      <c r="K24" s="347" t="s">
        <v>218</v>
      </c>
      <c r="L24" s="345" t="s">
        <v>5806</v>
      </c>
      <c r="M24" s="33" t="s">
        <v>5730</v>
      </c>
      <c r="N24" s="33" t="s">
        <v>2870</v>
      </c>
      <c r="O24" s="33" t="s">
        <v>218</v>
      </c>
      <c r="P24" s="33" t="s">
        <v>2870</v>
      </c>
      <c r="Q24" s="33" t="s">
        <v>2870</v>
      </c>
      <c r="R24" s="33" t="s">
        <v>5873</v>
      </c>
      <c r="S24" s="33"/>
    </row>
    <row r="25" spans="1:19" s="28" customFormat="1">
      <c r="A25" s="33" t="s">
        <v>205</v>
      </c>
      <c r="B25" s="33" t="s">
        <v>5731</v>
      </c>
      <c r="C25" s="33" t="s">
        <v>2870</v>
      </c>
      <c r="D25" s="33" t="s">
        <v>205</v>
      </c>
      <c r="E25" s="33" t="s">
        <v>205</v>
      </c>
      <c r="F25" s="33" t="s">
        <v>2870</v>
      </c>
      <c r="G25" s="343" t="s">
        <v>5731</v>
      </c>
      <c r="H25" s="347" t="s">
        <v>2870</v>
      </c>
      <c r="I25" s="347" t="s">
        <v>205</v>
      </c>
      <c r="J25" s="347" t="s">
        <v>205</v>
      </c>
      <c r="K25" s="347" t="s">
        <v>205</v>
      </c>
      <c r="L25" s="345" t="s">
        <v>5807</v>
      </c>
      <c r="M25" s="33" t="s">
        <v>5731</v>
      </c>
      <c r="N25" s="33" t="s">
        <v>2870</v>
      </c>
      <c r="O25" s="33" t="s">
        <v>205</v>
      </c>
      <c r="P25" s="33" t="s">
        <v>205</v>
      </c>
      <c r="Q25" s="33" t="s">
        <v>205</v>
      </c>
      <c r="R25" s="33" t="s">
        <v>5874</v>
      </c>
      <c r="S25" s="33"/>
    </row>
    <row r="26" spans="1:19" s="28" customFormat="1">
      <c r="A26" s="33" t="s">
        <v>174</v>
      </c>
      <c r="B26" s="33" t="s">
        <v>5732</v>
      </c>
      <c r="C26" s="33" t="s">
        <v>2870</v>
      </c>
      <c r="D26" s="33" t="s">
        <v>174</v>
      </c>
      <c r="E26" s="33" t="s">
        <v>2870</v>
      </c>
      <c r="F26" s="33" t="s">
        <v>2870</v>
      </c>
      <c r="G26" s="343" t="s">
        <v>5732</v>
      </c>
      <c r="H26" s="347" t="s">
        <v>2870</v>
      </c>
      <c r="I26" s="347" t="s">
        <v>174</v>
      </c>
      <c r="J26" s="347" t="s">
        <v>174</v>
      </c>
      <c r="K26" s="347" t="s">
        <v>174</v>
      </c>
      <c r="L26" s="345" t="s">
        <v>5808</v>
      </c>
      <c r="M26" s="33" t="s">
        <v>5732</v>
      </c>
      <c r="N26" s="33" t="s">
        <v>2870</v>
      </c>
      <c r="O26" s="33" t="s">
        <v>174</v>
      </c>
      <c r="P26" s="33" t="s">
        <v>174</v>
      </c>
      <c r="Q26" s="33" t="s">
        <v>2870</v>
      </c>
      <c r="R26" s="33" t="s">
        <v>5875</v>
      </c>
      <c r="S26" s="33"/>
    </row>
    <row r="27" spans="1:19" s="28" customFormat="1">
      <c r="A27" s="33" t="s">
        <v>181</v>
      </c>
      <c r="B27" s="33" t="s">
        <v>5733</v>
      </c>
      <c r="C27" s="33" t="s">
        <v>2870</v>
      </c>
      <c r="D27" s="33" t="s">
        <v>181</v>
      </c>
      <c r="E27" s="33" t="s">
        <v>2870</v>
      </c>
      <c r="F27" s="33" t="s">
        <v>2870</v>
      </c>
      <c r="G27" s="343" t="s">
        <v>5733</v>
      </c>
      <c r="H27" s="347" t="s">
        <v>2870</v>
      </c>
      <c r="I27" s="347" t="s">
        <v>181</v>
      </c>
      <c r="J27" s="347" t="s">
        <v>181</v>
      </c>
      <c r="K27" s="347" t="s">
        <v>181</v>
      </c>
      <c r="L27" s="345" t="s">
        <v>5809</v>
      </c>
      <c r="M27" s="33" t="s">
        <v>5733</v>
      </c>
      <c r="N27" s="33" t="s">
        <v>2870</v>
      </c>
      <c r="O27" s="33" t="s">
        <v>181</v>
      </c>
      <c r="P27" s="33" t="s">
        <v>181</v>
      </c>
      <c r="Q27" s="33" t="s">
        <v>2870</v>
      </c>
      <c r="R27" s="33" t="s">
        <v>5876</v>
      </c>
      <c r="S27" s="33"/>
    </row>
    <row r="28" spans="1:19" s="28" customFormat="1">
      <c r="A28" s="33" t="s">
        <v>38</v>
      </c>
      <c r="B28" s="33" t="s">
        <v>5734</v>
      </c>
      <c r="C28" s="33" t="s">
        <v>38</v>
      </c>
      <c r="D28" s="33" t="s">
        <v>38</v>
      </c>
      <c r="E28" s="33" t="s">
        <v>2870</v>
      </c>
      <c r="F28" s="33" t="s">
        <v>2870</v>
      </c>
      <c r="G28" s="343" t="s">
        <v>5734</v>
      </c>
      <c r="H28" s="347" t="s">
        <v>2870</v>
      </c>
      <c r="I28" s="347" t="s">
        <v>38</v>
      </c>
      <c r="J28" s="347" t="s">
        <v>38</v>
      </c>
      <c r="K28" s="347" t="s">
        <v>2870</v>
      </c>
      <c r="L28" s="345" t="s">
        <v>5810</v>
      </c>
      <c r="M28" s="33" t="s">
        <v>5734</v>
      </c>
      <c r="N28" s="33" t="s">
        <v>2870</v>
      </c>
      <c r="O28" s="33" t="s">
        <v>38</v>
      </c>
      <c r="P28" s="33" t="s">
        <v>38</v>
      </c>
      <c r="Q28" s="33" t="s">
        <v>2870</v>
      </c>
      <c r="R28" s="33" t="s">
        <v>5877</v>
      </c>
      <c r="S28" s="33"/>
    </row>
    <row r="29" spans="1:19" s="28" customFormat="1">
      <c r="A29" s="33" t="s">
        <v>183</v>
      </c>
      <c r="B29" s="33" t="s">
        <v>5735</v>
      </c>
      <c r="C29" s="33" t="s">
        <v>2870</v>
      </c>
      <c r="D29" s="33" t="s">
        <v>183</v>
      </c>
      <c r="E29" s="33" t="s">
        <v>183</v>
      </c>
      <c r="F29" s="33" t="s">
        <v>2870</v>
      </c>
      <c r="G29" s="343" t="s">
        <v>5735</v>
      </c>
      <c r="H29" s="347" t="s">
        <v>2870</v>
      </c>
      <c r="I29" s="347" t="s">
        <v>183</v>
      </c>
      <c r="J29" s="347" t="s">
        <v>183</v>
      </c>
      <c r="K29" s="347" t="s">
        <v>2870</v>
      </c>
      <c r="L29" s="345" t="s">
        <v>5811</v>
      </c>
      <c r="M29" s="33" t="s">
        <v>5735</v>
      </c>
      <c r="N29" s="33" t="s">
        <v>2870</v>
      </c>
      <c r="O29" s="33" t="s">
        <v>183</v>
      </c>
      <c r="P29" s="33" t="s">
        <v>2870</v>
      </c>
      <c r="Q29" s="33" t="s">
        <v>2870</v>
      </c>
      <c r="R29" s="33" t="s">
        <v>5878</v>
      </c>
      <c r="S29" s="33"/>
    </row>
    <row r="30" spans="1:19" s="28" customFormat="1">
      <c r="A30" s="33" t="s">
        <v>39</v>
      </c>
      <c r="B30" s="33" t="s">
        <v>5736</v>
      </c>
      <c r="C30" s="33" t="s">
        <v>39</v>
      </c>
      <c r="D30" s="33" t="s">
        <v>39</v>
      </c>
      <c r="E30" s="33" t="s">
        <v>2870</v>
      </c>
      <c r="F30" s="33" t="s">
        <v>2870</v>
      </c>
      <c r="G30" s="343" t="s">
        <v>5736</v>
      </c>
      <c r="H30" s="347" t="s">
        <v>2870</v>
      </c>
      <c r="I30" s="347" t="s">
        <v>39</v>
      </c>
      <c r="J30" s="347" t="s">
        <v>39</v>
      </c>
      <c r="K30" s="347" t="s">
        <v>39</v>
      </c>
      <c r="L30" s="345" t="s">
        <v>5812</v>
      </c>
      <c r="M30" s="33" t="s">
        <v>5736</v>
      </c>
      <c r="N30" s="33" t="s">
        <v>2870</v>
      </c>
      <c r="O30" s="33" t="s">
        <v>39</v>
      </c>
      <c r="P30" s="33" t="s">
        <v>39</v>
      </c>
      <c r="Q30" s="33" t="s">
        <v>2870</v>
      </c>
      <c r="R30" s="33" t="s">
        <v>5879</v>
      </c>
      <c r="S30" s="33"/>
    </row>
    <row r="31" spans="1:19" s="28" customFormat="1">
      <c r="A31" s="33" t="s">
        <v>177</v>
      </c>
      <c r="B31" s="33" t="s">
        <v>5737</v>
      </c>
      <c r="C31" s="33" t="s">
        <v>2870</v>
      </c>
      <c r="D31" s="33" t="s">
        <v>177</v>
      </c>
      <c r="E31" s="33" t="s">
        <v>2870</v>
      </c>
      <c r="F31" s="33" t="s">
        <v>2870</v>
      </c>
      <c r="G31" s="343" t="s">
        <v>5737</v>
      </c>
      <c r="H31" s="347" t="s">
        <v>2870</v>
      </c>
      <c r="I31" s="347" t="s">
        <v>177</v>
      </c>
      <c r="J31" s="347" t="s">
        <v>2870</v>
      </c>
      <c r="K31" s="347" t="s">
        <v>2870</v>
      </c>
      <c r="L31" s="345" t="s">
        <v>5813</v>
      </c>
      <c r="M31" s="33" t="s">
        <v>5737</v>
      </c>
      <c r="N31" s="33" t="s">
        <v>2870</v>
      </c>
      <c r="O31" s="33" t="s">
        <v>177</v>
      </c>
      <c r="P31" s="33" t="s">
        <v>2870</v>
      </c>
      <c r="Q31" s="33" t="s">
        <v>2870</v>
      </c>
      <c r="R31" s="33" t="s">
        <v>5880</v>
      </c>
      <c r="S31" s="33"/>
    </row>
    <row r="32" spans="1:19" s="28" customFormat="1">
      <c r="A32" s="33" t="s">
        <v>26</v>
      </c>
      <c r="B32" s="33" t="s">
        <v>5738</v>
      </c>
      <c r="C32" s="33" t="s">
        <v>2870</v>
      </c>
      <c r="D32" s="33" t="s">
        <v>2870</v>
      </c>
      <c r="E32" s="33" t="s">
        <v>26</v>
      </c>
      <c r="F32" s="33" t="s">
        <v>2870</v>
      </c>
      <c r="G32" s="343" t="s">
        <v>5738</v>
      </c>
      <c r="H32" s="347" t="s">
        <v>26</v>
      </c>
      <c r="I32" s="347" t="s">
        <v>26</v>
      </c>
      <c r="J32" s="347" t="s">
        <v>26</v>
      </c>
      <c r="K32" s="347" t="s">
        <v>2870</v>
      </c>
      <c r="L32" s="345" t="s">
        <v>5814</v>
      </c>
      <c r="M32" s="33" t="s">
        <v>5738</v>
      </c>
      <c r="N32" s="33" t="s">
        <v>2870</v>
      </c>
      <c r="O32" s="33" t="s">
        <v>26</v>
      </c>
      <c r="P32" s="33" t="s">
        <v>26</v>
      </c>
      <c r="Q32" s="33" t="s">
        <v>2870</v>
      </c>
      <c r="R32" s="33" t="s">
        <v>5881</v>
      </c>
      <c r="S32" s="33"/>
    </row>
    <row r="33" spans="1:19" s="28" customFormat="1">
      <c r="A33" s="33" t="s">
        <v>228</v>
      </c>
      <c r="B33" s="33" t="s">
        <v>5739</v>
      </c>
      <c r="C33" s="33" t="s">
        <v>2870</v>
      </c>
      <c r="D33" s="33" t="s">
        <v>2870</v>
      </c>
      <c r="E33" s="33" t="s">
        <v>228</v>
      </c>
      <c r="F33" s="33" t="s">
        <v>2870</v>
      </c>
      <c r="G33" s="343" t="s">
        <v>5739</v>
      </c>
      <c r="H33" s="347" t="s">
        <v>2870</v>
      </c>
      <c r="I33" s="347" t="s">
        <v>228</v>
      </c>
      <c r="J33" s="347" t="s">
        <v>228</v>
      </c>
      <c r="K33" s="347" t="s">
        <v>2870</v>
      </c>
      <c r="L33" s="345" t="s">
        <v>5815</v>
      </c>
      <c r="M33" s="33" t="s">
        <v>5739</v>
      </c>
      <c r="N33" s="33" t="s">
        <v>2870</v>
      </c>
      <c r="O33" s="33" t="s">
        <v>228</v>
      </c>
      <c r="P33" s="33" t="s">
        <v>228</v>
      </c>
      <c r="Q33" s="33" t="s">
        <v>2870</v>
      </c>
      <c r="R33" s="33" t="s">
        <v>5882</v>
      </c>
      <c r="S33" s="33"/>
    </row>
    <row r="34" spans="1:19" s="28" customFormat="1">
      <c r="A34" s="33" t="s">
        <v>80</v>
      </c>
      <c r="B34" s="33" t="s">
        <v>5740</v>
      </c>
      <c r="C34" s="33" t="s">
        <v>80</v>
      </c>
      <c r="D34" s="33" t="s">
        <v>2870</v>
      </c>
      <c r="E34" s="33" t="s">
        <v>80</v>
      </c>
      <c r="F34" s="33" t="s">
        <v>2870</v>
      </c>
      <c r="G34" s="343" t="s">
        <v>5777</v>
      </c>
      <c r="H34" s="347" t="s">
        <v>80</v>
      </c>
      <c r="I34" s="347" t="s">
        <v>80</v>
      </c>
      <c r="J34" s="347" t="s">
        <v>80</v>
      </c>
      <c r="K34" s="347" t="s">
        <v>80</v>
      </c>
      <c r="L34" s="345" t="s">
        <v>5816</v>
      </c>
      <c r="M34" s="33" t="s">
        <v>5740</v>
      </c>
      <c r="N34" s="33" t="s">
        <v>80</v>
      </c>
      <c r="O34" s="33" t="s">
        <v>80</v>
      </c>
      <c r="P34" s="33" t="s">
        <v>80</v>
      </c>
      <c r="Q34" s="33" t="s">
        <v>80</v>
      </c>
      <c r="R34" s="33" t="s">
        <v>5883</v>
      </c>
      <c r="S34" s="33"/>
    </row>
    <row r="35" spans="1:19" s="28" customFormat="1">
      <c r="A35" s="33" t="s">
        <v>54</v>
      </c>
      <c r="B35" s="33" t="s">
        <v>5741</v>
      </c>
      <c r="C35" s="33" t="s">
        <v>54</v>
      </c>
      <c r="D35" s="33" t="s">
        <v>54</v>
      </c>
      <c r="E35" s="33" t="s">
        <v>54</v>
      </c>
      <c r="F35" s="33" t="s">
        <v>2870</v>
      </c>
      <c r="G35" s="343" t="s">
        <v>5741</v>
      </c>
      <c r="H35" s="347" t="s">
        <v>2870</v>
      </c>
      <c r="I35" s="347" t="s">
        <v>54</v>
      </c>
      <c r="J35" s="347" t="s">
        <v>54</v>
      </c>
      <c r="K35" s="347" t="s">
        <v>54</v>
      </c>
      <c r="L35" s="345" t="s">
        <v>5817</v>
      </c>
      <c r="M35" s="33" t="s">
        <v>5741</v>
      </c>
      <c r="N35" s="33" t="s">
        <v>2870</v>
      </c>
      <c r="O35" s="33" t="s">
        <v>54</v>
      </c>
      <c r="P35" s="33" t="s">
        <v>54</v>
      </c>
      <c r="Q35" s="33" t="s">
        <v>54</v>
      </c>
      <c r="R35" s="33" t="s">
        <v>5884</v>
      </c>
      <c r="S35" s="33"/>
    </row>
    <row r="36" spans="1:19" s="28" customFormat="1">
      <c r="A36" s="33" t="s">
        <v>20</v>
      </c>
      <c r="B36" s="33" t="s">
        <v>5742</v>
      </c>
      <c r="C36" s="33" t="s">
        <v>2870</v>
      </c>
      <c r="D36" s="33" t="s">
        <v>20</v>
      </c>
      <c r="E36" s="33" t="s">
        <v>20</v>
      </c>
      <c r="F36" s="33" t="s">
        <v>2870</v>
      </c>
      <c r="G36" s="343" t="s">
        <v>5742</v>
      </c>
      <c r="H36" s="347" t="s">
        <v>2870</v>
      </c>
      <c r="I36" s="347" t="s">
        <v>20</v>
      </c>
      <c r="J36" s="347" t="s">
        <v>20</v>
      </c>
      <c r="K36" s="347" t="s">
        <v>2870</v>
      </c>
      <c r="L36" s="345" t="s">
        <v>5818</v>
      </c>
      <c r="M36" s="33" t="s">
        <v>5742</v>
      </c>
      <c r="N36" s="33" t="s">
        <v>2870</v>
      </c>
      <c r="O36" s="33" t="s">
        <v>20</v>
      </c>
      <c r="P36" s="33" t="s">
        <v>20</v>
      </c>
      <c r="Q36" s="33" t="s">
        <v>2870</v>
      </c>
      <c r="R36" s="33" t="s">
        <v>5885</v>
      </c>
      <c r="S36" s="33"/>
    </row>
    <row r="37" spans="1:19" s="28" customFormat="1">
      <c r="A37" s="33" t="s">
        <v>28</v>
      </c>
      <c r="B37" s="33" t="s">
        <v>5743</v>
      </c>
      <c r="C37" s="33" t="s">
        <v>2870</v>
      </c>
      <c r="D37" s="33" t="s">
        <v>2870</v>
      </c>
      <c r="E37" s="33" t="s">
        <v>28</v>
      </c>
      <c r="F37" s="33" t="s">
        <v>2870</v>
      </c>
      <c r="G37" s="343" t="s">
        <v>5743</v>
      </c>
      <c r="H37" s="347" t="s">
        <v>2870</v>
      </c>
      <c r="I37" s="347" t="s">
        <v>28</v>
      </c>
      <c r="J37" s="347" t="s">
        <v>28</v>
      </c>
      <c r="K37" s="347" t="s">
        <v>2870</v>
      </c>
      <c r="L37" s="345" t="s">
        <v>5819</v>
      </c>
      <c r="M37" s="33" t="s">
        <v>5743</v>
      </c>
      <c r="N37" s="33" t="s">
        <v>2870</v>
      </c>
      <c r="O37" s="33" t="s">
        <v>28</v>
      </c>
      <c r="P37" s="33" t="s">
        <v>28</v>
      </c>
      <c r="Q37" s="33" t="s">
        <v>2870</v>
      </c>
      <c r="R37" s="33" t="s">
        <v>5886</v>
      </c>
      <c r="S37" s="33"/>
    </row>
    <row r="38" spans="1:19" s="28" customFormat="1">
      <c r="A38" s="33" t="s">
        <v>34</v>
      </c>
      <c r="B38" s="33" t="s">
        <v>5744</v>
      </c>
      <c r="C38" s="33" t="s">
        <v>2870</v>
      </c>
      <c r="D38" s="33" t="s">
        <v>2870</v>
      </c>
      <c r="E38" s="33" t="s">
        <v>34</v>
      </c>
      <c r="F38" s="33" t="s">
        <v>34</v>
      </c>
      <c r="G38" s="343" t="s">
        <v>5744</v>
      </c>
      <c r="H38" s="347" t="s">
        <v>34</v>
      </c>
      <c r="I38" s="347" t="s">
        <v>34</v>
      </c>
      <c r="J38" s="347" t="s">
        <v>34</v>
      </c>
      <c r="K38" s="347" t="s">
        <v>2870</v>
      </c>
      <c r="L38" s="345" t="s">
        <v>5820</v>
      </c>
      <c r="M38" s="33" t="s">
        <v>5744</v>
      </c>
      <c r="N38" s="33" t="s">
        <v>34</v>
      </c>
      <c r="O38" s="33" t="s">
        <v>2870</v>
      </c>
      <c r="P38" s="33" t="s">
        <v>34</v>
      </c>
      <c r="Q38" s="33" t="s">
        <v>2870</v>
      </c>
      <c r="R38" s="33" t="s">
        <v>5887</v>
      </c>
      <c r="S38" s="33"/>
    </row>
    <row r="39" spans="1:19" s="28" customFormat="1">
      <c r="A39" s="33" t="s">
        <v>203</v>
      </c>
      <c r="B39" s="33" t="s">
        <v>5745</v>
      </c>
      <c r="C39" s="33" t="s">
        <v>2870</v>
      </c>
      <c r="D39" s="33" t="s">
        <v>203</v>
      </c>
      <c r="E39" s="33" t="s">
        <v>203</v>
      </c>
      <c r="F39" s="33" t="s">
        <v>2870</v>
      </c>
      <c r="G39" s="343" t="s">
        <v>5745</v>
      </c>
      <c r="H39" s="347" t="s">
        <v>2870</v>
      </c>
      <c r="I39" s="347" t="s">
        <v>203</v>
      </c>
      <c r="J39" s="347" t="s">
        <v>203</v>
      </c>
      <c r="K39" s="347" t="s">
        <v>203</v>
      </c>
      <c r="L39" s="345" t="s">
        <v>5821</v>
      </c>
      <c r="M39" s="33" t="s">
        <v>5745</v>
      </c>
      <c r="N39" s="33" t="s">
        <v>2870</v>
      </c>
      <c r="O39" s="33" t="s">
        <v>203</v>
      </c>
      <c r="P39" s="33" t="s">
        <v>203</v>
      </c>
      <c r="Q39" s="33" t="s">
        <v>2870</v>
      </c>
      <c r="R39" s="33" t="s">
        <v>5888</v>
      </c>
      <c r="S39" s="33"/>
    </row>
    <row r="40" spans="1:19" s="28" customFormat="1">
      <c r="A40" s="33" t="s">
        <v>135</v>
      </c>
      <c r="B40" s="33" t="s">
        <v>5746</v>
      </c>
      <c r="C40" s="33" t="s">
        <v>2870</v>
      </c>
      <c r="D40" s="33" t="s">
        <v>2870</v>
      </c>
      <c r="E40" s="33" t="s">
        <v>135</v>
      </c>
      <c r="F40" s="33" t="s">
        <v>2870</v>
      </c>
      <c r="G40" s="343" t="s">
        <v>5746</v>
      </c>
      <c r="H40" s="347" t="s">
        <v>135</v>
      </c>
      <c r="I40" s="347" t="s">
        <v>135</v>
      </c>
      <c r="J40" s="347" t="s">
        <v>135</v>
      </c>
      <c r="K40" s="347" t="s">
        <v>135</v>
      </c>
      <c r="L40" s="345" t="s">
        <v>5822</v>
      </c>
      <c r="M40" s="33" t="s">
        <v>5746</v>
      </c>
      <c r="N40" s="33" t="s">
        <v>2870</v>
      </c>
      <c r="O40" s="33" t="s">
        <v>135</v>
      </c>
      <c r="P40" s="33" t="s">
        <v>135</v>
      </c>
      <c r="Q40" s="33" t="s">
        <v>135</v>
      </c>
      <c r="R40" s="33" t="s">
        <v>5889</v>
      </c>
      <c r="S40" s="33"/>
    </row>
    <row r="41" spans="1:19" s="28" customFormat="1">
      <c r="A41" s="33" t="s">
        <v>33</v>
      </c>
      <c r="B41" s="33" t="s">
        <v>5747</v>
      </c>
      <c r="C41" s="33" t="s">
        <v>2870</v>
      </c>
      <c r="D41" s="33" t="s">
        <v>33</v>
      </c>
      <c r="E41" s="33" t="s">
        <v>2870</v>
      </c>
      <c r="F41" s="33" t="s">
        <v>2870</v>
      </c>
      <c r="G41" s="343" t="s">
        <v>5778</v>
      </c>
      <c r="H41" s="347" t="s">
        <v>2870</v>
      </c>
      <c r="I41" s="347" t="s">
        <v>33</v>
      </c>
      <c r="J41" s="347" t="s">
        <v>33</v>
      </c>
      <c r="K41" s="347" t="s">
        <v>2870</v>
      </c>
      <c r="L41" s="345" t="s">
        <v>5823</v>
      </c>
      <c r="M41" s="33" t="s">
        <v>5778</v>
      </c>
      <c r="N41" s="33" t="s">
        <v>2870</v>
      </c>
      <c r="O41" s="33" t="s">
        <v>33</v>
      </c>
      <c r="P41" s="33" t="s">
        <v>33</v>
      </c>
      <c r="Q41" s="33" t="s">
        <v>2870</v>
      </c>
      <c r="R41" s="33" t="s">
        <v>5823</v>
      </c>
      <c r="S41" s="33"/>
    </row>
    <row r="42" spans="1:19" s="28" customFormat="1">
      <c r="A42" s="33" t="s">
        <v>187</v>
      </c>
      <c r="B42" s="33" t="s">
        <v>5748</v>
      </c>
      <c r="C42" s="33" t="s">
        <v>187</v>
      </c>
      <c r="D42" s="33" t="s">
        <v>187</v>
      </c>
      <c r="E42" s="33" t="s">
        <v>187</v>
      </c>
      <c r="F42" s="33" t="s">
        <v>2870</v>
      </c>
      <c r="G42" s="343" t="s">
        <v>5748</v>
      </c>
      <c r="H42" s="347" t="s">
        <v>2870</v>
      </c>
      <c r="I42" s="347" t="s">
        <v>187</v>
      </c>
      <c r="J42" s="347" t="s">
        <v>187</v>
      </c>
      <c r="K42" s="347" t="s">
        <v>187</v>
      </c>
      <c r="L42" s="345" t="s">
        <v>5824</v>
      </c>
      <c r="M42" s="33" t="s">
        <v>5748</v>
      </c>
      <c r="N42" s="33" t="s">
        <v>2870</v>
      </c>
      <c r="O42" s="33" t="s">
        <v>187</v>
      </c>
      <c r="P42" s="33" t="s">
        <v>187</v>
      </c>
      <c r="Q42" s="33" t="s">
        <v>187</v>
      </c>
      <c r="R42" s="33" t="s">
        <v>5824</v>
      </c>
      <c r="S42" s="33"/>
    </row>
    <row r="43" spans="1:19" s="28" customFormat="1">
      <c r="A43" s="33" t="s">
        <v>227</v>
      </c>
      <c r="B43" s="33" t="s">
        <v>5749</v>
      </c>
      <c r="C43" s="33" t="s">
        <v>2870</v>
      </c>
      <c r="D43" s="33" t="s">
        <v>227</v>
      </c>
      <c r="E43" s="33" t="s">
        <v>227</v>
      </c>
      <c r="F43" s="33" t="s">
        <v>2870</v>
      </c>
      <c r="G43" s="343" t="s">
        <v>5749</v>
      </c>
      <c r="H43" s="347" t="s">
        <v>2870</v>
      </c>
      <c r="I43" s="347" t="s">
        <v>2870</v>
      </c>
      <c r="J43" s="347" t="s">
        <v>227</v>
      </c>
      <c r="K43" s="347" t="s">
        <v>2870</v>
      </c>
      <c r="L43" s="345" t="s">
        <v>5825</v>
      </c>
      <c r="M43" s="33" t="s">
        <v>5749</v>
      </c>
      <c r="N43" s="33" t="s">
        <v>2870</v>
      </c>
      <c r="O43" s="33" t="s">
        <v>227</v>
      </c>
      <c r="P43" s="33" t="s">
        <v>227</v>
      </c>
      <c r="Q43" s="33" t="s">
        <v>2870</v>
      </c>
      <c r="R43" s="33" t="s">
        <v>5825</v>
      </c>
      <c r="S43" s="33"/>
    </row>
    <row r="44" spans="1:19" s="28" customFormat="1">
      <c r="A44" s="33" t="s">
        <v>21</v>
      </c>
      <c r="B44" s="33" t="s">
        <v>5750</v>
      </c>
      <c r="C44" s="33" t="s">
        <v>2870</v>
      </c>
      <c r="D44" s="33" t="s">
        <v>2870</v>
      </c>
      <c r="E44" s="33" t="s">
        <v>21</v>
      </c>
      <c r="F44" s="33" t="s">
        <v>2870</v>
      </c>
      <c r="G44" s="343" t="s">
        <v>5750</v>
      </c>
      <c r="H44" s="347" t="s">
        <v>2870</v>
      </c>
      <c r="I44" s="347" t="s">
        <v>21</v>
      </c>
      <c r="J44" s="347" t="s">
        <v>21</v>
      </c>
      <c r="K44" s="347" t="s">
        <v>2870</v>
      </c>
      <c r="L44" s="345" t="s">
        <v>5826</v>
      </c>
      <c r="M44" s="33" t="s">
        <v>5750</v>
      </c>
      <c r="N44" s="33" t="s">
        <v>2870</v>
      </c>
      <c r="O44" s="33" t="s">
        <v>2870</v>
      </c>
      <c r="P44" s="33" t="s">
        <v>21</v>
      </c>
      <c r="Q44" s="33" t="s">
        <v>2870</v>
      </c>
      <c r="R44" s="33" t="s">
        <v>5826</v>
      </c>
      <c r="S44" s="33"/>
    </row>
    <row r="45" spans="1:19" s="28" customFormat="1">
      <c r="A45" s="33" t="s">
        <v>32</v>
      </c>
      <c r="B45" s="33" t="s">
        <v>5751</v>
      </c>
      <c r="C45" s="33" t="s">
        <v>32</v>
      </c>
      <c r="D45" s="33" t="s">
        <v>2870</v>
      </c>
      <c r="E45" s="33" t="s">
        <v>32</v>
      </c>
      <c r="F45" s="33" t="s">
        <v>2870</v>
      </c>
      <c r="G45" s="343" t="s">
        <v>5751</v>
      </c>
      <c r="H45" s="347" t="s">
        <v>32</v>
      </c>
      <c r="I45" s="347" t="s">
        <v>2870</v>
      </c>
      <c r="J45" s="347" t="s">
        <v>32</v>
      </c>
      <c r="K45" s="347" t="s">
        <v>2870</v>
      </c>
      <c r="L45" s="345" t="s">
        <v>5827</v>
      </c>
      <c r="M45" s="33" t="s">
        <v>5852</v>
      </c>
      <c r="N45" s="33" t="s">
        <v>32</v>
      </c>
      <c r="O45" s="33" t="s">
        <v>32</v>
      </c>
      <c r="P45" s="33" t="s">
        <v>32</v>
      </c>
      <c r="Q45" s="33" t="s">
        <v>32</v>
      </c>
      <c r="R45" s="33" t="s">
        <v>5890</v>
      </c>
      <c r="S45" s="33"/>
    </row>
    <row r="46" spans="1:19" s="28" customFormat="1">
      <c r="A46" s="33" t="s">
        <v>22</v>
      </c>
      <c r="B46" s="33" t="s">
        <v>5752</v>
      </c>
      <c r="C46" s="33" t="s">
        <v>2870</v>
      </c>
      <c r="D46" s="33" t="s">
        <v>22</v>
      </c>
      <c r="E46" s="33" t="s">
        <v>22</v>
      </c>
      <c r="F46" s="33" t="s">
        <v>2870</v>
      </c>
      <c r="G46" s="343" t="s">
        <v>5779</v>
      </c>
      <c r="H46" s="347" t="s">
        <v>2870</v>
      </c>
      <c r="I46" s="347" t="s">
        <v>22</v>
      </c>
      <c r="J46" s="347" t="s">
        <v>22</v>
      </c>
      <c r="K46" s="347" t="s">
        <v>22</v>
      </c>
      <c r="L46" s="345" t="s">
        <v>5828</v>
      </c>
      <c r="M46" s="33" t="s">
        <v>5752</v>
      </c>
      <c r="N46" s="33" t="s">
        <v>2870</v>
      </c>
      <c r="O46" s="33" t="s">
        <v>22</v>
      </c>
      <c r="P46" s="33" t="s">
        <v>22</v>
      </c>
      <c r="Q46" s="33" t="s">
        <v>22</v>
      </c>
      <c r="R46" s="33" t="s">
        <v>5891</v>
      </c>
      <c r="S46" s="33"/>
    </row>
    <row r="47" spans="1:19" s="28" customFormat="1">
      <c r="A47" s="33" t="s">
        <v>2896</v>
      </c>
      <c r="B47" s="33" t="s">
        <v>5753</v>
      </c>
      <c r="C47" s="33" t="s">
        <v>104</v>
      </c>
      <c r="D47" s="33" t="s">
        <v>2870</v>
      </c>
      <c r="E47" s="33" t="s">
        <v>104</v>
      </c>
      <c r="F47" s="33" t="s">
        <v>2870</v>
      </c>
      <c r="G47" s="343" t="s">
        <v>5780</v>
      </c>
      <c r="H47" s="347" t="s">
        <v>104</v>
      </c>
      <c r="I47" s="347" t="s">
        <v>104</v>
      </c>
      <c r="J47" s="347" t="s">
        <v>104</v>
      </c>
      <c r="K47" s="347" t="s">
        <v>104</v>
      </c>
      <c r="L47" s="345" t="s">
        <v>5829</v>
      </c>
      <c r="M47" s="33" t="s">
        <v>5753</v>
      </c>
      <c r="N47" s="33" t="s">
        <v>104</v>
      </c>
      <c r="O47" s="33" t="s">
        <v>104</v>
      </c>
      <c r="P47" s="33" t="s">
        <v>104</v>
      </c>
      <c r="Q47" s="33" t="s">
        <v>104</v>
      </c>
      <c r="R47" s="33" t="s">
        <v>5892</v>
      </c>
      <c r="S47" s="33"/>
    </row>
    <row r="48" spans="1:19" s="28" customFormat="1">
      <c r="A48" s="33" t="s">
        <v>161</v>
      </c>
      <c r="B48" s="33" t="s">
        <v>5754</v>
      </c>
      <c r="C48" s="33" t="s">
        <v>161</v>
      </c>
      <c r="D48" s="33" t="s">
        <v>2870</v>
      </c>
      <c r="E48" s="33" t="s">
        <v>2870</v>
      </c>
      <c r="F48" s="33" t="s">
        <v>2870</v>
      </c>
      <c r="G48" s="343" t="s">
        <v>5781</v>
      </c>
      <c r="H48" s="347" t="s">
        <v>161</v>
      </c>
      <c r="I48" s="347" t="s">
        <v>161</v>
      </c>
      <c r="J48" s="347" t="s">
        <v>161</v>
      </c>
      <c r="K48" s="347" t="s">
        <v>161</v>
      </c>
      <c r="L48" s="345" t="s">
        <v>5830</v>
      </c>
      <c r="M48" s="33" t="s">
        <v>5754</v>
      </c>
      <c r="N48" s="33" t="s">
        <v>161</v>
      </c>
      <c r="O48" s="33" t="s">
        <v>161</v>
      </c>
      <c r="P48" s="33" t="s">
        <v>161</v>
      </c>
      <c r="Q48" s="33" t="s">
        <v>2870</v>
      </c>
      <c r="R48" s="33" t="s">
        <v>5893</v>
      </c>
      <c r="S48" s="33"/>
    </row>
    <row r="49" spans="1:19" s="28" customFormat="1">
      <c r="A49" s="33" t="s">
        <v>160</v>
      </c>
      <c r="B49" s="33" t="s">
        <v>5755</v>
      </c>
      <c r="C49" s="33" t="s">
        <v>160</v>
      </c>
      <c r="D49" s="33" t="s">
        <v>2870</v>
      </c>
      <c r="E49" s="33" t="s">
        <v>2870</v>
      </c>
      <c r="F49" s="33" t="s">
        <v>2870</v>
      </c>
      <c r="G49" s="343" t="s">
        <v>5782</v>
      </c>
      <c r="H49" s="347" t="s">
        <v>160</v>
      </c>
      <c r="I49" s="347" t="s">
        <v>160</v>
      </c>
      <c r="J49" s="347" t="s">
        <v>160</v>
      </c>
      <c r="K49" s="347" t="s">
        <v>160</v>
      </c>
      <c r="L49" s="345" t="s">
        <v>5831</v>
      </c>
      <c r="M49" s="33" t="s">
        <v>5755</v>
      </c>
      <c r="N49" s="33" t="s">
        <v>160</v>
      </c>
      <c r="O49" s="33" t="s">
        <v>2870</v>
      </c>
      <c r="P49" s="33" t="s">
        <v>160</v>
      </c>
      <c r="Q49" s="33" t="s">
        <v>2870</v>
      </c>
      <c r="R49" s="33" t="s">
        <v>5894</v>
      </c>
      <c r="S49" s="33"/>
    </row>
    <row r="50" spans="1:19" s="28" customFormat="1">
      <c r="A50" s="33" t="s">
        <v>111</v>
      </c>
      <c r="B50" s="33" t="s">
        <v>5756</v>
      </c>
      <c r="C50" s="33" t="s">
        <v>111</v>
      </c>
      <c r="D50" s="33" t="s">
        <v>2870</v>
      </c>
      <c r="E50" s="33" t="s">
        <v>2870</v>
      </c>
      <c r="F50" s="33" t="s">
        <v>2870</v>
      </c>
      <c r="G50" s="343" t="s">
        <v>5756</v>
      </c>
      <c r="H50" s="347" t="s">
        <v>111</v>
      </c>
      <c r="I50" s="347" t="s">
        <v>111</v>
      </c>
      <c r="J50" s="347" t="s">
        <v>111</v>
      </c>
      <c r="K50" s="347" t="s">
        <v>2870</v>
      </c>
      <c r="L50" s="345" t="s">
        <v>5832</v>
      </c>
      <c r="M50" s="33" t="s">
        <v>5756</v>
      </c>
      <c r="N50" s="33" t="s">
        <v>111</v>
      </c>
      <c r="O50" s="33" t="s">
        <v>111</v>
      </c>
      <c r="P50" s="33" t="s">
        <v>111</v>
      </c>
      <c r="Q50" s="33" t="s">
        <v>2870</v>
      </c>
      <c r="R50" s="33" t="s">
        <v>5832</v>
      </c>
      <c r="S50" s="33"/>
    </row>
    <row r="51" spans="1:19" s="28" customFormat="1">
      <c r="A51" s="33" t="s">
        <v>230</v>
      </c>
      <c r="B51" s="33" t="s">
        <v>5757</v>
      </c>
      <c r="C51" s="33" t="s">
        <v>230</v>
      </c>
      <c r="D51" s="33" t="s">
        <v>2870</v>
      </c>
      <c r="E51" s="33" t="s">
        <v>2870</v>
      </c>
      <c r="F51" s="33" t="s">
        <v>2870</v>
      </c>
      <c r="G51" s="343" t="s">
        <v>5757</v>
      </c>
      <c r="H51" s="347" t="s">
        <v>230</v>
      </c>
      <c r="I51" s="347" t="s">
        <v>230</v>
      </c>
      <c r="J51" s="347" t="s">
        <v>230</v>
      </c>
      <c r="K51" s="347" t="s">
        <v>230</v>
      </c>
      <c r="L51" s="345" t="s">
        <v>5833</v>
      </c>
      <c r="M51" s="33" t="s">
        <v>5757</v>
      </c>
      <c r="N51" s="33" t="s">
        <v>230</v>
      </c>
      <c r="O51" s="33" t="s">
        <v>230</v>
      </c>
      <c r="P51" s="33" t="s">
        <v>230</v>
      </c>
      <c r="Q51" s="33" t="s">
        <v>230</v>
      </c>
      <c r="R51" s="33" t="s">
        <v>5833</v>
      </c>
      <c r="S51" s="33"/>
    </row>
    <row r="52" spans="1:19" s="28" customFormat="1">
      <c r="A52" s="33" t="s">
        <v>41</v>
      </c>
      <c r="B52" s="33" t="s">
        <v>5758</v>
      </c>
      <c r="C52" s="33" t="s">
        <v>41</v>
      </c>
      <c r="D52" s="33" t="s">
        <v>41</v>
      </c>
      <c r="E52" s="33" t="s">
        <v>2870</v>
      </c>
      <c r="F52" s="33" t="s">
        <v>2870</v>
      </c>
      <c r="G52" s="343" t="s">
        <v>5758</v>
      </c>
      <c r="H52" s="347" t="s">
        <v>41</v>
      </c>
      <c r="I52" s="347" t="s">
        <v>2870</v>
      </c>
      <c r="J52" s="347" t="s">
        <v>41</v>
      </c>
      <c r="K52" s="347" t="s">
        <v>2870</v>
      </c>
      <c r="L52" s="345" t="s">
        <v>5834</v>
      </c>
      <c r="M52" s="33" t="s">
        <v>5758</v>
      </c>
      <c r="N52" s="33" t="s">
        <v>41</v>
      </c>
      <c r="O52" s="33" t="s">
        <v>2870</v>
      </c>
      <c r="P52" s="33" t="s">
        <v>41</v>
      </c>
      <c r="Q52" s="33" t="s">
        <v>2870</v>
      </c>
      <c r="R52" s="33" t="s">
        <v>5834</v>
      </c>
      <c r="S52" s="33"/>
    </row>
    <row r="53" spans="1:19" s="28" customFormat="1">
      <c r="A53" s="33" t="s">
        <v>2893</v>
      </c>
      <c r="B53" s="33" t="s">
        <v>5759</v>
      </c>
      <c r="C53" s="33" t="s">
        <v>105</v>
      </c>
      <c r="D53" s="33" t="s">
        <v>2870</v>
      </c>
      <c r="E53" s="33" t="s">
        <v>105</v>
      </c>
      <c r="F53" s="33" t="s">
        <v>2870</v>
      </c>
      <c r="G53" s="343" t="s">
        <v>5759</v>
      </c>
      <c r="H53" s="347" t="s">
        <v>105</v>
      </c>
      <c r="I53" s="347" t="s">
        <v>105</v>
      </c>
      <c r="J53" s="347" t="s">
        <v>105</v>
      </c>
      <c r="K53" s="347" t="s">
        <v>2870</v>
      </c>
      <c r="L53" s="345" t="s">
        <v>5835</v>
      </c>
      <c r="M53" s="33" t="s">
        <v>5759</v>
      </c>
      <c r="N53" s="33" t="s">
        <v>105</v>
      </c>
      <c r="O53" s="33" t="s">
        <v>105</v>
      </c>
      <c r="P53" s="33" t="s">
        <v>105</v>
      </c>
      <c r="Q53" s="33" t="s">
        <v>2870</v>
      </c>
      <c r="R53" s="33" t="s">
        <v>5835</v>
      </c>
      <c r="S53" s="33"/>
    </row>
    <row r="54" spans="1:19" s="28" customFormat="1">
      <c r="A54" s="33" t="s">
        <v>40</v>
      </c>
      <c r="B54" s="33" t="s">
        <v>5760</v>
      </c>
      <c r="C54" s="33" t="s">
        <v>40</v>
      </c>
      <c r="D54" s="33" t="s">
        <v>40</v>
      </c>
      <c r="E54" s="33" t="s">
        <v>2870</v>
      </c>
      <c r="F54" s="33" t="s">
        <v>2870</v>
      </c>
      <c r="G54" s="343" t="s">
        <v>5760</v>
      </c>
      <c r="H54" s="347" t="s">
        <v>40</v>
      </c>
      <c r="I54" s="347" t="s">
        <v>40</v>
      </c>
      <c r="J54" s="347" t="s">
        <v>40</v>
      </c>
      <c r="K54" s="347" t="s">
        <v>40</v>
      </c>
      <c r="L54" s="345" t="s">
        <v>5836</v>
      </c>
      <c r="M54" s="33" t="s">
        <v>5760</v>
      </c>
      <c r="N54" s="33" t="s">
        <v>40</v>
      </c>
      <c r="O54" s="33" t="s">
        <v>40</v>
      </c>
      <c r="P54" s="33" t="s">
        <v>40</v>
      </c>
      <c r="Q54" s="33" t="s">
        <v>2870</v>
      </c>
      <c r="R54" s="33" t="s">
        <v>5836</v>
      </c>
      <c r="S54" s="33"/>
    </row>
    <row r="55" spans="1:19" s="28" customFormat="1">
      <c r="A55" s="33" t="s">
        <v>137</v>
      </c>
      <c r="B55" s="33" t="s">
        <v>5761</v>
      </c>
      <c r="C55" s="33" t="s">
        <v>137</v>
      </c>
      <c r="D55" s="33" t="s">
        <v>2870</v>
      </c>
      <c r="E55" s="33" t="s">
        <v>137</v>
      </c>
      <c r="F55" s="33" t="s">
        <v>2870</v>
      </c>
      <c r="G55" s="343" t="s">
        <v>5783</v>
      </c>
      <c r="H55" s="347" t="s">
        <v>137</v>
      </c>
      <c r="I55" s="347" t="s">
        <v>137</v>
      </c>
      <c r="J55" s="347" t="s">
        <v>137</v>
      </c>
      <c r="K55" s="347" t="s">
        <v>137</v>
      </c>
      <c r="L55" s="345" t="s">
        <v>5837</v>
      </c>
      <c r="M55" s="33" t="s">
        <v>5783</v>
      </c>
      <c r="N55" s="33" t="s">
        <v>137</v>
      </c>
      <c r="O55" s="33" t="s">
        <v>2870</v>
      </c>
      <c r="P55" s="33" t="s">
        <v>137</v>
      </c>
      <c r="Q55" s="33" t="s">
        <v>2870</v>
      </c>
      <c r="R55" s="33" t="s">
        <v>5837</v>
      </c>
      <c r="S55" s="33"/>
    </row>
    <row r="56" spans="1:19" s="28" customFormat="1">
      <c r="A56" s="33" t="s">
        <v>206</v>
      </c>
      <c r="B56" s="33" t="s">
        <v>5762</v>
      </c>
      <c r="C56" s="33" t="s">
        <v>206</v>
      </c>
      <c r="D56" s="33" t="s">
        <v>206</v>
      </c>
      <c r="E56" s="33" t="s">
        <v>2870</v>
      </c>
      <c r="F56" s="33" t="s">
        <v>2870</v>
      </c>
      <c r="G56" s="343" t="s">
        <v>5762</v>
      </c>
      <c r="H56" s="347" t="s">
        <v>206</v>
      </c>
      <c r="I56" s="347" t="s">
        <v>206</v>
      </c>
      <c r="J56" s="347" t="s">
        <v>206</v>
      </c>
      <c r="K56" s="347" t="s">
        <v>206</v>
      </c>
      <c r="L56" s="345" t="s">
        <v>5838</v>
      </c>
      <c r="M56" s="33" t="s">
        <v>5762</v>
      </c>
      <c r="N56" s="33" t="s">
        <v>206</v>
      </c>
      <c r="O56" s="33" t="s">
        <v>206</v>
      </c>
      <c r="P56" s="33" t="s">
        <v>206</v>
      </c>
      <c r="Q56" s="33" t="s">
        <v>206</v>
      </c>
      <c r="R56" s="33" t="s">
        <v>5838</v>
      </c>
      <c r="S56" s="33"/>
    </row>
    <row r="57" spans="1:19" s="28" customFormat="1">
      <c r="A57" s="33" t="s">
        <v>55</v>
      </c>
      <c r="B57" s="33" t="s">
        <v>5763</v>
      </c>
      <c r="C57" s="33" t="s">
        <v>55</v>
      </c>
      <c r="D57" s="33" t="s">
        <v>2870</v>
      </c>
      <c r="E57" s="33" t="s">
        <v>55</v>
      </c>
      <c r="F57" s="33" t="s">
        <v>2870</v>
      </c>
      <c r="G57" s="343" t="s">
        <v>5763</v>
      </c>
      <c r="H57" s="347" t="s">
        <v>55</v>
      </c>
      <c r="I57" s="347" t="s">
        <v>55</v>
      </c>
      <c r="J57" s="347" t="s">
        <v>55</v>
      </c>
      <c r="K57" s="347" t="s">
        <v>55</v>
      </c>
      <c r="L57" s="345" t="s">
        <v>5839</v>
      </c>
      <c r="M57" s="33" t="s">
        <v>5763</v>
      </c>
      <c r="N57" s="33" t="s">
        <v>55</v>
      </c>
      <c r="O57" s="33" t="s">
        <v>55</v>
      </c>
      <c r="P57" s="33" t="s">
        <v>55</v>
      </c>
      <c r="Q57" s="33" t="s">
        <v>55</v>
      </c>
      <c r="R57" s="33" t="s">
        <v>5839</v>
      </c>
      <c r="S57" s="33"/>
    </row>
    <row r="58" spans="1:19" s="28" customFormat="1">
      <c r="A58" s="33" t="s">
        <v>106</v>
      </c>
      <c r="B58" s="33" t="s">
        <v>5764</v>
      </c>
      <c r="C58" s="33" t="s">
        <v>106</v>
      </c>
      <c r="D58" s="33" t="s">
        <v>2870</v>
      </c>
      <c r="E58" s="33" t="s">
        <v>2870</v>
      </c>
      <c r="F58" s="33" t="s">
        <v>2870</v>
      </c>
      <c r="G58" s="343" t="s">
        <v>5764</v>
      </c>
      <c r="H58" s="347" t="s">
        <v>106</v>
      </c>
      <c r="I58" s="347" t="s">
        <v>106</v>
      </c>
      <c r="J58" s="347" t="s">
        <v>106</v>
      </c>
      <c r="K58" s="347" t="s">
        <v>2870</v>
      </c>
      <c r="L58" s="345" t="s">
        <v>5840</v>
      </c>
      <c r="M58" s="33" t="s">
        <v>5764</v>
      </c>
      <c r="N58" s="33" t="s">
        <v>106</v>
      </c>
      <c r="O58" s="33" t="s">
        <v>2870</v>
      </c>
      <c r="P58" s="33" t="s">
        <v>106</v>
      </c>
      <c r="Q58" s="33" t="s">
        <v>2870</v>
      </c>
      <c r="R58" s="33" t="s">
        <v>5840</v>
      </c>
      <c r="S58" s="33"/>
    </row>
    <row r="59" spans="1:19" s="28" customFormat="1">
      <c r="A59" s="33" t="s">
        <v>198</v>
      </c>
      <c r="B59" s="33" t="s">
        <v>5765</v>
      </c>
      <c r="C59" s="33" t="s">
        <v>198</v>
      </c>
      <c r="D59" s="33" t="s">
        <v>2870</v>
      </c>
      <c r="E59" s="33" t="s">
        <v>198</v>
      </c>
      <c r="F59" s="33" t="s">
        <v>2870</v>
      </c>
      <c r="G59" s="343" t="s">
        <v>5765</v>
      </c>
      <c r="H59" s="347" t="s">
        <v>198</v>
      </c>
      <c r="I59" s="347" t="s">
        <v>198</v>
      </c>
      <c r="J59" s="347" t="s">
        <v>198</v>
      </c>
      <c r="K59" s="347" t="s">
        <v>198</v>
      </c>
      <c r="L59" s="345" t="s">
        <v>5841</v>
      </c>
      <c r="M59" s="33" t="s">
        <v>5765</v>
      </c>
      <c r="N59" s="33" t="s">
        <v>198</v>
      </c>
      <c r="O59" s="33" t="s">
        <v>198</v>
      </c>
      <c r="P59" s="33" t="s">
        <v>198</v>
      </c>
      <c r="Q59" s="33" t="s">
        <v>198</v>
      </c>
      <c r="R59" s="33" t="s">
        <v>5841</v>
      </c>
      <c r="S59" s="33"/>
    </row>
    <row r="60" spans="1:19" s="28" customFormat="1">
      <c r="A60" s="33" t="s">
        <v>232</v>
      </c>
      <c r="B60" s="33" t="s">
        <v>5766</v>
      </c>
      <c r="C60" s="33" t="s">
        <v>232</v>
      </c>
      <c r="D60" s="33" t="s">
        <v>232</v>
      </c>
      <c r="E60" s="33" t="s">
        <v>232</v>
      </c>
      <c r="F60" s="33" t="s">
        <v>2870</v>
      </c>
      <c r="G60" s="343" t="s">
        <v>5766</v>
      </c>
      <c r="H60" s="347" t="s">
        <v>232</v>
      </c>
      <c r="I60" s="347" t="s">
        <v>232</v>
      </c>
      <c r="J60" s="347" t="s">
        <v>232</v>
      </c>
      <c r="K60" s="347" t="s">
        <v>232</v>
      </c>
      <c r="L60" s="345" t="s">
        <v>5842</v>
      </c>
      <c r="M60" s="33" t="s">
        <v>5766</v>
      </c>
      <c r="N60" s="33" t="s">
        <v>232</v>
      </c>
      <c r="O60" s="33" t="s">
        <v>232</v>
      </c>
      <c r="P60" s="33" t="s">
        <v>232</v>
      </c>
      <c r="Q60" s="33" t="s">
        <v>232</v>
      </c>
      <c r="R60" s="33" t="s">
        <v>5842</v>
      </c>
      <c r="S60" s="33"/>
    </row>
    <row r="61" spans="1:19" s="28" customFormat="1">
      <c r="A61" s="33" t="s">
        <v>130</v>
      </c>
      <c r="B61" s="33" t="s">
        <v>5767</v>
      </c>
      <c r="C61" s="33" t="s">
        <v>130</v>
      </c>
      <c r="D61" s="33" t="s">
        <v>2870</v>
      </c>
      <c r="E61" s="33" t="s">
        <v>2870</v>
      </c>
      <c r="F61" s="33" t="s">
        <v>2870</v>
      </c>
      <c r="G61" s="343" t="s">
        <v>5767</v>
      </c>
      <c r="H61" s="347" t="s">
        <v>130</v>
      </c>
      <c r="I61" s="347" t="s">
        <v>130</v>
      </c>
      <c r="J61" s="347" t="s">
        <v>130</v>
      </c>
      <c r="K61" s="347" t="s">
        <v>130</v>
      </c>
      <c r="L61" s="345" t="s">
        <v>5843</v>
      </c>
      <c r="M61" s="33" t="s">
        <v>5767</v>
      </c>
      <c r="N61" s="33" t="s">
        <v>130</v>
      </c>
      <c r="O61" s="33" t="s">
        <v>130</v>
      </c>
      <c r="P61" s="33" t="s">
        <v>130</v>
      </c>
      <c r="Q61" s="33" t="s">
        <v>2870</v>
      </c>
      <c r="R61" s="33" t="s">
        <v>5843</v>
      </c>
      <c r="S61" s="33"/>
    </row>
    <row r="62" spans="1:19" s="28" customFormat="1">
      <c r="A62" s="33" t="s">
        <v>127</v>
      </c>
      <c r="B62" s="33" t="s">
        <v>5768</v>
      </c>
      <c r="C62" s="33" t="s">
        <v>127</v>
      </c>
      <c r="D62" s="33" t="s">
        <v>2870</v>
      </c>
      <c r="E62" s="33" t="s">
        <v>2870</v>
      </c>
      <c r="F62" s="33" t="s">
        <v>2870</v>
      </c>
      <c r="G62" s="343" t="s">
        <v>5768</v>
      </c>
      <c r="H62" s="347" t="s">
        <v>127</v>
      </c>
      <c r="I62" s="347" t="s">
        <v>127</v>
      </c>
      <c r="J62" s="347" t="s">
        <v>127</v>
      </c>
      <c r="K62" s="347" t="s">
        <v>2870</v>
      </c>
      <c r="L62" s="345" t="s">
        <v>5844</v>
      </c>
      <c r="M62" s="33" t="s">
        <v>5768</v>
      </c>
      <c r="N62" s="33" t="s">
        <v>127</v>
      </c>
      <c r="O62" s="33" t="s">
        <v>127</v>
      </c>
      <c r="P62" s="33" t="s">
        <v>127</v>
      </c>
      <c r="Q62" s="33" t="s">
        <v>2870</v>
      </c>
      <c r="R62" s="33" t="s">
        <v>5844</v>
      </c>
      <c r="S62" s="33"/>
    </row>
    <row r="63" spans="1:19" s="28" customFormat="1">
      <c r="A63" s="33" t="s">
        <v>128</v>
      </c>
      <c r="B63" s="33" t="s">
        <v>5769</v>
      </c>
      <c r="C63" s="33" t="s">
        <v>128</v>
      </c>
      <c r="D63" s="33" t="s">
        <v>2870</v>
      </c>
      <c r="E63" s="33" t="s">
        <v>2870</v>
      </c>
      <c r="F63" s="33" t="s">
        <v>2870</v>
      </c>
      <c r="G63" s="343" t="s">
        <v>5769</v>
      </c>
      <c r="H63" s="347" t="s">
        <v>128</v>
      </c>
      <c r="I63" s="347" t="s">
        <v>128</v>
      </c>
      <c r="J63" s="347" t="s">
        <v>128</v>
      </c>
      <c r="K63" s="347" t="s">
        <v>128</v>
      </c>
      <c r="L63" s="345" t="s">
        <v>5845</v>
      </c>
      <c r="M63" s="33" t="s">
        <v>5769</v>
      </c>
      <c r="N63" s="33" t="s">
        <v>128</v>
      </c>
      <c r="O63" s="33" t="s">
        <v>128</v>
      </c>
      <c r="P63" s="33" t="s">
        <v>128</v>
      </c>
      <c r="Q63" s="33" t="s">
        <v>2870</v>
      </c>
      <c r="R63" s="33" t="s">
        <v>5845</v>
      </c>
      <c r="S63" s="33"/>
    </row>
    <row r="64" spans="1:19" s="28" customFormat="1">
      <c r="A64" s="33" t="s">
        <v>129</v>
      </c>
      <c r="B64" s="33" t="s">
        <v>5770</v>
      </c>
      <c r="C64" s="33" t="s">
        <v>129</v>
      </c>
      <c r="D64" s="33" t="s">
        <v>2870</v>
      </c>
      <c r="E64" s="33" t="s">
        <v>2870</v>
      </c>
      <c r="F64" s="33" t="s">
        <v>2870</v>
      </c>
      <c r="G64" s="343" t="s">
        <v>5770</v>
      </c>
      <c r="H64" s="347" t="s">
        <v>129</v>
      </c>
      <c r="I64" s="347" t="s">
        <v>129</v>
      </c>
      <c r="J64" s="347" t="s">
        <v>129</v>
      </c>
      <c r="K64" s="347" t="s">
        <v>2870</v>
      </c>
      <c r="L64" s="345" t="s">
        <v>5846</v>
      </c>
      <c r="M64" s="33" t="s">
        <v>5770</v>
      </c>
      <c r="N64" s="33" t="s">
        <v>129</v>
      </c>
      <c r="O64" s="33" t="s">
        <v>129</v>
      </c>
      <c r="P64" s="33" t="s">
        <v>129</v>
      </c>
      <c r="Q64" s="33" t="s">
        <v>2870</v>
      </c>
      <c r="R64" s="33" t="s">
        <v>5846</v>
      </c>
      <c r="S64" s="33"/>
    </row>
    <row r="65" spans="1:19" s="28" customFormat="1">
      <c r="A65" s="33" t="s">
        <v>1</v>
      </c>
      <c r="B65" s="33" t="s">
        <v>5771</v>
      </c>
      <c r="C65" s="33" t="s">
        <v>1</v>
      </c>
      <c r="D65" s="33" t="s">
        <v>2870</v>
      </c>
      <c r="E65" s="33" t="s">
        <v>1</v>
      </c>
      <c r="F65" s="33" t="s">
        <v>2870</v>
      </c>
      <c r="G65" s="343" t="s">
        <v>5771</v>
      </c>
      <c r="H65" s="347" t="s">
        <v>1</v>
      </c>
      <c r="I65" s="347" t="s">
        <v>2870</v>
      </c>
      <c r="J65" s="347" t="s">
        <v>1</v>
      </c>
      <c r="K65" s="347" t="s">
        <v>1</v>
      </c>
      <c r="L65" s="345" t="s">
        <v>5847</v>
      </c>
      <c r="M65" s="33" t="s">
        <v>5771</v>
      </c>
      <c r="N65" s="33" t="s">
        <v>1</v>
      </c>
      <c r="O65" s="33" t="s">
        <v>1</v>
      </c>
      <c r="P65" s="33" t="s">
        <v>1</v>
      </c>
      <c r="Q65" s="33" t="s">
        <v>2870</v>
      </c>
      <c r="R65" s="33" t="s">
        <v>5847</v>
      </c>
      <c r="S65" s="33"/>
    </row>
    <row r="66" spans="1:19" s="28" customFormat="1">
      <c r="A66" s="33" t="s">
        <v>204</v>
      </c>
      <c r="B66" s="33" t="s">
        <v>5772</v>
      </c>
      <c r="C66" s="33" t="s">
        <v>204</v>
      </c>
      <c r="D66" s="33" t="s">
        <v>2870</v>
      </c>
      <c r="E66" s="33" t="s">
        <v>2870</v>
      </c>
      <c r="F66" s="33" t="s">
        <v>2870</v>
      </c>
      <c r="G66" s="343" t="s">
        <v>5772</v>
      </c>
      <c r="H66" s="347" t="s">
        <v>204</v>
      </c>
      <c r="I66" s="347" t="s">
        <v>204</v>
      </c>
      <c r="J66" s="347" t="s">
        <v>204</v>
      </c>
      <c r="K66" s="347" t="s">
        <v>204</v>
      </c>
      <c r="L66" s="345" t="s">
        <v>5848</v>
      </c>
      <c r="M66" s="33" t="s">
        <v>5772</v>
      </c>
      <c r="N66" s="33" t="s">
        <v>204</v>
      </c>
      <c r="O66" s="33" t="s">
        <v>2870</v>
      </c>
      <c r="P66" s="33" t="s">
        <v>204</v>
      </c>
      <c r="Q66" s="33" t="s">
        <v>2870</v>
      </c>
      <c r="R66" s="33" t="s">
        <v>5848</v>
      </c>
      <c r="S66" s="33"/>
    </row>
    <row r="67" spans="1:19" s="28" customFormat="1">
      <c r="A67" s="33" t="s">
        <v>48</v>
      </c>
      <c r="B67" s="33" t="s">
        <v>5773</v>
      </c>
      <c r="C67" s="33" t="s">
        <v>48</v>
      </c>
      <c r="D67" s="33" t="s">
        <v>2870</v>
      </c>
      <c r="E67" s="33" t="s">
        <v>2870</v>
      </c>
      <c r="F67" s="33" t="s">
        <v>2870</v>
      </c>
      <c r="G67" s="343" t="s">
        <v>5773</v>
      </c>
      <c r="H67" s="347" t="s">
        <v>48</v>
      </c>
      <c r="I67" s="347" t="s">
        <v>2870</v>
      </c>
      <c r="J67" s="347" t="s">
        <v>2870</v>
      </c>
      <c r="K67" s="347" t="s">
        <v>2870</v>
      </c>
      <c r="L67" s="345" t="s">
        <v>5849</v>
      </c>
      <c r="M67" s="33" t="s">
        <v>5773</v>
      </c>
      <c r="N67" s="33" t="s">
        <v>48</v>
      </c>
      <c r="O67" s="33" t="s">
        <v>2870</v>
      </c>
      <c r="P67" s="33" t="s">
        <v>2870</v>
      </c>
      <c r="Q67" s="33" t="s">
        <v>2870</v>
      </c>
      <c r="R67" s="33" t="s">
        <v>5849</v>
      </c>
      <c r="S67" s="33"/>
    </row>
  </sheetData>
  <conditionalFormatting sqref="C1:R1">
    <cfRule type="cellIs" dxfId="2" priority="1" operator="equal">
      <formula>1</formula>
    </cfRule>
  </conditionalFormatting>
  <conditionalFormatting sqref="H1:K1048576">
    <cfRule type="cellIs" dxfId="1" priority="3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4B7B-0728-7845-AF98-BAD08CBA6446}">
  <sheetPr>
    <tabColor rgb="FF7030A0"/>
  </sheetPr>
  <dimension ref="A1:K118"/>
  <sheetViews>
    <sheetView zoomScale="137" workbookViewId="0">
      <pane xSplit="1" ySplit="1" topLeftCell="B89" activePane="bottomRight" state="frozen"/>
      <selection sqref="A1:XFD1"/>
      <selection pane="topRight" sqref="A1:XFD1"/>
      <selection pane="bottomLeft" sqref="A1:XFD1"/>
      <selection pane="bottomRight" activeCell="A104" sqref="A1:A1048576"/>
    </sheetView>
  </sheetViews>
  <sheetFormatPr baseColWidth="10" defaultColWidth="8.83203125" defaultRowHeight="14"/>
  <cols>
    <col min="1" max="1" width="8.6640625" style="89" bestFit="1" customWidth="1"/>
    <col min="2" max="2" width="7.6640625" style="229" bestFit="1" customWidth="1"/>
    <col min="3" max="3" width="8" style="92" customWidth="1"/>
    <col min="4" max="4" width="11" style="72" bestFit="1" customWidth="1"/>
    <col min="5" max="5" width="10.5" style="90" bestFit="1" customWidth="1"/>
    <col min="6" max="6" width="10.6640625" style="90" bestFit="1" customWidth="1"/>
    <col min="7" max="7" width="5.1640625" style="102" bestFit="1" customWidth="1"/>
    <col min="8" max="8" width="6" style="94" customWidth="1"/>
    <col min="9" max="9" width="6.83203125" style="92" bestFit="1" customWidth="1"/>
    <col min="10" max="10" width="6" style="92" customWidth="1"/>
    <col min="11" max="11" width="5.6640625" style="92" bestFit="1" customWidth="1"/>
    <col min="12" max="16384" width="8.83203125" style="49"/>
  </cols>
  <sheetData>
    <row r="1" spans="1:11" s="75" customFormat="1" ht="74" customHeight="1">
      <c r="A1" s="97" t="s">
        <v>5152</v>
      </c>
      <c r="B1" s="76" t="s">
        <v>5172</v>
      </c>
      <c r="C1" s="91" t="s">
        <v>5159</v>
      </c>
      <c r="D1" s="76" t="s">
        <v>5168</v>
      </c>
      <c r="E1" s="195" t="s">
        <v>5169</v>
      </c>
      <c r="F1" s="155" t="s">
        <v>5170</v>
      </c>
      <c r="G1" s="195" t="s">
        <v>5171</v>
      </c>
      <c r="H1" s="93" t="s">
        <v>5160</v>
      </c>
      <c r="I1" s="194" t="s">
        <v>5166</v>
      </c>
      <c r="J1" s="91" t="s">
        <v>5162</v>
      </c>
      <c r="K1" s="91" t="s">
        <v>5165</v>
      </c>
    </row>
    <row r="2" spans="1:11" ht="16" customHeight="1">
      <c r="A2" s="51" t="s">
        <v>108</v>
      </c>
      <c r="B2" s="72">
        <f>VLOOKUP($A2,'Martemyanov-FreeGβγ-Nluc'!$A:$BG,MATCH("Gq",'Martemyanov-FreeGβγ-Nluc'!$A$1:$BG$1,0),FALSE)</f>
        <v>0</v>
      </c>
      <c r="C2" s="92">
        <f>VLOOKUP($A2,'Bouvier-GEMTA'!$A:$CF,MATCH("Gq",'Bouvier-GEMTA'!$A$1:$CF$1,0),FALSE)</f>
        <v>0</v>
      </c>
      <c r="D2" s="72" t="str">
        <f t="shared" ref="D2:D33" si="0">IF(B2&gt;0,$A2,"")</f>
        <v/>
      </c>
      <c r="E2" s="90" t="str">
        <f t="shared" ref="E2:E33" si="1">IF(C2&gt;0,$A2,"")</f>
        <v/>
      </c>
      <c r="F2" s="197" t="str">
        <f t="shared" ref="F2:F33" si="2">IF(H2&gt;0,$A2,"")</f>
        <v/>
      </c>
      <c r="G2" s="102" t="str" cm="1">
        <f t="array" ref="G2">IF(AND(LEN(F2)&gt;0,LEN(D2:E2)=0),"Iuniq","")</f>
        <v/>
      </c>
      <c r="H2" s="100">
        <f>VLOOKUP($A2,'Inoue-TGFa-NotUsed'!$A:$AL,MATCH("log(Emax
/EC50)
Gq",'Inoue-TGFa-NotUsed'!$A$1:$AL$1,0),FALSE)</f>
        <v>0</v>
      </c>
      <c r="I2" s="101">
        <f>VLOOKUP($A2,'Inoue-TGFa-NotUsed'!$A:$CQ,MATCH("pEC50
Gq",'Inoue-TGFa-NotUsed'!$A$1:$CQ$1,0),FALSE)</f>
        <v>0</v>
      </c>
      <c r="J2" s="101">
        <f>VLOOKUP($A2,'Inoue-TGFa-NotUsed'!$A:$BP,MATCH("Emax
Gq",'Inoue-TGFa-NotUsed'!$A$1:$BP$1,0),FALSE)</f>
        <v>0</v>
      </c>
      <c r="K2" s="101">
        <f>VLOOKUP($A2,'Inoue-TGFa-NotUsed'!$A:$CQ,MATCH("#SDs
Gq",'Inoue-TGFa-NotUsed'!$A$1:$CQ$1,0),FALSE)</f>
        <v>0</v>
      </c>
    </row>
    <row r="3" spans="1:11" ht="18.75" customHeight="1">
      <c r="A3" s="51" t="s">
        <v>58</v>
      </c>
      <c r="B3" s="72">
        <f>VLOOKUP($A3,'Martemyanov-FreeGβγ-Nluc'!$A:$BG,MATCH("Gq",'Martemyanov-FreeGβγ-Nluc'!$A$1:$BG$1,0),FALSE)</f>
        <v>0</v>
      </c>
      <c r="C3" s="92">
        <f>VLOOKUP($A3,'Bouvier-GEMTA'!$A:$CF,MATCH("Gq",'Bouvier-GEMTA'!$A$1:$CF$1,0),FALSE)</f>
        <v>0</v>
      </c>
      <c r="D3" s="72" t="str">
        <f t="shared" si="0"/>
        <v/>
      </c>
      <c r="E3" s="90" t="str">
        <f t="shared" si="1"/>
        <v/>
      </c>
      <c r="F3" s="197" t="str">
        <f t="shared" si="2"/>
        <v/>
      </c>
      <c r="G3" s="102" t="str" cm="1">
        <f t="array" ref="G3">IF(AND(LEN(F3)&gt;0,LEN(D3:E3)=0),"Iuniq","")</f>
        <v/>
      </c>
      <c r="H3" s="100">
        <f>VLOOKUP($A3,'Inoue-TGFa-NotUsed'!$A:$AL,MATCH("log(Emax
/EC50)
Gq",'Inoue-TGFa-NotUsed'!$A$1:$AL$1,0),FALSE)</f>
        <v>0</v>
      </c>
      <c r="I3" s="101">
        <f>VLOOKUP($A3,'Inoue-TGFa-NotUsed'!$A:$CQ,MATCH("pEC50
Gq",'Inoue-TGFa-NotUsed'!$A$1:$CQ$1,0),FALSE)</f>
        <v>0</v>
      </c>
      <c r="J3" s="101">
        <f>VLOOKUP($A3,'Inoue-TGFa-NotUsed'!$A:$BP,MATCH("Emax
Gq",'Inoue-TGFa-NotUsed'!$A$1:$BP$1,0),FALSE)</f>
        <v>0</v>
      </c>
      <c r="K3" s="101">
        <f>VLOOKUP($A3,'Inoue-TGFa-NotUsed'!$A:$CQ,MATCH("#SDs
Gq",'Inoue-TGFa-NotUsed'!$A$1:$CQ$1,0),FALSE)</f>
        <v>0</v>
      </c>
    </row>
    <row r="4" spans="1:11" ht="18.75" customHeight="1">
      <c r="A4" s="88" t="s">
        <v>164</v>
      </c>
      <c r="B4" s="72">
        <f>VLOOKUP($A4,'Martemyanov-FreeGβγ-Nluc'!$A:$BG,MATCH("Gq",'Martemyanov-FreeGβγ-Nluc'!$A$1:$BG$1,0),FALSE)</f>
        <v>0</v>
      </c>
      <c r="C4" s="92">
        <f>VLOOKUP($A4,'Bouvier-GEMTA'!$A:$CF,MATCH("Gq",'Bouvier-GEMTA'!$A$1:$CF$1,0),FALSE)</f>
        <v>0</v>
      </c>
      <c r="D4" s="72" t="str">
        <f t="shared" si="0"/>
        <v/>
      </c>
      <c r="E4" s="90" t="str">
        <f t="shared" si="1"/>
        <v/>
      </c>
      <c r="F4" s="197" t="str">
        <f t="shared" si="2"/>
        <v/>
      </c>
      <c r="G4" s="102" t="str" cm="1">
        <f t="array" ref="G4">IF(AND(LEN(F4)&gt;0,LEN(D4:E4)=0),"Iuniq","")</f>
        <v/>
      </c>
      <c r="H4" s="100">
        <f>VLOOKUP($A4,'Inoue-TGFa-NotUsed'!$A:$AL,MATCH("log(Emax
/EC50)
Gq",'Inoue-TGFa-NotUsed'!$A$1:$AL$1,0),FALSE)</f>
        <v>0</v>
      </c>
      <c r="I4" s="101">
        <f>VLOOKUP($A4,'Inoue-TGFa-NotUsed'!$A:$CQ,MATCH("pEC50
Gq",'Inoue-TGFa-NotUsed'!$A$1:$CQ$1,0),FALSE)</f>
        <v>0</v>
      </c>
      <c r="J4" s="101">
        <f>VLOOKUP($A4,'Inoue-TGFa-NotUsed'!$A:$BP,MATCH("Emax
Gq",'Inoue-TGFa-NotUsed'!$A$1:$BP$1,0),FALSE)</f>
        <v>0</v>
      </c>
      <c r="K4" s="101">
        <f>VLOOKUP($A4,'Inoue-TGFa-NotUsed'!$A:$CQ,MATCH("#SDs
Gq",'Inoue-TGFa-NotUsed'!$A$1:$CQ$1,0),FALSE)</f>
        <v>0</v>
      </c>
    </row>
    <row r="5" spans="1:11" ht="18.75" customHeight="1">
      <c r="A5" s="88" t="s">
        <v>166</v>
      </c>
      <c r="B5" s="72">
        <f>VLOOKUP($A5,'Martemyanov-FreeGβγ-Nluc'!$A:$BG,MATCH("Gq",'Martemyanov-FreeGβγ-Nluc'!$A$1:$BG$1,0),FALSE)</f>
        <v>0</v>
      </c>
      <c r="C5" s="92">
        <f>VLOOKUP($A5,'Bouvier-GEMTA'!$A:$CF,MATCH("Gq",'Bouvier-GEMTA'!$A$1:$CF$1,0),FALSE)</f>
        <v>0</v>
      </c>
      <c r="D5" s="72" t="str">
        <f t="shared" si="0"/>
        <v/>
      </c>
      <c r="E5" s="90" t="str">
        <f t="shared" si="1"/>
        <v/>
      </c>
      <c r="F5" s="197" t="str">
        <f t="shared" si="2"/>
        <v/>
      </c>
      <c r="G5" s="102" t="str" cm="1">
        <f t="array" ref="G5">IF(AND(LEN(F5)&gt;0,LEN(D5:E5)=0),"Iuniq","")</f>
        <v/>
      </c>
      <c r="H5" s="100">
        <f>VLOOKUP($A5,'Inoue-TGFa-NotUsed'!$A:$AL,MATCH("log(Emax
/EC50)
Gq",'Inoue-TGFa-NotUsed'!$A$1:$AL$1,0),FALSE)</f>
        <v>0</v>
      </c>
      <c r="I5" s="101">
        <f>VLOOKUP($A5,'Inoue-TGFa-NotUsed'!$A:$CQ,MATCH("pEC50
Gq",'Inoue-TGFa-NotUsed'!$A$1:$CQ$1,0),FALSE)</f>
        <v>0</v>
      </c>
      <c r="J5" s="101">
        <f>VLOOKUP($A5,'Inoue-TGFa-NotUsed'!$A:$BP,MATCH("Emax
Gq",'Inoue-TGFa-NotUsed'!$A$1:$BP$1,0),FALSE)</f>
        <v>0</v>
      </c>
      <c r="K5" s="101">
        <f>VLOOKUP($A5,'Inoue-TGFa-NotUsed'!$A:$CQ,MATCH("#SDs
Gq",'Inoue-TGFa-NotUsed'!$A$1:$CQ$1,0),FALSE)</f>
        <v>0</v>
      </c>
    </row>
    <row r="6" spans="1:11" ht="18.75" customHeight="1">
      <c r="A6" s="88" t="s">
        <v>33</v>
      </c>
      <c r="B6" s="72">
        <f>VLOOKUP($A6,'Martemyanov-FreeGβγ-Nluc'!$A:$BG,MATCH("Gq",'Martemyanov-FreeGβγ-Nluc'!$A$1:$BG$1,0),FALSE)</f>
        <v>0</v>
      </c>
      <c r="C6" s="92">
        <f>VLOOKUP($A6,'Bouvier-GEMTA'!$A:$CF,MATCH("Gq",'Bouvier-GEMTA'!$A$1:$CF$1,0),FALSE)</f>
        <v>0</v>
      </c>
      <c r="D6" s="72" t="str">
        <f t="shared" si="0"/>
        <v/>
      </c>
      <c r="E6" s="90" t="str">
        <f t="shared" si="1"/>
        <v/>
      </c>
      <c r="F6" s="197" t="str">
        <f t="shared" si="2"/>
        <v/>
      </c>
      <c r="G6" s="102" t="str" cm="1">
        <f t="array" ref="G6">IF(AND(LEN(F6)&gt;0,LEN(D6:E6)=0),"Iuniq","")</f>
        <v/>
      </c>
      <c r="H6" s="100">
        <f>VLOOKUP($A6,'Inoue-TGFa-NotUsed'!$A:$AL,MATCH("log(Emax
/EC50)
Gq",'Inoue-TGFa-NotUsed'!$A$1:$AL$1,0),FALSE)</f>
        <v>0</v>
      </c>
      <c r="I6" s="101">
        <f>VLOOKUP($A6,'Inoue-TGFa-NotUsed'!$A:$CQ,MATCH("pEC50
Gq",'Inoue-TGFa-NotUsed'!$A$1:$CQ$1,0),FALSE)</f>
        <v>0</v>
      </c>
      <c r="J6" s="101">
        <f>VLOOKUP($A6,'Inoue-TGFa-NotUsed'!$A:$BP,MATCH("Emax
Gq",'Inoue-TGFa-NotUsed'!$A$1:$BP$1,0),FALSE)</f>
        <v>0</v>
      </c>
      <c r="K6" s="101">
        <f>VLOOKUP($A6,'Inoue-TGFa-NotUsed'!$A:$CQ,MATCH("#SDs
Gq",'Inoue-TGFa-NotUsed'!$A$1:$CQ$1,0),FALSE)</f>
        <v>0</v>
      </c>
    </row>
    <row r="7" spans="1:11" ht="18.75" customHeight="1">
      <c r="A7" s="88" t="s">
        <v>183</v>
      </c>
      <c r="B7" s="72">
        <f>VLOOKUP($A7,'Martemyanov-FreeGβγ-Nluc'!$A:$BG,MATCH("Gq",'Martemyanov-FreeGβγ-Nluc'!$A$1:$BG$1,0),FALSE)</f>
        <v>0</v>
      </c>
      <c r="C7" s="92">
        <f>VLOOKUP($A7,'Bouvier-GEMTA'!$A:$CF,MATCH("Gq",'Bouvier-GEMTA'!$A$1:$CF$1,0),FALSE)</f>
        <v>0</v>
      </c>
      <c r="D7" s="72" t="str">
        <f t="shared" si="0"/>
        <v/>
      </c>
      <c r="E7" s="90" t="str">
        <f t="shared" si="1"/>
        <v/>
      </c>
      <c r="F7" s="197" t="str">
        <f t="shared" si="2"/>
        <v/>
      </c>
      <c r="G7" s="102" t="str" cm="1">
        <f t="array" ref="G7">IF(AND(LEN(F7)&gt;0,LEN(D7:E7)=0),"Iuniq","")</f>
        <v/>
      </c>
      <c r="H7" s="100">
        <f>VLOOKUP($A7,'Inoue-TGFa-NotUsed'!$A:$AL,MATCH("log(Emax
/EC50)
Gq",'Inoue-TGFa-NotUsed'!$A$1:$AL$1,0),FALSE)</f>
        <v>0</v>
      </c>
      <c r="I7" s="101">
        <f>VLOOKUP($A7,'Inoue-TGFa-NotUsed'!$A:$CQ,MATCH("pEC50
Gq",'Inoue-TGFa-NotUsed'!$A$1:$CQ$1,0),FALSE)</f>
        <v>0</v>
      </c>
      <c r="J7" s="101">
        <f>VLOOKUP($A7,'Inoue-TGFa-NotUsed'!$A:$BP,MATCH("Emax
Gq",'Inoue-TGFa-NotUsed'!$A$1:$BP$1,0),FALSE)</f>
        <v>0</v>
      </c>
      <c r="K7" s="101">
        <f>VLOOKUP($A7,'Inoue-TGFa-NotUsed'!$A:$CQ,MATCH("#SDs
Gq",'Inoue-TGFa-NotUsed'!$A$1:$CQ$1,0),FALSE)</f>
        <v>0</v>
      </c>
    </row>
    <row r="8" spans="1:11" ht="18.75" customHeight="1">
      <c r="A8" s="88" t="s">
        <v>181</v>
      </c>
      <c r="B8" s="72">
        <f>VLOOKUP($A8,'Martemyanov-FreeGβγ-Nluc'!$A:$BG,MATCH("Gq",'Martemyanov-FreeGβγ-Nluc'!$A$1:$BG$1,0),FALSE)</f>
        <v>0</v>
      </c>
      <c r="C8" s="92">
        <f>VLOOKUP($A8,'Bouvier-GEMTA'!$A:$CF,MATCH("Gq",'Bouvier-GEMTA'!$A$1:$CF$1,0),FALSE)</f>
        <v>0</v>
      </c>
      <c r="D8" s="72" t="str">
        <f t="shared" si="0"/>
        <v/>
      </c>
      <c r="E8" s="90" t="str">
        <f t="shared" si="1"/>
        <v/>
      </c>
      <c r="F8" s="197" t="str">
        <f t="shared" si="2"/>
        <v/>
      </c>
      <c r="G8" s="102" t="str" cm="1">
        <f t="array" ref="G8">IF(AND(LEN(F8)&gt;0,LEN(D8:E8)=0),"Iuniq","")</f>
        <v/>
      </c>
      <c r="H8" s="100">
        <f>VLOOKUP($A8,'Inoue-TGFa-NotUsed'!$A:$AL,MATCH("log(Emax
/EC50)
Gq",'Inoue-TGFa-NotUsed'!$A$1:$AL$1,0),FALSE)</f>
        <v>0</v>
      </c>
      <c r="I8" s="101">
        <f>VLOOKUP($A8,'Inoue-TGFa-NotUsed'!$A:$CQ,MATCH("pEC50
Gq",'Inoue-TGFa-NotUsed'!$A$1:$CQ$1,0),FALSE)</f>
        <v>0</v>
      </c>
      <c r="J8" s="101">
        <f>VLOOKUP($A8,'Inoue-TGFa-NotUsed'!$A:$BP,MATCH("Emax
Gq",'Inoue-TGFa-NotUsed'!$A$1:$BP$1,0),FALSE)</f>
        <v>0</v>
      </c>
      <c r="K8" s="101">
        <f>VLOOKUP($A8,'Inoue-TGFa-NotUsed'!$A:$CQ,MATCH("#SDs
Gq",'Inoue-TGFa-NotUsed'!$A$1:$CQ$1,0),FALSE)</f>
        <v>0</v>
      </c>
    </row>
    <row r="9" spans="1:11" ht="18.75" customHeight="1">
      <c r="A9" s="88" t="s">
        <v>174</v>
      </c>
      <c r="B9" s="72">
        <f>VLOOKUP($A9,'Martemyanov-FreeGβγ-Nluc'!$A:$BG,MATCH("Gq",'Martemyanov-FreeGβγ-Nluc'!$A$1:$BG$1,0),FALSE)</f>
        <v>0</v>
      </c>
      <c r="C9" s="92">
        <f>VLOOKUP($A9,'Bouvier-GEMTA'!$A:$CF,MATCH("Gq",'Bouvier-GEMTA'!$A$1:$CF$1,0),FALSE)</f>
        <v>0</v>
      </c>
      <c r="D9" s="72" t="str">
        <f t="shared" si="0"/>
        <v/>
      </c>
      <c r="E9" s="90" t="str">
        <f t="shared" si="1"/>
        <v/>
      </c>
      <c r="F9" s="197" t="str">
        <f t="shared" si="2"/>
        <v/>
      </c>
      <c r="G9" s="102" t="str" cm="1">
        <f t="array" ref="G9">IF(AND(LEN(F9)&gt;0,LEN(D9:E9)=0),"Iuniq","")</f>
        <v/>
      </c>
      <c r="H9" s="100">
        <f>VLOOKUP($A9,'Inoue-TGFa-NotUsed'!$A:$AL,MATCH("log(Emax
/EC50)
Gq",'Inoue-TGFa-NotUsed'!$A$1:$AL$1,0),FALSE)</f>
        <v>0</v>
      </c>
      <c r="I9" s="101">
        <f>VLOOKUP($A9,'Inoue-TGFa-NotUsed'!$A:$CQ,MATCH("pEC50
Gq",'Inoue-TGFa-NotUsed'!$A$1:$CQ$1,0),FALSE)</f>
        <v>0</v>
      </c>
      <c r="J9" s="101">
        <f>VLOOKUP($A9,'Inoue-TGFa-NotUsed'!$A:$BP,MATCH("Emax
Gq",'Inoue-TGFa-NotUsed'!$A$1:$BP$1,0),FALSE)</f>
        <v>0</v>
      </c>
      <c r="K9" s="101">
        <f>VLOOKUP($A9,'Inoue-TGFa-NotUsed'!$A:$CQ,MATCH("#SDs
Gq",'Inoue-TGFa-NotUsed'!$A$1:$CQ$1,0),FALSE)</f>
        <v>0</v>
      </c>
    </row>
    <row r="10" spans="1:11" ht="18.75" customHeight="1">
      <c r="A10" s="51" t="s">
        <v>127</v>
      </c>
      <c r="B10" s="72">
        <f>VLOOKUP($A10,'Martemyanov-FreeGβγ-Nluc'!$A:$BG,MATCH("Gq",'Martemyanov-FreeGβγ-Nluc'!$A$1:$BG$1,0),FALSE)</f>
        <v>0</v>
      </c>
      <c r="C10" s="92">
        <f>VLOOKUP($A10,'Bouvier-GEMTA'!$A:$CF,MATCH("Gq",'Bouvier-GEMTA'!$A$1:$CF$1,0),FALSE)</f>
        <v>0</v>
      </c>
      <c r="D10" s="72" t="str">
        <f t="shared" si="0"/>
        <v/>
      </c>
      <c r="E10" s="90" t="str">
        <f t="shared" si="1"/>
        <v/>
      </c>
      <c r="F10" s="197" t="str">
        <f t="shared" si="2"/>
        <v/>
      </c>
      <c r="G10" s="102" t="str" cm="1">
        <f t="array" ref="G10">IF(AND(LEN(F10)&gt;0,LEN(D10:E10)=0),"Iuniq","")</f>
        <v/>
      </c>
      <c r="H10" s="100">
        <f>VLOOKUP($A10,'Inoue-TGFa-NotUsed'!$A:$AL,MATCH("log(Emax
/EC50)
Gq",'Inoue-TGFa-NotUsed'!$A$1:$AL$1,0),FALSE)</f>
        <v>0</v>
      </c>
      <c r="I10" s="101">
        <f>VLOOKUP($A10,'Inoue-TGFa-NotUsed'!$A:$CQ,MATCH("pEC50
Gq",'Inoue-TGFa-NotUsed'!$A$1:$CQ$1,0),FALSE)</f>
        <v>0</v>
      </c>
      <c r="J10" s="101">
        <f>VLOOKUP($A10,'Inoue-TGFa-NotUsed'!$A:$BP,MATCH("Emax
Gq",'Inoue-TGFa-NotUsed'!$A$1:$BP$1,0),FALSE)</f>
        <v>0</v>
      </c>
      <c r="K10" s="101">
        <f>VLOOKUP($A10,'Inoue-TGFa-NotUsed'!$A:$CQ,MATCH("#SDs
Gq",'Inoue-TGFa-NotUsed'!$A$1:$CQ$1,0),FALSE)</f>
        <v>0</v>
      </c>
    </row>
    <row r="11" spans="1:11" ht="18.75" customHeight="1">
      <c r="A11" s="88" t="s">
        <v>218</v>
      </c>
      <c r="B11" s="72">
        <f>VLOOKUP($A11,'Martemyanov-FreeGβγ-Nluc'!$A:$BG,MATCH("Gq",'Martemyanov-FreeGβγ-Nluc'!$A$1:$BG$1,0),FALSE)</f>
        <v>0</v>
      </c>
      <c r="C11" s="92">
        <f>VLOOKUP($A11,'Bouvier-GEMTA'!$A:$CF,MATCH("Gq",'Bouvier-GEMTA'!$A$1:$CF$1,0),FALSE)</f>
        <v>6.5887752271262876</v>
      </c>
      <c r="D11" s="72" t="str">
        <f t="shared" si="0"/>
        <v/>
      </c>
      <c r="E11" s="90" t="str">
        <f t="shared" si="1"/>
        <v>SSR2</v>
      </c>
      <c r="F11" s="197" t="str">
        <f t="shared" si="2"/>
        <v/>
      </c>
      <c r="G11" s="102" t="str" cm="1">
        <f t="array" ref="G11">IF(AND(LEN(F11)&gt;0,LEN(D11:E11)=0),"Iuniq","")</f>
        <v/>
      </c>
      <c r="H11" s="100">
        <f>VLOOKUP($A11,'Inoue-TGFa-NotUsed'!$A:$AL,MATCH("log(Emax
/EC50)
Gq",'Inoue-TGFa-NotUsed'!$A$1:$AL$1,0),FALSE)</f>
        <v>0</v>
      </c>
      <c r="I11" s="101">
        <f>VLOOKUP($A11,'Inoue-TGFa-NotUsed'!$A:$CQ,MATCH("pEC50
Gq",'Inoue-TGFa-NotUsed'!$A$1:$CQ$1,0),FALSE)</f>
        <v>0</v>
      </c>
      <c r="J11" s="101">
        <f>VLOOKUP($A11,'Inoue-TGFa-NotUsed'!$A:$BP,MATCH("Emax
Gq",'Inoue-TGFa-NotUsed'!$A$1:$BP$1,0),FALSE)</f>
        <v>0</v>
      </c>
      <c r="K11" s="101">
        <f>VLOOKUP($A11,'Inoue-TGFa-NotUsed'!$A:$CQ,MATCH("#SDs
Gq",'Inoue-TGFa-NotUsed'!$A$1:$CQ$1,0),FALSE)</f>
        <v>0</v>
      </c>
    </row>
    <row r="12" spans="1:11" ht="18.75" customHeight="1">
      <c r="A12" s="51" t="s">
        <v>137</v>
      </c>
      <c r="B12" s="72">
        <f>VLOOKUP($A12,'Martemyanov-FreeGβγ-Nluc'!$A:$BG,MATCH("Gq",'Martemyanov-FreeGβγ-Nluc'!$A$1:$BG$1,0),FALSE)</f>
        <v>0</v>
      </c>
      <c r="C12" s="92">
        <f>VLOOKUP($A12,'Bouvier-GEMTA'!$A:$CF,MATCH("Gq",'Bouvier-GEMTA'!$A$1:$CF$1,0),FALSE)</f>
        <v>0</v>
      </c>
      <c r="D12" s="72" t="str">
        <f t="shared" si="0"/>
        <v/>
      </c>
      <c r="E12" s="90" t="str">
        <f t="shared" si="1"/>
        <v/>
      </c>
      <c r="F12" s="197" t="str">
        <f t="shared" si="2"/>
        <v>HRH2</v>
      </c>
      <c r="G12" s="102" t="str" cm="1">
        <f t="array" ref="G12">IF(AND(LEN(F12)&gt;0,LEN(D12:E12)=0),"Iuniq","")</f>
        <v>Iuniq</v>
      </c>
      <c r="H12" s="100">
        <f>VLOOKUP($A12,'Inoue-TGFa-NotUsed'!$A:$AL,MATCH("log(Emax
/EC50)
Gq",'Inoue-TGFa-NotUsed'!$A$1:$AL$1,0),FALSE)</f>
        <v>4.5508135922807913</v>
      </c>
      <c r="I12" s="101">
        <f>VLOOKUP($A12,'Inoue-TGFa-NotUsed'!$A:$CQ,MATCH("pEC50
Gq",'Inoue-TGFa-NotUsed'!$A$1:$CQ$1,0),FALSE)</f>
        <v>5.67</v>
      </c>
      <c r="J12" s="101">
        <f>VLOOKUP($A12,'Inoue-TGFa-NotUsed'!$A:$BP,MATCH("Emax
Gq",'Inoue-TGFa-NotUsed'!$A$1:$BP$1,0),FALSE)</f>
        <v>7.6</v>
      </c>
      <c r="K12" s="101">
        <f>VLOOKUP($A12,'Inoue-TGFa-NotUsed'!$A:$CQ,MATCH("#SDs
Gq",'Inoue-TGFa-NotUsed'!$A$1:$CQ$1,0),FALSE)</f>
        <v>0.81196581196581197</v>
      </c>
    </row>
    <row r="13" spans="1:11" ht="18.75" customHeight="1">
      <c r="A13" s="51" t="s">
        <v>106</v>
      </c>
      <c r="B13" s="72">
        <f>VLOOKUP($A13,'Martemyanov-FreeGβγ-Nluc'!$A:$BG,MATCH("Gq",'Martemyanov-FreeGβγ-Nluc'!$A$1:$BG$1,0),FALSE)</f>
        <v>0</v>
      </c>
      <c r="C13" s="92">
        <f>VLOOKUP($A13,'Bouvier-GEMTA'!$A:$CF,MATCH("Gq",'Bouvier-GEMTA'!$A$1:$CF$1,0),FALSE)</f>
        <v>0</v>
      </c>
      <c r="D13" s="72" t="str">
        <f t="shared" si="0"/>
        <v/>
      </c>
      <c r="E13" s="90" t="str">
        <f t="shared" si="1"/>
        <v/>
      </c>
      <c r="F13" s="197" t="str">
        <f t="shared" si="2"/>
        <v>DRD1</v>
      </c>
      <c r="G13" s="102" t="str" cm="1">
        <f t="array" ref="G13">IF(AND(LEN(F13)&gt;0,LEN(D13:E13)=0),"Iuniq","")</f>
        <v>Iuniq</v>
      </c>
      <c r="H13" s="100">
        <f>VLOOKUP($A13,'Inoue-TGFa-NotUsed'!$A:$AL,MATCH("log(Emax
/EC50)
Gq",'Inoue-TGFa-NotUsed'!$A$1:$AL$1,0),FALSE)</f>
        <v>4.7044537511509317</v>
      </c>
      <c r="I13" s="101">
        <f>VLOOKUP($A13,'Inoue-TGFa-NotUsed'!$A:$CQ,MATCH("pEC50
Gq",'Inoue-TGFa-NotUsed'!$A$1:$CQ$1,0),FALSE)</f>
        <v>5.37</v>
      </c>
      <c r="J13" s="101">
        <f>VLOOKUP($A13,'Inoue-TGFa-NotUsed'!$A:$BP,MATCH("Emax
Gq",'Inoue-TGFa-NotUsed'!$A$1:$BP$1,0),FALSE)</f>
        <v>21.6</v>
      </c>
      <c r="K13" s="101">
        <f>VLOOKUP($A13,'Inoue-TGFa-NotUsed'!$A:$CQ,MATCH("#SDs
Gq",'Inoue-TGFa-NotUsed'!$A$1:$CQ$1,0),FALSE)</f>
        <v>4.5000000000000009</v>
      </c>
    </row>
    <row r="14" spans="1:11" ht="18.75" customHeight="1">
      <c r="A14" s="88" t="s">
        <v>32</v>
      </c>
      <c r="B14" s="72">
        <f>VLOOKUP($A14,'Martemyanov-FreeGβγ-Nluc'!$A:$BG,MATCH("Gq",'Martemyanov-FreeGβγ-Nluc'!$A$1:$BG$1,0),FALSE)</f>
        <v>0</v>
      </c>
      <c r="C14" s="92">
        <f>VLOOKUP($A14,'Bouvier-GEMTA'!$A:$CF,MATCH("Gq",'Bouvier-GEMTA'!$A$1:$CF$1,0),FALSE)</f>
        <v>0</v>
      </c>
      <c r="D14" s="72" t="str">
        <f t="shared" si="0"/>
        <v/>
      </c>
      <c r="E14" s="90" t="str">
        <f t="shared" si="1"/>
        <v/>
      </c>
      <c r="F14" s="197" t="str">
        <f t="shared" si="2"/>
        <v>AA2BR</v>
      </c>
      <c r="G14" s="102" t="str" cm="1">
        <f t="array" ref="G14">IF(AND(LEN(F14)&gt;0,LEN(D14:E14)=0),"Iuniq","")</f>
        <v>Iuniq</v>
      </c>
      <c r="H14" s="100">
        <f>VLOOKUP($A14,'Inoue-TGFa-NotUsed'!$A:$AL,MATCH("log(Emax
/EC50)
Gq",'Inoue-TGFa-NotUsed'!$A$1:$AL$1,0),FALSE)</f>
        <v>4.712182518111363</v>
      </c>
      <c r="I14" s="101">
        <f>VLOOKUP($A14,'Inoue-TGFa-NotUsed'!$A:$CQ,MATCH("pEC50
Gq",'Inoue-TGFa-NotUsed'!$A$1:$CQ$1,0),FALSE)</f>
        <v>5.36</v>
      </c>
      <c r="J14" s="101">
        <f>VLOOKUP($A14,'Inoue-TGFa-NotUsed'!$A:$BP,MATCH("Emax
Gq",'Inoue-TGFa-NotUsed'!$A$1:$BP$1,0),FALSE)</f>
        <v>22.5</v>
      </c>
      <c r="K14" s="101">
        <f>VLOOKUP($A14,'Inoue-TGFa-NotUsed'!$A:$CQ,MATCH("#SDs
Gq",'Inoue-TGFa-NotUsed'!$A$1:$CQ$1,0),FALSE)</f>
        <v>2.8019925280199254</v>
      </c>
    </row>
    <row r="15" spans="1:11" ht="18.75" customHeight="1">
      <c r="A15" s="88" t="s">
        <v>31</v>
      </c>
      <c r="B15" s="72">
        <f>VLOOKUP($A15,'Martemyanov-FreeGβγ-Nluc'!$A:$BG,MATCH("Gq",'Martemyanov-FreeGβγ-Nluc'!$A$1:$BG$1,0),FALSE)</f>
        <v>0</v>
      </c>
      <c r="C15" s="92">
        <f>VLOOKUP($A15,'Bouvier-GEMTA'!$A:$CF,MATCH("Gq",'Bouvier-GEMTA'!$A$1:$CF$1,0),FALSE)</f>
        <v>0</v>
      </c>
      <c r="D15" s="72" t="str">
        <f t="shared" si="0"/>
        <v/>
      </c>
      <c r="E15" s="90" t="str">
        <f t="shared" si="1"/>
        <v/>
      </c>
      <c r="F15" s="197" t="str">
        <f t="shared" si="2"/>
        <v>AA1R</v>
      </c>
      <c r="G15" s="102" t="str" cm="1">
        <f t="array" ref="G15">IF(AND(LEN(F15)&gt;0,LEN(D15:E15)=0),"Iuniq","")</f>
        <v>Iuniq</v>
      </c>
      <c r="H15" s="100">
        <f>VLOOKUP($A15,'Inoue-TGFa-NotUsed'!$A:$AL,MATCH("log(Emax
/EC50)
Gq",'Inoue-TGFa-NotUsed'!$A$1:$AL$1,0),FALSE)</f>
        <v>5.0118416065364997</v>
      </c>
      <c r="I15" s="101">
        <f>VLOOKUP($A15,'Inoue-TGFa-NotUsed'!$A:$CQ,MATCH("pEC50
Gq",'Inoue-TGFa-NotUsed'!$A$1:$CQ$1,0),FALSE)</f>
        <v>5.74</v>
      </c>
      <c r="J15" s="101">
        <f>VLOOKUP($A15,'Inoue-TGFa-NotUsed'!$A:$BP,MATCH("Emax
Gq",'Inoue-TGFa-NotUsed'!$A$1:$BP$1,0),FALSE)</f>
        <v>18.7</v>
      </c>
      <c r="K15" s="101">
        <f>VLOOKUP($A15,'Inoue-TGFa-NotUsed'!$A:$CQ,MATCH("#SDs
Gq",'Inoue-TGFa-NotUsed'!$A$1:$CQ$1,0),FALSE)</f>
        <v>1.6432337434094901</v>
      </c>
    </row>
    <row r="16" spans="1:11" ht="18.75" customHeight="1">
      <c r="A16" s="51" t="s">
        <v>39</v>
      </c>
      <c r="B16" s="72">
        <f>VLOOKUP($A16,'Martemyanov-FreeGβγ-Nluc'!$A:$BG,MATCH("Gq",'Martemyanov-FreeGβγ-Nluc'!$A$1:$BG$1,0),FALSE)</f>
        <v>0</v>
      </c>
      <c r="C16" s="92">
        <f>VLOOKUP($A16,'Bouvier-GEMTA'!$A:$CF,MATCH("Gq",'Bouvier-GEMTA'!$A$1:$CF$1,0),FALSE)</f>
        <v>0</v>
      </c>
      <c r="D16" s="72" t="str">
        <f t="shared" si="0"/>
        <v/>
      </c>
      <c r="E16" s="90" t="str">
        <f t="shared" si="1"/>
        <v/>
      </c>
      <c r="F16" s="197" t="str">
        <f t="shared" si="2"/>
        <v>ADA2C</v>
      </c>
      <c r="G16" s="102" t="str" cm="1">
        <f t="array" ref="G16">IF(AND(LEN(F16)&gt;0,LEN(D16:E16)=0),"Iuniq","")</f>
        <v>Iuniq</v>
      </c>
      <c r="H16" s="100">
        <f>VLOOKUP($A16,'Inoue-TGFa-NotUsed'!$A:$AL,MATCH("log(Emax
/EC50)
Gq",'Inoue-TGFa-NotUsed'!$A$1:$AL$1,0),FALSE)</f>
        <v>5.0975701760979364</v>
      </c>
      <c r="I16" s="101">
        <f>VLOOKUP($A16,'Inoue-TGFa-NotUsed'!$A:$CQ,MATCH("pEC50
Gq",'Inoue-TGFa-NotUsed'!$A$1:$CQ$1,0),FALSE)</f>
        <v>6.39</v>
      </c>
      <c r="J16" s="101">
        <f>VLOOKUP($A16,'Inoue-TGFa-NotUsed'!$A:$BP,MATCH("Emax
Gq",'Inoue-TGFa-NotUsed'!$A$1:$BP$1,0),FALSE)</f>
        <v>5.0999999999999996</v>
      </c>
      <c r="K16" s="101">
        <f>VLOOKUP($A16,'Inoue-TGFa-NotUsed'!$A:$CQ,MATCH("#SDs
Gq",'Inoue-TGFa-NotUsed'!$A$1:$CQ$1,0),FALSE)</f>
        <v>0.68090787716955936</v>
      </c>
    </row>
    <row r="17" spans="1:11" ht="18.75" customHeight="1">
      <c r="A17" s="88" t="s">
        <v>1</v>
      </c>
      <c r="B17" s="72">
        <f>VLOOKUP($A17,'Martemyanov-FreeGβγ-Nluc'!$A:$BG,MATCH("Gq",'Martemyanov-FreeGβγ-Nluc'!$A$1:$BG$1,0),FALSE)</f>
        <v>0</v>
      </c>
      <c r="C17" s="92">
        <f>VLOOKUP($A17,'Bouvier-GEMTA'!$A:$CF,MATCH("Gq",'Bouvier-GEMTA'!$A$1:$CF$1,0),FALSE)</f>
        <v>0</v>
      </c>
      <c r="D17" s="72" t="str">
        <f t="shared" si="0"/>
        <v/>
      </c>
      <c r="E17" s="90" t="str">
        <f t="shared" si="1"/>
        <v/>
      </c>
      <c r="F17" s="197" t="str">
        <f t="shared" si="2"/>
        <v>AA2AR</v>
      </c>
      <c r="G17" s="102" t="str" cm="1">
        <f t="array" ref="G17">IF(AND(LEN(F17)&gt;0,LEN(D17:E17)=0),"Iuniq","")</f>
        <v>Iuniq</v>
      </c>
      <c r="H17" s="100">
        <f>VLOOKUP($A17,'Inoue-TGFa-NotUsed'!$A:$AL,MATCH("log(Emax
/EC50)
Gq",'Inoue-TGFa-NotUsed'!$A$1:$AL$1,0),FALSE)</f>
        <v>5.3412583487190757</v>
      </c>
      <c r="I17" s="101">
        <f>VLOOKUP($A17,'Inoue-TGFa-NotUsed'!$A:$CQ,MATCH("pEC50
Gq",'Inoue-TGFa-NotUsed'!$A$1:$CQ$1,0),FALSE)</f>
        <v>6.49</v>
      </c>
      <c r="J17" s="101">
        <f>VLOOKUP($A17,'Inoue-TGFa-NotUsed'!$A:$BP,MATCH("Emax
Gq",'Inoue-TGFa-NotUsed'!$A$1:$BP$1,0),FALSE)</f>
        <v>7.1</v>
      </c>
      <c r="K17" s="101">
        <f>VLOOKUP($A17,'Inoue-TGFa-NotUsed'!$A:$CQ,MATCH("#SDs
Gq",'Inoue-TGFa-NotUsed'!$A$1:$CQ$1,0),FALSE)</f>
        <v>1.5367965367965366</v>
      </c>
    </row>
    <row r="18" spans="1:11" ht="18.75" customHeight="1">
      <c r="A18" s="51" t="s">
        <v>14</v>
      </c>
      <c r="B18" s="72">
        <f>VLOOKUP($A18,'Martemyanov-FreeGβγ-Nluc'!$A:$BG,MATCH("Gq",'Martemyanov-FreeGβγ-Nluc'!$A$1:$BG$1,0),FALSE)</f>
        <v>0</v>
      </c>
      <c r="C18" s="92">
        <f>VLOOKUP($A18,'Bouvier-GEMTA'!$A:$CF,MATCH("Gq",'Bouvier-GEMTA'!$A$1:$CF$1,0),FALSE)</f>
        <v>0</v>
      </c>
      <c r="D18" s="72" t="str">
        <f t="shared" si="0"/>
        <v/>
      </c>
      <c r="E18" s="90" t="str">
        <f t="shared" si="1"/>
        <v/>
      </c>
      <c r="F18" s="197" t="str">
        <f t="shared" si="2"/>
        <v>5HT1A</v>
      </c>
      <c r="G18" s="102" t="str" cm="1">
        <f t="array" ref="G18">IF(AND(LEN(F18)&gt;0,LEN(D18:E18)=0),"Iuniq","")</f>
        <v>Iuniq</v>
      </c>
      <c r="H18" s="100">
        <f>VLOOKUP($A18,'Inoue-TGFa-NotUsed'!$A:$AL,MATCH("log(Emax
/EC50)
Gq",'Inoue-TGFa-NotUsed'!$A$1:$AL$1,0),FALSE)</f>
        <v>5.4063358609287526</v>
      </c>
      <c r="I18" s="101">
        <f>VLOOKUP($A18,'Inoue-TGFa-NotUsed'!$A:$CQ,MATCH("pEC50
Gq",'Inoue-TGFa-NotUsed'!$A$1:$CQ$1,0),FALSE)</f>
        <v>6.08</v>
      </c>
      <c r="J18" s="101">
        <f>VLOOKUP($A18,'Inoue-TGFa-NotUsed'!$A:$BP,MATCH("Emax
Gq",'Inoue-TGFa-NotUsed'!$A$1:$BP$1,0),FALSE)</f>
        <v>21.2</v>
      </c>
      <c r="K18" s="101">
        <f>VLOOKUP($A18,'Inoue-TGFa-NotUsed'!$A:$CQ,MATCH("#SDs
Gq",'Inoue-TGFa-NotUsed'!$A$1:$CQ$1,0),FALSE)</f>
        <v>5.3132832080200494</v>
      </c>
    </row>
    <row r="19" spans="1:11" ht="18.75" customHeight="1">
      <c r="A19" s="88" t="s">
        <v>182</v>
      </c>
      <c r="B19" s="72">
        <f>VLOOKUP($A19,'Martemyanov-FreeGβγ-Nluc'!$A:$BG,MATCH("Gq",'Martemyanov-FreeGβγ-Nluc'!$A$1:$BG$1,0),FALSE)</f>
        <v>0</v>
      </c>
      <c r="C19" s="92">
        <f>VLOOKUP($A19,'Bouvier-GEMTA'!$A:$CF,MATCH("Gq",'Bouvier-GEMTA'!$A$1:$CF$1,0),FALSE)</f>
        <v>0</v>
      </c>
      <c r="D19" s="72" t="str">
        <f t="shared" si="0"/>
        <v/>
      </c>
      <c r="E19" s="90" t="str">
        <f t="shared" si="1"/>
        <v/>
      </c>
      <c r="F19" s="197" t="str">
        <f t="shared" si="2"/>
        <v>OPRK</v>
      </c>
      <c r="G19" s="102" t="str" cm="1">
        <f t="array" ref="G19">IF(AND(LEN(F19)&gt;0,LEN(D19:E19)=0),"Iuniq","")</f>
        <v>Iuniq</v>
      </c>
      <c r="H19" s="100">
        <f>VLOOKUP($A19,'Inoue-TGFa-NotUsed'!$A:$AL,MATCH("log(Emax
/EC50)
Gq",'Inoue-TGFa-NotUsed'!$A$1:$AL$1,0),FALSE)</f>
        <v>5.4771580313422197</v>
      </c>
      <c r="I19" s="101">
        <f>VLOOKUP($A19,'Inoue-TGFa-NotUsed'!$A:$CQ,MATCH("pEC50
Gq",'Inoue-TGFa-NotUsed'!$A$1:$CQ$1,0),FALSE)</f>
        <v>7.03</v>
      </c>
      <c r="J19" s="101">
        <f>VLOOKUP($A19,'Inoue-TGFa-NotUsed'!$A:$BP,MATCH("Emax
Gq",'Inoue-TGFa-NotUsed'!$A$1:$BP$1,0),FALSE)</f>
        <v>2.8</v>
      </c>
      <c r="K19" s="101">
        <f>VLOOKUP($A19,'Inoue-TGFa-NotUsed'!$A:$CQ,MATCH("#SDs
Gq",'Inoue-TGFa-NotUsed'!$A$1:$CQ$1,0),FALSE)</f>
        <v>0.65116279069767435</v>
      </c>
    </row>
    <row r="20" spans="1:11" ht="18.75" customHeight="1">
      <c r="A20" s="51" t="s">
        <v>37</v>
      </c>
      <c r="B20" s="72">
        <f>VLOOKUP($A20,'Martemyanov-FreeGβγ-Nluc'!$A:$BG,MATCH("Gq",'Martemyanov-FreeGβγ-Nluc'!$A$1:$BG$1,0),FALSE)</f>
        <v>0</v>
      </c>
      <c r="C20" s="92">
        <f>VLOOKUP($A20,'Bouvier-GEMTA'!$A:$CF,MATCH("Gq",'Bouvier-GEMTA'!$A$1:$CF$1,0),FALSE)</f>
        <v>4.5690376751638837</v>
      </c>
      <c r="D20" s="72" t="str">
        <f t="shared" si="0"/>
        <v/>
      </c>
      <c r="E20" s="90" t="str">
        <f t="shared" si="1"/>
        <v>ADA2A</v>
      </c>
      <c r="F20" s="197" t="str">
        <f t="shared" si="2"/>
        <v>ADA2A</v>
      </c>
      <c r="G20" s="102" t="str" cm="1">
        <f t="array" ref="G20">IF(AND(LEN(F20)&gt;0,LEN(D20:E20)=0),"Iuniq","")</f>
        <v/>
      </c>
      <c r="H20" s="100">
        <f>VLOOKUP($A20,'Inoue-TGFa-NotUsed'!$A:$AL,MATCH("log(Emax
/EC50)
Gq",'Inoue-TGFa-NotUsed'!$A$1:$AL$1,0),FALSE)</f>
        <v>5.5918833609788754</v>
      </c>
      <c r="I20" s="101">
        <f>VLOOKUP($A20,'Inoue-TGFa-NotUsed'!$A:$CQ,MATCH("pEC50
Gq",'Inoue-TGFa-NotUsed'!$A$1:$CQ$1,0),FALSE)</f>
        <v>6.08</v>
      </c>
      <c r="J20" s="101">
        <f>VLOOKUP($A20,'Inoue-TGFa-NotUsed'!$A:$BP,MATCH("Emax
Gq",'Inoue-TGFa-NotUsed'!$A$1:$BP$1,0),FALSE)</f>
        <v>32.5</v>
      </c>
      <c r="K20" s="101">
        <f>VLOOKUP($A20,'Inoue-TGFa-NotUsed'!$A:$CQ,MATCH("#SDs
Gq",'Inoue-TGFa-NotUsed'!$A$1:$CQ$1,0),FALSE)</f>
        <v>4.6897546897546896</v>
      </c>
    </row>
    <row r="21" spans="1:11" ht="18.75" customHeight="1">
      <c r="A21" s="88" t="s">
        <v>27</v>
      </c>
      <c r="B21" s="72">
        <f>VLOOKUP($A21,'Martemyanov-FreeGβγ-Nluc'!$A:$BG,MATCH("Gq",'Martemyanov-FreeGβγ-Nluc'!$A$1:$BG$1,0),FALSE)</f>
        <v>0</v>
      </c>
      <c r="C21" s="92">
        <f>VLOOKUP($A21,'Bouvier-GEMTA'!$A:$CF,MATCH("Gq",'Bouvier-GEMTA'!$A$1:$CF$1,0),FALSE)</f>
        <v>0</v>
      </c>
      <c r="D21" s="72" t="str">
        <f t="shared" si="0"/>
        <v/>
      </c>
      <c r="E21" s="90" t="str">
        <f t="shared" si="1"/>
        <v/>
      </c>
      <c r="F21" s="197" t="str">
        <f t="shared" si="2"/>
        <v>ACM2</v>
      </c>
      <c r="G21" s="102" t="str" cm="1">
        <f t="array" ref="G21">IF(AND(LEN(F21)&gt;0,LEN(D21:E21)=0),"Iuniq","")</f>
        <v>Iuniq</v>
      </c>
      <c r="H21" s="100">
        <f>VLOOKUP($A21,'Inoue-TGFa-NotUsed'!$A:$AL,MATCH("log(Emax
/EC50)
Gq",'Inoue-TGFa-NotUsed'!$A$1:$AL$1,0),FALSE)</f>
        <v>5.7470263661590613</v>
      </c>
      <c r="I21" s="101">
        <f>VLOOKUP($A21,'Inoue-TGFa-NotUsed'!$A:$CQ,MATCH("pEC50
Gq",'Inoue-TGFa-NotUsed'!$A$1:$CQ$1,0),FALSE)</f>
        <v>6.18</v>
      </c>
      <c r="J21" s="101">
        <f>VLOOKUP($A21,'Inoue-TGFa-NotUsed'!$A:$BP,MATCH("Emax
Gq",'Inoue-TGFa-NotUsed'!$A$1:$BP$1,0),FALSE)</f>
        <v>36.9</v>
      </c>
      <c r="K21" s="101">
        <f>VLOOKUP($A21,'Inoue-TGFa-NotUsed'!$A:$CQ,MATCH("#SDs
Gq",'Inoue-TGFa-NotUsed'!$A$1:$CQ$1,0),FALSE)</f>
        <v>3.9171974522292992</v>
      </c>
    </row>
    <row r="22" spans="1:11" ht="18.75" customHeight="1">
      <c r="A22" s="51" t="s">
        <v>111</v>
      </c>
      <c r="B22" s="72">
        <f>VLOOKUP($A22,'Martemyanov-FreeGβγ-Nluc'!$A:$BG,MATCH("Gq",'Martemyanov-FreeGβγ-Nluc'!$A$1:$BG$1,0),FALSE)</f>
        <v>0</v>
      </c>
      <c r="C22" s="92">
        <f>VLOOKUP($A22,'Bouvier-GEMTA'!$A:$CF,MATCH("Gq",'Bouvier-GEMTA'!$A$1:$CF$1,0),FALSE)</f>
        <v>0</v>
      </c>
      <c r="D22" s="72" t="str">
        <f t="shared" si="0"/>
        <v/>
      </c>
      <c r="E22" s="90" t="str">
        <f t="shared" si="1"/>
        <v/>
      </c>
      <c r="F22" s="197" t="str">
        <f t="shared" si="2"/>
        <v>DRD5</v>
      </c>
      <c r="G22" s="102" t="str" cm="1">
        <f t="array" ref="G22">IF(AND(LEN(F22)&gt;0,LEN(D22:E22)=0),"Iuniq","")</f>
        <v>Iuniq</v>
      </c>
      <c r="H22" s="100">
        <f>VLOOKUP($A22,'Inoue-TGFa-NotUsed'!$A:$AL,MATCH("log(Emax
/EC50)
Gq",'Inoue-TGFa-NotUsed'!$A$1:$AL$1,0),FALSE)</f>
        <v>5.7655469613925314</v>
      </c>
      <c r="I22" s="101">
        <f>VLOOKUP($A22,'Inoue-TGFa-NotUsed'!$A:$CQ,MATCH("pEC50
Gq",'Inoue-TGFa-NotUsed'!$A$1:$CQ$1,0),FALSE)</f>
        <v>6.69</v>
      </c>
      <c r="J22" s="101">
        <f>VLOOKUP($A22,'Inoue-TGFa-NotUsed'!$A:$BP,MATCH("Emax
Gq",'Inoue-TGFa-NotUsed'!$A$1:$BP$1,0),FALSE)</f>
        <v>11.9</v>
      </c>
      <c r="K22" s="101">
        <f>VLOOKUP($A22,'Inoue-TGFa-NotUsed'!$A:$CQ,MATCH("#SDs
Gq",'Inoue-TGFa-NotUsed'!$A$1:$CQ$1,0),FALSE)</f>
        <v>3.8636363636363638</v>
      </c>
    </row>
    <row r="23" spans="1:11" ht="18.75" customHeight="1">
      <c r="A23" s="51" t="s">
        <v>16</v>
      </c>
      <c r="B23" s="72">
        <f>VLOOKUP($A23,'Martemyanov-FreeGβγ-Nluc'!$A:$BG,MATCH("Gq",'Martemyanov-FreeGβγ-Nluc'!$A$1:$BG$1,0),FALSE)</f>
        <v>0</v>
      </c>
      <c r="C23" s="92">
        <f>VLOOKUP($A23,'Bouvier-GEMTA'!$A:$CF,MATCH("Gq",'Bouvier-GEMTA'!$A$1:$CF$1,0),FALSE)</f>
        <v>0</v>
      </c>
      <c r="D23" s="72" t="str">
        <f t="shared" si="0"/>
        <v/>
      </c>
      <c r="E23" s="90" t="str">
        <f t="shared" si="1"/>
        <v/>
      </c>
      <c r="F23" s="197" t="str">
        <f t="shared" si="2"/>
        <v>5HT1B</v>
      </c>
      <c r="G23" s="102" t="str" cm="1">
        <f t="array" ref="G23">IF(AND(LEN(F23)&gt;0,LEN(D23:E23)=0),"Iuniq","")</f>
        <v>Iuniq</v>
      </c>
      <c r="H23" s="100">
        <f>VLOOKUP($A23,'Inoue-TGFa-NotUsed'!$A:$AL,MATCH("log(Emax
/EC50)
Gq",'Inoue-TGFa-NotUsed'!$A$1:$AL$1,0),FALSE)</f>
        <v>5.8993405494535818</v>
      </c>
      <c r="I23" s="101">
        <f>VLOOKUP($A23,'Inoue-TGFa-NotUsed'!$A:$CQ,MATCH("pEC50
Gq",'Inoue-TGFa-NotUsed'!$A$1:$CQ$1,0),FALSE)</f>
        <v>7.1</v>
      </c>
      <c r="J23" s="101">
        <f>VLOOKUP($A23,'Inoue-TGFa-NotUsed'!$A:$BP,MATCH("Emax
Gq",'Inoue-TGFa-NotUsed'!$A$1:$BP$1,0),FALSE)</f>
        <v>6.3</v>
      </c>
      <c r="K23" s="101">
        <f>VLOOKUP($A23,'Inoue-TGFa-NotUsed'!$A:$CQ,MATCH("#SDs
Gq",'Inoue-TGFa-NotUsed'!$A$1:$CQ$1,0),FALSE)</f>
        <v>2.258064516129032</v>
      </c>
    </row>
    <row r="24" spans="1:11" ht="18.75" customHeight="1">
      <c r="A24" s="88" t="s">
        <v>29</v>
      </c>
      <c r="B24" s="72">
        <f>VLOOKUP($A24,'Martemyanov-FreeGβγ-Nluc'!$A:$BG,MATCH("Gq",'Martemyanov-FreeGβγ-Nluc'!$A$1:$BG$1,0),FALSE)</f>
        <v>0</v>
      </c>
      <c r="C24" s="92">
        <f>VLOOKUP($A24,'Bouvier-GEMTA'!$A:$CF,MATCH("Gq",'Bouvier-GEMTA'!$A$1:$CF$1,0),FALSE)</f>
        <v>4.5584653051210431</v>
      </c>
      <c r="D24" s="72" t="str">
        <f t="shared" si="0"/>
        <v/>
      </c>
      <c r="E24" s="90" t="str">
        <f t="shared" si="1"/>
        <v>ACM4</v>
      </c>
      <c r="F24" s="197" t="str">
        <f t="shared" si="2"/>
        <v>ACM4</v>
      </c>
      <c r="G24" s="102" t="str" cm="1">
        <f t="array" ref="G24">IF(AND(LEN(F24)&gt;0,LEN(D24:E24)=0),"Iuniq","")</f>
        <v/>
      </c>
      <c r="H24" s="100">
        <f>VLOOKUP($A24,'Inoue-TGFa-NotUsed'!$A:$AL,MATCH("log(Emax
/EC50)
Gq",'Inoue-TGFa-NotUsed'!$A$1:$AL$1,0),FALSE)</f>
        <v>5.9838929889859074</v>
      </c>
      <c r="I24" s="101">
        <f>VLOOKUP($A24,'Inoue-TGFa-NotUsed'!$A:$CQ,MATCH("pEC50
Gq",'Inoue-TGFa-NotUsed'!$A$1:$CQ$1,0),FALSE)</f>
        <v>6.52</v>
      </c>
      <c r="J24" s="101">
        <f>VLOOKUP($A24,'Inoue-TGFa-NotUsed'!$A:$BP,MATCH("Emax
Gq",'Inoue-TGFa-NotUsed'!$A$1:$BP$1,0),FALSE)</f>
        <v>29.1</v>
      </c>
      <c r="K24" s="101">
        <f>VLOOKUP($A24,'Inoue-TGFa-NotUsed'!$A:$CQ,MATCH("#SDs
Gq",'Inoue-TGFa-NotUsed'!$A$1:$CQ$1,0),FALSE)</f>
        <v>2.5684024713150926</v>
      </c>
    </row>
    <row r="25" spans="1:11" ht="18.75" customHeight="1">
      <c r="A25" s="88" t="s">
        <v>204</v>
      </c>
      <c r="B25" s="72">
        <f>VLOOKUP($A25,'Martemyanov-FreeGβγ-Nluc'!$A:$BG,MATCH("Gq",'Martemyanov-FreeGβγ-Nluc'!$A$1:$BG$1,0),FALSE)</f>
        <v>0</v>
      </c>
      <c r="C25" s="92">
        <f>VLOOKUP($A25,'Bouvier-GEMTA'!$A:$CF,MATCH("Gq",'Bouvier-GEMTA'!$A$1:$CF$1,0),FALSE)</f>
        <v>0</v>
      </c>
      <c r="D25" s="72" t="str">
        <f t="shared" si="0"/>
        <v/>
      </c>
      <c r="E25" s="90" t="str">
        <f t="shared" si="1"/>
        <v/>
      </c>
      <c r="F25" s="197" t="str">
        <f t="shared" si="2"/>
        <v>PE2R2</v>
      </c>
      <c r="G25" s="102" t="str" cm="1">
        <f t="array" ref="G25">IF(AND(LEN(F25)&gt;0,LEN(D25:E25)=0),"Iuniq","")</f>
        <v>Iuniq</v>
      </c>
      <c r="H25" s="100">
        <f>VLOOKUP($A25,'Inoue-TGFa-NotUsed'!$A:$AL,MATCH("log(Emax
/EC50)
Gq",'Inoue-TGFa-NotUsed'!$A$1:$AL$1,0),FALSE)</f>
        <v>6.0533228601204572</v>
      </c>
      <c r="I25" s="101">
        <f>VLOOKUP($A25,'Inoue-TGFa-NotUsed'!$A:$CQ,MATCH("pEC50
Gq",'Inoue-TGFa-NotUsed'!$A$1:$CQ$1,0),FALSE)</f>
        <v>7.19</v>
      </c>
      <c r="J25" s="101">
        <f>VLOOKUP($A25,'Inoue-TGFa-NotUsed'!$A:$BP,MATCH("Emax
Gq",'Inoue-TGFa-NotUsed'!$A$1:$BP$1,0),FALSE)</f>
        <v>7.3</v>
      </c>
      <c r="K25" s="101">
        <f>VLOOKUP($A25,'Inoue-TGFa-NotUsed'!$A:$CQ,MATCH("#SDs
Gq",'Inoue-TGFa-NotUsed'!$A$1:$CQ$1,0),FALSE)</f>
        <v>1.0013717421124828</v>
      </c>
    </row>
    <row r="26" spans="1:11" ht="18.75" customHeight="1">
      <c r="A26" s="51" t="s">
        <v>41</v>
      </c>
      <c r="B26" s="72">
        <f>VLOOKUP($A26,'Martemyanov-FreeGβγ-Nluc'!$A:$BG,MATCH("Gq",'Martemyanov-FreeGβγ-Nluc'!$A$1:$BG$1,0),FALSE)</f>
        <v>0</v>
      </c>
      <c r="C26" s="92">
        <f>VLOOKUP($A26,'Bouvier-GEMTA'!$A:$CF,MATCH("Gq",'Bouvier-GEMTA'!$A$1:$CF$1,0),FALSE)</f>
        <v>0</v>
      </c>
      <c r="D26" s="72" t="str">
        <f t="shared" si="0"/>
        <v/>
      </c>
      <c r="E26" s="90" t="str">
        <f t="shared" si="1"/>
        <v/>
      </c>
      <c r="F26" s="197" t="str">
        <f t="shared" si="2"/>
        <v>ADRB2</v>
      </c>
      <c r="G26" s="102" t="str" cm="1">
        <f t="array" ref="G26">IF(AND(LEN(F26)&gt;0,LEN(D26:E26)=0),"Iuniq","")</f>
        <v>Iuniq</v>
      </c>
      <c r="H26" s="100">
        <f>VLOOKUP($A26,'Inoue-TGFa-NotUsed'!$A:$AL,MATCH("log(Emax
/EC50)
Gq",'Inoue-TGFa-NotUsed'!$A$1:$AL$1,0),FALSE)</f>
        <v>6.1084829485539345</v>
      </c>
      <c r="I26" s="101">
        <f>VLOOKUP($A26,'Inoue-TGFa-NotUsed'!$A:$CQ,MATCH("pEC50
Gq",'Inoue-TGFa-NotUsed'!$A$1:$CQ$1,0),FALSE)</f>
        <v>7.14</v>
      </c>
      <c r="J26" s="101">
        <f>VLOOKUP($A26,'Inoue-TGFa-NotUsed'!$A:$BP,MATCH("Emax
Gq",'Inoue-TGFa-NotUsed'!$A$1:$BP$1,0),FALSE)</f>
        <v>9.3000000000000007</v>
      </c>
      <c r="K26" s="101">
        <f>VLOOKUP($A26,'Inoue-TGFa-NotUsed'!$A:$CQ,MATCH("#SDs
Gq",'Inoue-TGFa-NotUsed'!$A$1:$CQ$1,0),FALSE)</f>
        <v>1.23342175066313</v>
      </c>
    </row>
    <row r="27" spans="1:11" ht="18.75" customHeight="1">
      <c r="A27" s="51" t="s">
        <v>45</v>
      </c>
      <c r="B27" s="72">
        <f>VLOOKUP($A27,'Martemyanov-FreeGβγ-Nluc'!$A:$BG,MATCH("Gq",'Martemyanov-FreeGβγ-Nluc'!$A$1:$BG$1,0),FALSE)</f>
        <v>0</v>
      </c>
      <c r="C27" s="92">
        <f>VLOOKUP($A27,'Bouvier-GEMTA'!$A:$CF,MATCH("Gq",'Bouvier-GEMTA'!$A$1:$CF$1,0),FALSE)</f>
        <v>0</v>
      </c>
      <c r="D27" s="72" t="str">
        <f t="shared" si="0"/>
        <v/>
      </c>
      <c r="E27" s="90" t="str">
        <f t="shared" si="1"/>
        <v/>
      </c>
      <c r="F27" s="197" t="str">
        <f t="shared" si="2"/>
        <v>APJ</v>
      </c>
      <c r="G27" s="102" t="str" cm="1">
        <f t="array" ref="G27">IF(AND(LEN(F27)&gt;0,LEN(D27:E27)=0),"Iuniq","")</f>
        <v>Iuniq</v>
      </c>
      <c r="H27" s="100">
        <f>VLOOKUP($A27,'Inoue-TGFa-NotUsed'!$A:$AL,MATCH("log(Emax
/EC50)
Gq",'Inoue-TGFa-NotUsed'!$A$1:$AL$1,0),FALSE)</f>
        <v>6.2130899869919443</v>
      </c>
      <c r="I27" s="101">
        <f>VLOOKUP($A27,'Inoue-TGFa-NotUsed'!$A:$CQ,MATCH("pEC50
Gq",'Inoue-TGFa-NotUsed'!$A$1:$CQ$1,0),FALSE)</f>
        <v>7.31</v>
      </c>
      <c r="J27" s="101">
        <f>VLOOKUP($A27,'Inoue-TGFa-NotUsed'!$A:$BP,MATCH("Emax
Gq",'Inoue-TGFa-NotUsed'!$A$1:$BP$1,0),FALSE)</f>
        <v>8</v>
      </c>
      <c r="K27" s="101">
        <f>VLOOKUP($A27,'Inoue-TGFa-NotUsed'!$A:$CQ,MATCH("#SDs
Gq",'Inoue-TGFa-NotUsed'!$A$1:$CQ$1,0),FALSE)</f>
        <v>1.8099547511312217</v>
      </c>
    </row>
    <row r="28" spans="1:11" ht="18.75" customHeight="1">
      <c r="A28" s="51" t="s">
        <v>38</v>
      </c>
      <c r="B28" s="72">
        <f>VLOOKUP($A28,'Martemyanov-FreeGβγ-Nluc'!$A:$BG,MATCH("Gq",'Martemyanov-FreeGβγ-Nluc'!$A$1:$BG$1,0),FALSE)</f>
        <v>0</v>
      </c>
      <c r="C28" s="92">
        <f>VLOOKUP($A28,'Bouvier-GEMTA'!$A:$CF,MATCH("Gq",'Bouvier-GEMTA'!$A$1:$CF$1,0),FALSE)</f>
        <v>0</v>
      </c>
      <c r="D28" s="72" t="str">
        <f t="shared" si="0"/>
        <v/>
      </c>
      <c r="E28" s="90" t="str">
        <f t="shared" si="1"/>
        <v/>
      </c>
      <c r="F28" s="197" t="str">
        <f t="shared" si="2"/>
        <v>ADA2B</v>
      </c>
      <c r="G28" s="102" t="str" cm="1">
        <f t="array" ref="G28">IF(AND(LEN(F28)&gt;0,LEN(D28:E28)=0),"Iuniq","")</f>
        <v>Iuniq</v>
      </c>
      <c r="H28" s="100">
        <f>VLOOKUP($A28,'Inoue-TGFa-NotUsed'!$A:$AL,MATCH("log(Emax
/EC50)
Gq",'Inoue-TGFa-NotUsed'!$A$1:$AL$1,0),FALSE)</f>
        <v>6.2799557484897583</v>
      </c>
      <c r="I28" s="101">
        <f>VLOOKUP($A28,'Inoue-TGFa-NotUsed'!$A:$CQ,MATCH("pEC50
Gq",'Inoue-TGFa-NotUsed'!$A$1:$CQ$1,0),FALSE)</f>
        <v>6.86</v>
      </c>
      <c r="J28" s="101">
        <f>VLOOKUP($A28,'Inoue-TGFa-NotUsed'!$A:$BP,MATCH("Emax
Gq",'Inoue-TGFa-NotUsed'!$A$1:$BP$1,0),FALSE)</f>
        <v>26.3</v>
      </c>
      <c r="K28" s="101">
        <f>VLOOKUP($A28,'Inoue-TGFa-NotUsed'!$A:$CQ,MATCH("#SDs
Gq",'Inoue-TGFa-NotUsed'!$A$1:$CQ$1,0),FALSE)</f>
        <v>4.2694805194805197</v>
      </c>
    </row>
    <row r="29" spans="1:11" ht="18.75" customHeight="1">
      <c r="A29" s="51" t="s">
        <v>161</v>
      </c>
      <c r="B29" s="72">
        <f>VLOOKUP($A29,'Martemyanov-FreeGβγ-Nluc'!$A:$BG,MATCH("Gq",'Martemyanov-FreeGβγ-Nluc'!$A$1:$BG$1,0),FALSE)</f>
        <v>0</v>
      </c>
      <c r="C29" s="92">
        <f>VLOOKUP($A29,'Bouvier-GEMTA'!$A:$CF,MATCH("Gq",'Bouvier-GEMTA'!$A$1:$CF$1,0),FALSE)</f>
        <v>0</v>
      </c>
      <c r="D29" s="72" t="str">
        <f t="shared" si="0"/>
        <v/>
      </c>
      <c r="E29" s="90" t="str">
        <f t="shared" si="1"/>
        <v/>
      </c>
      <c r="F29" s="197" t="str">
        <f t="shared" si="2"/>
        <v>MC4R</v>
      </c>
      <c r="G29" s="102" t="str" cm="1">
        <f t="array" ref="G29">IF(AND(LEN(F29)&gt;0,LEN(D29:E29)=0),"Iuniq","")</f>
        <v>Iuniq</v>
      </c>
      <c r="H29" s="100">
        <f>VLOOKUP($A29,'Inoue-TGFa-NotUsed'!$A:$AL,MATCH("log(Emax
/EC50)
Gq",'Inoue-TGFa-NotUsed'!$A$1:$AL$1,0),FALSE)</f>
        <v>6.6872099696478697</v>
      </c>
      <c r="I29" s="101">
        <f>VLOOKUP($A29,'Inoue-TGFa-NotUsed'!$A:$CQ,MATCH("pEC50
Gq",'Inoue-TGFa-NotUsed'!$A$1:$CQ$1,0),FALSE)</f>
        <v>7.58</v>
      </c>
      <c r="J29" s="101">
        <f>VLOOKUP($A29,'Inoue-TGFa-NotUsed'!$A:$BP,MATCH("Emax
Gq",'Inoue-TGFa-NotUsed'!$A$1:$BP$1,0),FALSE)</f>
        <v>12.8</v>
      </c>
      <c r="K29" s="101">
        <f>VLOOKUP($A29,'Inoue-TGFa-NotUsed'!$A:$CQ,MATCH("#SDs
Gq",'Inoue-TGFa-NotUsed'!$A$1:$CQ$1,0),FALSE)</f>
        <v>2.2775800711743774</v>
      </c>
    </row>
    <row r="30" spans="1:11" ht="18.75" customHeight="1">
      <c r="A30" s="51" t="s">
        <v>17</v>
      </c>
      <c r="B30" s="72">
        <f>VLOOKUP($A30,'Martemyanov-FreeGβγ-Nluc'!$A:$BG,MATCH("Gq",'Martemyanov-FreeGβγ-Nluc'!$A$1:$BG$1,0),FALSE)</f>
        <v>0</v>
      </c>
      <c r="C30" s="92">
        <f>VLOOKUP($A30,'Bouvier-GEMTA'!$A:$CF,MATCH("Gq",'Bouvier-GEMTA'!$A$1:$CF$1,0),FALSE)</f>
        <v>0</v>
      </c>
      <c r="D30" s="72" t="str">
        <f t="shared" si="0"/>
        <v/>
      </c>
      <c r="E30" s="90" t="str">
        <f t="shared" si="1"/>
        <v/>
      </c>
      <c r="F30" s="197" t="str">
        <f t="shared" si="2"/>
        <v>5HT1D</v>
      </c>
      <c r="G30" s="102" t="str" cm="1">
        <f t="array" ref="G30">IF(AND(LEN(F30)&gt;0,LEN(D30:E30)=0),"Iuniq","")</f>
        <v>Iuniq</v>
      </c>
      <c r="H30" s="100">
        <f>VLOOKUP($A30,'Inoue-TGFa-NotUsed'!$A:$AL,MATCH("log(Emax
/EC50)
Gq",'Inoue-TGFa-NotUsed'!$A$1:$AL$1,0),FALSE)</f>
        <v>6.7637878273455554</v>
      </c>
      <c r="I30" s="196">
        <f>VLOOKUP($A30,'Inoue-TGFa-NotUsed'!$A:$CQ,MATCH("pEC50
Gq",'Inoue-TGFa-NotUsed'!$A$1:$CQ$1,0),FALSE)</f>
        <v>7.8</v>
      </c>
      <c r="J30" s="101">
        <f>VLOOKUP($A30,'Inoue-TGFa-NotUsed'!$A:$BP,MATCH("Emax
Gq",'Inoue-TGFa-NotUsed'!$A$1:$BP$1,0),FALSE)</f>
        <v>9.1999999999999993</v>
      </c>
      <c r="K30" s="101">
        <f>VLOOKUP($A30,'Inoue-TGFa-NotUsed'!$A:$CQ,MATCH("#SDs
Gq",'Inoue-TGFa-NotUsed'!$A$1:$CQ$1,0),FALSE)</f>
        <v>1.3589364844903988</v>
      </c>
    </row>
    <row r="31" spans="1:11" ht="18.75" customHeight="1">
      <c r="A31" s="51" t="s">
        <v>40</v>
      </c>
      <c r="B31" s="72">
        <f>VLOOKUP($A31,'Martemyanov-FreeGβγ-Nluc'!$A:$BG,MATCH("Gq",'Martemyanov-FreeGβγ-Nluc'!$A$1:$BG$1,0),FALSE)</f>
        <v>0</v>
      </c>
      <c r="C31" s="92">
        <f>VLOOKUP($A31,'Bouvier-GEMTA'!$A:$CF,MATCH("Gq",'Bouvier-GEMTA'!$A$1:$CF$1,0),FALSE)</f>
        <v>4.6154152970799851</v>
      </c>
      <c r="D31" s="72" t="str">
        <f t="shared" si="0"/>
        <v/>
      </c>
      <c r="E31" s="90" t="str">
        <f t="shared" si="1"/>
        <v>ADRB1</v>
      </c>
      <c r="F31" s="197" t="str">
        <f t="shared" si="2"/>
        <v>ADRB1</v>
      </c>
      <c r="G31" s="102" t="str" cm="1">
        <f t="array" ref="G31">IF(AND(LEN(F31)&gt;0,LEN(D31:E31)=0),"Iuniq","")</f>
        <v/>
      </c>
      <c r="H31" s="100">
        <f>VLOOKUP($A31,'Inoue-TGFa-NotUsed'!$A:$AL,MATCH("log(Emax
/EC50)
Gq",'Inoue-TGFa-NotUsed'!$A$1:$AL$1,0),FALSE)</f>
        <v>6.7931205211758181</v>
      </c>
      <c r="I31" s="101">
        <f>VLOOKUP($A31,'Inoue-TGFa-NotUsed'!$A:$CQ,MATCH("pEC50
Gq",'Inoue-TGFa-NotUsed'!$A$1:$CQ$1,0),FALSE)</f>
        <v>7.39</v>
      </c>
      <c r="J31" s="101">
        <f>VLOOKUP($A31,'Inoue-TGFa-NotUsed'!$A:$BP,MATCH("Emax
Gq",'Inoue-TGFa-NotUsed'!$A$1:$BP$1,0),FALSE)</f>
        <v>25.3</v>
      </c>
      <c r="K31" s="101">
        <f>VLOOKUP($A31,'Inoue-TGFa-NotUsed'!$A:$CQ,MATCH("#SDs
Gq",'Inoue-TGFa-NotUsed'!$A$1:$CQ$1,0),FALSE)</f>
        <v>5.75</v>
      </c>
    </row>
    <row r="32" spans="1:11" ht="18.75" customHeight="1">
      <c r="A32" s="88" t="s">
        <v>206</v>
      </c>
      <c r="B32" s="72">
        <f>VLOOKUP($A32,'Martemyanov-FreeGβγ-Nluc'!$A:$BG,MATCH("Gq",'Martemyanov-FreeGβγ-Nluc'!$A$1:$BG$1,0),FALSE)</f>
        <v>0</v>
      </c>
      <c r="C32" s="92">
        <f>VLOOKUP($A32,'Bouvier-GEMTA'!$A:$CF,MATCH("Gq",'Bouvier-GEMTA'!$A$1:$CF$1,0),FALSE)</f>
        <v>0</v>
      </c>
      <c r="D32" s="72" t="str">
        <f t="shared" si="0"/>
        <v/>
      </c>
      <c r="E32" s="90" t="str">
        <f t="shared" si="1"/>
        <v/>
      </c>
      <c r="F32" s="197" t="str">
        <f t="shared" si="2"/>
        <v>PE2R4</v>
      </c>
      <c r="G32" s="102" t="str" cm="1">
        <f t="array" ref="G32">IF(AND(LEN(F32)&gt;0,LEN(D32:E32)=0),"Iuniq","")</f>
        <v>Iuniq</v>
      </c>
      <c r="H32" s="100">
        <f>VLOOKUP($A32,'Inoue-TGFa-NotUsed'!$A:$AL,MATCH("log(Emax
/EC50)
Gq",'Inoue-TGFa-NotUsed'!$A$1:$AL$1,0),FALSE)</f>
        <v>6.8195192526186199</v>
      </c>
      <c r="I32" s="196">
        <f>VLOOKUP($A32,'Inoue-TGFa-NotUsed'!$A:$CQ,MATCH("pEC50
Gq",'Inoue-TGFa-NotUsed'!$A$1:$CQ$1,0),FALSE)</f>
        <v>7.88</v>
      </c>
      <c r="J32" s="101">
        <f>VLOOKUP($A32,'Inoue-TGFa-NotUsed'!$A:$BP,MATCH("Emax
Gq",'Inoue-TGFa-NotUsed'!$A$1:$BP$1,0),FALSE)</f>
        <v>8.6999999999999993</v>
      </c>
      <c r="K32" s="101">
        <f>VLOOKUP($A32,'Inoue-TGFa-NotUsed'!$A:$CQ,MATCH("#SDs
Gq",'Inoue-TGFa-NotUsed'!$A$1:$CQ$1,0),FALSE)</f>
        <v>1.1054637865311308</v>
      </c>
    </row>
    <row r="33" spans="1:11" ht="18.75" customHeight="1">
      <c r="A33" s="88" t="s">
        <v>184</v>
      </c>
      <c r="B33" s="72">
        <f>VLOOKUP($A33,'Martemyanov-FreeGβγ-Nluc'!$A:$BG,MATCH("Gq",'Martemyanov-FreeGβγ-Nluc'!$A$1:$BG$1,0),FALSE)</f>
        <v>0</v>
      </c>
      <c r="C33" s="92">
        <f>VLOOKUP($A33,'Bouvier-GEMTA'!$A:$CF,MATCH("Gq",'Bouvier-GEMTA'!$A$1:$CF$1,0),FALSE)</f>
        <v>0</v>
      </c>
      <c r="D33" s="72" t="str">
        <f t="shared" si="0"/>
        <v/>
      </c>
      <c r="E33" s="90" t="str">
        <f t="shared" si="1"/>
        <v/>
      </c>
      <c r="F33" s="197" t="str">
        <f t="shared" si="2"/>
        <v>OPRX</v>
      </c>
      <c r="G33" s="102" t="str" cm="1">
        <f t="array" ref="G33">IF(AND(LEN(F33)&gt;0,LEN(D33:E33)=0),"Iuniq","")</f>
        <v>Iuniq</v>
      </c>
      <c r="H33" s="100">
        <f>VLOOKUP($A33,'Inoue-TGFa-NotUsed'!$A:$AL,MATCH("log(Emax
/EC50)
Gq",'Inoue-TGFa-NotUsed'!$A$1:$AL$1,0),FALSE)</f>
        <v>6.8668258760318501</v>
      </c>
      <c r="I33" s="101">
        <f>VLOOKUP($A33,'Inoue-TGFa-NotUsed'!$A:$CQ,MATCH("pEC50
Gq",'Inoue-TGFa-NotUsed'!$A$1:$CQ$1,0),FALSE)</f>
        <v>7.66</v>
      </c>
      <c r="J33" s="101">
        <f>VLOOKUP($A33,'Inoue-TGFa-NotUsed'!$A:$BP,MATCH("Emax
Gq",'Inoue-TGFa-NotUsed'!$A$1:$BP$1,0),FALSE)</f>
        <v>16.100000000000001</v>
      </c>
      <c r="K33" s="101">
        <f>VLOOKUP($A33,'Inoue-TGFa-NotUsed'!$A:$CQ,MATCH("#SDs
Gq",'Inoue-TGFa-NotUsed'!$A$1:$CQ$1,0),FALSE)</f>
        <v>3.4255319148936172</v>
      </c>
    </row>
    <row r="34" spans="1:11" ht="18.75" customHeight="1">
      <c r="A34" s="51" t="s">
        <v>198</v>
      </c>
      <c r="B34" s="72">
        <f>VLOOKUP($A34,'Martemyanov-FreeGβγ-Nluc'!$A:$BG,MATCH("Gq",'Martemyanov-FreeGβγ-Nluc'!$A$1:$BG$1,0),FALSE)</f>
        <v>9.9099999999999994E-2</v>
      </c>
      <c r="C34" s="92">
        <f>VLOOKUP($A34,'Bouvier-GEMTA'!$A:$CF,MATCH("Gq",'Bouvier-GEMTA'!$A$1:$CF$1,0),FALSE)</f>
        <v>7.7559164261146494</v>
      </c>
      <c r="D34" s="72" t="str">
        <f t="shared" ref="D34:D51" si="3">IF(B34&gt;0,$A34,"")</f>
        <v>PTH1R</v>
      </c>
      <c r="E34" s="90" t="str">
        <f t="shared" ref="E34:E51" si="4">IF(C34&gt;0,$A34,"")</f>
        <v>PTH1R</v>
      </c>
      <c r="F34" s="197" t="str">
        <f t="shared" ref="F34:F51" si="5">IF(H34&gt;0,$A34,"")</f>
        <v>PTH1R</v>
      </c>
      <c r="G34" s="102" t="str" cm="1">
        <f t="array" ref="G34">IF(AND(LEN(F34)&gt;0,LEN(D34:E34)=0),"Iuniq","")</f>
        <v/>
      </c>
      <c r="H34" s="100">
        <f>VLOOKUP($A34,'Inoue-TGFa-NotUsed'!$A:$AL,MATCH("log(Emax
/EC50)
Gq",'Inoue-TGFa-NotUsed'!$A$1:$AL$1,0),FALSE)</f>
        <v>7.0673173347481768</v>
      </c>
      <c r="I34" s="196">
        <f>VLOOKUP($A34,'Inoue-TGFa-NotUsed'!$A:$CQ,MATCH("pEC50
Gq",'Inoue-TGFa-NotUsed'!$A$1:$CQ$1,0),FALSE)</f>
        <v>7.9</v>
      </c>
      <c r="J34" s="101">
        <f>VLOOKUP($A34,'Inoue-TGFa-NotUsed'!$A:$BP,MATCH("Emax
Gq",'Inoue-TGFa-NotUsed'!$A$1:$BP$1,0),FALSE)</f>
        <v>14.7</v>
      </c>
      <c r="K34" s="101">
        <f>VLOOKUP($A34,'Inoue-TGFa-NotUsed'!$A:$CQ,MATCH("#SDs
Gq",'Inoue-TGFa-NotUsed'!$A$1:$CQ$1,0),FALSE)</f>
        <v>2.56993006993007</v>
      </c>
    </row>
    <row r="35" spans="1:11" ht="18.75" customHeight="1">
      <c r="A35" s="51" t="s">
        <v>20</v>
      </c>
      <c r="B35" s="72">
        <f>VLOOKUP($A35,'Martemyanov-FreeGβγ-Nluc'!$A:$BG,MATCH("Gq",'Martemyanov-FreeGβγ-Nluc'!$A$1:$BG$1,0),FALSE)</f>
        <v>0.5151</v>
      </c>
      <c r="C35" s="92">
        <f>VLOOKUP($A35,'Bouvier-GEMTA'!$A:$CF,MATCH("Gq",'Bouvier-GEMTA'!$A$1:$CF$1,0),FALSE)</f>
        <v>8.4193766572979047</v>
      </c>
      <c r="D35" s="72" t="str">
        <f t="shared" si="3"/>
        <v>5HT2A</v>
      </c>
      <c r="E35" s="90" t="str">
        <f t="shared" si="4"/>
        <v>5HT2A</v>
      </c>
      <c r="F35" s="197" t="str">
        <f t="shared" si="5"/>
        <v>5HT2A</v>
      </c>
      <c r="G35" s="102" t="str" cm="1">
        <f t="array" ref="G35">IF(AND(LEN(F35)&gt;0,LEN(D35:E35)=0),"Iuniq","")</f>
        <v/>
      </c>
      <c r="H35" s="100">
        <f>VLOOKUP($A35,'Inoue-TGFa-NotUsed'!$A:$AL,MATCH("log(Emax
/EC50)
Gq",'Inoue-TGFa-NotUsed'!$A$1:$AL$1,0),FALSE)</f>
        <v>7.17</v>
      </c>
      <c r="I35" s="101">
        <f>VLOOKUP($A35,'Inoue-TGFa-NotUsed'!$A:$CQ,MATCH("pEC50
Gq",'Inoue-TGFa-NotUsed'!$A$1:$CQ$1,0),FALSE)</f>
        <v>8.17</v>
      </c>
      <c r="J35" s="101">
        <f>VLOOKUP($A35,'Inoue-TGFa-NotUsed'!$A:$BP,MATCH("Emax
Gq",'Inoue-TGFa-NotUsed'!$A$1:$BP$1,0),FALSE)</f>
        <v>10</v>
      </c>
      <c r="K35" s="101">
        <f>VLOOKUP($A35,'Inoue-TGFa-NotUsed'!$A:$CQ,MATCH("#SDs
Gq",'Inoue-TGFa-NotUsed'!$A$1:$CQ$1,0),FALSE)</f>
        <v>2.0366598778004072</v>
      </c>
    </row>
    <row r="36" spans="1:11" ht="18.75" customHeight="1">
      <c r="A36" s="51" t="s">
        <v>135</v>
      </c>
      <c r="B36" s="72">
        <f>VLOOKUP($A36,'Martemyanov-FreeGβγ-Nluc'!$A:$BG,MATCH("Gq",'Martemyanov-FreeGβγ-Nluc'!$A$1:$BG$1,0),FALSE)</f>
        <v>1.2636000000000001</v>
      </c>
      <c r="C36" s="92">
        <f>VLOOKUP($A36,'Bouvier-GEMTA'!$A:$CF,MATCH("Gq",'Bouvier-GEMTA'!$A$1:$CF$1,0),FALSE)</f>
        <v>7.518145469517008</v>
      </c>
      <c r="D36" s="72" t="str">
        <f t="shared" si="3"/>
        <v>HRH1</v>
      </c>
      <c r="E36" s="90" t="str">
        <f t="shared" si="4"/>
        <v>HRH1</v>
      </c>
      <c r="F36" s="197" t="str">
        <f t="shared" si="5"/>
        <v>HRH1</v>
      </c>
      <c r="G36" s="102" t="str" cm="1">
        <f t="array" ref="G36">IF(AND(LEN(F36)&gt;0,LEN(D36:E36)=0),"Iuniq","")</f>
        <v/>
      </c>
      <c r="H36" s="100">
        <f>VLOOKUP($A36,'Inoue-TGFa-NotUsed'!$A:$AL,MATCH("log(Emax
/EC50)
Gq",'Inoue-TGFa-NotUsed'!$A$1:$AL$1,0),FALSE)</f>
        <v>7.182288344383057</v>
      </c>
      <c r="I36" s="101">
        <f>VLOOKUP($A36,'Inoue-TGFa-NotUsed'!$A:$CQ,MATCH("pEC50
Gq",'Inoue-TGFa-NotUsed'!$A$1:$CQ$1,0),FALSE)</f>
        <v>8.0299999999999994</v>
      </c>
      <c r="J36" s="101">
        <f>VLOOKUP($A36,'Inoue-TGFa-NotUsed'!$A:$BP,MATCH("Emax
Gq",'Inoue-TGFa-NotUsed'!$A$1:$BP$1,0),FALSE)</f>
        <v>14.2</v>
      </c>
      <c r="K36" s="101">
        <f>VLOOKUP($A36,'Inoue-TGFa-NotUsed'!$A:$CQ,MATCH("#SDs
Gq",'Inoue-TGFa-NotUsed'!$A$1:$CQ$1,0),FALSE)</f>
        <v>1.5468409586056644</v>
      </c>
    </row>
    <row r="37" spans="1:11" ht="18.75" customHeight="1">
      <c r="A37" s="51" t="s">
        <v>22</v>
      </c>
      <c r="B37" s="72">
        <f>VLOOKUP($A37,'Martemyanov-FreeGβγ-Nluc'!$A:$BG,MATCH("Gq",'Martemyanov-FreeGβγ-Nluc'!$A$1:$BG$1,0),FALSE)</f>
        <v>10.3154</v>
      </c>
      <c r="C37" s="92">
        <f>VLOOKUP($A37,'Bouvier-GEMTA'!$A:$CF,MATCH("Gq",'Bouvier-GEMTA'!$A$1:$CF$1,0),FALSE)</f>
        <v>0</v>
      </c>
      <c r="D37" s="72" t="str">
        <f t="shared" si="3"/>
        <v>5HT2C</v>
      </c>
      <c r="E37" s="90" t="str">
        <f t="shared" si="4"/>
        <v/>
      </c>
      <c r="F37" s="197" t="str">
        <f t="shared" si="5"/>
        <v>5HT2C</v>
      </c>
      <c r="G37" s="102" t="str" cm="1">
        <f t="array" ref="G37">IF(AND(LEN(F37)&gt;0,LEN(D37:E37)=0),"Iuniq","")</f>
        <v/>
      </c>
      <c r="H37" s="100">
        <f>VLOOKUP($A37,'Inoue-TGFa-NotUsed'!$A:$AL,MATCH("log(Emax
/EC50)
Gq",'Inoue-TGFa-NotUsed'!$A$1:$AL$1,0),FALSE)</f>
        <v>7.3642758696007897</v>
      </c>
      <c r="I37" s="101">
        <f>VLOOKUP($A37,'Inoue-TGFa-NotUsed'!$A:$CQ,MATCH("pEC50
Gq",'Inoue-TGFa-NotUsed'!$A$1:$CQ$1,0),FALSE)</f>
        <v>8.64</v>
      </c>
      <c r="J37" s="101">
        <f>VLOOKUP($A37,'Inoue-TGFa-NotUsed'!$A:$BP,MATCH("Emax
Gq",'Inoue-TGFa-NotUsed'!$A$1:$BP$1,0),FALSE)</f>
        <v>5.3</v>
      </c>
      <c r="K37" s="101">
        <f>VLOOKUP($A37,'Inoue-TGFa-NotUsed'!$A:$CQ,MATCH("#SDs
Gq",'Inoue-TGFa-NotUsed'!$A$1:$CQ$1,0),FALSE)</f>
        <v>2.9775280898876404</v>
      </c>
    </row>
    <row r="38" spans="1:11" ht="18.75" customHeight="1">
      <c r="A38" s="88" t="s">
        <v>205</v>
      </c>
      <c r="B38" s="72">
        <f>VLOOKUP($A38,'Martemyanov-FreeGβγ-Nluc'!$A:$BG,MATCH("Gq",'Martemyanov-FreeGβγ-Nluc'!$A$1:$BG$1,0),FALSE)</f>
        <v>0</v>
      </c>
      <c r="C38" s="92">
        <f>VLOOKUP($A38,'Bouvier-GEMTA'!$A:$CF,MATCH("Gq",'Bouvier-GEMTA'!$A$1:$CF$1,0),FALSE)</f>
        <v>0</v>
      </c>
      <c r="D38" s="72" t="str">
        <f t="shared" si="3"/>
        <v/>
      </c>
      <c r="E38" s="90" t="str">
        <f t="shared" si="4"/>
        <v/>
      </c>
      <c r="F38" s="197" t="str">
        <f t="shared" si="5"/>
        <v>PE2R3</v>
      </c>
      <c r="G38" s="102" t="str" cm="1">
        <f t="array" ref="G38">IF(AND(LEN(F38)&gt;0,LEN(D38:E38)=0),"Iuniq","")</f>
        <v>Iuniq</v>
      </c>
      <c r="H38" s="100">
        <f>VLOOKUP($A38,'Inoue-TGFa-NotUsed'!$A:$AL,MATCH("log(Emax
/EC50)
Gq",'Inoue-TGFa-NotUsed'!$A$1:$AL$1,0),FALSE)</f>
        <v>7.4838153659804316</v>
      </c>
      <c r="I38" s="101">
        <f>VLOOKUP($A38,'Inoue-TGFa-NotUsed'!$A:$CQ,MATCH("pEC50
Gq",'Inoue-TGFa-NotUsed'!$A$1:$CQ$1,0),FALSE)</f>
        <v>8.1</v>
      </c>
      <c r="J38" s="101">
        <f>VLOOKUP($A38,'Inoue-TGFa-NotUsed'!$A:$BP,MATCH("Emax
Gq",'Inoue-TGFa-NotUsed'!$A$1:$BP$1,0),FALSE)</f>
        <v>24.2</v>
      </c>
      <c r="K38" s="101">
        <f>VLOOKUP($A38,'Inoue-TGFa-NotUsed'!$A:$CQ,MATCH("#SDs
Gq",'Inoue-TGFa-NotUsed'!$A$1:$CQ$1,0),FALSE)</f>
        <v>3.9285714285714284</v>
      </c>
    </row>
    <row r="39" spans="1:11" ht="18.75" customHeight="1">
      <c r="A39" s="51" t="s">
        <v>160</v>
      </c>
      <c r="B39" s="72">
        <f>VLOOKUP($A39,'Martemyanov-FreeGβγ-Nluc'!$A:$BG,MATCH("Gq",'Martemyanov-FreeGβγ-Nluc'!$A$1:$BG$1,0),FALSE)</f>
        <v>0</v>
      </c>
      <c r="C39" s="92">
        <f>VLOOKUP($A39,'Bouvier-GEMTA'!$A:$CF,MATCH("Gq",'Bouvier-GEMTA'!$A$1:$CF$1,0),FALSE)</f>
        <v>0</v>
      </c>
      <c r="D39" s="72" t="str">
        <f t="shared" si="3"/>
        <v/>
      </c>
      <c r="E39" s="90" t="str">
        <f t="shared" si="4"/>
        <v/>
      </c>
      <c r="F39" s="197" t="str">
        <f t="shared" si="5"/>
        <v>MC3R</v>
      </c>
      <c r="G39" s="102" t="str" cm="1">
        <f t="array" ref="G39">IF(AND(LEN(F39)&gt;0,LEN(D39:E39)=0),"Iuniq","")</f>
        <v>Iuniq</v>
      </c>
      <c r="H39" s="100">
        <f>VLOOKUP($A39,'Inoue-TGFa-NotUsed'!$A:$AL,MATCH("log(Emax
/EC50)
Gq",'Inoue-TGFa-NotUsed'!$A$1:$AL$1,0),FALSE)</f>
        <v>7.4923937598229688</v>
      </c>
      <c r="I39" s="101">
        <f>VLOOKUP($A39,'Inoue-TGFa-NotUsed'!$A:$CQ,MATCH("pEC50
Gq",'Inoue-TGFa-NotUsed'!$A$1:$CQ$1,0),FALSE)</f>
        <v>8.76</v>
      </c>
      <c r="J39" s="101">
        <f>VLOOKUP($A39,'Inoue-TGFa-NotUsed'!$A:$BP,MATCH("Emax
Gq",'Inoue-TGFa-NotUsed'!$A$1:$BP$1,0),FALSE)</f>
        <v>5.4</v>
      </c>
      <c r="K39" s="101">
        <f>VLOOKUP($A39,'Inoue-TGFa-NotUsed'!$A:$CQ,MATCH("#SDs
Gq",'Inoue-TGFa-NotUsed'!$A$1:$CQ$1,0),FALSE)</f>
        <v>0.77809798270893371</v>
      </c>
    </row>
    <row r="40" spans="1:11" ht="18.75" customHeight="1">
      <c r="A40" s="88" t="s">
        <v>26</v>
      </c>
      <c r="B40" s="72">
        <f>VLOOKUP($A40,'Martemyanov-FreeGβγ-Nluc'!$A:$BG,MATCH("Gq",'Martemyanov-FreeGβγ-Nluc'!$A$1:$BG$1,0),FALSE)</f>
        <v>2.3908999999999998</v>
      </c>
      <c r="C40" s="92">
        <f>VLOOKUP($A40,'Bouvier-GEMTA'!$A:$CF,MATCH("Gq",'Bouvier-GEMTA'!$A$1:$CF$1,0),FALSE)</f>
        <v>7.5280751850109855</v>
      </c>
      <c r="D40" s="72" t="str">
        <f t="shared" si="3"/>
        <v>ACM1</v>
      </c>
      <c r="E40" s="90" t="str">
        <f t="shared" si="4"/>
        <v>ACM1</v>
      </c>
      <c r="F40" s="197" t="str">
        <f t="shared" si="5"/>
        <v>ACM1</v>
      </c>
      <c r="G40" s="102" t="str" cm="1">
        <f t="array" ref="G40">IF(AND(LEN(F40)&gt;0,LEN(D40:E40)=0),"Iuniq","")</f>
        <v/>
      </c>
      <c r="H40" s="100">
        <f>VLOOKUP($A40,'Inoue-TGFa-NotUsed'!$A:$AL,MATCH("log(Emax
/EC50)
Gq",'Inoue-TGFa-NotUsed'!$A$1:$AL$1,0),FALSE)</f>
        <v>7.5177109650189129</v>
      </c>
      <c r="I40" s="196">
        <f>VLOOKUP($A40,'Inoue-TGFa-NotUsed'!$A:$CQ,MATCH("pEC50
Gq",'Inoue-TGFa-NotUsed'!$A$1:$CQ$1,0),FALSE)</f>
        <v>7.93</v>
      </c>
      <c r="J40" s="101">
        <f>VLOOKUP($A40,'Inoue-TGFa-NotUsed'!$A:$BP,MATCH("Emax
Gq",'Inoue-TGFa-NotUsed'!$A$1:$BP$1,0),FALSE)</f>
        <v>38.700000000000003</v>
      </c>
      <c r="K40" s="101">
        <f>VLOOKUP($A40,'Inoue-TGFa-NotUsed'!$A:$CQ,MATCH("#SDs
Gq",'Inoue-TGFa-NotUsed'!$A$1:$CQ$1,0),FALSE)</f>
        <v>3.7978410206084403</v>
      </c>
    </row>
    <row r="41" spans="1:11" ht="18.75" customHeight="1">
      <c r="A41" s="51" t="s">
        <v>21</v>
      </c>
      <c r="B41" s="72">
        <f>VLOOKUP($A41,'Martemyanov-FreeGβγ-Nluc'!$A:$BG,MATCH("Gq",'Martemyanov-FreeGβγ-Nluc'!$A$1:$BG$1,0),FALSE)</f>
        <v>0.1386</v>
      </c>
      <c r="C41" s="92">
        <f>VLOOKUP($A41,'Bouvier-GEMTA'!$A:$CF,MATCH("Gq",'Bouvier-GEMTA'!$A$1:$CF$1,0),FALSE)</f>
        <v>7.7848319510706103</v>
      </c>
      <c r="D41" s="72" t="str">
        <f t="shared" si="3"/>
        <v>5HT2B</v>
      </c>
      <c r="E41" s="90" t="str">
        <f t="shared" si="4"/>
        <v>5HT2B</v>
      </c>
      <c r="F41" s="197" t="str">
        <f t="shared" si="5"/>
        <v>5HT2B</v>
      </c>
      <c r="G41" s="102" t="str" cm="1">
        <f t="array" ref="G41">IF(AND(LEN(F41)&gt;0,LEN(D41:E41)=0),"Iuniq","")</f>
        <v/>
      </c>
      <c r="H41" s="100">
        <f>VLOOKUP($A41,'Inoue-TGFa-NotUsed'!$A:$AL,MATCH("log(Emax
/EC50)
Gq",'Inoue-TGFa-NotUsed'!$A$1:$AL$1,0),FALSE)</f>
        <v>7.6330784434834209</v>
      </c>
      <c r="I41" s="101">
        <f>VLOOKUP($A41,'Inoue-TGFa-NotUsed'!$A:$CQ,MATCH("pEC50
Gq",'Inoue-TGFa-NotUsed'!$A$1:$CQ$1,0),FALSE)</f>
        <v>8.58</v>
      </c>
      <c r="J41" s="101">
        <f>VLOOKUP($A41,'Inoue-TGFa-NotUsed'!$A:$BP,MATCH("Emax
Gq",'Inoue-TGFa-NotUsed'!$A$1:$BP$1,0),FALSE)</f>
        <v>11.3</v>
      </c>
      <c r="K41" s="101">
        <f>VLOOKUP($A41,'Inoue-TGFa-NotUsed'!$A:$CQ,MATCH("#SDs
Gq",'Inoue-TGFa-NotUsed'!$A$1:$CQ$1,0),FALSE)</f>
        <v>6.6863905325443795</v>
      </c>
    </row>
    <row r="42" spans="1:11" ht="18.75" customHeight="1">
      <c r="A42" s="88" t="s">
        <v>187</v>
      </c>
      <c r="B42" s="72">
        <f>VLOOKUP($A42,'Martemyanov-FreeGβγ-Nluc'!$A:$BG,MATCH("Gq",'Martemyanov-FreeGβγ-Nluc'!$A$1:$BG$1,0),FALSE)</f>
        <v>0.79610000000000003</v>
      </c>
      <c r="C42" s="92">
        <f>VLOOKUP($A42,'Bouvier-GEMTA'!$A:$CF,MATCH("Gq",'Bouvier-GEMTA'!$A$1:$CF$1,0),FALSE)</f>
        <v>9.1477351449961386</v>
      </c>
      <c r="D42" s="72" t="str">
        <f t="shared" si="3"/>
        <v>OX2R</v>
      </c>
      <c r="E42" s="90" t="str">
        <f t="shared" si="4"/>
        <v>OX2R</v>
      </c>
      <c r="F42" s="197" t="str">
        <f t="shared" si="5"/>
        <v>OX2R</v>
      </c>
      <c r="G42" s="102" t="str" cm="1">
        <f t="array" ref="G42">IF(AND(LEN(F42)&gt;0,LEN(D42:E42)=0),"Iuniq","")</f>
        <v/>
      </c>
      <c r="H42" s="100">
        <f>VLOOKUP($A42,'Inoue-TGFa-NotUsed'!$A:$AL,MATCH("log(Emax
/EC50)
Gq",'Inoue-TGFa-NotUsed'!$A$1:$AL$1,0),FALSE)</f>
        <v>7.8463403673750438</v>
      </c>
      <c r="I42" s="101">
        <f>VLOOKUP($A42,'Inoue-TGFa-NotUsed'!$A:$CQ,MATCH("pEC50
Gq",'Inoue-TGFa-NotUsed'!$A$1:$CQ$1,0),FALSE)</f>
        <v>8.2200000000000006</v>
      </c>
      <c r="J42" s="101">
        <f>VLOOKUP($A42,'Inoue-TGFa-NotUsed'!$A:$BP,MATCH("Emax
Gq",'Inoue-TGFa-NotUsed'!$A$1:$BP$1,0),FALSE)</f>
        <v>42.3</v>
      </c>
      <c r="K42" s="101">
        <f>VLOOKUP($A42,'Inoue-TGFa-NotUsed'!$A:$CQ,MATCH("#SDs
Gq",'Inoue-TGFa-NotUsed'!$A$1:$CQ$1,0),FALSE)</f>
        <v>15</v>
      </c>
    </row>
    <row r="43" spans="1:11" ht="18.75" customHeight="1">
      <c r="A43" s="88" t="s">
        <v>34</v>
      </c>
      <c r="B43" s="72">
        <f>VLOOKUP($A43,'Martemyanov-FreeGβγ-Nluc'!$A:$BG,MATCH("Gq",'Martemyanov-FreeGβγ-Nluc'!$A$1:$BG$1,0),FALSE)</f>
        <v>1.2834000000000001</v>
      </c>
      <c r="C43" s="92">
        <f>VLOOKUP($A43,'Bouvier-GEMTA'!$A:$CF,MATCH("Gq",'Bouvier-GEMTA'!$A$1:$CF$1,0),FALSE)</f>
        <v>7.5529416750322884</v>
      </c>
      <c r="D43" s="72" t="str">
        <f t="shared" si="3"/>
        <v>ADA1A</v>
      </c>
      <c r="E43" s="90" t="str">
        <f t="shared" si="4"/>
        <v>ADA1A</v>
      </c>
      <c r="F43" s="197" t="str">
        <f t="shared" si="5"/>
        <v>ADA1A</v>
      </c>
      <c r="G43" s="102" t="str" cm="1">
        <f t="array" ref="G43">IF(AND(LEN(F43)&gt;0,LEN(D43:E43)=0),"Iuniq","")</f>
        <v/>
      </c>
      <c r="H43" s="100">
        <f>VLOOKUP($A43,'Inoue-TGFa-NotUsed'!$A:$AL,MATCH("log(Emax
/EC50)
Gq",'Inoue-TGFa-NotUsed'!$A$1:$AL$1,0),FALSE)</f>
        <v>7.9928254269591799</v>
      </c>
      <c r="I43" s="101">
        <f>VLOOKUP($A43,'Inoue-TGFa-NotUsed'!$A:$CQ,MATCH("pEC50
Gq",'Inoue-TGFa-NotUsed'!$A$1:$CQ$1,0),FALSE)</f>
        <v>8.4499999999999993</v>
      </c>
      <c r="J43" s="101">
        <f>VLOOKUP($A43,'Inoue-TGFa-NotUsed'!$A:$BP,MATCH("Emax
Gq",'Inoue-TGFa-NotUsed'!$A$1:$BP$1,0),FALSE)</f>
        <v>34.9</v>
      </c>
      <c r="K43" s="101">
        <f>VLOOKUP($A43,'Inoue-TGFa-NotUsed'!$A:$CQ,MATCH("#SDs
Gq",'Inoue-TGFa-NotUsed'!$A$1:$CQ$1,0),FALSE)</f>
        <v>5.1780415430267057</v>
      </c>
    </row>
    <row r="44" spans="1:11" ht="18.75" customHeight="1">
      <c r="A44" s="88" t="s">
        <v>227</v>
      </c>
      <c r="B44" s="72">
        <f>VLOOKUP($A44,'Martemyanov-FreeGβγ-Nluc'!$A:$BG,MATCH("Gq",'Martemyanov-FreeGβγ-Nluc'!$A$1:$BG$1,0),FALSE)</f>
        <v>0.628</v>
      </c>
      <c r="C44" s="92">
        <f>VLOOKUP($A44,'Bouvier-GEMTA'!$A:$CF,MATCH("Gq",'Bouvier-GEMTA'!$A$1:$CF$1,0),FALSE)</f>
        <v>7.5953853014160035</v>
      </c>
      <c r="D44" s="72" t="str">
        <f t="shared" si="3"/>
        <v>OXYR</v>
      </c>
      <c r="E44" s="90" t="str">
        <f t="shared" si="4"/>
        <v>OXYR</v>
      </c>
      <c r="F44" s="197" t="str">
        <f t="shared" si="5"/>
        <v>OXYR</v>
      </c>
      <c r="G44" s="102" t="str" cm="1">
        <f t="array" ref="G44">IF(AND(LEN(F44)&gt;0,LEN(D44:E44)=0),"Iuniq","")</f>
        <v/>
      </c>
      <c r="H44" s="100">
        <f>VLOOKUP($A44,'Inoue-TGFa-NotUsed'!$A:$AL,MATCH("log(Emax
/EC50)
Gq",'Inoue-TGFa-NotUsed'!$A$1:$AL$1,0),FALSE)</f>
        <v>8.0109090820652185</v>
      </c>
      <c r="I44" s="101">
        <f>VLOOKUP($A44,'Inoue-TGFa-NotUsed'!$A:$CQ,MATCH("pEC50
Gq",'Inoue-TGFa-NotUsed'!$A$1:$CQ$1,0),FALSE)</f>
        <v>8.57</v>
      </c>
      <c r="J44" s="101">
        <f>VLOOKUP($A44,'Inoue-TGFa-NotUsed'!$A:$BP,MATCH("Emax
Gq",'Inoue-TGFa-NotUsed'!$A$1:$BP$1,0),FALSE)</f>
        <v>27.6</v>
      </c>
      <c r="K44" s="101">
        <f>VLOOKUP($A44,'Inoue-TGFa-NotUsed'!$A:$CQ,MATCH("#SDs
Gq",'Inoue-TGFa-NotUsed'!$A$1:$CQ$1,0),FALSE)</f>
        <v>2.866043613707165</v>
      </c>
    </row>
    <row r="45" spans="1:11" ht="18.75" customHeight="1">
      <c r="A45" s="88" t="s">
        <v>28</v>
      </c>
      <c r="B45" s="72">
        <f>VLOOKUP($A45,'Martemyanov-FreeGβγ-Nluc'!$A:$BG,MATCH("Gq",'Martemyanov-FreeGβγ-Nluc'!$A$1:$BG$1,0),FALSE)</f>
        <v>4.9637000000000002</v>
      </c>
      <c r="C45" s="92">
        <f>VLOOKUP($A45,'Bouvier-GEMTA'!$A:$CF,MATCH("Gq",'Bouvier-GEMTA'!$A$1:$CF$1,0),FALSE)</f>
        <v>7.0888391009660205</v>
      </c>
      <c r="D45" s="72" t="str">
        <f t="shared" si="3"/>
        <v>ACM3</v>
      </c>
      <c r="E45" s="90" t="str">
        <f t="shared" si="4"/>
        <v>ACM3</v>
      </c>
      <c r="F45" s="197" t="str">
        <f t="shared" si="5"/>
        <v>ACM3</v>
      </c>
      <c r="G45" s="102" t="str" cm="1">
        <f t="array" ref="G45">IF(AND(LEN(F45)&gt;0,LEN(D45:E45)=0),"Iuniq","")</f>
        <v/>
      </c>
      <c r="H45" s="100">
        <f>VLOOKUP($A45,'Inoue-TGFa-NotUsed'!$A:$AL,MATCH("log(Emax
/EC50)
Gq",'Inoue-TGFa-NotUsed'!$A$1:$AL$1,0),FALSE)</f>
        <v>8.1148448600085121</v>
      </c>
      <c r="I45" s="101">
        <f>VLOOKUP($A45,'Inoue-TGFa-NotUsed'!$A:$CQ,MATCH("pEC50
Gq",'Inoue-TGFa-NotUsed'!$A$1:$CQ$1,0),FALSE)</f>
        <v>8.66</v>
      </c>
      <c r="J45" s="101">
        <f>VLOOKUP($A45,'Inoue-TGFa-NotUsed'!$A:$BP,MATCH("Emax
Gq",'Inoue-TGFa-NotUsed'!$A$1:$BP$1,0),FALSE)</f>
        <v>28.5</v>
      </c>
      <c r="K45" s="101">
        <f>VLOOKUP($A45,'Inoue-TGFa-NotUsed'!$A:$CQ,MATCH("#SDs
Gq",'Inoue-TGFa-NotUsed'!$A$1:$CQ$1,0),FALSE)</f>
        <v>9.5317725752508355</v>
      </c>
    </row>
    <row r="46" spans="1:11" ht="18.75" customHeight="1">
      <c r="A46" s="88" t="s">
        <v>230</v>
      </c>
      <c r="B46" s="72">
        <f>VLOOKUP($A46,'Martemyanov-FreeGβγ-Nluc'!$A:$BG,MATCH("Gq",'Martemyanov-FreeGβγ-Nluc'!$A$1:$BG$1,0),FALSE)</f>
        <v>0.16400000000000001</v>
      </c>
      <c r="C46" s="92">
        <f>VLOOKUP($A46,'Bouvier-GEMTA'!$A:$CF,MATCH("Gq",'Bouvier-GEMTA'!$A$1:$CF$1,0),FALSE)</f>
        <v>6.9292620376118164</v>
      </c>
      <c r="D46" s="72" t="str">
        <f t="shared" si="3"/>
        <v>V2R</v>
      </c>
      <c r="E46" s="90" t="str">
        <f t="shared" si="4"/>
        <v>V2R</v>
      </c>
      <c r="F46" s="197" t="str">
        <f t="shared" si="5"/>
        <v>V2R</v>
      </c>
      <c r="G46" s="102" t="str" cm="1">
        <f t="array" ref="G46">IF(AND(LEN(F46)&gt;0,LEN(D46:E46)=0),"Iuniq","")</f>
        <v/>
      </c>
      <c r="H46" s="100">
        <f>VLOOKUP($A46,'Inoue-TGFa-NotUsed'!$A:$AL,MATCH("log(Emax
/EC50)
Gq",'Inoue-TGFa-NotUsed'!$A$1:$AL$1,0),FALSE)</f>
        <v>8.4948337166199384</v>
      </c>
      <c r="I46" s="101">
        <f>VLOOKUP($A46,'Inoue-TGFa-NotUsed'!$A:$CQ,MATCH("pEC50
Gq",'Inoue-TGFa-NotUsed'!$A$1:$CQ$1,0),FALSE)</f>
        <v>9.09</v>
      </c>
      <c r="J46" s="101">
        <f>VLOOKUP($A46,'Inoue-TGFa-NotUsed'!$A:$BP,MATCH("Emax
Gq",'Inoue-TGFa-NotUsed'!$A$1:$BP$1,0),FALSE)</f>
        <v>25.4</v>
      </c>
      <c r="K46" s="101">
        <f>VLOOKUP($A46,'Inoue-TGFa-NotUsed'!$A:$CQ,MATCH("#SDs
Gq",'Inoue-TGFa-NotUsed'!$A$1:$CQ$1,0),FALSE)</f>
        <v>3.2439335887611747</v>
      </c>
    </row>
    <row r="47" spans="1:11" ht="18.75" customHeight="1">
      <c r="A47" s="88" t="s">
        <v>203</v>
      </c>
      <c r="B47" s="72">
        <f>VLOOKUP($A47,'Martemyanov-FreeGβγ-Nluc'!$A:$BG,MATCH("Gq",'Martemyanov-FreeGβγ-Nluc'!$A$1:$BG$1,0),FALSE)</f>
        <v>0.56730000000000003</v>
      </c>
      <c r="C47" s="92">
        <f>VLOOKUP($A47,'Bouvier-GEMTA'!$A:$CF,MATCH("Gq",'Bouvier-GEMTA'!$A$1:$CF$1,0),FALSE)</f>
        <v>7.6725036146091847</v>
      </c>
      <c r="D47" s="72" t="str">
        <f t="shared" si="3"/>
        <v>PE2R1</v>
      </c>
      <c r="E47" s="90" t="str">
        <f t="shared" si="4"/>
        <v>PE2R1</v>
      </c>
      <c r="F47" s="197" t="str">
        <f t="shared" si="5"/>
        <v>PE2R1</v>
      </c>
      <c r="G47" s="102" t="str" cm="1">
        <f t="array" ref="G47">IF(AND(LEN(F47)&gt;0,LEN(D47:E47)=0),"Iuniq","")</f>
        <v/>
      </c>
      <c r="H47" s="100">
        <f>VLOOKUP($A47,'Inoue-TGFa-NotUsed'!$A:$AL,MATCH("log(Emax
/EC50)
Gq",'Inoue-TGFa-NotUsed'!$A$1:$AL$1,0),FALSE)</f>
        <v>8.5210646070264993</v>
      </c>
      <c r="I47" s="101">
        <f>VLOOKUP($A47,'Inoue-TGFa-NotUsed'!$A:$CQ,MATCH("pEC50
Gq",'Inoue-TGFa-NotUsed'!$A$1:$CQ$1,0),FALSE)</f>
        <v>8.93</v>
      </c>
      <c r="J47" s="101">
        <f>VLOOKUP($A47,'Inoue-TGFa-NotUsed'!$A:$BP,MATCH("Emax
Gq",'Inoue-TGFa-NotUsed'!$A$1:$BP$1,0),FALSE)</f>
        <v>39</v>
      </c>
      <c r="K47" s="101">
        <f>VLOOKUP($A47,'Inoue-TGFa-NotUsed'!$A:$CQ,MATCH("#SDs
Gq",'Inoue-TGFa-NotUsed'!$A$1:$CQ$1,0),FALSE)</f>
        <v>6.09375</v>
      </c>
    </row>
    <row r="48" spans="1:11" ht="18.75" customHeight="1">
      <c r="A48" s="88" t="s">
        <v>54</v>
      </c>
      <c r="B48" s="72">
        <f>VLOOKUP($A48,'Martemyanov-FreeGβγ-Nluc'!$A:$BG,MATCH("Gq",'Martemyanov-FreeGβγ-Nluc'!$A$1:$BG$1,0),FALSE)</f>
        <v>4.4024000000000001</v>
      </c>
      <c r="C48" s="92">
        <f>VLOOKUP($A48,'Bouvier-GEMTA'!$A:$CF,MATCH("Gq",'Bouvier-GEMTA'!$A$1:$CF$1,0),FALSE)</f>
        <v>9.4463334558020584</v>
      </c>
      <c r="D48" s="72" t="str">
        <f t="shared" si="3"/>
        <v>BKRB2</v>
      </c>
      <c r="E48" s="90" t="str">
        <f t="shared" si="4"/>
        <v>BKRB2</v>
      </c>
      <c r="F48" s="197" t="str">
        <f t="shared" si="5"/>
        <v>BKRB2</v>
      </c>
      <c r="G48" s="102" t="str" cm="1">
        <f t="array" ref="G48">IF(AND(LEN(F48)&gt;0,LEN(D48:E48)=0),"Iuniq","")</f>
        <v/>
      </c>
      <c r="H48" s="100">
        <f>VLOOKUP($A48,'Inoue-TGFa-NotUsed'!$A:$AL,MATCH("log(Emax
/EC50)
Gq",'Inoue-TGFa-NotUsed'!$A$1:$AL$1,0),FALSE)</f>
        <v>9.8085507165004469</v>
      </c>
      <c r="I48" s="101">
        <f>VLOOKUP($A48,'Inoue-TGFa-NotUsed'!$A:$CQ,MATCH("pEC50
Gq",'Inoue-TGFa-NotUsed'!$A$1:$CQ$1,0),FALSE)</f>
        <v>10.32</v>
      </c>
      <c r="J48" s="101">
        <f>VLOOKUP($A48,'Inoue-TGFa-NotUsed'!$A:$BP,MATCH("Emax
Gq",'Inoue-TGFa-NotUsed'!$A$1:$BP$1,0),FALSE)</f>
        <v>30.8</v>
      </c>
      <c r="K48" s="101">
        <f>VLOOKUP($A48,'Inoue-TGFa-NotUsed'!$A:$CQ,MATCH("#SDs
Gq",'Inoue-TGFa-NotUsed'!$A$1:$CQ$1,0),FALSE)</f>
        <v>6.416666666666667</v>
      </c>
    </row>
    <row r="49" spans="1:11" ht="18.75" customHeight="1">
      <c r="A49" s="51" t="s">
        <v>112</v>
      </c>
      <c r="B49" s="72">
        <f>VLOOKUP($A49,'Martemyanov-FreeGβγ-Nluc'!$A:$BG,MATCH("Gq",'Martemyanov-FreeGβγ-Nluc'!$A$1:$BG$1,0),FALSE)</f>
        <v>0.2034</v>
      </c>
      <c r="C49" s="92">
        <f>VLOOKUP($A49,'Bouvier-GEMTA'!$A:$CF,MATCH("Gq",'Bouvier-GEMTA'!$A$1:$CF$1,0),FALSE)</f>
        <v>9.4810018765087296</v>
      </c>
      <c r="D49" s="72" t="str">
        <f t="shared" si="3"/>
        <v>EDNRA</v>
      </c>
      <c r="E49" s="90" t="str">
        <f t="shared" si="4"/>
        <v>EDNRA</v>
      </c>
      <c r="F49" s="197" t="str">
        <f t="shared" si="5"/>
        <v>EDNRA</v>
      </c>
      <c r="G49" s="102" t="str" cm="1">
        <f t="array" ref="G49">IF(AND(LEN(F49)&gt;0,LEN(D49:E49)=0),"Iuniq","")</f>
        <v/>
      </c>
      <c r="H49" s="100">
        <f>VLOOKUP($A49,'Inoue-TGFa-NotUsed'!$A:$AL,MATCH("log(Emax
/EC50)
Gq",'Inoue-TGFa-NotUsed'!$A$1:$AL$1,0),FALSE)</f>
        <v>10.0070003411209</v>
      </c>
      <c r="I49" s="101">
        <f>VLOOKUP($A49,'Inoue-TGFa-NotUsed'!$A:$CQ,MATCH("pEC50
Gq",'Inoue-TGFa-NotUsed'!$A$1:$CQ$1,0),FALSE)</f>
        <v>10.39</v>
      </c>
      <c r="J49" s="101">
        <f>VLOOKUP($A49,'Inoue-TGFa-NotUsed'!$A:$BP,MATCH("Emax
Gq",'Inoue-TGFa-NotUsed'!$A$1:$BP$1,0),FALSE)</f>
        <v>41.4</v>
      </c>
      <c r="K49" s="101">
        <f>VLOOKUP($A49,'Inoue-TGFa-NotUsed'!$A:$CQ,MATCH("#SDs
Gq",'Inoue-TGFa-NotUsed'!$A$1:$CQ$1,0),FALSE)</f>
        <v>5.3836150845253572</v>
      </c>
    </row>
    <row r="50" spans="1:11" ht="18.75" customHeight="1">
      <c r="A50" s="88" t="s">
        <v>228</v>
      </c>
      <c r="B50" s="72">
        <f>VLOOKUP($A50,'Martemyanov-FreeGβγ-Nluc'!$A:$BG,MATCH("Gq",'Martemyanov-FreeGβγ-Nluc'!$A$1:$BG$1,0),FALSE)</f>
        <v>0.69640000000000002</v>
      </c>
      <c r="C50" s="92">
        <f>VLOOKUP($A50,'Bouvier-GEMTA'!$A:$CF,MATCH("Gq",'Bouvier-GEMTA'!$A$1:$CF$1,0),FALSE)</f>
        <v>8.5401341917349711</v>
      </c>
      <c r="D50" s="72" t="str">
        <f t="shared" si="3"/>
        <v>V1AR</v>
      </c>
      <c r="E50" s="90" t="str">
        <f t="shared" si="4"/>
        <v>V1AR</v>
      </c>
      <c r="F50" s="197" t="str">
        <f t="shared" si="5"/>
        <v>V1AR</v>
      </c>
      <c r="G50" s="102" t="str" cm="1">
        <f t="array" ref="G50">IF(AND(LEN(F50)&gt;0,LEN(D50:E50)=0),"Iuniq","")</f>
        <v/>
      </c>
      <c r="H50" s="100">
        <f>VLOOKUP($A50,'Inoue-TGFa-NotUsed'!$A:$AL,MATCH("log(Emax
/EC50)
Gq",'Inoue-TGFa-NotUsed'!$A$1:$AL$1,0),FALSE)</f>
        <v>10.124026106056135</v>
      </c>
      <c r="I50" s="101">
        <f>VLOOKUP($A50,'Inoue-TGFa-NotUsed'!$A:$CQ,MATCH("pEC50
Gq",'Inoue-TGFa-NotUsed'!$A$1:$CQ$1,0),FALSE)</f>
        <v>10.59</v>
      </c>
      <c r="J50" s="101">
        <f>VLOOKUP($A50,'Inoue-TGFa-NotUsed'!$A:$BP,MATCH("Emax
Gq",'Inoue-TGFa-NotUsed'!$A$1:$BP$1,0),FALSE)</f>
        <v>34.200000000000003</v>
      </c>
      <c r="K50" s="101">
        <f>VLOOKUP($A50,'Inoue-TGFa-NotUsed'!$A:$CQ,MATCH("#SDs
Gq",'Inoue-TGFa-NotUsed'!$A$1:$CQ$1,0),FALSE)</f>
        <v>7.5164835164835173</v>
      </c>
    </row>
    <row r="51" spans="1:11" s="237" customFormat="1" ht="18.75" customHeight="1">
      <c r="A51" s="238" t="s">
        <v>80</v>
      </c>
      <c r="B51" s="230">
        <f>VLOOKUP($A51,'Martemyanov-FreeGβγ-Nluc'!$A:$BG,MATCH("Gq",'Martemyanov-FreeGβγ-Nluc'!$A$1:$BG$1,0),FALSE)</f>
        <v>4.0716999999999999</v>
      </c>
      <c r="C51" s="231">
        <f>VLOOKUP($A51,'Bouvier-GEMTA'!$A:$CF,MATCH("Gq",'Bouvier-GEMTA'!$A$1:$CF$1,0),FALSE)</f>
        <v>9.3608468018648612</v>
      </c>
      <c r="D51" s="230" t="str">
        <f t="shared" si="3"/>
        <v>CCKAR</v>
      </c>
      <c r="E51" s="232" t="str">
        <f t="shared" si="4"/>
        <v>CCKAR</v>
      </c>
      <c r="F51" s="233" t="str">
        <f t="shared" si="5"/>
        <v>CCKAR</v>
      </c>
      <c r="G51" s="234" t="str" cm="1">
        <f t="array" ref="G51">IF(AND(LEN(F51)&gt;0,LEN(D51:E51)=0),"Iuniq","")</f>
        <v/>
      </c>
      <c r="H51" s="235">
        <f>VLOOKUP($A51,'Inoue-TGFa-NotUsed'!$A:$AL,MATCH("log(Emax
/EC50)
Gq",'Inoue-TGFa-NotUsed'!$A$1:$AL$1,0),FALSE)</f>
        <v>10.503941998634089</v>
      </c>
      <c r="I51" s="236">
        <f>VLOOKUP($A51,'Inoue-TGFa-NotUsed'!$A:$CQ,MATCH("pEC50
Gq",'Inoue-TGFa-NotUsed'!$A$1:$CQ$1,0),FALSE)</f>
        <v>10.83</v>
      </c>
      <c r="J51" s="236">
        <f>VLOOKUP($A51,'Inoue-TGFa-NotUsed'!$A:$BP,MATCH("Emax
Gq",'Inoue-TGFa-NotUsed'!$A$1:$BP$1,0),FALSE)</f>
        <v>47.2</v>
      </c>
      <c r="K51" s="236">
        <f>VLOOKUP($A51,'Inoue-TGFa-NotUsed'!$A:$CQ,MATCH("#SDs
Gq",'Inoue-TGFa-NotUsed'!$A$1:$CQ$1,0),FALSE)</f>
        <v>8.7569573283859015</v>
      </c>
    </row>
    <row r="52" spans="1:11" ht="18.75" customHeight="1">
      <c r="A52" s="88"/>
      <c r="B52" s="72"/>
      <c r="F52" s="197"/>
      <c r="H52" s="100"/>
      <c r="I52" s="101"/>
      <c r="J52" s="101"/>
      <c r="K52" s="101"/>
    </row>
    <row r="53" spans="1:11" ht="18.75" customHeight="1">
      <c r="A53" s="51" t="s">
        <v>124</v>
      </c>
      <c r="B53" s="72">
        <f>VLOOKUP($A53,'Martemyanov-FreeGβγ-Nluc'!$A:$BG,MATCH("Gq",'Martemyanov-FreeGβγ-Nluc'!$A$1:$BG$1,0),FALSE)</f>
        <v>0</v>
      </c>
      <c r="C53" s="92" t="e">
        <f>VLOOKUP($A53,'Bouvier-GEMTA'!$A:$CF,MATCH("Gq",'Bouvier-GEMTA'!$A$1:$CF$1,0),FALSE)</f>
        <v>#N/A</v>
      </c>
      <c r="D53" s="72" t="str">
        <f t="shared" ref="D53:D84" si="6">IF(B53&gt;0,$A53,"")</f>
        <v/>
      </c>
      <c r="E53" s="90" t="e">
        <f t="shared" ref="E53:E84" si="7">IF(C53&gt;0,$A53,"")</f>
        <v>#N/A</v>
      </c>
      <c r="F53" s="197" t="str">
        <f t="shared" ref="F53:F84" si="8">IF(H53&gt;0,$A53,"")</f>
        <v/>
      </c>
      <c r="G53" s="102" t="e" cm="1">
        <f t="array" ref="G53">IF(AND(LEN(F53)&gt;0,LEN(D53:E53)=0),"Iuniq","")</f>
        <v>#N/A</v>
      </c>
      <c r="H53" s="100">
        <f>VLOOKUP($A53,'Inoue-TGFa-NotUsed'!$A:$AL,MATCH("log(Emax
/EC50)
Gq",'Inoue-TGFa-NotUsed'!$A$1:$AL$1,0),FALSE)</f>
        <v>0</v>
      </c>
      <c r="I53" s="101">
        <f>VLOOKUP($A53,'Inoue-TGFa-NotUsed'!$A:$CQ,MATCH("pEC50
Gq",'Inoue-TGFa-NotUsed'!$A$1:$CQ$1,0),FALSE)</f>
        <v>0</v>
      </c>
      <c r="J53" s="101">
        <f>VLOOKUP($A53,'Inoue-TGFa-NotUsed'!$A:$BP,MATCH("Emax
Gq",'Inoue-TGFa-NotUsed'!$A$1:$BP$1,0),FALSE)</f>
        <v>0</v>
      </c>
      <c r="K53" s="101">
        <f>VLOOKUP($A53,'Inoue-TGFa-NotUsed'!$A:$CQ,MATCH("#SDs
Gq",'Inoue-TGFa-NotUsed'!$A$1:$CQ$1,0),FALSE)</f>
        <v>0</v>
      </c>
    </row>
    <row r="54" spans="1:11" ht="18.75" customHeight="1">
      <c r="A54" s="51" t="s">
        <v>42</v>
      </c>
      <c r="B54" s="72">
        <f>VLOOKUP($A54,'Martemyanov-FreeGβγ-Nluc'!$A:$BG,MATCH("Gq",'Martemyanov-FreeGβγ-Nluc'!$A$1:$BG$1,0),FALSE)</f>
        <v>0</v>
      </c>
      <c r="C54" s="92" t="e">
        <f>VLOOKUP($A54,'Bouvier-GEMTA'!$A:$CF,MATCH("Gq",'Bouvier-GEMTA'!$A$1:$CF$1,0),FALSE)</f>
        <v>#N/A</v>
      </c>
      <c r="D54" s="72" t="str">
        <f t="shared" si="6"/>
        <v/>
      </c>
      <c r="E54" s="90" t="e">
        <f t="shared" si="7"/>
        <v>#N/A</v>
      </c>
      <c r="F54" s="197" t="str">
        <f t="shared" si="8"/>
        <v/>
      </c>
      <c r="G54" s="102" t="e" cm="1">
        <f t="array" ref="G54">IF(AND(LEN(F54)&gt;0,LEN(D54:E54)=0),"Iuniq","")</f>
        <v>#N/A</v>
      </c>
      <c r="H54" s="100">
        <f>VLOOKUP($A54,'Inoue-TGFa-NotUsed'!$A:$AL,MATCH("log(Emax
/EC50)
Gq",'Inoue-TGFa-NotUsed'!$A$1:$AL$1,0),FALSE)</f>
        <v>0</v>
      </c>
      <c r="I54" s="101">
        <f>VLOOKUP($A54,'Inoue-TGFa-NotUsed'!$A:$CQ,MATCH("pEC50
Gq",'Inoue-TGFa-NotUsed'!$A$1:$CQ$1,0),FALSE)</f>
        <v>0</v>
      </c>
      <c r="J54" s="101">
        <f>VLOOKUP($A54,'Inoue-TGFa-NotUsed'!$A:$BP,MATCH("Emax
Gq",'Inoue-TGFa-NotUsed'!$A$1:$BP$1,0),FALSE)</f>
        <v>0</v>
      </c>
      <c r="K54" s="101">
        <f>VLOOKUP($A54,'Inoue-TGFa-NotUsed'!$A:$CQ,MATCH("#SDs
Gq",'Inoue-TGFa-NotUsed'!$A$1:$CQ$1,0),FALSE)</f>
        <v>0</v>
      </c>
    </row>
    <row r="55" spans="1:11" ht="18.75" customHeight="1">
      <c r="A55" s="51" t="s">
        <v>110</v>
      </c>
      <c r="B55" s="72">
        <f>VLOOKUP($A55,'Martemyanov-FreeGβγ-Nluc'!$A:$BG,MATCH("Gq",'Martemyanov-FreeGβγ-Nluc'!$A$1:$BG$1,0),FALSE)</f>
        <v>0</v>
      </c>
      <c r="C55" s="92" t="e">
        <f>VLOOKUP($A55,'Bouvier-GEMTA'!$A:$CF,MATCH("Gq",'Bouvier-GEMTA'!$A$1:$CF$1,0),FALSE)</f>
        <v>#N/A</v>
      </c>
      <c r="D55" s="72" t="str">
        <f t="shared" si="6"/>
        <v/>
      </c>
      <c r="E55" s="90" t="e">
        <f t="shared" si="7"/>
        <v>#N/A</v>
      </c>
      <c r="F55" s="197" t="str">
        <f t="shared" si="8"/>
        <v/>
      </c>
      <c r="G55" s="102" t="e" cm="1">
        <f t="array" ref="G55">IF(AND(LEN(F55)&gt;0,LEN(D55:E55)=0),"Iuniq","")</f>
        <v>#N/A</v>
      </c>
      <c r="H55" s="100">
        <f>VLOOKUP($A55,'Inoue-TGFa-NotUsed'!$A:$AL,MATCH("log(Emax
/EC50)
Gq",'Inoue-TGFa-NotUsed'!$A$1:$AL$1,0),FALSE)</f>
        <v>0</v>
      </c>
      <c r="I55" s="101">
        <f>VLOOKUP($A55,'Inoue-TGFa-NotUsed'!$A:$CQ,MATCH("pEC50
Gq",'Inoue-TGFa-NotUsed'!$A$1:$CQ$1,0),FALSE)</f>
        <v>0</v>
      </c>
      <c r="J55" s="101">
        <f>VLOOKUP($A55,'Inoue-TGFa-NotUsed'!$A:$BP,MATCH("Emax
Gq",'Inoue-TGFa-NotUsed'!$A$1:$BP$1,0),FALSE)</f>
        <v>0</v>
      </c>
      <c r="K55" s="101">
        <f>VLOOKUP($A55,'Inoue-TGFa-NotUsed'!$A:$CQ,MATCH("#SDs
Gq",'Inoue-TGFa-NotUsed'!$A$1:$CQ$1,0),FALSE)</f>
        <v>0</v>
      </c>
    </row>
    <row r="56" spans="1:11" ht="18.75" customHeight="1">
      <c r="A56" s="51" t="s">
        <v>109</v>
      </c>
      <c r="B56" s="72">
        <f>VLOOKUP($A56,'Martemyanov-FreeGβγ-Nluc'!$A:$BG,MATCH("Gq",'Martemyanov-FreeGβγ-Nluc'!$A$1:$BG$1,0),FALSE)</f>
        <v>0</v>
      </c>
      <c r="C56" s="92" t="e">
        <f>VLOOKUP($A56,'Bouvier-GEMTA'!$A:$CF,MATCH("Gq",'Bouvier-GEMTA'!$A$1:$CF$1,0),FALSE)</f>
        <v>#N/A</v>
      </c>
      <c r="D56" s="72" t="str">
        <f t="shared" si="6"/>
        <v/>
      </c>
      <c r="E56" s="90" t="e">
        <f t="shared" si="7"/>
        <v>#N/A</v>
      </c>
      <c r="F56" s="197" t="str">
        <f t="shared" si="8"/>
        <v/>
      </c>
      <c r="G56" s="102" t="e" cm="1">
        <f t="array" ref="G56">IF(AND(LEN(F56)&gt;0,LEN(D56:E56)=0),"Iuniq","")</f>
        <v>#N/A</v>
      </c>
      <c r="H56" s="100">
        <f>VLOOKUP($A56,'Inoue-TGFa-NotUsed'!$A:$AL,MATCH("log(Emax
/EC50)
Gq",'Inoue-TGFa-NotUsed'!$A$1:$AL$1,0),FALSE)</f>
        <v>0</v>
      </c>
      <c r="I56" s="101">
        <f>VLOOKUP($A56,'Inoue-TGFa-NotUsed'!$A:$CQ,MATCH("pEC50
Gq",'Inoue-TGFa-NotUsed'!$A$1:$CQ$1,0),FALSE)</f>
        <v>0</v>
      </c>
      <c r="J56" s="101">
        <f>VLOOKUP($A56,'Inoue-TGFa-NotUsed'!$A:$BP,MATCH("Emax
Gq",'Inoue-TGFa-NotUsed'!$A$1:$BP$1,0),FALSE)</f>
        <v>0</v>
      </c>
      <c r="K56" s="101">
        <f>VLOOKUP($A56,'Inoue-TGFa-NotUsed'!$A:$CQ,MATCH("#SDs
Gq",'Inoue-TGFa-NotUsed'!$A$1:$CQ$1,0),FALSE)</f>
        <v>0</v>
      </c>
    </row>
    <row r="57" spans="1:11" ht="18.75" customHeight="1">
      <c r="A57" s="51" t="s">
        <v>138</v>
      </c>
      <c r="B57" s="72">
        <f>VLOOKUP($A57,'Martemyanov-FreeGβγ-Nluc'!$A:$BG,MATCH("Gq",'Martemyanov-FreeGβγ-Nluc'!$A$1:$BG$1,0),FALSE)</f>
        <v>0</v>
      </c>
      <c r="C57" s="92" t="e">
        <f>VLOOKUP($A57,'Bouvier-GEMTA'!$A:$CF,MATCH("Gq",'Bouvier-GEMTA'!$A$1:$CF$1,0),FALSE)</f>
        <v>#N/A</v>
      </c>
      <c r="D57" s="72" t="str">
        <f t="shared" si="6"/>
        <v/>
      </c>
      <c r="E57" s="90" t="e">
        <f t="shared" si="7"/>
        <v>#N/A</v>
      </c>
      <c r="F57" s="197" t="str">
        <f t="shared" si="8"/>
        <v/>
      </c>
      <c r="G57" s="102" t="e" cm="1">
        <f t="array" ref="G57">IF(AND(LEN(F57)&gt;0,LEN(D57:E57)=0),"Iuniq","")</f>
        <v>#N/A</v>
      </c>
      <c r="H57" s="100">
        <f>VLOOKUP($A57,'Inoue-TGFa-NotUsed'!$A:$AL,MATCH("log(Emax
/EC50)
Gq",'Inoue-TGFa-NotUsed'!$A$1:$AL$1,0),FALSE)</f>
        <v>0</v>
      </c>
      <c r="I57" s="101">
        <f>VLOOKUP($A57,'Inoue-TGFa-NotUsed'!$A:$CQ,MATCH("pEC50
Gq",'Inoue-TGFa-NotUsed'!$A$1:$CQ$1,0),FALSE)</f>
        <v>0</v>
      </c>
      <c r="J57" s="101">
        <f>VLOOKUP($A57,'Inoue-TGFa-NotUsed'!$A:$BP,MATCH("Emax
Gq",'Inoue-TGFa-NotUsed'!$A$1:$BP$1,0),FALSE)</f>
        <v>0</v>
      </c>
      <c r="K57" s="101">
        <f>VLOOKUP($A57,'Inoue-TGFa-NotUsed'!$A:$CQ,MATCH("#SDs
Gq",'Inoue-TGFa-NotUsed'!$A$1:$CQ$1,0),FALSE)</f>
        <v>0</v>
      </c>
    </row>
    <row r="58" spans="1:11" ht="18.75" customHeight="1">
      <c r="A58" s="51" t="s">
        <v>18</v>
      </c>
      <c r="B58" s="72">
        <f>VLOOKUP($A58,'Martemyanov-FreeGβγ-Nluc'!$A:$BG,MATCH("Gq",'Martemyanov-FreeGβγ-Nluc'!$A$1:$BG$1,0),FALSE)</f>
        <v>0</v>
      </c>
      <c r="C58" s="92" t="e">
        <f>VLOOKUP($A58,'Bouvier-GEMTA'!$A:$CF,MATCH("Gq",'Bouvier-GEMTA'!$A$1:$CF$1,0),FALSE)</f>
        <v>#N/A</v>
      </c>
      <c r="D58" s="72" t="str">
        <f t="shared" si="6"/>
        <v/>
      </c>
      <c r="E58" s="90" t="e">
        <f t="shared" si="7"/>
        <v>#N/A</v>
      </c>
      <c r="F58" s="197" t="str">
        <f t="shared" si="8"/>
        <v/>
      </c>
      <c r="G58" s="102" t="e" cm="1">
        <f t="array" ref="G58">IF(AND(LEN(F58)&gt;0,LEN(D58:E58)=0),"Iuniq","")</f>
        <v>#N/A</v>
      </c>
      <c r="H58" s="100">
        <f>VLOOKUP($A58,'Inoue-TGFa-NotUsed'!$A:$AL,MATCH("log(Emax
/EC50)
Gq",'Inoue-TGFa-NotUsed'!$A$1:$AL$1,0),FALSE)</f>
        <v>0</v>
      </c>
      <c r="I58" s="101">
        <f>VLOOKUP($A58,'Inoue-TGFa-NotUsed'!$A:$CQ,MATCH("pEC50
Gq",'Inoue-TGFa-NotUsed'!$A$1:$CQ$1,0),FALSE)</f>
        <v>0</v>
      </c>
      <c r="J58" s="101">
        <f>VLOOKUP($A58,'Inoue-TGFa-NotUsed'!$A:$BP,MATCH("Emax
Gq",'Inoue-TGFa-NotUsed'!$A$1:$BP$1,0),FALSE)</f>
        <v>0</v>
      </c>
      <c r="K58" s="101">
        <f>VLOOKUP($A58,'Inoue-TGFa-NotUsed'!$A:$CQ,MATCH("#SDs
Gq",'Inoue-TGFa-NotUsed'!$A$1:$CQ$1,0),FALSE)</f>
        <v>0</v>
      </c>
    </row>
    <row r="59" spans="1:11" ht="18.75" customHeight="1">
      <c r="A59" s="51" t="s">
        <v>19</v>
      </c>
      <c r="B59" s="72">
        <f>VLOOKUP($A59,'Martemyanov-FreeGβγ-Nluc'!$A:$BG,MATCH("Gq",'Martemyanov-FreeGβγ-Nluc'!$A$1:$BG$1,0),FALSE)</f>
        <v>0</v>
      </c>
      <c r="C59" s="92" t="e">
        <f>VLOOKUP($A59,'Bouvier-GEMTA'!$A:$CF,MATCH("Gq",'Bouvier-GEMTA'!$A$1:$CF$1,0),FALSE)</f>
        <v>#N/A</v>
      </c>
      <c r="D59" s="72" t="str">
        <f t="shared" si="6"/>
        <v/>
      </c>
      <c r="E59" s="90" t="e">
        <f t="shared" si="7"/>
        <v>#N/A</v>
      </c>
      <c r="F59" s="197" t="str">
        <f t="shared" si="8"/>
        <v/>
      </c>
      <c r="G59" s="102" t="e" cm="1">
        <f t="array" ref="G59">IF(AND(LEN(F59)&gt;0,LEN(D59:E59)=0),"Iuniq","")</f>
        <v>#N/A</v>
      </c>
      <c r="H59" s="100">
        <f>VLOOKUP($A59,'Inoue-TGFa-NotUsed'!$A:$AL,MATCH("log(Emax
/EC50)
Gq",'Inoue-TGFa-NotUsed'!$A$1:$AL$1,0),FALSE)</f>
        <v>0</v>
      </c>
      <c r="I59" s="101">
        <f>VLOOKUP($A59,'Inoue-TGFa-NotUsed'!$A:$CQ,MATCH("pEC50
Gq",'Inoue-TGFa-NotUsed'!$A$1:$CQ$1,0),FALSE)</f>
        <v>0</v>
      </c>
      <c r="J59" s="101">
        <f>VLOOKUP($A59,'Inoue-TGFa-NotUsed'!$A:$BP,MATCH("Emax
Gq",'Inoue-TGFa-NotUsed'!$A$1:$BP$1,0),FALSE)</f>
        <v>0</v>
      </c>
      <c r="K59" s="101">
        <f>VLOOKUP($A59,'Inoue-TGFa-NotUsed'!$A:$CQ,MATCH("#SDs
Gq",'Inoue-TGFa-NotUsed'!$A$1:$CQ$1,0),FALSE)</f>
        <v>0</v>
      </c>
    </row>
    <row r="60" spans="1:11" ht="18.75" customHeight="1">
      <c r="A60" s="88" t="s">
        <v>216</v>
      </c>
      <c r="B60" s="72">
        <f>VLOOKUP($A60,'Martemyanov-FreeGβγ-Nluc'!$A:$BG,MATCH("Gq",'Martemyanov-FreeGβγ-Nluc'!$A$1:$BG$1,0),FALSE)</f>
        <v>0</v>
      </c>
      <c r="C60" s="92" t="e">
        <f>VLOOKUP($A60,'Bouvier-GEMTA'!$A:$CF,MATCH("Gq",'Bouvier-GEMTA'!$A$1:$CF$1,0),FALSE)</f>
        <v>#N/A</v>
      </c>
      <c r="D60" s="72" t="str">
        <f t="shared" si="6"/>
        <v/>
      </c>
      <c r="E60" s="90" t="e">
        <f t="shared" si="7"/>
        <v>#N/A</v>
      </c>
      <c r="F60" s="197" t="str">
        <f t="shared" si="8"/>
        <v/>
      </c>
      <c r="G60" s="102" t="e" cm="1">
        <f t="array" ref="G60">IF(AND(LEN(F60)&gt;0,LEN(D60:E60)=0),"Iuniq","")</f>
        <v>#N/A</v>
      </c>
      <c r="H60" s="100">
        <f>VLOOKUP($A60,'Inoue-TGFa-NotUsed'!$A:$AL,MATCH("log(Emax
/EC50)
Gq",'Inoue-TGFa-NotUsed'!$A$1:$AL$1,0),FALSE)</f>
        <v>0</v>
      </c>
      <c r="I60" s="101">
        <f>VLOOKUP($A60,'Inoue-TGFa-NotUsed'!$A:$CQ,MATCH("pEC50
Gq",'Inoue-TGFa-NotUsed'!$A$1:$CQ$1,0),FALSE)</f>
        <v>0</v>
      </c>
      <c r="J60" s="101">
        <f>VLOOKUP($A60,'Inoue-TGFa-NotUsed'!$A:$BP,MATCH("Emax
Gq",'Inoue-TGFa-NotUsed'!$A$1:$BP$1,0),FALSE)</f>
        <v>0</v>
      </c>
      <c r="K60" s="101">
        <f>VLOOKUP($A60,'Inoue-TGFa-NotUsed'!$A:$CQ,MATCH("#SDs
Gq",'Inoue-TGFa-NotUsed'!$A$1:$CQ$1,0),FALSE)</f>
        <v>0</v>
      </c>
    </row>
    <row r="61" spans="1:11" ht="18.75" customHeight="1">
      <c r="A61" s="88" t="s">
        <v>220</v>
      </c>
      <c r="B61" s="72">
        <f>VLOOKUP($A61,'Martemyanov-FreeGβγ-Nluc'!$A:$BG,MATCH("Gq",'Martemyanov-FreeGβγ-Nluc'!$A$1:$BG$1,0),FALSE)</f>
        <v>0</v>
      </c>
      <c r="C61" s="92" t="e">
        <f>VLOOKUP($A61,'Bouvier-GEMTA'!$A:$CF,MATCH("Gq",'Bouvier-GEMTA'!$A$1:$CF$1,0),FALSE)</f>
        <v>#N/A</v>
      </c>
      <c r="D61" s="72" t="str">
        <f t="shared" si="6"/>
        <v/>
      </c>
      <c r="E61" s="90" t="e">
        <f t="shared" si="7"/>
        <v>#N/A</v>
      </c>
      <c r="F61" s="197" t="str">
        <f t="shared" si="8"/>
        <v/>
      </c>
      <c r="G61" s="102" t="e" cm="1">
        <f t="array" ref="G61">IF(AND(LEN(F61)&gt;0,LEN(D61:E61)=0),"Iuniq","")</f>
        <v>#N/A</v>
      </c>
      <c r="H61" s="100">
        <f>VLOOKUP($A61,'Inoue-TGFa-NotUsed'!$A:$AL,MATCH("log(Emax
/EC50)
Gq",'Inoue-TGFa-NotUsed'!$A$1:$AL$1,0),FALSE)</f>
        <v>0</v>
      </c>
      <c r="I61" s="101">
        <f>VLOOKUP($A61,'Inoue-TGFa-NotUsed'!$A:$CQ,MATCH("pEC50
Gq",'Inoue-TGFa-NotUsed'!$A$1:$CQ$1,0),FALSE)</f>
        <v>0</v>
      </c>
      <c r="J61" s="101">
        <f>VLOOKUP($A61,'Inoue-TGFa-NotUsed'!$A:$BP,MATCH("Emax
Gq",'Inoue-TGFa-NotUsed'!$A$1:$BP$1,0),FALSE)</f>
        <v>0</v>
      </c>
      <c r="K61" s="101">
        <f>VLOOKUP($A61,'Inoue-TGFa-NotUsed'!$A:$CQ,MATCH("#SDs
Gq",'Inoue-TGFa-NotUsed'!$A$1:$CQ$1,0),FALSE)</f>
        <v>0</v>
      </c>
    </row>
    <row r="62" spans="1:11" ht="18.75" customHeight="1">
      <c r="A62" s="88" t="s">
        <v>219</v>
      </c>
      <c r="B62" s="72">
        <f>VLOOKUP($A62,'Martemyanov-FreeGβγ-Nluc'!$A:$BG,MATCH("Gq",'Martemyanov-FreeGβγ-Nluc'!$A$1:$BG$1,0),FALSE)</f>
        <v>0</v>
      </c>
      <c r="C62" s="92" t="e">
        <f>VLOOKUP($A62,'Bouvier-GEMTA'!$A:$CF,MATCH("Gq",'Bouvier-GEMTA'!$A$1:$CF$1,0),FALSE)</f>
        <v>#N/A</v>
      </c>
      <c r="D62" s="72" t="str">
        <f t="shared" si="6"/>
        <v/>
      </c>
      <c r="E62" s="90" t="e">
        <f t="shared" si="7"/>
        <v>#N/A</v>
      </c>
      <c r="F62" s="197" t="str">
        <f t="shared" si="8"/>
        <v>SSR3</v>
      </c>
      <c r="G62" s="102" t="e" cm="1">
        <f t="array" ref="G62">IF(AND(LEN(F62)&gt;0,LEN(D62:E62)=0),"Iuniq","")</f>
        <v>#N/A</v>
      </c>
      <c r="H62" s="100">
        <f>VLOOKUP($A62,'Inoue-TGFa-NotUsed'!$A:$AL,MATCH("log(Emax
/EC50)
Gq",'Inoue-TGFa-NotUsed'!$A$1:$AL$1,0),FALSE)</f>
        <v>5.7810646070264999</v>
      </c>
      <c r="I62" s="101">
        <f>VLOOKUP($A62,'Inoue-TGFa-NotUsed'!$A:$CQ,MATCH("pEC50
Gq",'Inoue-TGFa-NotUsed'!$A$1:$CQ$1,0),FALSE)</f>
        <v>7.19</v>
      </c>
      <c r="J62" s="101">
        <f>VLOOKUP($A62,'Inoue-TGFa-NotUsed'!$A:$BP,MATCH("Emax
Gq",'Inoue-TGFa-NotUsed'!$A$1:$BP$1,0),FALSE)</f>
        <v>3.9</v>
      </c>
      <c r="K62" s="101">
        <f>VLOOKUP($A62,'Inoue-TGFa-NotUsed'!$A:$CQ,MATCH("#SDs
Gq",'Inoue-TGFa-NotUsed'!$A$1:$CQ$1,0),FALSE)</f>
        <v>0.57352941176470584</v>
      </c>
    </row>
    <row r="63" spans="1:11" ht="18.75" customHeight="1">
      <c r="A63" s="88" t="s">
        <v>163</v>
      </c>
      <c r="B63" s="72">
        <f>VLOOKUP($A63,'Martemyanov-FreeGβγ-Nluc'!$A:$BG,MATCH("Gq",'Martemyanov-FreeGβγ-Nluc'!$A$1:$BG$1,0),FALSE)</f>
        <v>0</v>
      </c>
      <c r="C63" s="92" t="e">
        <f>VLOOKUP($A63,'Bouvier-GEMTA'!$A:$CF,MATCH("Gq",'Bouvier-GEMTA'!$A$1:$CF$1,0),FALSE)</f>
        <v>#N/A</v>
      </c>
      <c r="D63" s="72" t="str">
        <f t="shared" si="6"/>
        <v/>
      </c>
      <c r="E63" s="90" t="e">
        <f t="shared" si="7"/>
        <v>#N/A</v>
      </c>
      <c r="F63" s="197" t="str">
        <f t="shared" si="8"/>
        <v>MSHR</v>
      </c>
      <c r="G63" s="102" t="e" cm="1">
        <f t="array" ref="G63">IF(AND(LEN(F63)&gt;0,LEN(D63:E63)=0),"Iuniq","")</f>
        <v>#N/A</v>
      </c>
      <c r="H63" s="100">
        <f>VLOOKUP($A63,'Inoue-TGFa-NotUsed'!$A:$AL,MATCH("log(Emax
/EC50)
Gq",'Inoue-TGFa-NotUsed'!$A$1:$AL$1,0),FALSE)</f>
        <v>6.7750980400142575</v>
      </c>
      <c r="I63" s="101">
        <f>VLOOKUP($A63,'Inoue-TGFa-NotUsed'!$A:$CQ,MATCH("pEC50
Gq",'Inoue-TGFa-NotUsed'!$A$1:$CQ$1,0),FALSE)</f>
        <v>7.93</v>
      </c>
      <c r="J63" s="101">
        <f>VLOOKUP($A63,'Inoue-TGFa-NotUsed'!$A:$BP,MATCH("Emax
Gq",'Inoue-TGFa-NotUsed'!$A$1:$BP$1,0),FALSE)</f>
        <v>7</v>
      </c>
      <c r="K63" s="101">
        <f>VLOOKUP($A63,'Inoue-TGFa-NotUsed'!$A:$CQ,MATCH("#SDs
Gq",'Inoue-TGFa-NotUsed'!$A$1:$CQ$1,0),FALSE)</f>
        <v>1.0130246020260492</v>
      </c>
    </row>
    <row r="64" spans="1:11" ht="18.75" customHeight="1">
      <c r="A64" s="51" t="s">
        <v>24</v>
      </c>
      <c r="B64" s="72">
        <f>VLOOKUP($A64,'Martemyanov-FreeGβγ-Nluc'!$A:$BG,MATCH("Gq",'Martemyanov-FreeGβγ-Nluc'!$A$1:$BG$1,0),FALSE)</f>
        <v>0</v>
      </c>
      <c r="C64" s="92" t="e">
        <f>VLOOKUP($A64,'Bouvier-GEMTA'!$A:$CF,MATCH("Gq",'Bouvier-GEMTA'!$A$1:$CF$1,0),FALSE)</f>
        <v>#N/A</v>
      </c>
      <c r="D64" s="72" t="str">
        <f t="shared" si="6"/>
        <v/>
      </c>
      <c r="E64" s="90" t="e">
        <f t="shared" si="7"/>
        <v>#N/A</v>
      </c>
      <c r="F64" s="197" t="str">
        <f t="shared" si="8"/>
        <v>5HT6R</v>
      </c>
      <c r="G64" s="102" t="e" cm="1">
        <f t="array" ref="G64">IF(AND(LEN(F64)&gt;0,LEN(D64:E64)=0),"Iuniq","")</f>
        <v>#N/A</v>
      </c>
      <c r="H64" s="100">
        <f>VLOOKUP($A64,'Inoue-TGFa-NotUsed'!$A:$AL,MATCH("log(Emax
/EC50)
Gq",'Inoue-TGFa-NotUsed'!$A$1:$AL$1,0),FALSE)</f>
        <v>5.6273324964312685</v>
      </c>
      <c r="I64" s="101">
        <f>VLOOKUP($A64,'Inoue-TGFa-NotUsed'!$A:$CQ,MATCH("pEC50
Gq",'Inoue-TGFa-NotUsed'!$A$1:$CQ$1,0),FALSE)</f>
        <v>6.77</v>
      </c>
      <c r="J64" s="101">
        <f>VLOOKUP($A64,'Inoue-TGFa-NotUsed'!$A:$BP,MATCH("Emax
Gq",'Inoue-TGFa-NotUsed'!$A$1:$BP$1,0),FALSE)</f>
        <v>7.2</v>
      </c>
      <c r="K64" s="101">
        <f>VLOOKUP($A64,'Inoue-TGFa-NotUsed'!$A:$CQ,MATCH("#SDs
Gq",'Inoue-TGFa-NotUsed'!$A$1:$CQ$1,0),FALSE)</f>
        <v>0.7851690294438386</v>
      </c>
    </row>
    <row r="65" spans="1:11" ht="18.75" customHeight="1">
      <c r="A65" s="51" t="s">
        <v>188</v>
      </c>
      <c r="B65" s="72">
        <f>VLOOKUP($A65,'Martemyanov-FreeGβγ-Nluc'!$A:$BG,MATCH("Gq",'Martemyanov-FreeGβγ-Nluc'!$A$1:$BG$1,0),FALSE)</f>
        <v>0.2165</v>
      </c>
      <c r="C65" s="92" t="e">
        <f>VLOOKUP($A65,'Bouvier-GEMTA'!$A:$CF,MATCH("Gq",'Bouvier-GEMTA'!$A$1:$CF$1,0),FALSE)</f>
        <v>#N/A</v>
      </c>
      <c r="D65" s="72" t="str">
        <f t="shared" si="6"/>
        <v>OXGR1</v>
      </c>
      <c r="E65" s="90" t="e">
        <f t="shared" si="7"/>
        <v>#N/A</v>
      </c>
      <c r="F65" s="197" t="str">
        <f t="shared" si="8"/>
        <v>OXGR1</v>
      </c>
      <c r="G65" s="102" t="e" cm="1">
        <f t="array" ref="G65">IF(AND(LEN(F65)&gt;0,LEN(D65:E65)=0),"Iuniq","")</f>
        <v>#N/A</v>
      </c>
      <c r="H65" s="100">
        <f>VLOOKUP($A65,'Inoue-TGFa-NotUsed'!$A:$AL,MATCH("log(Emax
/EC50)
Gq",'Inoue-TGFa-NotUsed'!$A$1:$AL$1,0),FALSE)</f>
        <v>3.9792317197309774</v>
      </c>
      <c r="I65" s="101">
        <f>VLOOKUP($A65,'Inoue-TGFa-NotUsed'!$A:$CQ,MATCH("pEC50
Gq",'Inoue-TGFa-NotUsed'!$A$1:$CQ$1,0),FALSE)</f>
        <v>5.1100000000000003</v>
      </c>
      <c r="J65" s="101">
        <f>VLOOKUP($A65,'Inoue-TGFa-NotUsed'!$A:$BP,MATCH("Emax
Gq",'Inoue-TGFa-NotUsed'!$A$1:$BP$1,0),FALSE)</f>
        <v>7.4</v>
      </c>
      <c r="K65" s="101">
        <f>VLOOKUP($A65,'Inoue-TGFa-NotUsed'!$A:$CQ,MATCH("#SDs
Gq",'Inoue-TGFa-NotUsed'!$A$1:$CQ$1,0),FALSE)</f>
        <v>4.7133757961783438</v>
      </c>
    </row>
    <row r="66" spans="1:11" ht="18.75" customHeight="1">
      <c r="A66" s="51" t="s">
        <v>25</v>
      </c>
      <c r="B66" s="72">
        <f>VLOOKUP($A66,'Martemyanov-FreeGβγ-Nluc'!$A:$BG,MATCH("Gq",'Martemyanov-FreeGβγ-Nluc'!$A$1:$BG$1,0),FALSE)</f>
        <v>0</v>
      </c>
      <c r="C66" s="92" t="e">
        <f>VLOOKUP($A66,'Bouvier-GEMTA'!$A:$CF,MATCH("Gq",'Bouvier-GEMTA'!$A$1:$CF$1,0),FALSE)</f>
        <v>#N/A</v>
      </c>
      <c r="D66" s="72" t="str">
        <f t="shared" si="6"/>
        <v/>
      </c>
      <c r="E66" s="90" t="e">
        <f t="shared" si="7"/>
        <v>#N/A</v>
      </c>
      <c r="F66" s="197" t="str">
        <f t="shared" si="8"/>
        <v>5HT7R</v>
      </c>
      <c r="G66" s="102" t="e" cm="1">
        <f t="array" ref="G66">IF(AND(LEN(F66)&gt;0,LEN(D66:E66)=0),"Iuniq","")</f>
        <v>#N/A</v>
      </c>
      <c r="H66" s="100">
        <f>VLOOKUP($A66,'Inoue-TGFa-NotUsed'!$A:$AL,MATCH("log(Emax
/EC50)
Gq",'Inoue-TGFa-NotUsed'!$A$1:$AL$1,0),FALSE)</f>
        <v>7.8334216851622358</v>
      </c>
      <c r="I66" s="101">
        <f>VLOOKUP($A66,'Inoue-TGFa-NotUsed'!$A:$CQ,MATCH("pEC50
Gq",'Inoue-TGFa-NotUsed'!$A$1:$CQ$1,0),FALSE)</f>
        <v>8.74</v>
      </c>
      <c r="J66" s="101">
        <f>VLOOKUP($A66,'Inoue-TGFa-NotUsed'!$A:$BP,MATCH("Emax
Gq",'Inoue-TGFa-NotUsed'!$A$1:$BP$1,0),FALSE)</f>
        <v>12.4</v>
      </c>
      <c r="K66" s="101">
        <f>VLOOKUP($A66,'Inoue-TGFa-NotUsed'!$A:$CQ,MATCH("#SDs
Gq",'Inoue-TGFa-NotUsed'!$A$1:$CQ$1,0),FALSE)</f>
        <v>2.3352165725047085</v>
      </c>
    </row>
    <row r="67" spans="1:11" ht="18.75" customHeight="1">
      <c r="A67" s="88" t="s">
        <v>36</v>
      </c>
      <c r="B67" s="72">
        <f>VLOOKUP($A67,'Martemyanov-FreeGβγ-Nluc'!$A:$BG,MATCH("Gq",'Martemyanov-FreeGβγ-Nluc'!$A$1:$BG$1,0),FALSE)</f>
        <v>0.20519999999999999</v>
      </c>
      <c r="C67" s="92" t="e">
        <f>VLOOKUP($A67,'Bouvier-GEMTA'!$A:$CF,MATCH("Gq",'Bouvier-GEMTA'!$A$1:$CF$1,0),FALSE)</f>
        <v>#N/A</v>
      </c>
      <c r="D67" s="72" t="str">
        <f t="shared" si="6"/>
        <v>ADA1D</v>
      </c>
      <c r="E67" s="90" t="e">
        <f t="shared" si="7"/>
        <v>#N/A</v>
      </c>
      <c r="F67" s="197" t="str">
        <f t="shared" si="8"/>
        <v>ADA1D</v>
      </c>
      <c r="G67" s="102" t="e" cm="1">
        <f t="array" ref="G67">IF(AND(LEN(F67)&gt;0,LEN(D67:E67)=0),"Iuniq","")</f>
        <v>#N/A</v>
      </c>
      <c r="H67" s="100">
        <f>VLOOKUP($A67,'Inoue-TGFa-NotUsed'!$A:$AL,MATCH("log(Emax
/EC50)
Gq",'Inoue-TGFa-NotUsed'!$A$1:$AL$1,0),FALSE)</f>
        <v>6.1131862684122753</v>
      </c>
      <c r="I67" s="101">
        <f>VLOOKUP($A67,'Inoue-TGFa-NotUsed'!$A:$CQ,MATCH("pEC50
Gq",'Inoue-TGFa-NotUsed'!$A$1:$CQ$1,0),FALSE)</f>
        <v>6.94</v>
      </c>
      <c r="J67" s="101">
        <f>VLOOKUP($A67,'Inoue-TGFa-NotUsed'!$A:$BP,MATCH("Emax
Gq",'Inoue-TGFa-NotUsed'!$A$1:$BP$1,0),FALSE)</f>
        <v>14.9</v>
      </c>
      <c r="K67" s="101">
        <f>VLOOKUP($A67,'Inoue-TGFa-NotUsed'!$A:$CQ,MATCH("#SDs
Gq",'Inoue-TGFa-NotUsed'!$A$1:$CQ$1,0),FALSE)</f>
        <v>3.1236897274633129</v>
      </c>
    </row>
    <row r="68" spans="1:11" ht="18.75" customHeight="1">
      <c r="A68" s="51" t="s">
        <v>199</v>
      </c>
      <c r="B68" s="72">
        <f>VLOOKUP($A68,'Martemyanov-FreeGβγ-Nluc'!$A:$BG,MATCH("Gq",'Martemyanov-FreeGβγ-Nluc'!$A$1:$BG$1,0),FALSE)</f>
        <v>0</v>
      </c>
      <c r="C68" s="92" t="e">
        <f>VLOOKUP($A68,'Bouvier-GEMTA'!$A:$CF,MATCH("Gq",'Bouvier-GEMTA'!$A$1:$CF$1,0),FALSE)</f>
        <v>#N/A</v>
      </c>
      <c r="D68" s="72" t="str">
        <f t="shared" si="6"/>
        <v/>
      </c>
      <c r="E68" s="90" t="e">
        <f t="shared" si="7"/>
        <v>#N/A</v>
      </c>
      <c r="F68" s="197" t="str">
        <f t="shared" si="8"/>
        <v>PTH2R</v>
      </c>
      <c r="G68" s="102" t="e" cm="1">
        <f t="array" ref="G68">IF(AND(LEN(F68)&gt;0,LEN(D68:E68)=0),"Iuniq","")</f>
        <v>#N/A</v>
      </c>
      <c r="H68" s="100">
        <f>VLOOKUP($A68,'Inoue-TGFa-NotUsed'!$A:$AL,MATCH("log(Emax
/EC50)
Gq",'Inoue-TGFa-NotUsed'!$A$1:$AL$1,0),FALSE)</f>
        <v>8.0748178230095391</v>
      </c>
      <c r="I68" s="101">
        <f>VLOOKUP($A68,'Inoue-TGFa-NotUsed'!$A:$CQ,MATCH("pEC50
Gq",'Inoue-TGFa-NotUsed'!$A$1:$CQ$1,0),FALSE)</f>
        <v>8.81</v>
      </c>
      <c r="J68" s="101">
        <f>VLOOKUP($A68,'Inoue-TGFa-NotUsed'!$A:$BP,MATCH("Emax
Gq",'Inoue-TGFa-NotUsed'!$A$1:$BP$1,0),FALSE)</f>
        <v>18.399999999999999</v>
      </c>
      <c r="K68" s="101">
        <f>VLOOKUP($A68,'Inoue-TGFa-NotUsed'!$A:$CQ,MATCH("#SDs
Gq",'Inoue-TGFa-NotUsed'!$A$1:$CQ$1,0),FALSE)</f>
        <v>2.7299703264094952</v>
      </c>
    </row>
    <row r="69" spans="1:11" ht="18.75" customHeight="1">
      <c r="A69" s="51" t="s">
        <v>23</v>
      </c>
      <c r="B69" s="72">
        <f>VLOOKUP($A69,'Martemyanov-FreeGβγ-Nluc'!$A:$BG,MATCH("Gq",'Martemyanov-FreeGβγ-Nluc'!$A$1:$BG$1,0),FALSE)</f>
        <v>0</v>
      </c>
      <c r="C69" s="92" t="e">
        <f>VLOOKUP($A69,'Bouvier-GEMTA'!$A:$CF,MATCH("Gq",'Bouvier-GEMTA'!$A$1:$CF$1,0),FALSE)</f>
        <v>#N/A</v>
      </c>
      <c r="D69" s="72" t="str">
        <f t="shared" si="6"/>
        <v/>
      </c>
      <c r="E69" s="90" t="e">
        <f t="shared" si="7"/>
        <v>#N/A</v>
      </c>
      <c r="F69" s="197" t="str">
        <f t="shared" si="8"/>
        <v>5HT4R</v>
      </c>
      <c r="G69" s="102" t="e" cm="1">
        <f t="array" ref="G69">IF(AND(LEN(F69)&gt;0,LEN(D69:E69)=0),"Iuniq","")</f>
        <v>#N/A</v>
      </c>
      <c r="H69" s="100">
        <f>VLOOKUP($A69,'Inoue-TGFa-NotUsed'!$A:$AL,MATCH("log(Emax
/EC50)
Gq",'Inoue-TGFa-NotUsed'!$A$1:$AL$1,0),FALSE)</f>
        <v>6.5000346113625191</v>
      </c>
      <c r="I69" s="101">
        <f>VLOOKUP($A69,'Inoue-TGFa-NotUsed'!$A:$CQ,MATCH("pEC50
Gq",'Inoue-TGFa-NotUsed'!$A$1:$CQ$1,0),FALSE)</f>
        <v>7.21</v>
      </c>
      <c r="J69" s="101">
        <f>VLOOKUP($A69,'Inoue-TGFa-NotUsed'!$A:$BP,MATCH("Emax
Gq",'Inoue-TGFa-NotUsed'!$A$1:$BP$1,0),FALSE)</f>
        <v>19.5</v>
      </c>
      <c r="K69" s="101">
        <f>VLOOKUP($A69,'Inoue-TGFa-NotUsed'!$A:$CQ,MATCH("#SDs
Gq",'Inoue-TGFa-NotUsed'!$A$1:$CQ$1,0),FALSE)</f>
        <v>12.1875</v>
      </c>
    </row>
    <row r="70" spans="1:11" ht="18.75" customHeight="1">
      <c r="A70" s="51" t="s">
        <v>121</v>
      </c>
      <c r="B70" s="72">
        <f>VLOOKUP($A70,'Martemyanov-FreeGβγ-Nluc'!$A:$BG,MATCH("Gq",'Martemyanov-FreeGβγ-Nluc'!$A$1:$BG$1,0),FALSE)</f>
        <v>0</v>
      </c>
      <c r="C70" s="92" t="e">
        <f>VLOOKUP($A70,'Bouvier-GEMTA'!$A:$CF,MATCH("Gq",'Bouvier-GEMTA'!$A$1:$CF$1,0),FALSE)</f>
        <v>#N/A</v>
      </c>
      <c r="D70" s="72" t="str">
        <f t="shared" si="6"/>
        <v/>
      </c>
      <c r="E70" s="90" t="e">
        <f t="shared" si="7"/>
        <v>#N/A</v>
      </c>
      <c r="F70" s="197" t="str">
        <f t="shared" si="8"/>
        <v>GALR1</v>
      </c>
      <c r="G70" s="102" t="e" cm="1">
        <f t="array" ref="G70">IF(AND(LEN(F70)&gt;0,LEN(D70:E70)=0),"Iuniq","")</f>
        <v>#N/A</v>
      </c>
      <c r="H70" s="100">
        <f>VLOOKUP($A70,'Inoue-TGFa-NotUsed'!$A:$AL,MATCH("log(Emax
/EC50)
Gq",'Inoue-TGFa-NotUsed'!$A$1:$AL$1,0),FALSE)</f>
        <v>6.5753513694466248</v>
      </c>
      <c r="I70" s="101">
        <f>VLOOKUP($A70,'Inoue-TGFa-NotUsed'!$A:$CQ,MATCH("pEC50
Gq",'Inoue-TGFa-NotUsed'!$A$1:$CQ$1,0),FALSE)</f>
        <v>7.27</v>
      </c>
      <c r="J70" s="101">
        <f>VLOOKUP($A70,'Inoue-TGFa-NotUsed'!$A:$BP,MATCH("Emax
Gq",'Inoue-TGFa-NotUsed'!$A$1:$BP$1,0),FALSE)</f>
        <v>20.2</v>
      </c>
      <c r="K70" s="101">
        <f>VLOOKUP($A70,'Inoue-TGFa-NotUsed'!$A:$CQ,MATCH("#SDs
Gq",'Inoue-TGFa-NotUsed'!$A$1:$CQ$1,0),FALSE)</f>
        <v>13.466666666666667</v>
      </c>
    </row>
    <row r="71" spans="1:11" ht="18.75" customHeight="1">
      <c r="A71" s="51" t="s">
        <v>162</v>
      </c>
      <c r="B71" s="72">
        <f>VLOOKUP($A71,'Martemyanov-FreeGβγ-Nluc'!$A:$BG,MATCH("Gq",'Martemyanov-FreeGβγ-Nluc'!$A$1:$BG$1,0),FALSE)</f>
        <v>9.6600000000000005E-2</v>
      </c>
      <c r="C71" s="92" t="e">
        <f>VLOOKUP($A71,'Bouvier-GEMTA'!$A:$CF,MATCH("Gq",'Bouvier-GEMTA'!$A$1:$CF$1,0),FALSE)</f>
        <v>#N/A</v>
      </c>
      <c r="D71" s="72" t="str">
        <f t="shared" si="6"/>
        <v>MC5R</v>
      </c>
      <c r="E71" s="90" t="e">
        <f t="shared" si="7"/>
        <v>#N/A</v>
      </c>
      <c r="F71" s="197" t="str">
        <f t="shared" si="8"/>
        <v>MC5R</v>
      </c>
      <c r="G71" s="102" t="e" cm="1">
        <f t="array" ref="G71">IF(AND(LEN(F71)&gt;0,LEN(D71:E71)=0),"Iuniq","")</f>
        <v>#N/A</v>
      </c>
      <c r="H71" s="100">
        <f>VLOOKUP($A71,'Inoue-TGFa-NotUsed'!$A:$AL,MATCH("log(Emax
/EC50)
Gq",'Inoue-TGFa-NotUsed'!$A$1:$AL$1,0),FALSE)</f>
        <v>5.0624226808222064</v>
      </c>
      <c r="I71" s="101">
        <f>VLOOKUP($A71,'Inoue-TGFa-NotUsed'!$A:$CQ,MATCH("pEC50
Gq",'Inoue-TGFa-NotUsed'!$A$1:$CQ$1,0),FALSE)</f>
        <v>5.72</v>
      </c>
      <c r="J71" s="101">
        <f>VLOOKUP($A71,'Inoue-TGFa-NotUsed'!$A:$BP,MATCH("Emax
Gq",'Inoue-TGFa-NotUsed'!$A$1:$BP$1,0),FALSE)</f>
        <v>22</v>
      </c>
      <c r="K71" s="101">
        <f>VLOOKUP($A71,'Inoue-TGFa-NotUsed'!$A:$CQ,MATCH("#SDs
Gq",'Inoue-TGFa-NotUsed'!$A$1:$CQ$1,0),FALSE)</f>
        <v>3.1383737517831669</v>
      </c>
    </row>
    <row r="72" spans="1:11" ht="18.75" customHeight="1">
      <c r="A72" s="51" t="s">
        <v>123</v>
      </c>
      <c r="B72" s="72">
        <f>VLOOKUP($A72,'Martemyanov-FreeGβγ-Nluc'!$A:$BG,MATCH("Gq",'Martemyanov-FreeGβγ-Nluc'!$A$1:$BG$1,0),FALSE)</f>
        <v>1.1101000000000001</v>
      </c>
      <c r="C72" s="92" t="e">
        <f>VLOOKUP($A72,'Bouvier-GEMTA'!$A:$CF,MATCH("Gq",'Bouvier-GEMTA'!$A$1:$CF$1,0),FALSE)</f>
        <v>#N/A</v>
      </c>
      <c r="D72" s="72" t="str">
        <f t="shared" si="6"/>
        <v>GALR2</v>
      </c>
      <c r="E72" s="90" t="e">
        <f t="shared" si="7"/>
        <v>#N/A</v>
      </c>
      <c r="F72" s="197" t="str">
        <f t="shared" si="8"/>
        <v>GALR2</v>
      </c>
      <c r="G72" s="102" t="e" cm="1">
        <f t="array" ref="G72">IF(AND(LEN(F72)&gt;0,LEN(D72:E72)=0),"Iuniq","")</f>
        <v>#N/A</v>
      </c>
      <c r="H72" s="100">
        <f>VLOOKUP($A72,'Inoue-TGFa-NotUsed'!$A:$AL,MATCH("log(Emax
/EC50)
Gq",'Inoue-TGFa-NotUsed'!$A$1:$AL$1,0),FALSE)</f>
        <v>8.1396737214810386</v>
      </c>
      <c r="I72" s="101">
        <f>VLOOKUP($A72,'Inoue-TGFa-NotUsed'!$A:$CQ,MATCH("pEC50
Gq",'Inoue-TGFa-NotUsed'!$A$1:$CQ$1,0),FALSE)</f>
        <v>8.74</v>
      </c>
      <c r="J72" s="101">
        <f>VLOOKUP($A72,'Inoue-TGFa-NotUsed'!$A:$BP,MATCH("Emax
Gq",'Inoue-TGFa-NotUsed'!$A$1:$BP$1,0),FALSE)</f>
        <v>25.1</v>
      </c>
      <c r="K72" s="101">
        <f>VLOOKUP($A72,'Inoue-TGFa-NotUsed'!$A:$CQ,MATCH("#SDs
Gq",'Inoue-TGFa-NotUsed'!$A$1:$CQ$1,0),FALSE)</f>
        <v>5.1646090534979425</v>
      </c>
    </row>
    <row r="73" spans="1:11" ht="18.75" customHeight="1">
      <c r="A73" s="88" t="s">
        <v>202</v>
      </c>
      <c r="B73" s="72">
        <f>VLOOKUP($A73,'Martemyanov-FreeGβγ-Nluc'!$A:$BG,MATCH("Gq",'Martemyanov-FreeGβγ-Nluc'!$A$1:$BG$1,0),FALSE)</f>
        <v>0</v>
      </c>
      <c r="C73" s="92" t="e">
        <f>VLOOKUP($A73,'Bouvier-GEMTA'!$A:$CF,MATCH("Gq",'Bouvier-GEMTA'!$A$1:$CF$1,0),FALSE)</f>
        <v>#N/A</v>
      </c>
      <c r="D73" s="72" t="str">
        <f t="shared" si="6"/>
        <v/>
      </c>
      <c r="E73" s="90" t="e">
        <f t="shared" si="7"/>
        <v>#N/A</v>
      </c>
      <c r="F73" s="197" t="str">
        <f t="shared" si="8"/>
        <v>PD2R</v>
      </c>
      <c r="G73" s="102" t="e" cm="1">
        <f t="array" ref="G73">IF(AND(LEN(F73)&gt;0,LEN(D73:E73)=0),"Iuniq","")</f>
        <v>#N/A</v>
      </c>
      <c r="H73" s="100">
        <f>VLOOKUP($A73,'Inoue-TGFa-NotUsed'!$A:$AL,MATCH("log(Emax
/EC50)
Gq",'Inoue-TGFa-NotUsed'!$A$1:$AL$1,0),FALSE)</f>
        <v>6.0632997640812532</v>
      </c>
      <c r="I73" s="101">
        <f>VLOOKUP($A73,'Inoue-TGFa-NotUsed'!$A:$CQ,MATCH("pEC50
Gq",'Inoue-TGFa-NotUsed'!$A$1:$CQ$1,0),FALSE)</f>
        <v>6.65</v>
      </c>
      <c r="J73" s="101">
        <f>VLOOKUP($A73,'Inoue-TGFa-NotUsed'!$A:$BP,MATCH("Emax
Gq",'Inoue-TGFa-NotUsed'!$A$1:$BP$1,0),FALSE)</f>
        <v>25.9</v>
      </c>
      <c r="K73" s="101">
        <f>VLOOKUP($A73,'Inoue-TGFa-NotUsed'!$A:$CQ,MATCH("#SDs
Gq",'Inoue-TGFa-NotUsed'!$A$1:$CQ$1,0),FALSE)</f>
        <v>3.1740196078431371</v>
      </c>
    </row>
    <row r="74" spans="1:11" ht="18.75" customHeight="1">
      <c r="A74" s="88" t="s">
        <v>30</v>
      </c>
      <c r="B74" s="72">
        <f>VLOOKUP($A74,'Martemyanov-FreeGβγ-Nluc'!$A:$BG,MATCH("Gq",'Martemyanov-FreeGβγ-Nluc'!$A$1:$BG$1,0),FALSE)</f>
        <v>2.8138999999999998</v>
      </c>
      <c r="C74" s="92" t="e">
        <f>VLOOKUP($A74,'Bouvier-GEMTA'!$A:$CF,MATCH("Gq",'Bouvier-GEMTA'!$A$1:$CF$1,0),FALSE)</f>
        <v>#N/A</v>
      </c>
      <c r="D74" s="72" t="str">
        <f t="shared" si="6"/>
        <v>ACM5</v>
      </c>
      <c r="E74" s="90" t="e">
        <f t="shared" si="7"/>
        <v>#N/A</v>
      </c>
      <c r="F74" s="197" t="str">
        <f t="shared" si="8"/>
        <v>ACM5</v>
      </c>
      <c r="G74" s="102" t="e" cm="1">
        <f t="array" ref="G74">IF(AND(LEN(F74)&gt;0,LEN(D74:E74)=0),"Iuniq","")</f>
        <v>#N/A</v>
      </c>
      <c r="H74" s="100">
        <f>VLOOKUP($A74,'Inoue-TGFa-NotUsed'!$A:$AL,MATCH("log(Emax
/EC50)
Gq",'Inoue-TGFa-NotUsed'!$A$1:$AL$1,0),FALSE)</f>
        <v>8.125604203273598</v>
      </c>
      <c r="I74" s="101">
        <f>VLOOKUP($A74,'Inoue-TGFa-NotUsed'!$A:$CQ,MATCH("pEC50
Gq",'Inoue-TGFa-NotUsed'!$A$1:$CQ$1,0),FALSE)</f>
        <v>8.68</v>
      </c>
      <c r="J74" s="101">
        <f>VLOOKUP($A74,'Inoue-TGFa-NotUsed'!$A:$BP,MATCH("Emax
Gq",'Inoue-TGFa-NotUsed'!$A$1:$BP$1,0),FALSE)</f>
        <v>27.9</v>
      </c>
      <c r="K74" s="101">
        <f>VLOOKUP($A74,'Inoue-TGFa-NotUsed'!$A:$CQ,MATCH("#SDs
Gq",'Inoue-TGFa-NotUsed'!$A$1:$CQ$1,0),FALSE)</f>
        <v>5.2345215759849903</v>
      </c>
    </row>
    <row r="75" spans="1:11" ht="18.75" customHeight="1">
      <c r="A75" s="51" t="s">
        <v>113</v>
      </c>
      <c r="B75" s="72">
        <f>VLOOKUP($A75,'Martemyanov-FreeGβγ-Nluc'!$A:$BG,MATCH("Gq",'Martemyanov-FreeGβγ-Nluc'!$A$1:$BG$1,0),FALSE)</f>
        <v>2.4119999999999999</v>
      </c>
      <c r="C75" s="92" t="e">
        <f>VLOOKUP($A75,'Bouvier-GEMTA'!$A:$CF,MATCH("Gq",'Bouvier-GEMTA'!$A$1:$CF$1,0),FALSE)</f>
        <v>#N/A</v>
      </c>
      <c r="D75" s="72" t="str">
        <f t="shared" si="6"/>
        <v>EDNRB</v>
      </c>
      <c r="E75" s="90" t="e">
        <f t="shared" si="7"/>
        <v>#N/A</v>
      </c>
      <c r="F75" s="197" t="str">
        <f t="shared" si="8"/>
        <v>EDNRB</v>
      </c>
      <c r="G75" s="102" t="e" cm="1">
        <f t="array" ref="G75">IF(AND(LEN(F75)&gt;0,LEN(D75:E75)=0),"Iuniq","")</f>
        <v>#N/A</v>
      </c>
      <c r="H75" s="100">
        <f>VLOOKUP($A75,'Inoue-TGFa-NotUsed'!$A:$AL,MATCH("log(Emax
/EC50)
Gq",'Inoue-TGFa-NotUsed'!$A$1:$AL$1,0),FALSE)</f>
        <v>9.3727564493172135</v>
      </c>
      <c r="I75" s="101">
        <f>VLOOKUP($A75,'Inoue-TGFa-NotUsed'!$A:$CQ,MATCH("pEC50
Gq",'Inoue-TGFa-NotUsed'!$A$1:$CQ$1,0),FALSE)</f>
        <v>9.9</v>
      </c>
      <c r="J75" s="101">
        <f>VLOOKUP($A75,'Inoue-TGFa-NotUsed'!$A:$BP,MATCH("Emax
Gq",'Inoue-TGFa-NotUsed'!$A$1:$BP$1,0),FALSE)</f>
        <v>29.7</v>
      </c>
      <c r="K75" s="101">
        <f>VLOOKUP($A75,'Inoue-TGFa-NotUsed'!$A:$CQ,MATCH("#SDs
Gq",'Inoue-TGFa-NotUsed'!$A$1:$CQ$1,0),FALSE)</f>
        <v>6.2394957983193278</v>
      </c>
    </row>
    <row r="76" spans="1:11" ht="18.75" customHeight="1">
      <c r="A76" s="51" t="s">
        <v>142</v>
      </c>
      <c r="B76" s="72">
        <f>VLOOKUP($A76,'Martemyanov-FreeGβγ-Nluc'!$A:$BG,MATCH("Gq",'Martemyanov-FreeGβγ-Nluc'!$A$1:$BG$1,0),FALSE)</f>
        <v>1.8262</v>
      </c>
      <c r="C76" s="92" t="e">
        <f>VLOOKUP($A76,'Bouvier-GEMTA'!$A:$CF,MATCH("Gq",'Bouvier-GEMTA'!$A$1:$CF$1,0),FALSE)</f>
        <v>#N/A</v>
      </c>
      <c r="D76" s="72" t="str">
        <f t="shared" si="6"/>
        <v>KISSR</v>
      </c>
      <c r="E76" s="90" t="e">
        <f t="shared" si="7"/>
        <v>#N/A</v>
      </c>
      <c r="F76" s="197" t="str">
        <f t="shared" si="8"/>
        <v>KISSR</v>
      </c>
      <c r="G76" s="102" t="e" cm="1">
        <f t="array" ref="G76">IF(AND(LEN(F76)&gt;0,LEN(D76:E76)=0),"Iuniq","")</f>
        <v>#N/A</v>
      </c>
      <c r="H76" s="100">
        <f>VLOOKUP($A76,'Inoue-TGFa-NotUsed'!$A:$AL,MATCH("log(Emax
/EC50)
Gq",'Inoue-TGFa-NotUsed'!$A$1:$AL$1,0),FALSE)</f>
        <v>8.8855443375464489</v>
      </c>
      <c r="I76" s="101">
        <f>VLOOKUP($A76,'Inoue-TGFa-NotUsed'!$A:$CQ,MATCH("pEC50
Gq",'Inoue-TGFa-NotUsed'!$A$1:$CQ$1,0),FALSE)</f>
        <v>9.39</v>
      </c>
      <c r="J76" s="101">
        <f>VLOOKUP($A76,'Inoue-TGFa-NotUsed'!$A:$BP,MATCH("Emax
Gq",'Inoue-TGFa-NotUsed'!$A$1:$BP$1,0),FALSE)</f>
        <v>31.3</v>
      </c>
      <c r="K76" s="101">
        <f>VLOOKUP($A76,'Inoue-TGFa-NotUsed'!$A:$CQ,MATCH("#SDs
Gq",'Inoue-TGFa-NotUsed'!$A$1:$CQ$1,0),FALSE)</f>
        <v>3.6480186480186481</v>
      </c>
    </row>
    <row r="77" spans="1:11" ht="18.75" customHeight="1">
      <c r="A77" s="88" t="s">
        <v>223</v>
      </c>
      <c r="B77" s="72">
        <f>VLOOKUP($A77,'Martemyanov-FreeGβγ-Nluc'!$A:$BG,MATCH("Gq",'Martemyanov-FreeGβγ-Nluc'!$A$1:$BG$1,0),FALSE)</f>
        <v>4.6421000000000001</v>
      </c>
      <c r="C77" s="92" t="e">
        <f>VLOOKUP($A77,'Bouvier-GEMTA'!$A:$CF,MATCH("Gq",'Bouvier-GEMTA'!$A$1:$CF$1,0),FALSE)</f>
        <v>#N/A</v>
      </c>
      <c r="D77" s="72" t="str">
        <f t="shared" si="6"/>
        <v>NK2R</v>
      </c>
      <c r="E77" s="90" t="e">
        <f t="shared" si="7"/>
        <v>#N/A</v>
      </c>
      <c r="F77" s="197" t="str">
        <f t="shared" si="8"/>
        <v>NK2R</v>
      </c>
      <c r="G77" s="102" t="e" cm="1">
        <f t="array" ref="G77">IF(AND(LEN(F77)&gt;0,LEN(D77:E77)=0),"Iuniq","")</f>
        <v>#N/A</v>
      </c>
      <c r="H77" s="100">
        <f>VLOOKUP($A77,'Inoue-TGFa-NotUsed'!$A:$AL,MATCH("log(Emax
/EC50)
Gq",'Inoue-TGFa-NotUsed'!$A$1:$AL$1,0),FALSE)</f>
        <v>9.509202522331103</v>
      </c>
      <c r="I77" s="101">
        <f>VLOOKUP($A77,'Inoue-TGFa-NotUsed'!$A:$CQ,MATCH("pEC50
Gq",'Inoue-TGFa-NotUsed'!$A$1:$CQ$1,0),FALSE)</f>
        <v>10</v>
      </c>
      <c r="J77" s="101">
        <f>VLOOKUP($A77,'Inoue-TGFa-NotUsed'!$A:$BP,MATCH("Emax
Gq",'Inoue-TGFa-NotUsed'!$A$1:$BP$1,0),FALSE)</f>
        <v>32.299999999999997</v>
      </c>
      <c r="K77" s="101">
        <f>VLOOKUP($A77,'Inoue-TGFa-NotUsed'!$A:$CQ,MATCH("#SDs
Gq",'Inoue-TGFa-NotUsed'!$A$1:$CQ$1,0),FALSE)</f>
        <v>4.6676300578034677</v>
      </c>
    </row>
    <row r="78" spans="1:11" ht="18.75" customHeight="1">
      <c r="A78" s="88" t="s">
        <v>81</v>
      </c>
      <c r="B78" s="72">
        <f>VLOOKUP($A78,'Martemyanov-FreeGβγ-Nluc'!$A:$BG,MATCH("Gq",'Martemyanov-FreeGβγ-Nluc'!$A$1:$BG$1,0),FALSE)</f>
        <v>4.1215000000000002</v>
      </c>
      <c r="C78" s="92" t="e">
        <f>VLOOKUP($A78,'Bouvier-GEMTA'!$A:$CF,MATCH("Gq",'Bouvier-GEMTA'!$A$1:$CF$1,0),FALSE)</f>
        <v>#N/A</v>
      </c>
      <c r="D78" s="72" t="str">
        <f t="shared" si="6"/>
        <v>GASR</v>
      </c>
      <c r="E78" s="90" t="e">
        <f t="shared" si="7"/>
        <v>#N/A</v>
      </c>
      <c r="F78" s="197" t="str">
        <f t="shared" si="8"/>
        <v>GASR</v>
      </c>
      <c r="G78" s="102" t="e" cm="1">
        <f t="array" ref="G78">IF(AND(LEN(F78)&gt;0,LEN(D78:E78)=0),"Iuniq","")</f>
        <v>#N/A</v>
      </c>
      <c r="H78" s="100">
        <f>VLOOKUP($A78,'Inoue-TGFa-NotUsed'!$A:$AL,MATCH("log(Emax
/EC50)
Gq",'Inoue-TGFa-NotUsed'!$A$1:$AL$1,0),FALSE)</f>
        <v>10.019076098792778</v>
      </c>
      <c r="I78" s="101">
        <f>VLOOKUP($A78,'Inoue-TGFa-NotUsed'!$A:$CQ,MATCH("pEC50
Gq",'Inoue-TGFa-NotUsed'!$A$1:$CQ$1,0),FALSE)</f>
        <v>10.48</v>
      </c>
      <c r="J78" s="101">
        <f>VLOOKUP($A78,'Inoue-TGFa-NotUsed'!$A:$BP,MATCH("Emax
Gq",'Inoue-TGFa-NotUsed'!$A$1:$BP$1,0),FALSE)</f>
        <v>34.6</v>
      </c>
      <c r="K78" s="101">
        <f>VLOOKUP($A78,'Inoue-TGFa-NotUsed'!$A:$CQ,MATCH("#SDs
Gq",'Inoue-TGFa-NotUsed'!$A$1:$CQ$1,0),FALSE)</f>
        <v>6.4432029795158288</v>
      </c>
    </row>
    <row r="79" spans="1:11" ht="18.75" customHeight="1">
      <c r="A79" s="88" t="s">
        <v>186</v>
      </c>
      <c r="B79" s="72">
        <f>VLOOKUP($A79,'Martemyanov-FreeGβγ-Nluc'!$A:$BG,MATCH("Gq",'Martemyanov-FreeGβγ-Nluc'!$A$1:$BG$1,0),FALSE)</f>
        <v>0.73150000000000004</v>
      </c>
      <c r="C79" s="92" t="e">
        <f>VLOOKUP($A79,'Bouvier-GEMTA'!$A:$CF,MATCH("Gq",'Bouvier-GEMTA'!$A$1:$CF$1,0),FALSE)</f>
        <v>#N/A</v>
      </c>
      <c r="D79" s="72" t="str">
        <f t="shared" si="6"/>
        <v>OX1R</v>
      </c>
      <c r="E79" s="90" t="e">
        <f t="shared" si="7"/>
        <v>#N/A</v>
      </c>
      <c r="F79" s="197" t="str">
        <f t="shared" si="8"/>
        <v>OX1R</v>
      </c>
      <c r="G79" s="102" t="e" cm="1">
        <f t="array" ref="G79">IF(AND(LEN(F79)&gt;0,LEN(D79:E79)=0),"Iuniq","")</f>
        <v>#N/A</v>
      </c>
      <c r="H79" s="100">
        <f>VLOOKUP($A79,'Inoue-TGFa-NotUsed'!$A:$AL,MATCH("log(Emax
/EC50)
Gq",'Inoue-TGFa-NotUsed'!$A$1:$AL$1,0),FALSE)</f>
        <v>8.8777747053878233</v>
      </c>
      <c r="I79" s="101">
        <f>VLOOKUP($A79,'Inoue-TGFa-NotUsed'!$A:$CQ,MATCH("pEC50
Gq",'Inoue-TGFa-NotUsed'!$A$1:$CQ$1,0),FALSE)</f>
        <v>9.33</v>
      </c>
      <c r="J79" s="101">
        <f>VLOOKUP($A79,'Inoue-TGFa-NotUsed'!$A:$BP,MATCH("Emax
Gq",'Inoue-TGFa-NotUsed'!$A$1:$BP$1,0),FALSE)</f>
        <v>35.299999999999997</v>
      </c>
      <c r="K79" s="101">
        <f>VLOOKUP($A79,'Inoue-TGFa-NotUsed'!$A:$CQ,MATCH("#SDs
Gq",'Inoue-TGFa-NotUsed'!$A$1:$CQ$1,0),FALSE)</f>
        <v>5.014204545454545</v>
      </c>
    </row>
    <row r="80" spans="1:11" ht="18.75" customHeight="1">
      <c r="A80" s="88" t="s">
        <v>224</v>
      </c>
      <c r="B80" s="72">
        <f>VLOOKUP($A80,'Martemyanov-FreeGβγ-Nluc'!$A:$BG,MATCH("Gq",'Martemyanov-FreeGβγ-Nluc'!$A$1:$BG$1,0),FALSE)</f>
        <v>2.867</v>
      </c>
      <c r="C80" s="92" t="e">
        <f>VLOOKUP($A80,'Bouvier-GEMTA'!$A:$CF,MATCH("Gq",'Bouvier-GEMTA'!$A$1:$CF$1,0),FALSE)</f>
        <v>#N/A</v>
      </c>
      <c r="D80" s="72" t="str">
        <f t="shared" si="6"/>
        <v>NK3R</v>
      </c>
      <c r="E80" s="90" t="e">
        <f t="shared" si="7"/>
        <v>#N/A</v>
      </c>
      <c r="F80" s="197" t="str">
        <f t="shared" si="8"/>
        <v>NK3R</v>
      </c>
      <c r="G80" s="102" t="e" cm="1">
        <f t="array" ref="G80">IF(AND(LEN(F80)&gt;0,LEN(D80:E80)=0),"Iuniq","")</f>
        <v>#N/A</v>
      </c>
      <c r="H80" s="100">
        <f>VLOOKUP($A80,'Inoue-TGFa-NotUsed'!$A:$AL,MATCH("log(Emax
/EC50)
Gq",'Inoue-TGFa-NotUsed'!$A$1:$AL$1,0),FALSE)</f>
        <v>8.1526682161121933</v>
      </c>
      <c r="I80" s="101">
        <f>VLOOKUP($A80,'Inoue-TGFa-NotUsed'!$A:$CQ,MATCH("pEC50
Gq",'Inoue-TGFa-NotUsed'!$A$1:$CQ$1,0),FALSE)</f>
        <v>8.6</v>
      </c>
      <c r="J80" s="101">
        <f>VLOOKUP($A80,'Inoue-TGFa-NotUsed'!$A:$BP,MATCH("Emax
Gq",'Inoue-TGFa-NotUsed'!$A$1:$BP$1,0),FALSE)</f>
        <v>35.700000000000003</v>
      </c>
      <c r="K80" s="101">
        <f>VLOOKUP($A80,'Inoue-TGFa-NotUsed'!$A:$CQ,MATCH("#SDs
Gq",'Inoue-TGFa-NotUsed'!$A$1:$CQ$1,0),FALSE)</f>
        <v>3.7460650577124874</v>
      </c>
    </row>
    <row r="81" spans="1:11" ht="18.75" customHeight="1">
      <c r="A81" s="88" t="s">
        <v>221</v>
      </c>
      <c r="B81" s="72">
        <f>VLOOKUP($A81,'Martemyanov-FreeGβγ-Nluc'!$A:$BG,MATCH("Gq",'Martemyanov-FreeGβγ-Nluc'!$A$1:$BG$1,0),FALSE)</f>
        <v>0</v>
      </c>
      <c r="C81" s="92" t="e">
        <f>VLOOKUP($A81,'Bouvier-GEMTA'!$A:$CF,MATCH("Gq",'Bouvier-GEMTA'!$A$1:$CF$1,0),FALSE)</f>
        <v>#N/A</v>
      </c>
      <c r="D81" s="72" t="str">
        <f t="shared" si="6"/>
        <v/>
      </c>
      <c r="E81" s="90" t="e">
        <f t="shared" si="7"/>
        <v>#N/A</v>
      </c>
      <c r="F81" s="197" t="str">
        <f t="shared" si="8"/>
        <v>SSR5</v>
      </c>
      <c r="G81" s="102" t="e" cm="1">
        <f t="array" ref="G81">IF(AND(LEN(F81)&gt;0,LEN(D81:E81)=0),"Iuniq","")</f>
        <v>#N/A</v>
      </c>
      <c r="H81" s="100">
        <f>VLOOKUP($A81,'Inoue-TGFa-NotUsed'!$A:$AL,MATCH("log(Emax
/EC50)
Gq",'Inoue-TGFa-NotUsed'!$A$1:$AL$1,0),FALSE)</f>
        <v>7.2646660642520899</v>
      </c>
      <c r="I81" s="101">
        <f>VLOOKUP($A81,'Inoue-TGFa-NotUsed'!$A:$CQ,MATCH("pEC50
Gq",'Inoue-TGFa-NotUsed'!$A$1:$CQ$1,0),FALSE)</f>
        <v>7.7</v>
      </c>
      <c r="J81" s="101">
        <f>VLOOKUP($A81,'Inoue-TGFa-NotUsed'!$A:$BP,MATCH("Emax
Gq",'Inoue-TGFa-NotUsed'!$A$1:$BP$1,0),FALSE)</f>
        <v>36.700000000000003</v>
      </c>
      <c r="K81" s="101">
        <f>VLOOKUP($A81,'Inoue-TGFa-NotUsed'!$A:$CQ,MATCH("#SDs
Gq",'Inoue-TGFa-NotUsed'!$A$1:$CQ$1,0),FALSE)</f>
        <v>5.9289176090468496</v>
      </c>
    </row>
    <row r="82" spans="1:11" ht="18.75" customHeight="1">
      <c r="A82" s="51" t="s">
        <v>179</v>
      </c>
      <c r="B82" s="72">
        <f>VLOOKUP($A82,'Martemyanov-FreeGβγ-Nluc'!$A:$BG,MATCH("Gq",'Martemyanov-FreeGβγ-Nluc'!$A$1:$BG$1,0),FALSE)</f>
        <v>4.1551999999999998</v>
      </c>
      <c r="C82" s="92" t="e">
        <f>VLOOKUP($A82,'Bouvier-GEMTA'!$A:$CF,MATCH("Gq",'Bouvier-GEMTA'!$A$1:$CF$1,0),FALSE)</f>
        <v>#N/A</v>
      </c>
      <c r="D82" s="72" t="str">
        <f t="shared" si="6"/>
        <v>NTR1</v>
      </c>
      <c r="E82" s="90" t="e">
        <f t="shared" si="7"/>
        <v>#N/A</v>
      </c>
      <c r="F82" s="197" t="str">
        <f t="shared" si="8"/>
        <v>NTR1</v>
      </c>
      <c r="G82" s="102" t="e" cm="1">
        <f t="array" ref="G82">IF(AND(LEN(F82)&gt;0,LEN(D82:E82)=0),"Iuniq","")</f>
        <v>#N/A</v>
      </c>
      <c r="H82" s="100">
        <f>VLOOKUP($A82,'Inoue-TGFa-NotUsed'!$A:$AL,MATCH("log(Emax
/EC50)
Gq",'Inoue-TGFa-NotUsed'!$A$1:$AL$1,0),FALSE)</f>
        <v>9.2928716022004814</v>
      </c>
      <c r="I82" s="101">
        <f>VLOOKUP($A82,'Inoue-TGFa-NotUsed'!$A:$CQ,MATCH("pEC50
Gq",'Inoue-TGFa-NotUsed'!$A$1:$CQ$1,0),FALSE)</f>
        <v>9.7200000000000006</v>
      </c>
      <c r="J82" s="101">
        <f>VLOOKUP($A82,'Inoue-TGFa-NotUsed'!$A:$BP,MATCH("Emax
Gq",'Inoue-TGFa-NotUsed'!$A$1:$BP$1,0),FALSE)</f>
        <v>37.4</v>
      </c>
      <c r="K82" s="101">
        <f>VLOOKUP($A82,'Inoue-TGFa-NotUsed'!$A:$CQ,MATCH("#SDs
Gq",'Inoue-TGFa-NotUsed'!$A$1:$CQ$1,0),FALSE)</f>
        <v>6.1111111111111107</v>
      </c>
    </row>
    <row r="83" spans="1:11" ht="18.75" customHeight="1">
      <c r="A83" s="51" t="s">
        <v>50</v>
      </c>
      <c r="B83" s="72">
        <f>VLOOKUP($A83,'Martemyanov-FreeGβγ-Nluc'!$A:$BG,MATCH("Gq",'Martemyanov-FreeGβγ-Nluc'!$A$1:$BG$1,0),FALSE)</f>
        <v>4.5693000000000001</v>
      </c>
      <c r="C83" s="92" t="e">
        <f>VLOOKUP($A83,'Bouvier-GEMTA'!$A:$CF,MATCH("Gq",'Bouvier-GEMTA'!$A$1:$CF$1,0),FALSE)</f>
        <v>#N/A</v>
      </c>
      <c r="D83" s="72" t="str">
        <f t="shared" si="6"/>
        <v>GRPR</v>
      </c>
      <c r="E83" s="90" t="e">
        <f t="shared" si="7"/>
        <v>#N/A</v>
      </c>
      <c r="F83" s="197" t="str">
        <f t="shared" si="8"/>
        <v>GRPR</v>
      </c>
      <c r="G83" s="102" t="e" cm="1">
        <f t="array" ref="G83">IF(AND(LEN(F83)&gt;0,LEN(D83:E83)=0),"Iuniq","")</f>
        <v>#N/A</v>
      </c>
      <c r="H83" s="100">
        <f>VLOOKUP($A83,'Inoue-TGFa-NotUsed'!$A:$AL,MATCH("log(Emax
/EC50)
Gq",'Inoue-TGFa-NotUsed'!$A$1:$AL$1,0),FALSE)</f>
        <v>9.9420633629117088</v>
      </c>
      <c r="I83" s="101">
        <f>VLOOKUP($A83,'Inoue-TGFa-NotUsed'!$A:$CQ,MATCH("pEC50
Gq",'Inoue-TGFa-NotUsed'!$A$1:$CQ$1,0),FALSE)</f>
        <v>10.36</v>
      </c>
      <c r="J83" s="101">
        <f>VLOOKUP($A83,'Inoue-TGFa-NotUsed'!$A:$BP,MATCH("Emax
Gq",'Inoue-TGFa-NotUsed'!$A$1:$BP$1,0),FALSE)</f>
        <v>38.200000000000003</v>
      </c>
      <c r="K83" s="101">
        <f>VLOOKUP($A83,'Inoue-TGFa-NotUsed'!$A:$CQ,MATCH("#SDs
Gq",'Inoue-TGFa-NotUsed'!$A$1:$CQ$1,0),FALSE)</f>
        <v>3.1596360628618694</v>
      </c>
    </row>
    <row r="84" spans="1:11" ht="18.75" customHeight="1">
      <c r="A84" s="88" t="s">
        <v>222</v>
      </c>
      <c r="B84" s="72">
        <f>VLOOKUP($A84,'Martemyanov-FreeGβγ-Nluc'!$A:$BG,MATCH("Gq",'Martemyanov-FreeGβγ-Nluc'!$A$1:$BG$1,0),FALSE)</f>
        <v>4.2347999999999999</v>
      </c>
      <c r="C84" s="92" t="e">
        <f>VLOOKUP($A84,'Bouvier-GEMTA'!$A:$CF,MATCH("Gq",'Bouvier-GEMTA'!$A$1:$CF$1,0),FALSE)</f>
        <v>#N/A</v>
      </c>
      <c r="D84" s="72" t="str">
        <f t="shared" si="6"/>
        <v>NK1R</v>
      </c>
      <c r="E84" s="90" t="e">
        <f t="shared" si="7"/>
        <v>#N/A</v>
      </c>
      <c r="F84" s="197" t="str">
        <f t="shared" si="8"/>
        <v>NK1R</v>
      </c>
      <c r="G84" s="102" t="e" cm="1">
        <f t="array" ref="G84">IF(AND(LEN(F84)&gt;0,LEN(D84:E84)=0),"Iuniq","")</f>
        <v>#N/A</v>
      </c>
      <c r="H84" s="100">
        <f>VLOOKUP($A84,'Inoue-TGFa-NotUsed'!$A:$AL,MATCH("log(Emax
/EC50)
Gq",'Inoue-TGFa-NotUsed'!$A$1:$AL$1,0),FALSE)</f>
        <v>9.4909728956867507</v>
      </c>
      <c r="I84" s="101">
        <f>VLOOKUP($A84,'Inoue-TGFa-NotUsed'!$A:$CQ,MATCH("pEC50
Gq",'Inoue-TGFa-NotUsed'!$A$1:$CQ$1,0),FALSE)</f>
        <v>9.89</v>
      </c>
      <c r="J84" s="101">
        <f>VLOOKUP($A84,'Inoue-TGFa-NotUsed'!$A:$BP,MATCH("Emax
Gq",'Inoue-TGFa-NotUsed'!$A$1:$BP$1,0),FALSE)</f>
        <v>39.9</v>
      </c>
      <c r="K84" s="101">
        <f>VLOOKUP($A84,'Inoue-TGFa-NotUsed'!$A:$CQ,MATCH("#SDs
Gq",'Inoue-TGFa-NotUsed'!$A$1:$CQ$1,0),FALSE)</f>
        <v>5.8936484490398824</v>
      </c>
    </row>
    <row r="85" spans="1:11" ht="18.75" customHeight="1">
      <c r="A85" s="88" t="s">
        <v>35</v>
      </c>
      <c r="B85" s="72">
        <f>VLOOKUP($A85,'Martemyanov-FreeGβγ-Nluc'!$A:$BG,MATCH("Gq",'Martemyanov-FreeGβγ-Nluc'!$A$1:$BG$1,0),FALSE)</f>
        <v>0.4405</v>
      </c>
      <c r="C85" s="92" t="e">
        <f>VLOOKUP($A85,'Bouvier-GEMTA'!$A:$CF,MATCH("Gq",'Bouvier-GEMTA'!$A$1:$CF$1,0),FALSE)</f>
        <v>#N/A</v>
      </c>
      <c r="D85" s="72" t="str">
        <f t="shared" ref="D85:D118" si="9">IF(B85&gt;0,$A85,"")</f>
        <v>ADA1B</v>
      </c>
      <c r="E85" s="90" t="e">
        <f t="shared" ref="E85:E118" si="10">IF(C85&gt;0,$A85,"")</f>
        <v>#N/A</v>
      </c>
      <c r="F85" s="197" t="str">
        <f t="shared" ref="F85:F118" si="11">IF(H85&gt;0,$A85,"")</f>
        <v>ADA1B</v>
      </c>
      <c r="G85" s="102" t="e" cm="1">
        <f t="array" ref="G85">IF(AND(LEN(F85)&gt;0,LEN(D85:E85)=0),"Iuniq","")</f>
        <v>#N/A</v>
      </c>
      <c r="H85" s="100">
        <f>VLOOKUP($A85,'Inoue-TGFa-NotUsed'!$A:$AL,MATCH("log(Emax
/EC50)
Gq",'Inoue-TGFa-NotUsed'!$A$1:$AL$1,0),FALSE)</f>
        <v>7.0717233080073418</v>
      </c>
      <c r="I85" s="101">
        <f>VLOOKUP($A85,'Inoue-TGFa-NotUsed'!$A:$CQ,MATCH("pEC50
Gq",'Inoue-TGFa-NotUsed'!$A$1:$CQ$1,0),FALSE)</f>
        <v>7.46</v>
      </c>
      <c r="J85" s="101">
        <f>VLOOKUP($A85,'Inoue-TGFa-NotUsed'!$A:$BP,MATCH("Emax
Gq",'Inoue-TGFa-NotUsed'!$A$1:$BP$1,0),FALSE)</f>
        <v>40.9</v>
      </c>
      <c r="K85" s="101">
        <f>VLOOKUP($A85,'Inoue-TGFa-NotUsed'!$A:$CQ,MATCH("#SDs
Gq",'Inoue-TGFa-NotUsed'!$A$1:$CQ$1,0),FALSE)</f>
        <v>4.4945054945054945</v>
      </c>
    </row>
    <row r="86" spans="1:11" ht="18.75" customHeight="1">
      <c r="A86" s="88" t="s">
        <v>229</v>
      </c>
      <c r="B86" s="72">
        <f>VLOOKUP($A86,'Martemyanov-FreeGβγ-Nluc'!$A:$BG,MATCH("Gq",'Martemyanov-FreeGβγ-Nluc'!$A$1:$BG$1,0),FALSE)</f>
        <v>0.64039999999999997</v>
      </c>
      <c r="C86" s="92" t="e">
        <f>VLOOKUP($A86,'Bouvier-GEMTA'!$A:$CF,MATCH("Gq",'Bouvier-GEMTA'!$A$1:$CF$1,0),FALSE)</f>
        <v>#N/A</v>
      </c>
      <c r="D86" s="72" t="str">
        <f t="shared" si="9"/>
        <v>V1BR</v>
      </c>
      <c r="E86" s="90" t="e">
        <f t="shared" si="10"/>
        <v>#N/A</v>
      </c>
      <c r="F86" s="197" t="str">
        <f t="shared" si="11"/>
        <v>V1BR</v>
      </c>
      <c r="G86" s="102" t="e" cm="1">
        <f t="array" ref="G86">IF(AND(LEN(F86)&gt;0,LEN(D86:E86)=0),"Iuniq","")</f>
        <v>#N/A</v>
      </c>
      <c r="H86" s="100">
        <f>VLOOKUP($A86,'Inoue-TGFa-NotUsed'!$A:$AL,MATCH("log(Emax
/EC50)
Gq",'Inoue-TGFa-NotUsed'!$A$1:$AL$1,0),FALSE)</f>
        <v>9.493841821876071</v>
      </c>
      <c r="I86" s="101">
        <f>VLOOKUP($A86,'Inoue-TGFa-NotUsed'!$A:$CQ,MATCH("pEC50
Gq",'Inoue-TGFa-NotUsed'!$A$1:$CQ$1,0),FALSE)</f>
        <v>9.8800000000000008</v>
      </c>
      <c r="J86" s="101">
        <f>VLOOKUP($A86,'Inoue-TGFa-NotUsed'!$A:$BP,MATCH("Emax
Gq",'Inoue-TGFa-NotUsed'!$A$1:$BP$1,0),FALSE)</f>
        <v>41.1</v>
      </c>
      <c r="K86" s="101">
        <f>VLOOKUP($A86,'Inoue-TGFa-NotUsed'!$A:$CQ,MATCH("#SDs
Gq",'Inoue-TGFa-NotUsed'!$A$1:$CQ$1,0),FALSE)</f>
        <v>6.3425925925925926</v>
      </c>
    </row>
    <row r="87" spans="1:11" ht="18.75" customHeight="1">
      <c r="A87" s="88" t="s">
        <v>209</v>
      </c>
      <c r="B87" s="72">
        <f>VLOOKUP($A87,'Martemyanov-FreeGβγ-Nluc'!$A:$BG,MATCH("Gq",'Martemyanov-FreeGβγ-Nluc'!$A$1:$BG$1,0),FALSE)</f>
        <v>0.2</v>
      </c>
      <c r="C87" s="92" t="e">
        <f>VLOOKUP($A87,'Bouvier-GEMTA'!$A:$CF,MATCH("Gq",'Bouvier-GEMTA'!$A$1:$CF$1,0),FALSE)</f>
        <v>#N/A</v>
      </c>
      <c r="D87" s="72" t="str">
        <f t="shared" si="9"/>
        <v>TA2R</v>
      </c>
      <c r="E87" s="90" t="e">
        <f t="shared" si="10"/>
        <v>#N/A</v>
      </c>
      <c r="F87" s="197" t="str">
        <f t="shared" si="11"/>
        <v>TA2R</v>
      </c>
      <c r="G87" s="102" t="e" cm="1">
        <f t="array" ref="G87">IF(AND(LEN(F87)&gt;0,LEN(D87:E87)=0),"Iuniq","")</f>
        <v>#N/A</v>
      </c>
      <c r="H87" s="100">
        <f>VLOOKUP($A87,'Inoue-TGFa-NotUsed'!$A:$AL,MATCH("log(Emax
/EC50)
Gq",'Inoue-TGFa-NotUsed'!$A$1:$AL$1,0),FALSE)</f>
        <v>8.7684892569546395</v>
      </c>
      <c r="I87" s="101">
        <f>VLOOKUP($A87,'Inoue-TGFa-NotUsed'!$A:$CQ,MATCH("pEC50
Gq",'Inoue-TGFa-NotUsed'!$A$1:$CQ$1,0),FALSE)</f>
        <v>9.1300000000000008</v>
      </c>
      <c r="J87" s="101">
        <f>VLOOKUP($A87,'Inoue-TGFa-NotUsed'!$A:$BP,MATCH("Emax
Gq",'Inoue-TGFa-NotUsed'!$A$1:$BP$1,0),FALSE)</f>
        <v>43.5</v>
      </c>
      <c r="K87" s="101">
        <f>VLOOKUP($A87,'Inoue-TGFa-NotUsed'!$A:$CQ,MATCH("#SDs
Gq",'Inoue-TGFa-NotUsed'!$A$1:$CQ$1,0),FALSE)</f>
        <v>7.298657718120805</v>
      </c>
    </row>
    <row r="88" spans="1:11" ht="18.75" customHeight="1">
      <c r="A88" s="88" t="s">
        <v>231</v>
      </c>
      <c r="B88" s="72">
        <f>VLOOKUP($A88,'Martemyanov-FreeGβγ-Nluc'!$A:$BG,MATCH("Gq",'Martemyanov-FreeGβγ-Nluc'!$A$1:$BG$1,0),FALSE)</f>
        <v>0.37809999999999999</v>
      </c>
      <c r="C88" s="92" t="e">
        <f>VLOOKUP($A88,'Bouvier-GEMTA'!$A:$CF,MATCH("Gq",'Bouvier-GEMTA'!$A$1:$CF$1,0),FALSE)</f>
        <v>#N/A</v>
      </c>
      <c r="D88" s="72" t="str">
        <f t="shared" si="9"/>
        <v>PACR</v>
      </c>
      <c r="E88" s="90" t="e">
        <f t="shared" si="10"/>
        <v>#N/A</v>
      </c>
      <c r="F88" s="197" t="str">
        <f t="shared" si="11"/>
        <v>PACR</v>
      </c>
      <c r="G88" s="102" t="e" cm="1">
        <f t="array" ref="G88">IF(AND(LEN(F88)&gt;0,LEN(D88:E88)=0),"Iuniq","")</f>
        <v>#N/A</v>
      </c>
      <c r="H88" s="100">
        <f>VLOOKUP($A88,'Inoue-TGFa-NotUsed'!$A:$AL,MATCH("log(Emax
/EC50)
Gq",'Inoue-TGFa-NotUsed'!$A$1:$AL$1,0),FALSE)</f>
        <v>8.1014741105041015</v>
      </c>
      <c r="I88" s="101">
        <f>VLOOKUP($A88,'Inoue-TGFa-NotUsed'!$A:$CQ,MATCH("pEC50
Gq",'Inoue-TGFa-NotUsed'!$A$1:$CQ$1,0),FALSE)</f>
        <v>8.4600000000000009</v>
      </c>
      <c r="J88" s="101">
        <f>VLOOKUP($A88,'Inoue-TGFa-NotUsed'!$A:$BP,MATCH("Emax
Gq",'Inoue-TGFa-NotUsed'!$A$1:$BP$1,0),FALSE)</f>
        <v>43.8</v>
      </c>
      <c r="K88" s="101">
        <f>VLOOKUP($A88,'Inoue-TGFa-NotUsed'!$A:$CQ,MATCH("#SDs
Gq",'Inoue-TGFa-NotUsed'!$A$1:$CQ$1,0),FALSE)</f>
        <v>21.576354679802957</v>
      </c>
    </row>
    <row r="89" spans="1:11" ht="18.75" customHeight="1">
      <c r="A89" s="51" t="s">
        <v>170</v>
      </c>
      <c r="B89" s="72">
        <f>VLOOKUP($A89,'Martemyanov-FreeGβγ-Nluc'!$A:$BG,MATCH("Gq",'Martemyanov-FreeGβγ-Nluc'!$A$1:$BG$1,0),FALSE)</f>
        <v>0</v>
      </c>
      <c r="C89" s="92">
        <f>VLOOKUP($A89,'Bouvier-GEMTA'!$A:$CF,MATCH("Gq",'Bouvier-GEMTA'!$A$1:$CF$1,0),FALSE)</f>
        <v>0</v>
      </c>
      <c r="D89" s="72" t="str">
        <f t="shared" si="9"/>
        <v/>
      </c>
      <c r="E89" s="90" t="str">
        <f t="shared" si="10"/>
        <v/>
      </c>
      <c r="F89" s="197" t="e">
        <f t="shared" si="11"/>
        <v>#N/A</v>
      </c>
      <c r="G89" s="102" t="e" cm="1">
        <f t="array" ref="G89">IF(AND(LEN(F89)&gt;0,LEN(D89:E89)=0),"Iuniq","")</f>
        <v>#N/A</v>
      </c>
      <c r="H89" s="100" t="e">
        <f>VLOOKUP($A89,'Inoue-TGFa-NotUsed'!$A:$AL,MATCH("log(Emax
/EC50)
Gq",'Inoue-TGFa-NotUsed'!$A$1:$AL$1,0),FALSE)</f>
        <v>#N/A</v>
      </c>
      <c r="I89" s="101" t="e">
        <f>VLOOKUP($A89,'Inoue-TGFa-NotUsed'!$A:$CQ,MATCH("pEC50
Gq",'Inoue-TGFa-NotUsed'!$A$1:$CQ$1,0),FALSE)</f>
        <v>#N/A</v>
      </c>
      <c r="J89" s="101" t="e">
        <f>VLOOKUP($A89,'Inoue-TGFa-NotUsed'!$A:$BP,MATCH("Emax
Gq",'Inoue-TGFa-NotUsed'!$A$1:$BP$1,0),FALSE)</f>
        <v>#N/A</v>
      </c>
      <c r="K89" s="101" t="e">
        <f>VLOOKUP($A89,'Inoue-TGFa-NotUsed'!$A:$CQ,MATCH("#SDs
Gq",'Inoue-TGFa-NotUsed'!$A$1:$CQ$1,0),FALSE)</f>
        <v>#N/A</v>
      </c>
    </row>
    <row r="90" spans="1:11" ht="18.75" customHeight="1">
      <c r="A90" s="51" t="s">
        <v>169</v>
      </c>
      <c r="B90" s="72">
        <f>VLOOKUP($A90,'Martemyanov-FreeGβγ-Nluc'!$A:$BG,MATCH("Gq",'Martemyanov-FreeGβγ-Nluc'!$A$1:$BG$1,0),FALSE)</f>
        <v>0</v>
      </c>
      <c r="C90" s="92">
        <f>VLOOKUP($A90,'Bouvier-GEMTA'!$A:$CF,MATCH("Gq",'Bouvier-GEMTA'!$A$1:$CF$1,0),FALSE)</f>
        <v>0</v>
      </c>
      <c r="D90" s="72" t="str">
        <f t="shared" si="9"/>
        <v/>
      </c>
      <c r="E90" s="90" t="str">
        <f t="shared" si="10"/>
        <v/>
      </c>
      <c r="F90" s="197" t="e">
        <f t="shared" si="11"/>
        <v>#N/A</v>
      </c>
      <c r="G90" s="102" t="e" cm="1">
        <f t="array" ref="G90">IF(AND(LEN(F90)&gt;0,LEN(D90:E90)=0),"Iuniq","")</f>
        <v>#N/A</v>
      </c>
      <c r="H90" s="100" t="e">
        <f>VLOOKUP($A90,'Inoue-TGFa-NotUsed'!$A:$AL,MATCH("log(Emax
/EC50)
Gq",'Inoue-TGFa-NotUsed'!$A$1:$AL$1,0),FALSE)</f>
        <v>#N/A</v>
      </c>
      <c r="I90" s="101" t="e">
        <f>VLOOKUP($A90,'Inoue-TGFa-NotUsed'!$A:$CQ,MATCH("pEC50
Gq",'Inoue-TGFa-NotUsed'!$A$1:$CQ$1,0),FALSE)</f>
        <v>#N/A</v>
      </c>
      <c r="J90" s="101" t="e">
        <f>VLOOKUP($A90,'Inoue-TGFa-NotUsed'!$A:$BP,MATCH("Emax
Gq",'Inoue-TGFa-NotUsed'!$A$1:$BP$1,0),FALSE)</f>
        <v>#N/A</v>
      </c>
      <c r="K90" s="101" t="e">
        <f>VLOOKUP($A90,'Inoue-TGFa-NotUsed'!$A:$CQ,MATCH("#SDs
Gq",'Inoue-TGFa-NotUsed'!$A$1:$CQ$1,0),FALSE)</f>
        <v>#N/A</v>
      </c>
    </row>
    <row r="91" spans="1:11" ht="18.75" customHeight="1">
      <c r="A91" s="51" t="s">
        <v>177</v>
      </c>
      <c r="B91" s="72">
        <f>VLOOKUP($A91,'Martemyanov-FreeGβγ-Nluc'!$A:$BG,MATCH("Gq",'Martemyanov-FreeGβγ-Nluc'!$A$1:$BG$1,0),FALSE)</f>
        <v>0</v>
      </c>
      <c r="C91" s="92">
        <f>VLOOKUP($A91,'Bouvier-GEMTA'!$A:$CF,MATCH("Gq",'Bouvier-GEMTA'!$A$1:$CF$1,0),FALSE)</f>
        <v>0</v>
      </c>
      <c r="D91" s="72" t="str">
        <f t="shared" si="9"/>
        <v/>
      </c>
      <c r="E91" s="90" t="str">
        <f t="shared" si="10"/>
        <v/>
      </c>
      <c r="F91" s="197" t="e">
        <f t="shared" si="11"/>
        <v>#N/A</v>
      </c>
      <c r="G91" s="102" t="e" cm="1">
        <f t="array" ref="G91">IF(AND(LEN(F91)&gt;0,LEN(D91:E91)=0),"Iuniq","")</f>
        <v>#N/A</v>
      </c>
      <c r="H91" s="100" t="e">
        <f>VLOOKUP($A91,'Inoue-TGFa-NotUsed'!$A:$AL,MATCH("log(Emax
/EC50)
Gq",'Inoue-TGFa-NotUsed'!$A$1:$AL$1,0),FALSE)</f>
        <v>#N/A</v>
      </c>
      <c r="I91" s="101" t="e">
        <f>VLOOKUP($A91,'Inoue-TGFa-NotUsed'!$A:$CQ,MATCH("pEC50
Gq",'Inoue-TGFa-NotUsed'!$A$1:$CQ$1,0),FALSE)</f>
        <v>#N/A</v>
      </c>
      <c r="J91" s="101" t="e">
        <f>VLOOKUP($A91,'Inoue-TGFa-NotUsed'!$A:$BP,MATCH("Emax
Gq",'Inoue-TGFa-NotUsed'!$A$1:$BP$1,0),FALSE)</f>
        <v>#N/A</v>
      </c>
      <c r="K91" s="101" t="e">
        <f>VLOOKUP($A91,'Inoue-TGFa-NotUsed'!$A:$CQ,MATCH("#SDs
Gq",'Inoue-TGFa-NotUsed'!$A$1:$CQ$1,0),FALSE)</f>
        <v>#N/A</v>
      </c>
    </row>
    <row r="92" spans="1:11" ht="18.75" customHeight="1">
      <c r="A92" s="51" t="s">
        <v>0</v>
      </c>
      <c r="B92" s="72">
        <f>VLOOKUP($A92,'Martemyanov-FreeGβγ-Nluc'!$A:$BG,MATCH("Gq",'Martemyanov-FreeGβγ-Nluc'!$A$1:$BG$1,0),FALSE)</f>
        <v>0.3301</v>
      </c>
      <c r="C92" s="92">
        <f>VLOOKUP($A92,'Bouvier-GEMTA'!$A:$CF,MATCH("Gq",'Bouvier-GEMTA'!$A$1:$CF$1,0),FALSE)</f>
        <v>5.5296794286232291</v>
      </c>
      <c r="D92" s="72" t="str">
        <f t="shared" si="9"/>
        <v>GRM5</v>
      </c>
      <c r="E92" s="90" t="str">
        <f t="shared" si="10"/>
        <v>GRM5</v>
      </c>
      <c r="F92" s="197" t="e">
        <f t="shared" si="11"/>
        <v>#N/A</v>
      </c>
      <c r="G92" s="102" t="e" cm="1">
        <f t="array" ref="G92">IF(AND(LEN(F92)&gt;0,LEN(D92:E92)=0),"Iuniq","")</f>
        <v>#N/A</v>
      </c>
      <c r="H92" s="100" t="e">
        <f>VLOOKUP($A92,'Inoue-TGFa-NotUsed'!$A:$AL,MATCH("log(Emax
/EC50)
Gq",'Inoue-TGFa-NotUsed'!$A$1:$AL$1,0),FALSE)</f>
        <v>#N/A</v>
      </c>
      <c r="I92" s="101" t="e">
        <f>VLOOKUP($A92,'Inoue-TGFa-NotUsed'!$A:$CQ,MATCH("pEC50
Gq",'Inoue-TGFa-NotUsed'!$A$1:$CQ$1,0),FALSE)</f>
        <v>#N/A</v>
      </c>
      <c r="J92" s="101" t="e">
        <f>VLOOKUP($A92,'Inoue-TGFa-NotUsed'!$A:$BP,MATCH("Emax
Gq",'Inoue-TGFa-NotUsed'!$A$1:$BP$1,0),FALSE)</f>
        <v>#N/A</v>
      </c>
      <c r="K92" s="101" t="e">
        <f>VLOOKUP($A92,'Inoue-TGFa-NotUsed'!$A:$CQ,MATCH("#SDs
Gq",'Inoue-TGFa-NotUsed'!$A$1:$CQ$1,0),FALSE)</f>
        <v>#N/A</v>
      </c>
    </row>
    <row r="93" spans="1:11" ht="18.75" customHeight="1">
      <c r="A93" s="51" t="s">
        <v>76</v>
      </c>
      <c r="B93" s="72">
        <f>VLOOKUP($A93,'Martemyanov-FreeGβγ-Nluc'!$A:$BG,MATCH("Gq",'Martemyanov-FreeGβγ-Nluc'!$A$1:$BG$1,0),FALSE)</f>
        <v>0</v>
      </c>
      <c r="C93" s="92">
        <f>VLOOKUP($A93,'Bouvier-GEMTA'!$A:$CF,MATCH("Gq",'Bouvier-GEMTA'!$A$1:$CF$1,0),FALSE)</f>
        <v>0</v>
      </c>
      <c r="D93" s="72" t="str">
        <f t="shared" si="9"/>
        <v/>
      </c>
      <c r="E93" s="90" t="str">
        <f t="shared" si="10"/>
        <v/>
      </c>
      <c r="F93" s="197" t="e">
        <f t="shared" si="11"/>
        <v>#N/A</v>
      </c>
      <c r="G93" s="102" t="e" cm="1">
        <f t="array" ref="G93">IF(AND(LEN(F93)&gt;0,LEN(D93:E93)=0),"Iuniq","")</f>
        <v>#N/A</v>
      </c>
      <c r="H93" s="100" t="e">
        <f>VLOOKUP($A93,'Inoue-TGFa-NotUsed'!$A:$AL,MATCH("log(Emax
/EC50)
Gq",'Inoue-TGFa-NotUsed'!$A$1:$AL$1,0),FALSE)</f>
        <v>#N/A</v>
      </c>
      <c r="I93" s="101" t="e">
        <f>VLOOKUP($A93,'Inoue-TGFa-NotUsed'!$A:$CQ,MATCH("pEC50
Gq",'Inoue-TGFa-NotUsed'!$A$1:$CQ$1,0),FALSE)</f>
        <v>#N/A</v>
      </c>
      <c r="J93" s="101" t="e">
        <f>VLOOKUP($A93,'Inoue-TGFa-NotUsed'!$A:$BP,MATCH("Emax
Gq",'Inoue-TGFa-NotUsed'!$A$1:$BP$1,0),FALSE)</f>
        <v>#N/A</v>
      </c>
      <c r="K93" s="101" t="e">
        <f>VLOOKUP($A93,'Inoue-TGFa-NotUsed'!$A:$CQ,MATCH("#SDs
Gq",'Inoue-TGFa-NotUsed'!$A$1:$CQ$1,0),FALSE)</f>
        <v>#N/A</v>
      </c>
    </row>
    <row r="94" spans="1:11" ht="18.75" customHeight="1">
      <c r="A94" s="51" t="s">
        <v>167</v>
      </c>
      <c r="B94" s="72">
        <f>VLOOKUP($A94,'Martemyanov-FreeGβγ-Nluc'!$A:$BG,MATCH("Gq",'Martemyanov-FreeGβγ-Nluc'!$A$1:$BG$1,0),FALSE)</f>
        <v>0</v>
      </c>
      <c r="C94" s="92">
        <f>VLOOKUP($A94,'Bouvier-GEMTA'!$A:$CF,MATCH("Gq",'Bouvier-GEMTA'!$A$1:$CF$1,0),FALSE)</f>
        <v>0</v>
      </c>
      <c r="D94" s="72" t="str">
        <f t="shared" si="9"/>
        <v/>
      </c>
      <c r="E94" s="90" t="str">
        <f t="shared" si="10"/>
        <v/>
      </c>
      <c r="F94" s="197" t="e">
        <f t="shared" si="11"/>
        <v>#N/A</v>
      </c>
      <c r="G94" s="102" t="e" cm="1">
        <f t="array" ref="G94">IF(AND(LEN(F94)&gt;0,LEN(D94:E94)=0),"Iuniq","")</f>
        <v>#N/A</v>
      </c>
      <c r="H94" s="100" t="e">
        <f>VLOOKUP($A94,'Inoue-TGFa-NotUsed'!$A:$AL,MATCH("log(Emax
/EC50)
Gq",'Inoue-TGFa-NotUsed'!$A$1:$AL$1,0),FALSE)</f>
        <v>#N/A</v>
      </c>
      <c r="I94" s="101" t="e">
        <f>VLOOKUP($A94,'Inoue-TGFa-NotUsed'!$A:$CQ,MATCH("pEC50
Gq",'Inoue-TGFa-NotUsed'!$A$1:$CQ$1,0),FALSE)</f>
        <v>#N/A</v>
      </c>
      <c r="J94" s="101" t="e">
        <f>VLOOKUP($A94,'Inoue-TGFa-NotUsed'!$A:$BP,MATCH("Emax
Gq",'Inoue-TGFa-NotUsed'!$A$1:$BP$1,0),FALSE)</f>
        <v>#N/A</v>
      </c>
      <c r="K94" s="101" t="e">
        <f>VLOOKUP($A94,'Inoue-TGFa-NotUsed'!$A:$CQ,MATCH("#SDs
Gq",'Inoue-TGFa-NotUsed'!$A$1:$CQ$1,0),FALSE)</f>
        <v>#N/A</v>
      </c>
    </row>
    <row r="95" spans="1:11" ht="18.75" customHeight="1">
      <c r="A95" s="51" t="s">
        <v>168</v>
      </c>
      <c r="B95" s="72">
        <f>VLOOKUP($A95,'Martemyanov-FreeGβγ-Nluc'!$A:$BG,MATCH("Gq",'Martemyanov-FreeGβγ-Nluc'!$A$1:$BG$1,0),FALSE)</f>
        <v>0</v>
      </c>
      <c r="C95" s="92">
        <f>VLOOKUP($A95,'Bouvier-GEMTA'!$A:$CF,MATCH("Gq",'Bouvier-GEMTA'!$A$1:$CF$1,0),FALSE)</f>
        <v>0</v>
      </c>
      <c r="D95" s="72" t="str">
        <f t="shared" si="9"/>
        <v/>
      </c>
      <c r="E95" s="90" t="str">
        <f t="shared" si="10"/>
        <v/>
      </c>
      <c r="F95" s="197" t="e">
        <f t="shared" si="11"/>
        <v>#N/A</v>
      </c>
      <c r="G95" s="102" t="e" cm="1">
        <f t="array" ref="G95">IF(AND(LEN(F95)&gt;0,LEN(D95:E95)=0),"Iuniq","")</f>
        <v>#N/A</v>
      </c>
      <c r="H95" s="100" t="e">
        <f>VLOOKUP($A95,'Inoue-TGFa-NotUsed'!$A:$AL,MATCH("log(Emax
/EC50)
Gq",'Inoue-TGFa-NotUsed'!$A$1:$AL$1,0),FALSE)</f>
        <v>#N/A</v>
      </c>
      <c r="I95" s="101" t="e">
        <f>VLOOKUP($A95,'Inoue-TGFa-NotUsed'!$A:$CQ,MATCH("pEC50
Gq",'Inoue-TGFa-NotUsed'!$A$1:$CQ$1,0),FALSE)</f>
        <v>#N/A</v>
      </c>
      <c r="J95" s="101" t="e">
        <f>VLOOKUP($A95,'Inoue-TGFa-NotUsed'!$A:$BP,MATCH("Emax
Gq",'Inoue-TGFa-NotUsed'!$A$1:$BP$1,0),FALSE)</f>
        <v>#N/A</v>
      </c>
      <c r="K95" s="101" t="e">
        <f>VLOOKUP($A95,'Inoue-TGFa-NotUsed'!$A:$CQ,MATCH("#SDs
Gq",'Inoue-TGFa-NotUsed'!$A$1:$CQ$1,0),FALSE)</f>
        <v>#N/A</v>
      </c>
    </row>
    <row r="96" spans="1:11" ht="18.75" customHeight="1">
      <c r="A96" s="51" t="s">
        <v>178</v>
      </c>
      <c r="B96" s="72">
        <f>VLOOKUP($A96,'Martemyanov-FreeGβγ-Nluc'!$A:$BG,MATCH("Gq",'Martemyanov-FreeGβγ-Nluc'!$A$1:$BG$1,0),FALSE)</f>
        <v>0</v>
      </c>
      <c r="C96" s="92">
        <f>VLOOKUP($A96,'Bouvier-GEMTA'!$A:$CF,MATCH("Gq",'Bouvier-GEMTA'!$A$1:$CF$1,0),FALSE)</f>
        <v>0</v>
      </c>
      <c r="D96" s="72" t="str">
        <f t="shared" si="9"/>
        <v/>
      </c>
      <c r="E96" s="90" t="str">
        <f t="shared" si="10"/>
        <v/>
      </c>
      <c r="F96" s="197" t="e">
        <f t="shared" si="11"/>
        <v>#N/A</v>
      </c>
      <c r="G96" s="102" t="e" cm="1">
        <f t="array" ref="G96">IF(AND(LEN(F96)&gt;0,LEN(D96:E96)=0),"Iuniq","")</f>
        <v>#N/A</v>
      </c>
      <c r="H96" s="100" t="e">
        <f>VLOOKUP($A96,'Inoue-TGFa-NotUsed'!$A:$AL,MATCH("log(Emax
/EC50)
Gq",'Inoue-TGFa-NotUsed'!$A$1:$AL$1,0),FALSE)</f>
        <v>#N/A</v>
      </c>
      <c r="I96" s="101" t="e">
        <f>VLOOKUP($A96,'Inoue-TGFa-NotUsed'!$A:$CQ,MATCH("pEC50
Gq",'Inoue-TGFa-NotUsed'!$A$1:$CQ$1,0),FALSE)</f>
        <v>#N/A</v>
      </c>
      <c r="J96" s="101" t="e">
        <f>VLOOKUP($A96,'Inoue-TGFa-NotUsed'!$A:$BP,MATCH("Emax
Gq",'Inoue-TGFa-NotUsed'!$A$1:$BP$1,0),FALSE)</f>
        <v>#N/A</v>
      </c>
      <c r="K96" s="101" t="e">
        <f>VLOOKUP($A96,'Inoue-TGFa-NotUsed'!$A:$CQ,MATCH("#SDs
Gq",'Inoue-TGFa-NotUsed'!$A$1:$CQ$1,0),FALSE)</f>
        <v>#N/A</v>
      </c>
    </row>
    <row r="97" spans="1:11" ht="18.75" customHeight="1">
      <c r="A97" s="51" t="s">
        <v>55</v>
      </c>
      <c r="B97" s="72">
        <f>VLOOKUP($A97,'Martemyanov-FreeGβγ-Nluc'!$A:$BG,MATCH("Gq",'Martemyanov-FreeGβγ-Nluc'!$A$1:$BG$1,0),FALSE)</f>
        <v>0</v>
      </c>
      <c r="C97" s="92">
        <f>VLOOKUP($A97,'Bouvier-GEMTA'!$A:$CF,MATCH("Gq",'Bouvier-GEMTA'!$A$1:$CF$1,0),FALSE)</f>
        <v>7.927186950022155</v>
      </c>
      <c r="D97" s="72" t="str">
        <f t="shared" si="9"/>
        <v/>
      </c>
      <c r="E97" s="90" t="str">
        <f t="shared" si="10"/>
        <v>CALCR</v>
      </c>
      <c r="F97" s="197" t="e">
        <f t="shared" si="11"/>
        <v>#N/A</v>
      </c>
      <c r="G97" s="102" t="e" cm="1">
        <f t="array" ref="G97">IF(AND(LEN(F97)&gt;0,LEN(D97:E97)=0),"Iuniq","")</f>
        <v>#N/A</v>
      </c>
      <c r="H97" s="100" t="e">
        <f>VLOOKUP($A97,'Inoue-TGFa-NotUsed'!$A:$AL,MATCH("log(Emax
/EC50)
Gq",'Inoue-TGFa-NotUsed'!$A$1:$AL$1,0),FALSE)</f>
        <v>#N/A</v>
      </c>
      <c r="I97" s="101" t="e">
        <f>VLOOKUP($A97,'Inoue-TGFa-NotUsed'!$A:$CQ,MATCH("pEC50
Gq",'Inoue-TGFa-NotUsed'!$A$1:$CQ$1,0),FALSE)</f>
        <v>#N/A</v>
      </c>
      <c r="J97" s="101" t="e">
        <f>VLOOKUP($A97,'Inoue-TGFa-NotUsed'!$A:$BP,MATCH("Emax
Gq",'Inoue-TGFa-NotUsed'!$A$1:$BP$1,0),FALSE)</f>
        <v>#N/A</v>
      </c>
      <c r="K97" s="101" t="e">
        <f>VLOOKUP($A97,'Inoue-TGFa-NotUsed'!$A:$CQ,MATCH("#SDs
Gq",'Inoue-TGFa-NotUsed'!$A$1:$CQ$1,0),FALSE)</f>
        <v>#N/A</v>
      </c>
    </row>
    <row r="98" spans="1:11" ht="18.75" customHeight="1">
      <c r="A98" s="88" t="s">
        <v>130</v>
      </c>
      <c r="B98" s="72">
        <f>VLOOKUP($A98,'Martemyanov-FreeGβγ-Nluc'!$A:$BG,MATCH("Gq",'Martemyanov-FreeGβγ-Nluc'!$A$1:$BG$1,0),FALSE)</f>
        <v>0.11169999999999999</v>
      </c>
      <c r="C98" s="92">
        <f>VLOOKUP($A98,'Bouvier-GEMTA'!$A:$CF,MATCH("Gq",'Bouvier-GEMTA'!$A$1:$CF$1,0),FALSE)</f>
        <v>6.2494986443226219</v>
      </c>
      <c r="D98" s="72" t="str">
        <f t="shared" si="9"/>
        <v>GLR</v>
      </c>
      <c r="E98" s="90" t="str">
        <f t="shared" si="10"/>
        <v>GLR</v>
      </c>
      <c r="F98" s="197" t="e">
        <f t="shared" si="11"/>
        <v>#N/A</v>
      </c>
      <c r="G98" s="102" t="e" cm="1">
        <f t="array" ref="G98">IF(AND(LEN(F98)&gt;0,LEN(D98:E98)=0),"Iuniq","")</f>
        <v>#N/A</v>
      </c>
      <c r="H98" s="100" t="e">
        <f>VLOOKUP($A98,'Inoue-TGFa-NotUsed'!$A:$AL,MATCH("log(Emax
/EC50)
Gq",'Inoue-TGFa-NotUsed'!$A$1:$AL$1,0),FALSE)</f>
        <v>#N/A</v>
      </c>
      <c r="I98" s="101" t="e">
        <f>VLOOKUP($A98,'Inoue-TGFa-NotUsed'!$A:$CQ,MATCH("pEC50
Gq",'Inoue-TGFa-NotUsed'!$A$1:$CQ$1,0),FALSE)</f>
        <v>#N/A</v>
      </c>
      <c r="J98" s="101" t="e">
        <f>VLOOKUP($A98,'Inoue-TGFa-NotUsed'!$A:$BP,MATCH("Emax
Gq",'Inoue-TGFa-NotUsed'!$A$1:$BP$1,0),FALSE)</f>
        <v>#N/A</v>
      </c>
      <c r="K98" s="101" t="e">
        <f>VLOOKUP($A98,'Inoue-TGFa-NotUsed'!$A:$CQ,MATCH("#SDs
Gq",'Inoue-TGFa-NotUsed'!$A$1:$CQ$1,0),FALSE)</f>
        <v>#N/A</v>
      </c>
    </row>
    <row r="99" spans="1:11" ht="18.75" customHeight="1">
      <c r="A99" s="51" t="s">
        <v>232</v>
      </c>
      <c r="B99" s="72">
        <f>VLOOKUP($A99,'Martemyanov-FreeGβγ-Nluc'!$A:$BG,MATCH("Gq",'Martemyanov-FreeGβγ-Nluc'!$A$1:$BG$1,0),FALSE)</f>
        <v>7.4899999999999994E-2</v>
      </c>
      <c r="C99" s="92">
        <f>VLOOKUP($A99,'Bouvier-GEMTA'!$A:$CF,MATCH("Gq",'Bouvier-GEMTA'!$A$1:$CF$1,0),FALSE)</f>
        <v>7.9384765604716847</v>
      </c>
      <c r="D99" s="72" t="str">
        <f t="shared" si="9"/>
        <v>VIPR1</v>
      </c>
      <c r="E99" s="90" t="str">
        <f t="shared" si="10"/>
        <v>VIPR1</v>
      </c>
      <c r="F99" s="197" t="e">
        <f t="shared" si="11"/>
        <v>#N/A</v>
      </c>
      <c r="G99" s="102" t="e" cm="1">
        <f t="array" ref="G99">IF(AND(LEN(F99)&gt;0,LEN(D99:E99)=0),"Iuniq","")</f>
        <v>#N/A</v>
      </c>
      <c r="H99" s="100" t="e">
        <f>VLOOKUP($A99,'Inoue-TGFa-NotUsed'!$A:$AL,MATCH("log(Emax
/EC50)
Gq",'Inoue-TGFa-NotUsed'!$A$1:$AL$1,0),FALSE)</f>
        <v>#N/A</v>
      </c>
      <c r="I99" s="101" t="e">
        <f>VLOOKUP($A99,'Inoue-TGFa-NotUsed'!$A:$CQ,MATCH("pEC50
Gq",'Inoue-TGFa-NotUsed'!$A$1:$CQ$1,0),FALSE)</f>
        <v>#N/A</v>
      </c>
      <c r="J99" s="101" t="e">
        <f>VLOOKUP($A99,'Inoue-TGFa-NotUsed'!$A:$BP,MATCH("Emax
Gq",'Inoue-TGFa-NotUsed'!$A$1:$BP$1,0),FALSE)</f>
        <v>#N/A</v>
      </c>
      <c r="K99" s="101" t="e">
        <f>VLOOKUP($A99,'Inoue-TGFa-NotUsed'!$A:$CQ,MATCH("#SDs
Gq",'Inoue-TGFa-NotUsed'!$A$1:$CQ$1,0),FALSE)</f>
        <v>#N/A</v>
      </c>
    </row>
    <row r="100" spans="1:11" ht="18.75" customHeight="1">
      <c r="A100" s="88" t="s">
        <v>2893</v>
      </c>
      <c r="B100" s="72">
        <f>VLOOKUP($A100,'Martemyanov-FreeGβγ-Nluc'!$A:$BG,MATCH("Gq",'Martemyanov-FreeGβγ-Nluc'!$A$1:$BG$1,0),FALSE)</f>
        <v>0</v>
      </c>
      <c r="C100" s="92">
        <f>VLOOKUP($A100,'Bouvier-GEMTA'!$A:$CF,MATCH("Gq",'Bouvier-GEMTA'!$A$1:$CF$1,0),FALSE)</f>
        <v>0</v>
      </c>
      <c r="D100" s="72" t="str">
        <f t="shared" si="9"/>
        <v/>
      </c>
      <c r="E100" s="90" t="str">
        <f t="shared" si="10"/>
        <v/>
      </c>
      <c r="F100" s="197" t="e">
        <f t="shared" si="11"/>
        <v>#N/A</v>
      </c>
      <c r="G100" s="102" t="e" cm="1">
        <f t="array" ref="G100">IF(AND(LEN(F100)&gt;0,LEN(D100:E100)=0),"Iuniq","")</f>
        <v>#N/A</v>
      </c>
      <c r="H100" s="100" t="e">
        <f>VLOOKUP($A100,'Inoue-TGFa-NotUsed'!$A:$AL,MATCH("log(Emax
/EC50)
Gq",'Inoue-TGFa-NotUsed'!$A$1:$AL$1,0),FALSE)</f>
        <v>#N/A</v>
      </c>
      <c r="I100" s="101" t="e">
        <f>VLOOKUP($A100,'Inoue-TGFa-NotUsed'!$A:$CQ,MATCH("pEC50
Gq",'Inoue-TGFa-NotUsed'!$A$1:$CQ$1,0),FALSE)</f>
        <v>#N/A</v>
      </c>
      <c r="J100" s="101" t="e">
        <f>VLOOKUP($A100,'Inoue-TGFa-NotUsed'!$A:$BP,MATCH("Emax
Gq",'Inoue-TGFa-NotUsed'!$A$1:$BP$1,0),FALSE)</f>
        <v>#N/A</v>
      </c>
      <c r="K100" s="101" t="e">
        <f>VLOOKUP($A100,'Inoue-TGFa-NotUsed'!$A:$CQ,MATCH("#SDs
Gq",'Inoue-TGFa-NotUsed'!$A$1:$CQ$1,0),FALSE)</f>
        <v>#N/A</v>
      </c>
    </row>
    <row r="101" spans="1:11" ht="18.75" customHeight="1">
      <c r="A101" s="51" t="s">
        <v>128</v>
      </c>
      <c r="B101" s="72">
        <f>VLOOKUP($A101,'Martemyanov-FreeGβγ-Nluc'!$A:$BG,MATCH("Gq",'Martemyanov-FreeGβγ-Nluc'!$A$1:$BG$1,0),FALSE)</f>
        <v>0</v>
      </c>
      <c r="C101" s="92">
        <f>VLOOKUP($A101,'Bouvier-GEMTA'!$A:$CF,MATCH("Gq",'Bouvier-GEMTA'!$A$1:$CF$1,0),FALSE)</f>
        <v>0</v>
      </c>
      <c r="D101" s="72" t="str">
        <f t="shared" si="9"/>
        <v/>
      </c>
      <c r="E101" s="90" t="str">
        <f t="shared" si="10"/>
        <v/>
      </c>
      <c r="F101" s="197" t="e">
        <f t="shared" si="11"/>
        <v>#N/A</v>
      </c>
      <c r="G101" s="102" t="e" cm="1">
        <f t="array" ref="G101">IF(AND(LEN(F101)&gt;0,LEN(D101:E101)=0),"Iuniq","")</f>
        <v>#N/A</v>
      </c>
      <c r="H101" s="100" t="e">
        <f>VLOOKUP($A101,'Inoue-TGFa-NotUsed'!$A:$AL,MATCH("log(Emax
/EC50)
Gq",'Inoue-TGFa-NotUsed'!$A$1:$AL$1,0),FALSE)</f>
        <v>#N/A</v>
      </c>
      <c r="I101" s="101" t="e">
        <f>VLOOKUP($A101,'Inoue-TGFa-NotUsed'!$A:$CQ,MATCH("pEC50
Gq",'Inoue-TGFa-NotUsed'!$A$1:$CQ$1,0),FALSE)</f>
        <v>#N/A</v>
      </c>
      <c r="J101" s="101" t="e">
        <f>VLOOKUP($A101,'Inoue-TGFa-NotUsed'!$A:$BP,MATCH("Emax
Gq",'Inoue-TGFa-NotUsed'!$A$1:$BP$1,0),FALSE)</f>
        <v>#N/A</v>
      </c>
      <c r="K101" s="101" t="e">
        <f>VLOOKUP($A101,'Inoue-TGFa-NotUsed'!$A:$CQ,MATCH("#SDs
Gq",'Inoue-TGFa-NotUsed'!$A$1:$CQ$1,0),FALSE)</f>
        <v>#N/A</v>
      </c>
    </row>
    <row r="102" spans="1:11" ht="18.75" customHeight="1">
      <c r="A102" s="51" t="s">
        <v>129</v>
      </c>
      <c r="B102" s="72">
        <f>VLOOKUP($A102,'Martemyanov-FreeGβγ-Nluc'!$A:$BG,MATCH("Gq",'Martemyanov-FreeGβγ-Nluc'!$A$1:$BG$1,0),FALSE)</f>
        <v>0</v>
      </c>
      <c r="C102" s="92">
        <f>VLOOKUP($A102,'Bouvier-GEMTA'!$A:$CF,MATCH("Gq",'Bouvier-GEMTA'!$A$1:$CF$1,0),FALSE)</f>
        <v>0</v>
      </c>
      <c r="D102" s="72" t="str">
        <f t="shared" si="9"/>
        <v/>
      </c>
      <c r="E102" s="90" t="str">
        <f t="shared" si="10"/>
        <v/>
      </c>
      <c r="F102" s="197" t="e">
        <f t="shared" si="11"/>
        <v>#N/A</v>
      </c>
      <c r="G102" s="102" t="e" cm="1">
        <f t="array" ref="G102">IF(AND(LEN(F102)&gt;0,LEN(D102:E102)=0),"Iuniq","")</f>
        <v>#N/A</v>
      </c>
      <c r="H102" s="100" t="e">
        <f>VLOOKUP($A102,'Inoue-TGFa-NotUsed'!$A:$AL,MATCH("log(Emax
/EC50)
Gq",'Inoue-TGFa-NotUsed'!$A$1:$AL$1,0),FALSE)</f>
        <v>#N/A</v>
      </c>
      <c r="I102" s="101" t="e">
        <f>VLOOKUP($A102,'Inoue-TGFa-NotUsed'!$A:$CQ,MATCH("pEC50
Gq",'Inoue-TGFa-NotUsed'!$A$1:$CQ$1,0),FALSE)</f>
        <v>#N/A</v>
      </c>
      <c r="J102" s="101" t="e">
        <f>VLOOKUP($A102,'Inoue-TGFa-NotUsed'!$A:$BP,MATCH("Emax
Gq",'Inoue-TGFa-NotUsed'!$A$1:$BP$1,0),FALSE)</f>
        <v>#N/A</v>
      </c>
      <c r="K102" s="101" t="e">
        <f>VLOOKUP($A102,'Inoue-TGFa-NotUsed'!$A:$CQ,MATCH("#SDs
Gq",'Inoue-TGFa-NotUsed'!$A$1:$CQ$1,0),FALSE)</f>
        <v>#N/A</v>
      </c>
    </row>
    <row r="103" spans="1:11" ht="18.75" customHeight="1">
      <c r="A103" s="88" t="s">
        <v>2896</v>
      </c>
      <c r="B103" s="72">
        <f>VLOOKUP($A103,'Martemyanov-FreeGβγ-Nluc'!$A:$BG,MATCH("Gq",'Martemyanov-FreeGβγ-Nluc'!$A$1:$BG$1,0),FALSE)</f>
        <v>0</v>
      </c>
      <c r="C103" s="92">
        <f>VLOOKUP($A103,'Bouvier-GEMTA'!$A:$CF,MATCH("Gq",'Bouvier-GEMTA'!$A$1:$CF$1,0),FALSE)</f>
        <v>0</v>
      </c>
      <c r="D103" s="72" t="str">
        <f t="shared" si="9"/>
        <v/>
      </c>
      <c r="E103" s="90" t="str">
        <f t="shared" si="10"/>
        <v/>
      </c>
      <c r="F103" s="197" t="e">
        <f t="shared" si="11"/>
        <v>#N/A</v>
      </c>
      <c r="G103" s="102" t="e" cm="1">
        <f t="array" ref="G103">IF(AND(LEN(F103)&gt;0,LEN(D103:E103)=0),"Iuniq","")</f>
        <v>#N/A</v>
      </c>
      <c r="H103" s="100" t="e">
        <f>VLOOKUP($A103,'Inoue-TGFa-NotUsed'!$A:$AL,MATCH("log(Emax
/EC50)
Gq",'Inoue-TGFa-NotUsed'!$A$1:$AL$1,0),FALSE)</f>
        <v>#N/A</v>
      </c>
      <c r="I103" s="101" t="e">
        <f>VLOOKUP($A103,'Inoue-TGFa-NotUsed'!$A:$CQ,MATCH("pEC50
Gq",'Inoue-TGFa-NotUsed'!$A$1:$CQ$1,0),FALSE)</f>
        <v>#N/A</v>
      </c>
      <c r="J103" s="101" t="e">
        <f>VLOOKUP($A103,'Inoue-TGFa-NotUsed'!$A:$BP,MATCH("Emax
Gq",'Inoue-TGFa-NotUsed'!$A$1:$BP$1,0),FALSE)</f>
        <v>#N/A</v>
      </c>
      <c r="K103" s="101" t="e">
        <f>VLOOKUP($A103,'Inoue-TGFa-NotUsed'!$A:$CQ,MATCH("#SDs
Gq",'Inoue-TGFa-NotUsed'!$A$1:$CQ$1,0),FALSE)</f>
        <v>#N/A</v>
      </c>
    </row>
    <row r="104" spans="1:11" ht="18.75" customHeight="1">
      <c r="A104" s="88" t="s">
        <v>48</v>
      </c>
      <c r="B104" s="72">
        <f>VLOOKUP($A104,'Martemyanov-FreeGβγ-Nluc'!$A:$BG,MATCH("Gq",'Martemyanov-FreeGβγ-Nluc'!$A$1:$BG$1,0),FALSE)</f>
        <v>0</v>
      </c>
      <c r="C104" s="92">
        <f>VLOOKUP($A104,'Bouvier-GEMTA'!$A:$CF,MATCH("Gq",'Bouvier-GEMTA'!$A$1:$CF$1,0),FALSE)</f>
        <v>0</v>
      </c>
      <c r="D104" s="72" t="str">
        <f t="shared" si="9"/>
        <v/>
      </c>
      <c r="E104" s="90" t="str">
        <f t="shared" si="10"/>
        <v/>
      </c>
      <c r="F104" s="197" t="e">
        <f t="shared" si="11"/>
        <v>#N/A</v>
      </c>
      <c r="G104" s="102" t="e" cm="1">
        <f t="array" ref="G104">IF(AND(LEN(F104)&gt;0,LEN(D104:E104)=0),"Iuniq","")</f>
        <v>#N/A</v>
      </c>
      <c r="H104" s="100" t="e">
        <f>VLOOKUP($A104,'Inoue-TGFa-NotUsed'!$A:$AL,MATCH("log(Emax
/EC50)
Gq",'Inoue-TGFa-NotUsed'!$A$1:$AL$1,0),FALSE)</f>
        <v>#N/A</v>
      </c>
      <c r="I104" s="101" t="e">
        <f>VLOOKUP($A104,'Inoue-TGFa-NotUsed'!$A:$CQ,MATCH("pEC50
Gq",'Inoue-TGFa-NotUsed'!$A$1:$CQ$1,0),FALSE)</f>
        <v>#N/A</v>
      </c>
      <c r="J104" s="101" t="e">
        <f>VLOOKUP($A104,'Inoue-TGFa-NotUsed'!$A:$BP,MATCH("Emax
Gq",'Inoue-TGFa-NotUsed'!$A$1:$BP$1,0),FALSE)</f>
        <v>#N/A</v>
      </c>
      <c r="K104" s="101" t="e">
        <f>VLOOKUP($A104,'Inoue-TGFa-NotUsed'!$A:$CQ,MATCH("#SDs
Gq",'Inoue-TGFa-NotUsed'!$A$1:$CQ$1,0),FALSE)</f>
        <v>#N/A</v>
      </c>
    </row>
    <row r="105" spans="1:11" ht="18.75" customHeight="1">
      <c r="A105" s="51" t="s">
        <v>3097</v>
      </c>
      <c r="B105" s="72">
        <f>VLOOKUP($A105,'Martemyanov-FreeGβγ-Nluc'!$A:$BG,MATCH("Gq",'Martemyanov-FreeGβγ-Nluc'!$A$1:$BG$1,0),FALSE)</f>
        <v>0.1444</v>
      </c>
      <c r="C105" s="92" t="e">
        <f>VLOOKUP($A105,'Bouvier-GEMTA'!$A:$CF,MATCH("Gq",'Bouvier-GEMTA'!$A$1:$CF$1,0),FALSE)</f>
        <v>#N/A</v>
      </c>
      <c r="D105" s="72" t="str">
        <f t="shared" si="9"/>
        <v>BRS3</v>
      </c>
      <c r="E105" s="90" t="e">
        <f t="shared" si="10"/>
        <v>#N/A</v>
      </c>
      <c r="F105" s="197" t="e">
        <f t="shared" si="11"/>
        <v>#N/A</v>
      </c>
      <c r="G105" s="102" t="e" cm="1">
        <f t="array" ref="G105">IF(AND(LEN(F105)&gt;0,LEN(D105:E105)=0),"Iuniq","")</f>
        <v>#N/A</v>
      </c>
      <c r="H105" s="100" t="e">
        <f>VLOOKUP($A105,'Inoue-TGFa-NotUsed'!$A:$AL,MATCH("log(Emax
/EC50)
Gq",'Inoue-TGFa-NotUsed'!$A$1:$AL$1,0),FALSE)</f>
        <v>#N/A</v>
      </c>
      <c r="I105" s="101" t="e">
        <f>VLOOKUP($A105,'Inoue-TGFa-NotUsed'!$A:$CQ,MATCH("pEC50
Gq",'Inoue-TGFa-NotUsed'!$A$1:$CQ$1,0),FALSE)</f>
        <v>#N/A</v>
      </c>
      <c r="J105" s="101" t="e">
        <f>VLOOKUP($A105,'Inoue-TGFa-NotUsed'!$A:$BP,MATCH("Emax
Gq",'Inoue-TGFa-NotUsed'!$A$1:$BP$1,0),FALSE)</f>
        <v>#N/A</v>
      </c>
      <c r="K105" s="101" t="e">
        <f>VLOOKUP($A105,'Inoue-TGFa-NotUsed'!$A:$CQ,MATCH("#SDs
Gq",'Inoue-TGFa-NotUsed'!$A$1:$CQ$1,0),FALSE)</f>
        <v>#N/A</v>
      </c>
    </row>
    <row r="106" spans="1:11" ht="18.75" customHeight="1">
      <c r="A106" s="51" t="s">
        <v>2904</v>
      </c>
      <c r="B106" s="72">
        <f>VLOOKUP($A106,'Martemyanov-FreeGβγ-Nluc'!$A:$BG,MATCH("Gq",'Martemyanov-FreeGβγ-Nluc'!$A$1:$BG$1,0),FALSE)</f>
        <v>0.31480000000000002</v>
      </c>
      <c r="C106" s="92" t="e">
        <f>VLOOKUP($A106,'Bouvier-GEMTA'!$A:$CF,MATCH("Gq",'Bouvier-GEMTA'!$A$1:$CF$1,0),FALSE)</f>
        <v>#N/A</v>
      </c>
      <c r="D106" s="72" t="str">
        <f t="shared" si="9"/>
        <v>VIPR2</v>
      </c>
      <c r="E106" s="90" t="e">
        <f t="shared" si="10"/>
        <v>#N/A</v>
      </c>
      <c r="F106" s="197" t="e">
        <f t="shared" si="11"/>
        <v>#N/A</v>
      </c>
      <c r="G106" s="102" t="e" cm="1">
        <f t="array" ref="G106">IF(AND(LEN(F106)&gt;0,LEN(D106:E106)=0),"Iuniq","")</f>
        <v>#N/A</v>
      </c>
      <c r="H106" s="100" t="e">
        <f>VLOOKUP($A106,'Inoue-TGFa-NotUsed'!$A:$AL,MATCH("log(Emax
/EC50)
Gq",'Inoue-TGFa-NotUsed'!$A$1:$AL$1,0),FALSE)</f>
        <v>#N/A</v>
      </c>
      <c r="I106" s="101" t="e">
        <f>VLOOKUP($A106,'Inoue-TGFa-NotUsed'!$A:$CQ,MATCH("pEC50
Gq",'Inoue-TGFa-NotUsed'!$A$1:$CQ$1,0),FALSE)</f>
        <v>#N/A</v>
      </c>
      <c r="J106" s="101" t="e">
        <f>VLOOKUP($A106,'Inoue-TGFa-NotUsed'!$A:$BP,MATCH("Emax
Gq",'Inoue-TGFa-NotUsed'!$A$1:$BP$1,0),FALSE)</f>
        <v>#N/A</v>
      </c>
      <c r="K106" s="101" t="e">
        <f>VLOOKUP($A106,'Inoue-TGFa-NotUsed'!$A:$CQ,MATCH("#SDs
Gq",'Inoue-TGFa-NotUsed'!$A$1:$CQ$1,0),FALSE)</f>
        <v>#N/A</v>
      </c>
    </row>
    <row r="107" spans="1:11" ht="18.75" customHeight="1">
      <c r="A107" s="51" t="s">
        <v>2926</v>
      </c>
      <c r="B107" s="72">
        <f>VLOOKUP($A107,'Martemyanov-FreeGβγ-Nluc'!$A:$BG,MATCH("Gq",'Martemyanov-FreeGβγ-Nluc'!$A$1:$BG$1,0),FALSE)</f>
        <v>0.1411</v>
      </c>
      <c r="C107" s="92" t="e">
        <f>VLOOKUP($A107,'Bouvier-GEMTA'!$A:$CF,MATCH("Gq",'Bouvier-GEMTA'!$A$1:$CF$1,0),FALSE)</f>
        <v>#N/A</v>
      </c>
      <c r="D107" s="72" t="str">
        <f t="shared" si="9"/>
        <v>SCTR</v>
      </c>
      <c r="E107" s="90" t="e">
        <f t="shared" si="10"/>
        <v>#N/A</v>
      </c>
      <c r="F107" s="197" t="e">
        <f t="shared" si="11"/>
        <v>#N/A</v>
      </c>
      <c r="G107" s="102" t="e" cm="1">
        <f t="array" ref="G107">IF(AND(LEN(F107)&gt;0,LEN(D107:E107)=0),"Iuniq","")</f>
        <v>#N/A</v>
      </c>
      <c r="H107" s="100" t="e">
        <f>VLOOKUP($A107,'Inoue-TGFa-NotUsed'!$A:$AL,MATCH("log(Emax
/EC50)
Gq",'Inoue-TGFa-NotUsed'!$A$1:$AL$1,0),FALSE)</f>
        <v>#N/A</v>
      </c>
      <c r="I107" s="101" t="e">
        <f>VLOOKUP($A107,'Inoue-TGFa-NotUsed'!$A:$CQ,MATCH("pEC50
Gq",'Inoue-TGFa-NotUsed'!$A$1:$CQ$1,0),FALSE)</f>
        <v>#N/A</v>
      </c>
      <c r="J107" s="101" t="e">
        <f>VLOOKUP($A107,'Inoue-TGFa-NotUsed'!$A:$BP,MATCH("Emax
Gq",'Inoue-TGFa-NotUsed'!$A$1:$BP$1,0),FALSE)</f>
        <v>#N/A</v>
      </c>
      <c r="K107" s="101" t="e">
        <f>VLOOKUP($A107,'Inoue-TGFa-NotUsed'!$A:$CQ,MATCH("#SDs
Gq",'Inoue-TGFa-NotUsed'!$A$1:$CQ$1,0),FALSE)</f>
        <v>#N/A</v>
      </c>
    </row>
    <row r="108" spans="1:11" ht="18.75" customHeight="1">
      <c r="A108" s="51" t="s">
        <v>3063</v>
      </c>
      <c r="B108" s="72">
        <f>VLOOKUP($A108,'Martemyanov-FreeGβγ-Nluc'!$A:$BG,MATCH("Gq",'Martemyanov-FreeGβγ-Nluc'!$A$1:$BG$1,0),FALSE)</f>
        <v>0</v>
      </c>
      <c r="C108" s="92" t="e">
        <f>VLOOKUP($A108,'Bouvier-GEMTA'!$A:$CF,MATCH("Gq",'Bouvier-GEMTA'!$A$1:$CF$1,0),FALSE)</f>
        <v>#N/A</v>
      </c>
      <c r="D108" s="72" t="str">
        <f t="shared" si="9"/>
        <v/>
      </c>
      <c r="E108" s="90" t="e">
        <f t="shared" si="10"/>
        <v>#N/A</v>
      </c>
      <c r="F108" s="197" t="e">
        <f t="shared" si="11"/>
        <v>#N/A</v>
      </c>
      <c r="G108" s="102" t="e" cm="1">
        <f t="array" ref="G108">IF(AND(LEN(F108)&gt;0,LEN(D108:E108)=0),"Iuniq","")</f>
        <v>#N/A</v>
      </c>
      <c r="H108" s="100" t="e">
        <f>VLOOKUP($A108,'Inoue-TGFa-NotUsed'!$A:$AL,MATCH("log(Emax
/EC50)
Gq",'Inoue-TGFa-NotUsed'!$A$1:$AL$1,0),FALSE)</f>
        <v>#N/A</v>
      </c>
      <c r="I108" s="101" t="e">
        <f>VLOOKUP($A108,'Inoue-TGFa-NotUsed'!$A:$CQ,MATCH("pEC50
Gq",'Inoue-TGFa-NotUsed'!$A$1:$CQ$1,0),FALSE)</f>
        <v>#N/A</v>
      </c>
      <c r="J108" s="101" t="e">
        <f>VLOOKUP($A108,'Inoue-TGFa-NotUsed'!$A:$BP,MATCH("Emax
Gq",'Inoue-TGFa-NotUsed'!$A$1:$BP$1,0),FALSE)</f>
        <v>#N/A</v>
      </c>
      <c r="K108" s="101" t="e">
        <f>VLOOKUP($A108,'Inoue-TGFa-NotUsed'!$A:$CQ,MATCH("#SDs
Gq",'Inoue-TGFa-NotUsed'!$A$1:$CQ$1,0),FALSE)</f>
        <v>#N/A</v>
      </c>
    </row>
    <row r="109" spans="1:11" ht="18.75" customHeight="1">
      <c r="A109" s="51" t="s">
        <v>3060</v>
      </c>
      <c r="B109" s="72">
        <f>VLOOKUP($A109,'Martemyanov-FreeGβγ-Nluc'!$A:$BG,MATCH("Gq",'Martemyanov-FreeGβγ-Nluc'!$A$1:$BG$1,0),FALSE)</f>
        <v>0</v>
      </c>
      <c r="C109" s="92" t="e">
        <f>VLOOKUP($A109,'Bouvier-GEMTA'!$A:$CF,MATCH("Gq",'Bouvier-GEMTA'!$A$1:$CF$1,0),FALSE)</f>
        <v>#N/A</v>
      </c>
      <c r="D109" s="72" t="str">
        <f t="shared" si="9"/>
        <v/>
      </c>
      <c r="E109" s="90" t="e">
        <f t="shared" si="10"/>
        <v>#N/A</v>
      </c>
      <c r="F109" s="197" t="e">
        <f t="shared" si="11"/>
        <v>#N/A</v>
      </c>
      <c r="G109" s="102" t="e" cm="1">
        <f t="array" ref="G109">IF(AND(LEN(F109)&gt;0,LEN(D109:E109)=0),"Iuniq","")</f>
        <v>#N/A</v>
      </c>
      <c r="H109" s="100" t="e">
        <f>VLOOKUP($A109,'Inoue-TGFa-NotUsed'!$A:$AL,MATCH("log(Emax
/EC50)
Gq",'Inoue-TGFa-NotUsed'!$A$1:$AL$1,0),FALSE)</f>
        <v>#N/A</v>
      </c>
      <c r="I109" s="101" t="e">
        <f>VLOOKUP($A109,'Inoue-TGFa-NotUsed'!$A:$CQ,MATCH("pEC50
Gq",'Inoue-TGFa-NotUsed'!$A$1:$CQ$1,0),FALSE)</f>
        <v>#N/A</v>
      </c>
      <c r="J109" s="101" t="e">
        <f>VLOOKUP($A109,'Inoue-TGFa-NotUsed'!$A:$BP,MATCH("Emax
Gq",'Inoue-TGFa-NotUsed'!$A$1:$BP$1,0),FALSE)</f>
        <v>#N/A</v>
      </c>
      <c r="K109" s="101" t="e">
        <f>VLOOKUP($A109,'Inoue-TGFa-NotUsed'!$A:$CQ,MATCH("#SDs
Gq",'Inoue-TGFa-NotUsed'!$A$1:$CQ$1,0),FALSE)</f>
        <v>#N/A</v>
      </c>
    </row>
    <row r="110" spans="1:11" ht="18.75" customHeight="1">
      <c r="A110" s="51" t="s">
        <v>2938</v>
      </c>
      <c r="B110" s="72">
        <f>VLOOKUP($A110,'Martemyanov-FreeGβγ-Nluc'!$A:$BG,MATCH("Gq",'Martemyanov-FreeGβγ-Nluc'!$A$1:$BG$1,0),FALSE)</f>
        <v>0</v>
      </c>
      <c r="C110" s="92" t="e">
        <f>VLOOKUP($A110,'Bouvier-GEMTA'!$A:$CF,MATCH("Gq",'Bouvier-GEMTA'!$A$1:$CF$1,0),FALSE)</f>
        <v>#N/A</v>
      </c>
      <c r="D110" s="72" t="str">
        <f t="shared" si="9"/>
        <v/>
      </c>
      <c r="E110" s="90" t="e">
        <f t="shared" si="10"/>
        <v>#N/A</v>
      </c>
      <c r="F110" s="197" t="e">
        <f t="shared" si="11"/>
        <v>#N/A</v>
      </c>
      <c r="G110" s="102" t="e" cm="1">
        <f t="array" ref="G110">IF(AND(LEN(F110)&gt;0,LEN(D110:E110)=0),"Iuniq","")</f>
        <v>#N/A</v>
      </c>
      <c r="H110" s="100" t="e">
        <f>VLOOKUP($A110,'Inoue-TGFa-NotUsed'!$A:$AL,MATCH("log(Emax
/EC50)
Gq",'Inoue-TGFa-NotUsed'!$A$1:$AL$1,0),FALSE)</f>
        <v>#N/A</v>
      </c>
      <c r="I110" s="101" t="e">
        <f>VLOOKUP($A110,'Inoue-TGFa-NotUsed'!$A:$CQ,MATCH("pEC50
Gq",'Inoue-TGFa-NotUsed'!$A$1:$CQ$1,0),FALSE)</f>
        <v>#N/A</v>
      </c>
      <c r="J110" s="101" t="e">
        <f>VLOOKUP($A110,'Inoue-TGFa-NotUsed'!$A:$BP,MATCH("Emax
Gq",'Inoue-TGFa-NotUsed'!$A$1:$BP$1,0),FALSE)</f>
        <v>#N/A</v>
      </c>
      <c r="K110" s="101" t="e">
        <f>VLOOKUP($A110,'Inoue-TGFa-NotUsed'!$A:$CQ,MATCH("#SDs
Gq",'Inoue-TGFa-NotUsed'!$A$1:$CQ$1,0),FALSE)</f>
        <v>#N/A</v>
      </c>
    </row>
    <row r="111" spans="1:11" ht="18.75" customHeight="1">
      <c r="A111" s="51" t="s">
        <v>2886</v>
      </c>
      <c r="B111" s="72">
        <f>VLOOKUP($A111,'Martemyanov-FreeGβγ-Nluc'!$A:$BG,MATCH("Gq",'Martemyanov-FreeGβγ-Nluc'!$A$1:$BG$1,0),FALSE)</f>
        <v>0.6552</v>
      </c>
      <c r="C111" s="92" t="e">
        <f>VLOOKUP($A111,'Bouvier-GEMTA'!$A:$CF,MATCH("Gq",'Bouvier-GEMTA'!$A$1:$CF$1,0),FALSE)</f>
        <v>#N/A</v>
      </c>
      <c r="D111" s="72" t="str">
        <f t="shared" si="9"/>
        <v>GRM1</v>
      </c>
      <c r="E111" s="90" t="e">
        <f t="shared" si="10"/>
        <v>#N/A</v>
      </c>
      <c r="F111" s="197" t="e">
        <f t="shared" si="11"/>
        <v>#N/A</v>
      </c>
      <c r="G111" s="102" t="e" cm="1">
        <f t="array" ref="G111">IF(AND(LEN(F111)&gt;0,LEN(D111:E111)=0),"Iuniq","")</f>
        <v>#N/A</v>
      </c>
      <c r="H111" s="100" t="e">
        <f>VLOOKUP($A111,'Inoue-TGFa-NotUsed'!$A:$AL,MATCH("log(Emax
/EC50)
Gq",'Inoue-TGFa-NotUsed'!$A$1:$AL$1,0),FALSE)</f>
        <v>#N/A</v>
      </c>
      <c r="I111" s="101" t="e">
        <f>VLOOKUP($A111,'Inoue-TGFa-NotUsed'!$A:$CQ,MATCH("pEC50
Gq",'Inoue-TGFa-NotUsed'!$A$1:$CQ$1,0),FALSE)</f>
        <v>#N/A</v>
      </c>
      <c r="J111" s="101" t="e">
        <f>VLOOKUP($A111,'Inoue-TGFa-NotUsed'!$A:$BP,MATCH("Emax
Gq",'Inoue-TGFa-NotUsed'!$A$1:$BP$1,0),FALSE)</f>
        <v>#N/A</v>
      </c>
      <c r="K111" s="101" t="e">
        <f>VLOOKUP($A111,'Inoue-TGFa-NotUsed'!$A:$CQ,MATCH("#SDs
Gq",'Inoue-TGFa-NotUsed'!$A$1:$CQ$1,0),FALSE)</f>
        <v>#N/A</v>
      </c>
    </row>
    <row r="112" spans="1:11" ht="18.75" customHeight="1">
      <c r="A112" s="51" t="s">
        <v>2874</v>
      </c>
      <c r="B112" s="72">
        <f>VLOOKUP($A112,'Martemyanov-FreeGβγ-Nluc'!$A:$BG,MATCH("Gq",'Martemyanov-FreeGβγ-Nluc'!$A$1:$BG$1,0),FALSE)</f>
        <v>0</v>
      </c>
      <c r="C112" s="92" t="e">
        <f>VLOOKUP($A112,'Bouvier-GEMTA'!$A:$CF,MATCH("Gq",'Bouvier-GEMTA'!$A$1:$CF$1,0),FALSE)</f>
        <v>#N/A</v>
      </c>
      <c r="D112" s="72" t="str">
        <f t="shared" si="9"/>
        <v/>
      </c>
      <c r="E112" s="90" t="e">
        <f t="shared" si="10"/>
        <v>#N/A</v>
      </c>
      <c r="F112" s="197" t="e">
        <f t="shared" si="11"/>
        <v>#N/A</v>
      </c>
      <c r="G112" s="102" t="e" cm="1">
        <f t="array" ref="G112">IF(AND(LEN(F112)&gt;0,LEN(D112:E112)=0),"Iuniq","")</f>
        <v>#N/A</v>
      </c>
      <c r="H112" s="100" t="e">
        <f>VLOOKUP($A112,'Inoue-TGFa-NotUsed'!$A:$AL,MATCH("log(Emax
/EC50)
Gq",'Inoue-TGFa-NotUsed'!$A$1:$AL$1,0),FALSE)</f>
        <v>#N/A</v>
      </c>
      <c r="I112" s="101" t="e">
        <f>VLOOKUP($A112,'Inoue-TGFa-NotUsed'!$A:$CQ,MATCH("pEC50
Gq",'Inoue-TGFa-NotUsed'!$A$1:$CQ$1,0),FALSE)</f>
        <v>#N/A</v>
      </c>
      <c r="J112" s="101" t="e">
        <f>VLOOKUP($A112,'Inoue-TGFa-NotUsed'!$A:$BP,MATCH("Emax
Gq",'Inoue-TGFa-NotUsed'!$A$1:$BP$1,0),FALSE)</f>
        <v>#N/A</v>
      </c>
      <c r="K112" s="101" t="e">
        <f>VLOOKUP($A112,'Inoue-TGFa-NotUsed'!$A:$CQ,MATCH("#SDs
Gq",'Inoue-TGFa-NotUsed'!$A$1:$CQ$1,0),FALSE)</f>
        <v>#N/A</v>
      </c>
    </row>
    <row r="113" spans="1:11" ht="18.75" customHeight="1">
      <c r="A113" s="51" t="s">
        <v>2882</v>
      </c>
      <c r="B113" s="72">
        <f>VLOOKUP($A113,'Martemyanov-FreeGβγ-Nluc'!$A:$BG,MATCH("Gq",'Martemyanov-FreeGβγ-Nluc'!$A$1:$BG$1,0),FALSE)</f>
        <v>0</v>
      </c>
      <c r="C113" s="92" t="e">
        <f>VLOOKUP($A113,'Bouvier-GEMTA'!$A:$CF,MATCH("Gq",'Bouvier-GEMTA'!$A$1:$CF$1,0),FALSE)</f>
        <v>#N/A</v>
      </c>
      <c r="D113" s="72" t="str">
        <f t="shared" si="9"/>
        <v/>
      </c>
      <c r="E113" s="90" t="e">
        <f t="shared" si="10"/>
        <v>#N/A</v>
      </c>
      <c r="F113" s="197" t="e">
        <f t="shared" si="11"/>
        <v>#N/A</v>
      </c>
      <c r="G113" s="102" t="e" cm="1">
        <f t="array" ref="G113">IF(AND(LEN(F113)&gt;0,LEN(D113:E113)=0),"Iuniq","")</f>
        <v>#N/A</v>
      </c>
      <c r="H113" s="100" t="e">
        <f>VLOOKUP($A113,'Inoue-TGFa-NotUsed'!$A:$AL,MATCH("log(Emax
/EC50)
Gq",'Inoue-TGFa-NotUsed'!$A$1:$AL$1,0),FALSE)</f>
        <v>#N/A</v>
      </c>
      <c r="I113" s="101" t="e">
        <f>VLOOKUP($A113,'Inoue-TGFa-NotUsed'!$A:$CQ,MATCH("pEC50
Gq",'Inoue-TGFa-NotUsed'!$A$1:$CQ$1,0),FALSE)</f>
        <v>#N/A</v>
      </c>
      <c r="J113" s="101" t="e">
        <f>VLOOKUP($A113,'Inoue-TGFa-NotUsed'!$A:$BP,MATCH("Emax
Gq",'Inoue-TGFa-NotUsed'!$A$1:$BP$1,0),FALSE)</f>
        <v>#N/A</v>
      </c>
      <c r="K113" s="101" t="e">
        <f>VLOOKUP($A113,'Inoue-TGFa-NotUsed'!$A:$CQ,MATCH("#SDs
Gq",'Inoue-TGFa-NotUsed'!$A$1:$CQ$1,0),FALSE)</f>
        <v>#N/A</v>
      </c>
    </row>
    <row r="114" spans="1:11" ht="18.75" customHeight="1">
      <c r="A114" s="51" t="s">
        <v>3254</v>
      </c>
      <c r="B114" s="72">
        <f>VLOOKUP($A114,'Martemyanov-FreeGβγ-Nluc'!$A:$BG,MATCH("Gq",'Martemyanov-FreeGβγ-Nluc'!$A$1:$BG$1,0),FALSE)</f>
        <v>0</v>
      </c>
      <c r="C114" s="92" t="e">
        <f>VLOOKUP($A114,'Bouvier-GEMTA'!$A:$CF,MATCH("Gq",'Bouvier-GEMTA'!$A$1:$CF$1,0),FALSE)</f>
        <v>#N/A</v>
      </c>
      <c r="D114" s="72" t="str">
        <f t="shared" si="9"/>
        <v/>
      </c>
      <c r="E114" s="90" t="e">
        <f t="shared" si="10"/>
        <v>#N/A</v>
      </c>
      <c r="F114" s="197" t="e">
        <f t="shared" si="11"/>
        <v>#N/A</v>
      </c>
      <c r="G114" s="102" t="e" cm="1">
        <f t="array" ref="G114">IF(AND(LEN(F114)&gt;0,LEN(D114:E114)=0),"Iuniq","")</f>
        <v>#N/A</v>
      </c>
      <c r="H114" s="100" t="e">
        <f>VLOOKUP($A114,'Inoue-TGFa-NotUsed'!$A:$AL,MATCH("log(Emax
/EC50)
Gq",'Inoue-TGFa-NotUsed'!$A$1:$AL$1,0),FALSE)</f>
        <v>#N/A</v>
      </c>
      <c r="I114" s="101" t="e">
        <f>VLOOKUP($A114,'Inoue-TGFa-NotUsed'!$A:$CQ,MATCH("pEC50
Gq",'Inoue-TGFa-NotUsed'!$A$1:$CQ$1,0),FALSE)</f>
        <v>#N/A</v>
      </c>
      <c r="J114" s="101" t="e">
        <f>VLOOKUP($A114,'Inoue-TGFa-NotUsed'!$A:$BP,MATCH("Emax
Gq",'Inoue-TGFa-NotUsed'!$A$1:$BP$1,0),FALSE)</f>
        <v>#N/A</v>
      </c>
      <c r="K114" s="101" t="e">
        <f>VLOOKUP($A114,'Inoue-TGFa-NotUsed'!$A:$CQ,MATCH("#SDs
Gq",'Inoue-TGFa-NotUsed'!$A$1:$CQ$1,0),FALSE)</f>
        <v>#N/A</v>
      </c>
    </row>
    <row r="115" spans="1:11" ht="18.75" customHeight="1">
      <c r="A115" s="51" t="s">
        <v>3924</v>
      </c>
      <c r="B115" s="72">
        <f>VLOOKUP($A115,'Martemyanov-FreeGβγ-Nluc'!$A:$BG,MATCH("Gq",'Martemyanov-FreeGβγ-Nluc'!$A$1:$BG$1,0),FALSE)</f>
        <v>0</v>
      </c>
      <c r="C115" s="92" t="e">
        <f>VLOOKUP($A115,'Bouvier-GEMTA'!$A:$CF,MATCH("Gq",'Bouvier-GEMTA'!$A$1:$CF$1,0),FALSE)</f>
        <v>#N/A</v>
      </c>
      <c r="D115" s="72" t="str">
        <f t="shared" si="9"/>
        <v/>
      </c>
      <c r="E115" s="90" t="e">
        <f t="shared" si="10"/>
        <v>#N/A</v>
      </c>
      <c r="F115" s="197" t="e">
        <f t="shared" si="11"/>
        <v>#N/A</v>
      </c>
      <c r="G115" s="102" t="e" cm="1">
        <f t="array" ref="G115">IF(AND(LEN(F115)&gt;0,LEN(D115:E115)=0),"Iuniq","")</f>
        <v>#N/A</v>
      </c>
      <c r="H115" s="100" t="e">
        <f>VLOOKUP($A115,'Inoue-TGFa-NotUsed'!$A:$AL,MATCH("log(Emax
/EC50)
Gq",'Inoue-TGFa-NotUsed'!$A$1:$AL$1,0),FALSE)</f>
        <v>#N/A</v>
      </c>
      <c r="I115" s="101" t="e">
        <f>VLOOKUP($A115,'Inoue-TGFa-NotUsed'!$A:$CQ,MATCH("pEC50
Gq",'Inoue-TGFa-NotUsed'!$A$1:$CQ$1,0),FALSE)</f>
        <v>#N/A</v>
      </c>
      <c r="J115" s="101" t="e">
        <f>VLOOKUP($A115,'Inoue-TGFa-NotUsed'!$A:$BP,MATCH("Emax
Gq",'Inoue-TGFa-NotUsed'!$A$1:$BP$1,0),FALSE)</f>
        <v>#N/A</v>
      </c>
      <c r="K115" s="101" t="e">
        <f>VLOOKUP($A115,'Inoue-TGFa-NotUsed'!$A:$CQ,MATCH("#SDs
Gq",'Inoue-TGFa-NotUsed'!$A$1:$CQ$1,0),FALSE)</f>
        <v>#N/A</v>
      </c>
    </row>
    <row r="116" spans="1:11" ht="18.75" customHeight="1">
      <c r="A116" s="88" t="s">
        <v>3573</v>
      </c>
      <c r="B116" s="72">
        <f>VLOOKUP($A116,'Martemyanov-FreeGβγ-Nluc'!$A:$BG,MATCH("Gq",'Martemyanov-FreeGβγ-Nluc'!$A$1:$BG$1,0),FALSE)</f>
        <v>0</v>
      </c>
      <c r="C116" s="92" t="e">
        <f>VLOOKUP($A116,'Bouvier-GEMTA'!$A:$CF,MATCH("Gq",'Bouvier-GEMTA'!$A$1:$CF$1,0),FALSE)</f>
        <v>#N/A</v>
      </c>
      <c r="D116" s="72" t="str">
        <f t="shared" si="9"/>
        <v/>
      </c>
      <c r="E116" s="90" t="e">
        <f t="shared" si="10"/>
        <v>#N/A</v>
      </c>
      <c r="F116" s="197" t="e">
        <f t="shared" si="11"/>
        <v>#N/A</v>
      </c>
      <c r="G116" s="102" t="e" cm="1">
        <f t="array" ref="G116">IF(AND(LEN(F116)&gt;0,LEN(D116:E116)=0),"Iuniq","")</f>
        <v>#N/A</v>
      </c>
      <c r="H116" s="100" t="e">
        <f>VLOOKUP($A116,'Inoue-TGFa-NotUsed'!$A:$AL,MATCH("log(Emax
/EC50)
Gq",'Inoue-TGFa-NotUsed'!$A$1:$AL$1,0),FALSE)</f>
        <v>#N/A</v>
      </c>
      <c r="I116" s="101" t="e">
        <f>VLOOKUP($A116,'Inoue-TGFa-NotUsed'!$A:$CQ,MATCH("pEC50
Gq",'Inoue-TGFa-NotUsed'!$A$1:$CQ$1,0),FALSE)</f>
        <v>#N/A</v>
      </c>
      <c r="J116" s="101" t="e">
        <f>VLOOKUP($A116,'Inoue-TGFa-NotUsed'!$A:$BP,MATCH("Emax
Gq",'Inoue-TGFa-NotUsed'!$A$1:$BP$1,0),FALSE)</f>
        <v>#N/A</v>
      </c>
      <c r="K116" s="101" t="e">
        <f>VLOOKUP($A116,'Inoue-TGFa-NotUsed'!$A:$CQ,MATCH("#SDs
Gq",'Inoue-TGFa-NotUsed'!$A$1:$CQ$1,0),FALSE)</f>
        <v>#N/A</v>
      </c>
    </row>
    <row r="117" spans="1:11" ht="18.75" customHeight="1">
      <c r="A117" s="88" t="s">
        <v>3511</v>
      </c>
      <c r="B117" s="72">
        <f>VLOOKUP($A117,'Martemyanov-FreeGβγ-Nluc'!$A:$BG,MATCH("Gq",'Martemyanov-FreeGβγ-Nluc'!$A$1:$BG$1,0),FALSE)</f>
        <v>0</v>
      </c>
      <c r="C117" s="92" t="e">
        <f>VLOOKUP($A117,'Bouvier-GEMTA'!$A:$CF,MATCH("Gq",'Bouvier-GEMTA'!$A$1:$CF$1,0),FALSE)</f>
        <v>#N/A</v>
      </c>
      <c r="D117" s="72" t="str">
        <f t="shared" si="9"/>
        <v/>
      </c>
      <c r="E117" s="90" t="e">
        <f t="shared" si="10"/>
        <v>#N/A</v>
      </c>
      <c r="F117" s="197" t="e">
        <f t="shared" si="11"/>
        <v>#N/A</v>
      </c>
      <c r="G117" s="102" t="e" cm="1">
        <f t="array" ref="G117">IF(AND(LEN(F117)&gt;0,LEN(D117:E117)=0),"Iuniq","")</f>
        <v>#N/A</v>
      </c>
      <c r="H117" s="100" t="e">
        <f>VLOOKUP($A117,'Inoue-TGFa-NotUsed'!$A:$AL,MATCH("log(Emax
/EC50)
Gq",'Inoue-TGFa-NotUsed'!$A$1:$AL$1,0),FALSE)</f>
        <v>#N/A</v>
      </c>
      <c r="I117" s="101" t="e">
        <f>VLOOKUP($A117,'Inoue-TGFa-NotUsed'!$A:$CQ,MATCH("pEC50
Gq",'Inoue-TGFa-NotUsed'!$A$1:$CQ$1,0),FALSE)</f>
        <v>#N/A</v>
      </c>
      <c r="J117" s="101" t="e">
        <f>VLOOKUP($A117,'Inoue-TGFa-NotUsed'!$A:$BP,MATCH("Emax
Gq",'Inoue-TGFa-NotUsed'!$A$1:$BP$1,0),FALSE)</f>
        <v>#N/A</v>
      </c>
      <c r="K117" s="101" t="e">
        <f>VLOOKUP($A117,'Inoue-TGFa-NotUsed'!$A:$CQ,MATCH("#SDs
Gq",'Inoue-TGFa-NotUsed'!$A$1:$CQ$1,0),FALSE)</f>
        <v>#N/A</v>
      </c>
    </row>
    <row r="118" spans="1:11" ht="18.75" customHeight="1">
      <c r="A118" s="51" t="s">
        <v>2919</v>
      </c>
      <c r="B118" s="72">
        <f>VLOOKUP($A118,'Martemyanov-FreeGβγ-Nluc'!$A:$BG,MATCH("Gq",'Martemyanov-FreeGβγ-Nluc'!$A$1:$BG$1,0),FALSE)</f>
        <v>0</v>
      </c>
      <c r="C118" s="92" t="e">
        <f>VLOOKUP($A118,'Bouvier-GEMTA'!$A:$CF,MATCH("Gq",'Bouvier-GEMTA'!$A$1:$CF$1,0),FALSE)</f>
        <v>#N/A</v>
      </c>
      <c r="D118" s="72" t="str">
        <f t="shared" si="9"/>
        <v/>
      </c>
      <c r="E118" s="90" t="e">
        <f t="shared" si="10"/>
        <v>#N/A</v>
      </c>
      <c r="F118" s="197" t="e">
        <f t="shared" si="11"/>
        <v>#N/A</v>
      </c>
      <c r="G118" s="102" t="e" cm="1">
        <f t="array" ref="G118">IF(AND(LEN(F118)&gt;0,LEN(D118:E118)=0),"Iuniq","")</f>
        <v>#N/A</v>
      </c>
      <c r="H118" s="100" t="e">
        <f>VLOOKUP($A118,'Inoue-TGFa-NotUsed'!$A:$AL,MATCH("log(Emax
/EC50)
Gq",'Inoue-TGFa-NotUsed'!$A$1:$AL$1,0),FALSE)</f>
        <v>#N/A</v>
      </c>
      <c r="I118" s="101" t="e">
        <f>VLOOKUP($A118,'Inoue-TGFa-NotUsed'!$A:$CQ,MATCH("pEC50
Gq",'Inoue-TGFa-NotUsed'!$A$1:$CQ$1,0),FALSE)</f>
        <v>#N/A</v>
      </c>
      <c r="J118" s="101" t="e">
        <f>VLOOKUP($A118,'Inoue-TGFa-NotUsed'!$A:$BP,MATCH("Emax
Gq",'Inoue-TGFa-NotUsed'!$A$1:$BP$1,0),FALSE)</f>
        <v>#N/A</v>
      </c>
      <c r="K118" s="101" t="e">
        <f>VLOOKUP($A118,'Inoue-TGFa-NotUsed'!$A:$CQ,MATCH("#SDs
Gq",'Inoue-TGFa-NotUsed'!$A$1:$CQ$1,0),FALSE)</f>
        <v>#N/A</v>
      </c>
    </row>
  </sheetData>
  <sortState xmlns:xlrd2="http://schemas.microsoft.com/office/spreadsheetml/2017/richdata2" ref="A2:K51">
    <sortCondition ref="H2:H51"/>
    <sortCondition ref="J2:J51"/>
    <sortCondition ref="K2:K51"/>
  </sortState>
  <conditionalFormatting sqref="H1:H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5980-8360-4D4E-9412-D0B15A06DEA1}">
  <sheetPr>
    <tabColor theme="4" tint="0.79998168889431442"/>
  </sheetPr>
  <dimension ref="A1:CC151"/>
  <sheetViews>
    <sheetView zoomScale="136" zoomScaleNormal="100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sqref="A1:A1048576"/>
    </sheetView>
  </sheetViews>
  <sheetFormatPr baseColWidth="10" defaultColWidth="10.83203125" defaultRowHeight="16"/>
  <cols>
    <col min="1" max="1" width="7.33203125" style="12" bestFit="1" customWidth="1"/>
    <col min="2" max="2" width="7.6640625" style="18" bestFit="1" customWidth="1"/>
    <col min="3" max="3" width="7.1640625" style="9" bestFit="1" customWidth="1"/>
    <col min="4" max="4" width="5.33203125" style="9" bestFit="1" customWidth="1"/>
    <col min="5" max="5" width="11.6640625" style="9" bestFit="1" customWidth="1"/>
    <col min="6" max="6" width="9" style="7" customWidth="1"/>
    <col min="7" max="19" width="9" style="8" customWidth="1"/>
    <col min="20" max="20" width="5.83203125" style="16" bestFit="1" customWidth="1"/>
    <col min="21" max="33" width="5.83203125" style="17" bestFit="1" customWidth="1"/>
    <col min="34" max="34" width="6.1640625" style="14" bestFit="1" customWidth="1"/>
    <col min="35" max="47" width="6.1640625" style="15" bestFit="1" customWidth="1"/>
    <col min="48" max="48" width="6.1640625" style="15" customWidth="1"/>
    <col min="49" max="49" width="7.5" style="186" customWidth="1"/>
    <col min="50" max="50" width="7.83203125" style="187" customWidth="1"/>
    <col min="51" max="51" width="6.83203125" style="98" bestFit="1" customWidth="1"/>
    <col min="52" max="64" width="6.83203125" style="99" bestFit="1" customWidth="1"/>
    <col min="65" max="65" width="7" style="98" bestFit="1" customWidth="1"/>
    <col min="66" max="66" width="5.83203125" style="99" bestFit="1" customWidth="1"/>
    <col min="67" max="69" width="6.5" style="99" bestFit="1" customWidth="1"/>
    <col min="70" max="71" width="8.83203125" style="99" bestFit="1" customWidth="1"/>
    <col min="72" max="72" width="6" style="99" bestFit="1" customWidth="1"/>
    <col min="73" max="73" width="6.33203125" style="99" bestFit="1" customWidth="1"/>
    <col min="74" max="78" width="7" style="99" bestFit="1" customWidth="1"/>
    <col min="79" max="16384" width="10.83203125" style="18"/>
  </cols>
  <sheetData>
    <row r="1" spans="1:78" s="104" customFormat="1" ht="68" customHeight="1">
      <c r="A1" s="103" t="s">
        <v>254</v>
      </c>
      <c r="B1" s="104" t="s">
        <v>255</v>
      </c>
      <c r="C1" s="105" t="s">
        <v>11</v>
      </c>
      <c r="D1" s="106" t="s">
        <v>12</v>
      </c>
      <c r="E1" s="106" t="s">
        <v>253</v>
      </c>
      <c r="F1" s="107" t="s">
        <v>2763</v>
      </c>
      <c r="G1" s="108" t="s">
        <v>2764</v>
      </c>
      <c r="H1" s="107" t="s">
        <v>2765</v>
      </c>
      <c r="I1" s="108" t="s">
        <v>2766</v>
      </c>
      <c r="J1" s="108" t="s">
        <v>2767</v>
      </c>
      <c r="K1" s="108" t="s">
        <v>2768</v>
      </c>
      <c r="L1" s="108" t="s">
        <v>2769</v>
      </c>
      <c r="M1" s="108" t="s">
        <v>2770</v>
      </c>
      <c r="N1" s="107" t="s">
        <v>2771</v>
      </c>
      <c r="O1" s="108" t="s">
        <v>2772</v>
      </c>
      <c r="P1" s="108" t="s">
        <v>2807</v>
      </c>
      <c r="Q1" s="108" t="s">
        <v>2773</v>
      </c>
      <c r="R1" s="107" t="s">
        <v>2774</v>
      </c>
      <c r="S1" s="108" t="s">
        <v>2775</v>
      </c>
      <c r="T1" s="109" t="s">
        <v>2777</v>
      </c>
      <c r="U1" s="110" t="s">
        <v>2778</v>
      </c>
      <c r="V1" s="110" t="s">
        <v>2779</v>
      </c>
      <c r="W1" s="110" t="s">
        <v>2780</v>
      </c>
      <c r="X1" s="110" t="s">
        <v>2781</v>
      </c>
      <c r="Y1" s="110" t="s">
        <v>2782</v>
      </c>
      <c r="Z1" s="110" t="s">
        <v>2783</v>
      </c>
      <c r="AA1" s="110" t="s">
        <v>2784</v>
      </c>
      <c r="AB1" s="110" t="s">
        <v>2786</v>
      </c>
      <c r="AC1" s="110" t="s">
        <v>2787</v>
      </c>
      <c r="AD1" s="110" t="s">
        <v>2808</v>
      </c>
      <c r="AE1" s="110" t="s">
        <v>2788</v>
      </c>
      <c r="AF1" s="110" t="s">
        <v>2789</v>
      </c>
      <c r="AG1" s="110" t="s">
        <v>2790</v>
      </c>
      <c r="AH1" s="107" t="s">
        <v>2792</v>
      </c>
      <c r="AI1" s="108" t="s">
        <v>2793</v>
      </c>
      <c r="AJ1" s="107" t="s">
        <v>2794</v>
      </c>
      <c r="AK1" s="108" t="s">
        <v>2795</v>
      </c>
      <c r="AL1" s="108" t="s">
        <v>2796</v>
      </c>
      <c r="AM1" s="108" t="s">
        <v>2797</v>
      </c>
      <c r="AN1" s="108" t="s">
        <v>2798</v>
      </c>
      <c r="AO1" s="108" t="s">
        <v>2799</v>
      </c>
      <c r="AP1" s="107" t="s">
        <v>2801</v>
      </c>
      <c r="AQ1" s="108" t="s">
        <v>2802</v>
      </c>
      <c r="AR1" s="108" t="s">
        <v>2806</v>
      </c>
      <c r="AS1" s="108" t="s">
        <v>2803</v>
      </c>
      <c r="AT1" s="107" t="s">
        <v>2804</v>
      </c>
      <c r="AU1" s="108" t="s">
        <v>2805</v>
      </c>
      <c r="AV1" s="108"/>
      <c r="AW1" s="185" t="s">
        <v>580</v>
      </c>
      <c r="AX1" s="185" t="s">
        <v>581</v>
      </c>
      <c r="AY1" s="111" t="s">
        <v>5161</v>
      </c>
      <c r="AZ1" s="112" t="s">
        <v>2571</v>
      </c>
      <c r="BA1" s="112" t="s">
        <v>2570</v>
      </c>
      <c r="BB1" s="112" t="s">
        <v>2569</v>
      </c>
      <c r="BC1" s="112" t="s">
        <v>2568</v>
      </c>
      <c r="BD1" s="112" t="s">
        <v>2567</v>
      </c>
      <c r="BE1" s="112" t="s">
        <v>2566</v>
      </c>
      <c r="BF1" s="112" t="s">
        <v>2565</v>
      </c>
      <c r="BG1" s="112" t="s">
        <v>2564</v>
      </c>
      <c r="BH1" s="112" t="s">
        <v>2563</v>
      </c>
      <c r="BI1" s="112" t="s">
        <v>2562</v>
      </c>
      <c r="BJ1" s="112" t="s">
        <v>2561</v>
      </c>
      <c r="BK1" s="112" t="s">
        <v>2560</v>
      </c>
      <c r="BL1" s="112" t="s">
        <v>2559</v>
      </c>
      <c r="BM1" s="113" t="s">
        <v>2838</v>
      </c>
      <c r="BN1" s="114" t="s">
        <v>5163</v>
      </c>
      <c r="BO1" s="113" t="s">
        <v>2809</v>
      </c>
      <c r="BP1" s="114" t="s">
        <v>2810</v>
      </c>
      <c r="BQ1" s="114" t="s">
        <v>5164</v>
      </c>
      <c r="BR1" s="114" t="s">
        <v>2811</v>
      </c>
      <c r="BS1" s="114" t="s">
        <v>2812</v>
      </c>
      <c r="BT1" s="114" t="s">
        <v>2813</v>
      </c>
      <c r="BU1" s="113" t="s">
        <v>2814</v>
      </c>
      <c r="BV1" s="114" t="s">
        <v>2815</v>
      </c>
      <c r="BW1" s="114" t="s">
        <v>2816</v>
      </c>
      <c r="BX1" s="114" t="s">
        <v>2817</v>
      </c>
      <c r="BY1" s="113" t="s">
        <v>2818</v>
      </c>
      <c r="BZ1" s="114" t="s">
        <v>2819</v>
      </c>
    </row>
    <row r="2" spans="1:78" ht="18">
      <c r="A2" s="12" t="s">
        <v>18</v>
      </c>
      <c r="B2" s="13" t="s">
        <v>2575</v>
      </c>
      <c r="C2" s="9" t="str">
        <f>IF(VLOOKUP($A2,'I-Ligands'!$A:$G,5,FALSE)="","",VLOOKUP($A2,'I-Ligands'!$A:$G,5,FALSE))</f>
        <v>Guide to Pharmacology</v>
      </c>
      <c r="D2" s="9">
        <f>IF(VLOOKUP($A2,'I-Ligands'!$A:$G,6,FALSE)="","",VLOOKUP($A2,'I-Ligands'!$A:$G,6,FALSE))</f>
        <v>5</v>
      </c>
      <c r="E2" s="9" t="str">
        <f>IF(VLOOKUP($A2,'I-Ligands'!$A:$G,7,FALSE)="","",VLOOKUP($A2,'I-Ligands'!$A:$G,7,FALSE))</f>
        <v>Phys</v>
      </c>
      <c r="F2" s="7" cm="1">
        <f t="array" ref="F2">_xlfn.IFS(T2=0,0,T2&gt;0,(LOG(0.01*T2/10^-AH2)))</f>
        <v>0</v>
      </c>
      <c r="G2" s="8" cm="1">
        <f t="array" ref="G2">_xlfn.IFS(U2=0,0,U2&gt;0,(LOG(0.01*U2/10^-AI2)))</f>
        <v>0</v>
      </c>
      <c r="H2" s="8" cm="1">
        <f t="array" ref="H2">_xlfn.IFS(V2=0,0,V2&gt;0,(LOG(0.01*V2/10^-AJ2)))</f>
        <v>6.3467717342662446</v>
      </c>
      <c r="I2" s="8" cm="1">
        <f t="array" ref="I2">_xlfn.IFS(W2=0,0,W2&gt;0,(LOG(0.01*W2/10^-AK2)))</f>
        <v>6.3467717342662446</v>
      </c>
      <c r="J2" s="8" cm="1">
        <f t="array" ref="J2">_xlfn.IFS(X2=0,0,X2&gt;0,(LOG(0.01*X2/10^-AL2)))</f>
        <v>6.7405897102992496</v>
      </c>
      <c r="K2" s="8" cm="1">
        <f t="array" ref="K2">_xlfn.IFS(Y2=0,0,Y2&gt;0,(LOG(0.01*Y2/10^-AM2)))</f>
        <v>6.3942792860618818</v>
      </c>
      <c r="L2" s="8" cm="1">
        <f t="array" ref="L2">_xlfn.IFS(Z2=0,0,Z2&gt;0,(LOG(0.01*Z2/10^-AN2)))</f>
        <v>6.3942792860618818</v>
      </c>
      <c r="M2" s="8" cm="1">
        <f t="array" ref="M2">_xlfn.IFS(AA2=0,0,AA2&gt;0,(LOG(0.01*AA2/10^-AO2)))</f>
        <v>6.0661799739838882</v>
      </c>
      <c r="N2" s="8" cm="1">
        <f t="array" ref="N2">_xlfn.IFS(AB2=0,0,AB2&gt;0,(LOG(0.01*AB2/10^-AP2)))</f>
        <v>0</v>
      </c>
      <c r="O2" s="8" cm="1">
        <f t="array" ref="O2">_xlfn.IFS(AC2=0,0,AC2&gt;0,(LOG(0.01*AC2/10^-AQ2)))</f>
        <v>0</v>
      </c>
      <c r="P2" s="8" cm="1">
        <f t="array" ref="P2">_xlfn.IFS(AD2=0,0,AD2&gt;0,(LOG(0.01*AD2/10^-AR2)))</f>
        <v>0</v>
      </c>
      <c r="Q2" s="8" cm="1">
        <f t="array" ref="Q2">_xlfn.IFS(AE2=0,0,AE2&gt;0,(LOG(0.01*AE2/10^-AS2)))</f>
        <v>0</v>
      </c>
      <c r="R2" s="8" cm="1">
        <f t="array" ref="R2">_xlfn.IFS(AF2=0,0,AF2&gt;0,(LOG(0.01*AF2/10^-AT2)))</f>
        <v>0</v>
      </c>
      <c r="S2" s="8" cm="1">
        <f t="array" ref="S2">_xlfn.IFS(AG2=0,0,AG2&gt;0,(LOG(0.01*AG2/10^-AU2)))</f>
        <v>0</v>
      </c>
      <c r="V2" s="17">
        <v>9.6999999999999993</v>
      </c>
      <c r="W2" s="17">
        <v>9.6999999999999993</v>
      </c>
      <c r="X2" s="17">
        <v>12.9</v>
      </c>
      <c r="Y2" s="17">
        <v>8.4</v>
      </c>
      <c r="Z2" s="17">
        <v>8.4</v>
      </c>
      <c r="AA2" s="17">
        <v>6.4</v>
      </c>
      <c r="AJ2" s="15">
        <v>7.36</v>
      </c>
      <c r="AK2" s="15">
        <v>7.36</v>
      </c>
      <c r="AL2" s="15">
        <v>7.63</v>
      </c>
      <c r="AM2" s="15">
        <v>7.47</v>
      </c>
      <c r="AN2" s="15">
        <v>7.47</v>
      </c>
      <c r="AO2" s="15">
        <v>7.26</v>
      </c>
      <c r="AW2" s="186" t="str">
        <f>IF(VLOOKUP($A2,'I-Ligands'!$A:$G,3,FALSE)="","",VLOOKUP($A2,'I-Ligands'!$A:$G,3,FALSE))</f>
        <v>Serotonin</v>
      </c>
      <c r="AX2" s="187" t="str">
        <f>IF(VLOOKUP($A2,'I-Ligands'!$A:$G,4,FALSE)="","",VLOOKUP($A2,'I-Ligands'!$A:$G,4,FALSE))</f>
        <v>5-Hydroxytryptamine Hydrochloride</v>
      </c>
      <c r="AY2" s="98">
        <v>1.1000000000000001</v>
      </c>
      <c r="AZ2" s="99">
        <v>1.86</v>
      </c>
      <c r="BA2" s="99">
        <v>1.71</v>
      </c>
      <c r="BB2" s="99">
        <v>1.71</v>
      </c>
      <c r="BC2" s="99">
        <v>0.98</v>
      </c>
      <c r="BD2" s="99">
        <v>0.83</v>
      </c>
      <c r="BE2" s="99">
        <v>0.83</v>
      </c>
      <c r="BF2" s="99">
        <v>2.1</v>
      </c>
      <c r="BG2" s="99">
        <v>0.45</v>
      </c>
      <c r="BH2" s="99">
        <v>0.45</v>
      </c>
      <c r="BI2" s="99">
        <v>2.42</v>
      </c>
      <c r="BJ2" s="99">
        <v>2.89</v>
      </c>
      <c r="BK2" s="99">
        <v>2.52</v>
      </c>
      <c r="BL2" s="99">
        <v>2.06</v>
      </c>
      <c r="BM2" s="98">
        <f t="shared" ref="BM2:BM33" si="0">IF(T2="",0,IFERROR(T2/AY2,""))</f>
        <v>0</v>
      </c>
      <c r="BN2" s="99">
        <f t="shared" ref="BN2:BN33" si="1">IF(U2="",0,IFERROR(U2/AZ2,""))</f>
        <v>0</v>
      </c>
      <c r="BO2" s="99">
        <f t="shared" ref="BO2:BO33" si="2">IF(V2="",0,IFERROR(V2/BA2,""))</f>
        <v>5.6725146198830405</v>
      </c>
      <c r="BP2" s="99">
        <f t="shared" ref="BP2:BP33" si="3">IF(W2="",0,IFERROR(W2/BB2,""))</f>
        <v>5.6725146198830405</v>
      </c>
      <c r="BQ2" s="99">
        <f t="shared" ref="BQ2:BQ33" si="4">IF(X2="",0,IFERROR(X2/BC2,""))</f>
        <v>13.163265306122449</v>
      </c>
      <c r="BR2" s="99">
        <f t="shared" ref="BR2:BR33" si="5">IF(Y2="",0,IFERROR(Y2/BD2,""))</f>
        <v>10.120481927710845</v>
      </c>
      <c r="BS2" s="99">
        <f t="shared" ref="BS2:BS33" si="6">IF(Z2="",0,IFERROR(Z2/BE2,""))</f>
        <v>10.120481927710845</v>
      </c>
      <c r="BT2" s="99">
        <f t="shared" ref="BT2:BT33" si="7">IF(AA2="",0,IFERROR(AA2/BF2,""))</f>
        <v>3.0476190476190474</v>
      </c>
      <c r="BU2" s="99">
        <f t="shared" ref="BU2:BU33" si="8">IF(AB2="",0,IFERROR(AB2/BG2,""))</f>
        <v>0</v>
      </c>
      <c r="BV2" s="99">
        <f t="shared" ref="BV2:BV33" si="9">IF(AC2="",0,IFERROR(AC2/BH2,""))</f>
        <v>0</v>
      </c>
      <c r="BW2" s="99">
        <f t="shared" ref="BW2:BW33" si="10">IF(AD2="",0,IFERROR(AD2/BI2,""))</f>
        <v>0</v>
      </c>
      <c r="BX2" s="99">
        <f t="shared" ref="BX2:BX33" si="11">IF(AE2="",0,IFERROR(AE2/BJ2,""))</f>
        <v>0</v>
      </c>
      <c r="BY2" s="99">
        <f t="shared" ref="BY2:BY33" si="12">IF(AF2="",0,IFERROR(AF2/BK2,""))</f>
        <v>0</v>
      </c>
      <c r="BZ2" s="99">
        <f t="shared" ref="BZ2:BZ33" si="13">IF(AG2="",0,IFERROR(AG2/BL2,""))</f>
        <v>0</v>
      </c>
    </row>
    <row r="3" spans="1:78" ht="18">
      <c r="A3" s="12" t="s">
        <v>19</v>
      </c>
      <c r="B3" s="13" t="s">
        <v>2576</v>
      </c>
      <c r="C3" s="9" t="str">
        <f>IF(VLOOKUP($A3,'I-Ligands'!$A:$G,5,FALSE)="","",VLOOKUP($A3,'I-Ligands'!$A:$G,5,FALSE))</f>
        <v>Guide to Pharmacology</v>
      </c>
      <c r="D3" s="9">
        <f>IF(VLOOKUP($A3,'I-Ligands'!$A:$G,6,FALSE)="","",VLOOKUP($A3,'I-Ligands'!$A:$G,6,FALSE))</f>
        <v>5</v>
      </c>
      <c r="E3" s="9" t="str">
        <f>IF(VLOOKUP($A3,'I-Ligands'!$A:$G,7,FALSE)="","",VLOOKUP($A3,'I-Ligands'!$A:$G,7,FALSE))</f>
        <v>Phys</v>
      </c>
      <c r="F3" s="7" cm="1">
        <f t="array" ref="F3">_xlfn.IFS(T3=0,0,T3&gt;0,(LOG(0.01*T3/10^-AH3)))</f>
        <v>0</v>
      </c>
      <c r="G3" s="8" cm="1">
        <f t="array" ref="G3">_xlfn.IFS(U3=0,0,U3&gt;0,(LOG(0.01*U3/10^-AI3)))</f>
        <v>0</v>
      </c>
      <c r="H3" s="8" cm="1">
        <f t="array" ref="H3">_xlfn.IFS(V3=0,0,V3&gt;0,(LOG(0.01*V3/10^-AJ3)))</f>
        <v>6.1731278535996994</v>
      </c>
      <c r="I3" s="8" cm="1">
        <f t="array" ref="I3">_xlfn.IFS(W3=0,0,W3&gt;0,(LOG(0.01*W3/10^-AK3)))</f>
        <v>6.1731278535996994</v>
      </c>
      <c r="J3" s="8" cm="1">
        <f t="array" ref="J3">_xlfn.IFS(X3=0,0,X3&gt;0,(LOG(0.01*X3/10^-AL3)))</f>
        <v>6.5413680022349752</v>
      </c>
      <c r="K3" s="8" cm="1">
        <f t="array" ref="K3">_xlfn.IFS(Y3=0,0,Y3&gt;0,(LOG(0.01*Y3/10^-AM3)))</f>
        <v>5.8585139398778878</v>
      </c>
      <c r="L3" s="8" cm="1">
        <f t="array" ref="L3">_xlfn.IFS(Z3=0,0,Z3&gt;0,(LOG(0.01*Z3/10^-AN3)))</f>
        <v>5.8585139398778878</v>
      </c>
      <c r="M3" s="8" cm="1">
        <f t="array" ref="M3">_xlfn.IFS(AA3=0,0,AA3&gt;0,(LOG(0.01*AA3/10^-AO3)))</f>
        <v>0</v>
      </c>
      <c r="N3" s="8" cm="1">
        <f t="array" ref="N3">_xlfn.IFS(AB3=0,0,AB3&gt;0,(LOG(0.01*AB3/10^-AP3)))</f>
        <v>0</v>
      </c>
      <c r="O3" s="8" cm="1">
        <f t="array" ref="O3">_xlfn.IFS(AC3=0,0,AC3&gt;0,(LOG(0.01*AC3/10^-AQ3)))</f>
        <v>0</v>
      </c>
      <c r="P3" s="8" cm="1">
        <f t="array" ref="P3">_xlfn.IFS(AD3=0,0,AD3&gt;0,(LOG(0.01*AD3/10^-AR3)))</f>
        <v>0</v>
      </c>
      <c r="Q3" s="8" cm="1">
        <f t="array" ref="Q3">_xlfn.IFS(AE3=0,0,AE3&gt;0,(LOG(0.01*AE3/10^-AS3)))</f>
        <v>0</v>
      </c>
      <c r="R3" s="8" cm="1">
        <f t="array" ref="R3">_xlfn.IFS(AF3=0,0,AF3&gt;0,(LOG(0.01*AF3/10^-AT3)))</f>
        <v>0</v>
      </c>
      <c r="S3" s="8" cm="1">
        <f t="array" ref="S3">_xlfn.IFS(AG3=0,0,AG3&gt;0,(LOG(0.01*AG3/10^-AU3)))</f>
        <v>0</v>
      </c>
      <c r="V3" s="17">
        <v>9.4</v>
      </c>
      <c r="W3" s="17">
        <v>9.4</v>
      </c>
      <c r="X3" s="17">
        <v>14.5</v>
      </c>
      <c r="Y3" s="17">
        <v>3.3</v>
      </c>
      <c r="Z3" s="17">
        <v>3.3</v>
      </c>
      <c r="AJ3" s="15">
        <v>7.2</v>
      </c>
      <c r="AK3" s="15">
        <v>7.2</v>
      </c>
      <c r="AL3" s="15">
        <v>7.38</v>
      </c>
      <c r="AM3" s="15">
        <v>7.34</v>
      </c>
      <c r="AN3" s="15">
        <v>7.34</v>
      </c>
      <c r="AW3" s="186" t="str">
        <f>IF(VLOOKUP($A3,'I-Ligands'!$A:$G,3,FALSE)="","",VLOOKUP($A3,'I-Ligands'!$A:$G,3,FALSE))</f>
        <v>Serotonin</v>
      </c>
      <c r="AX3" s="187" t="str">
        <f>IF(VLOOKUP($A3,'I-Ligands'!$A:$G,4,FALSE)="","",VLOOKUP($A3,'I-Ligands'!$A:$G,4,FALSE))</f>
        <v>5-Hydroxytryptamine Hydrochloride</v>
      </c>
      <c r="AY3" s="98">
        <v>2.5</v>
      </c>
      <c r="AZ3" s="99">
        <v>0.91</v>
      </c>
      <c r="BA3" s="99">
        <v>4.45</v>
      </c>
      <c r="BB3" s="99">
        <v>4.45</v>
      </c>
      <c r="BC3" s="99">
        <v>4.79</v>
      </c>
      <c r="BD3" s="99">
        <v>5.37</v>
      </c>
      <c r="BE3" s="99">
        <v>5.37</v>
      </c>
      <c r="BF3" s="99">
        <v>4.1100000000000003</v>
      </c>
      <c r="BG3" s="99">
        <v>2.33</v>
      </c>
      <c r="BH3" s="99">
        <v>2.33</v>
      </c>
      <c r="BI3" s="99">
        <v>4.34</v>
      </c>
      <c r="BJ3" s="99">
        <v>0.84</v>
      </c>
      <c r="BK3" s="99">
        <v>0.28999999999999998</v>
      </c>
      <c r="BL3" s="99">
        <v>2.11</v>
      </c>
      <c r="BM3" s="98">
        <f t="shared" si="0"/>
        <v>0</v>
      </c>
      <c r="BN3" s="99">
        <f t="shared" si="1"/>
        <v>0</v>
      </c>
      <c r="BO3" s="99">
        <f t="shared" si="2"/>
        <v>2.1123595505617976</v>
      </c>
      <c r="BP3" s="99">
        <f t="shared" si="3"/>
        <v>2.1123595505617976</v>
      </c>
      <c r="BQ3" s="99">
        <f t="shared" si="4"/>
        <v>3.0271398747390394</v>
      </c>
      <c r="BR3" s="99">
        <f t="shared" si="5"/>
        <v>0.61452513966480438</v>
      </c>
      <c r="BS3" s="99">
        <f t="shared" si="6"/>
        <v>0.61452513966480438</v>
      </c>
      <c r="BT3" s="99">
        <f t="shared" si="7"/>
        <v>0</v>
      </c>
      <c r="BU3" s="99">
        <f t="shared" si="8"/>
        <v>0</v>
      </c>
      <c r="BV3" s="99">
        <f t="shared" si="9"/>
        <v>0</v>
      </c>
      <c r="BW3" s="99">
        <f t="shared" si="10"/>
        <v>0</v>
      </c>
      <c r="BX3" s="99">
        <f t="shared" si="11"/>
        <v>0</v>
      </c>
      <c r="BY3" s="99">
        <f t="shared" si="12"/>
        <v>0</v>
      </c>
      <c r="BZ3" s="99">
        <f t="shared" si="13"/>
        <v>0</v>
      </c>
    </row>
    <row r="4" spans="1:78" ht="18">
      <c r="A4" s="12" t="s">
        <v>33</v>
      </c>
      <c r="B4" s="13" t="s">
        <v>2586</v>
      </c>
      <c r="C4" s="9" t="str">
        <f>IF(VLOOKUP($A4,'I-Ligands'!$A:$G,5,FALSE)="","",VLOOKUP($A4,'I-Ligands'!$A:$G,5,FALSE))</f>
        <v>Guide to Pharmacology</v>
      </c>
      <c r="D4" s="9">
        <f>IF(VLOOKUP($A4,'I-Ligands'!$A:$G,6,FALSE)="","",VLOOKUP($A4,'I-Ligands'!$A:$G,6,FALSE))</f>
        <v>2844</v>
      </c>
      <c r="E4" s="9" t="str">
        <f>IF(VLOOKUP($A4,'I-Ligands'!$A:$G,7,FALSE)="","",VLOOKUP($A4,'I-Ligands'!$A:$G,7,FALSE))</f>
        <v>Phys</v>
      </c>
      <c r="F4" s="7" cm="1">
        <f t="array" ref="F4">_xlfn.IFS(T4=0,0,T4&gt;0,(LOG(0.01*T4/10^-AH4)))</f>
        <v>0</v>
      </c>
      <c r="G4" s="8" cm="1">
        <f t="array" ref="G4">_xlfn.IFS(U4=0,0,U4&gt;0,(LOG(0.01*U4/10^-AI4)))</f>
        <v>0</v>
      </c>
      <c r="H4" s="8" cm="1">
        <f t="array" ref="H4">_xlfn.IFS(V4=0,0,V4&gt;0,(LOG(0.01*V4/10^-AJ4)))</f>
        <v>6.1027603890268383</v>
      </c>
      <c r="I4" s="8" cm="1">
        <f t="array" ref="I4">_xlfn.IFS(W4=0,0,W4&gt;0,(LOG(0.01*W4/10^-AK4)))</f>
        <v>6.1027603890268383</v>
      </c>
      <c r="J4" s="8" cm="1">
        <f t="array" ref="J4">_xlfn.IFS(X4=0,0,X4&gt;0,(LOG(0.01*X4/10^-AL4)))</f>
        <v>6.2617864355242903</v>
      </c>
      <c r="K4" s="8" cm="1">
        <f t="array" ref="K4">_xlfn.IFS(Y4=0,0,Y4&gt;0,(LOG(0.01*Y4/10^-AM4)))</f>
        <v>4.7468258760318509</v>
      </c>
      <c r="L4" s="8" cm="1">
        <f t="array" ref="L4">_xlfn.IFS(Z4=0,0,Z4&gt;0,(LOG(0.01*Z4/10^-AN4)))</f>
        <v>4.7468258760318509</v>
      </c>
      <c r="M4" s="8" cm="1">
        <f t="array" ref="M4">_xlfn.IFS(AA4=0,0,AA4&gt;0,(LOG(0.01*AA4/10^-AO4)))</f>
        <v>3.9789700043360194</v>
      </c>
      <c r="N4" s="8" cm="1">
        <f t="array" ref="N4">_xlfn.IFS(AB4=0,0,AB4&gt;0,(LOG(0.01*AB4/10^-AP4)))</f>
        <v>0</v>
      </c>
      <c r="O4" s="8" cm="1">
        <f t="array" ref="O4">_xlfn.IFS(AC4=0,0,AC4&gt;0,(LOG(0.01*AC4/10^-AQ4)))</f>
        <v>0</v>
      </c>
      <c r="P4" s="8" cm="1">
        <f t="array" ref="P4">_xlfn.IFS(AD4=0,0,AD4&gt;0,(LOG(0.01*AD4/10^-AR4)))</f>
        <v>0</v>
      </c>
      <c r="Q4" s="8" cm="1">
        <f t="array" ref="Q4">_xlfn.IFS(AE4=0,0,AE4&gt;0,(LOG(0.01*AE4/10^-AS4)))</f>
        <v>0</v>
      </c>
      <c r="R4" s="8" cm="1">
        <f t="array" ref="R4">_xlfn.IFS(AF4=0,0,AF4&gt;0,(LOG(0.01*AF4/10^-AT4)))</f>
        <v>0</v>
      </c>
      <c r="S4" s="8" cm="1">
        <f t="array" ref="S4">_xlfn.IFS(AG4=0,0,AG4&gt;0,(LOG(0.01*AG4/10^-AU4)))</f>
        <v>0</v>
      </c>
      <c r="V4" s="17">
        <v>31.1</v>
      </c>
      <c r="W4" s="17">
        <v>31.1</v>
      </c>
      <c r="X4" s="17">
        <v>28.3</v>
      </c>
      <c r="Y4" s="17">
        <v>16.100000000000001</v>
      </c>
      <c r="Z4" s="17">
        <v>16.100000000000001</v>
      </c>
      <c r="AA4" s="17">
        <v>5</v>
      </c>
      <c r="AJ4" s="15">
        <v>6.61</v>
      </c>
      <c r="AK4" s="15">
        <v>6.61</v>
      </c>
      <c r="AL4" s="15">
        <v>6.81</v>
      </c>
      <c r="AM4" s="15">
        <v>5.54</v>
      </c>
      <c r="AN4" s="15">
        <v>5.54</v>
      </c>
      <c r="AO4" s="15">
        <v>5.28</v>
      </c>
      <c r="AW4" s="186" t="str">
        <f>IF(VLOOKUP($A4,'I-Ligands'!$A:$G,3,FALSE)="","",VLOOKUP($A4,'I-Ligands'!$A:$G,3,FALSE))</f>
        <v>Adenosine</v>
      </c>
      <c r="AX4" s="187" t="str">
        <f>IF(VLOOKUP($A4,'I-Ligands'!$A:$G,4,FALSE)="","",VLOOKUP($A4,'I-Ligands'!$A:$G,4,FALSE))</f>
        <v>Adenosine</v>
      </c>
      <c r="AY4" s="98">
        <v>1.57</v>
      </c>
      <c r="AZ4" s="99">
        <v>3.07</v>
      </c>
      <c r="BA4" s="99">
        <v>2.94</v>
      </c>
      <c r="BB4" s="99">
        <v>2.94</v>
      </c>
      <c r="BC4" s="99">
        <v>3.15</v>
      </c>
      <c r="BD4" s="99">
        <v>2.12</v>
      </c>
      <c r="BE4" s="99">
        <v>2.12</v>
      </c>
      <c r="BF4" s="99">
        <v>1.51</v>
      </c>
      <c r="BG4" s="99">
        <v>4.1399999999999997</v>
      </c>
      <c r="BH4" s="99">
        <v>4.1399999999999997</v>
      </c>
      <c r="BI4" s="99">
        <v>7.75</v>
      </c>
      <c r="BJ4" s="99">
        <v>2.76</v>
      </c>
      <c r="BK4" s="99">
        <v>0.71</v>
      </c>
      <c r="BL4" s="99">
        <v>0.9</v>
      </c>
      <c r="BM4" s="98">
        <f t="shared" si="0"/>
        <v>0</v>
      </c>
      <c r="BN4" s="99">
        <f t="shared" si="1"/>
        <v>0</v>
      </c>
      <c r="BO4" s="99">
        <f t="shared" si="2"/>
        <v>10.578231292517007</v>
      </c>
      <c r="BP4" s="99">
        <f t="shared" si="3"/>
        <v>10.578231292517007</v>
      </c>
      <c r="BQ4" s="99">
        <f t="shared" si="4"/>
        <v>8.9841269841269842</v>
      </c>
      <c r="BR4" s="99">
        <f t="shared" si="5"/>
        <v>7.5943396226415096</v>
      </c>
      <c r="BS4" s="99">
        <f t="shared" si="6"/>
        <v>7.5943396226415096</v>
      </c>
      <c r="BT4" s="99">
        <f t="shared" si="7"/>
        <v>3.3112582781456954</v>
      </c>
      <c r="BU4" s="99">
        <f t="shared" si="8"/>
        <v>0</v>
      </c>
      <c r="BV4" s="99">
        <f t="shared" si="9"/>
        <v>0</v>
      </c>
      <c r="BW4" s="99">
        <f t="shared" si="10"/>
        <v>0</v>
      </c>
      <c r="BX4" s="99">
        <f t="shared" si="11"/>
        <v>0</v>
      </c>
      <c r="BY4" s="99">
        <f t="shared" si="12"/>
        <v>0</v>
      </c>
      <c r="BZ4" s="99">
        <f t="shared" si="13"/>
        <v>0</v>
      </c>
    </row>
    <row r="5" spans="1:78" ht="18">
      <c r="A5" s="12" t="s">
        <v>42</v>
      </c>
      <c r="B5" s="13" t="s">
        <v>2600</v>
      </c>
      <c r="C5" s="9" t="str">
        <f>IF(VLOOKUP($A5,'I-Ligands'!$A:$G,5,FALSE)="","",VLOOKUP($A5,'I-Ligands'!$A:$G,5,FALSE))</f>
        <v>Guide to Pharmacology</v>
      </c>
      <c r="D5" s="9">
        <f>IF(VLOOKUP($A5,'I-Ligands'!$A:$G,6,FALSE)="","",VLOOKUP($A5,'I-Ligands'!$A:$G,6,FALSE))</f>
        <v>536</v>
      </c>
      <c r="E5" s="9" t="str">
        <f>IF(VLOOKUP($A5,'I-Ligands'!$A:$G,7,FALSE)="","",VLOOKUP($A5,'I-Ligands'!$A:$G,7,FALSE))</f>
        <v>Surr</v>
      </c>
      <c r="F5" s="7" cm="1">
        <f t="array" ref="F5">_xlfn.IFS(T5=0,0,T5&gt;0,(LOG(0.01*T5/10^-AH5)))</f>
        <v>4.806576957056512</v>
      </c>
      <c r="G5" s="8" cm="1">
        <f t="array" ref="G5">_xlfn.IFS(U5=0,0,U5&gt;0,(LOG(0.01*U5/10^-AI5)))</f>
        <v>4.5310678622717369</v>
      </c>
      <c r="H5" s="8" cm="1">
        <f t="array" ref="H5">_xlfn.IFS(V5=0,0,V5&gt;0,(LOG(0.01*V5/10^-AJ5)))</f>
        <v>0</v>
      </c>
      <c r="I5" s="8" cm="1">
        <f t="array" ref="I5">_xlfn.IFS(W5=0,0,W5&gt;0,(LOG(0.01*W5/10^-AK5)))</f>
        <v>0</v>
      </c>
      <c r="J5" s="8" cm="1">
        <f t="array" ref="J5">_xlfn.IFS(X5=0,0,X5&gt;0,(LOG(0.01*X5/10^-AL5)))</f>
        <v>0</v>
      </c>
      <c r="K5" s="8" cm="1">
        <f t="array" ref="K5">_xlfn.IFS(Y5=0,0,Y5&gt;0,(LOG(0.01*Y5/10^-AM5)))</f>
        <v>0</v>
      </c>
      <c r="L5" s="8" cm="1">
        <f t="array" ref="L5">_xlfn.IFS(Z5=0,0,Z5&gt;0,(LOG(0.01*Z5/10^-AN5)))</f>
        <v>0</v>
      </c>
      <c r="M5" s="8" cm="1">
        <f t="array" ref="M5">_xlfn.IFS(AA5=0,0,AA5&gt;0,(LOG(0.01*AA5/10^-AO5)))</f>
        <v>0</v>
      </c>
      <c r="N5" s="8" cm="1">
        <f t="array" ref="N5">_xlfn.IFS(AB5=0,0,AB5&gt;0,(LOG(0.01*AB5/10^-AP5)))</f>
        <v>0</v>
      </c>
      <c r="O5" s="8" cm="1">
        <f t="array" ref="O5">_xlfn.IFS(AC5=0,0,AC5&gt;0,(LOG(0.01*AC5/10^-AQ5)))</f>
        <v>0</v>
      </c>
      <c r="P5" s="8" cm="1">
        <f t="array" ref="P5">_xlfn.IFS(AD5=0,0,AD5&gt;0,(LOG(0.01*AD5/10^-AR5)))</f>
        <v>0</v>
      </c>
      <c r="Q5" s="8" cm="1">
        <f t="array" ref="Q5">_xlfn.IFS(AE5=0,0,AE5&gt;0,(LOG(0.01*AE5/10^-AS5)))</f>
        <v>0</v>
      </c>
      <c r="R5" s="8" cm="1">
        <f t="array" ref="R5">_xlfn.IFS(AF5=0,0,AF5&gt;0,(LOG(0.01*AF5/10^-AT5)))</f>
        <v>0</v>
      </c>
      <c r="S5" s="8" cm="1">
        <f t="array" ref="S5">_xlfn.IFS(AG5=0,0,AG5&gt;0,(LOG(0.01*AG5/10^-AU5)))</f>
        <v>0</v>
      </c>
      <c r="T5" s="16">
        <v>23.8</v>
      </c>
      <c r="U5" s="17">
        <v>23.5</v>
      </c>
      <c r="AH5" s="14">
        <v>5.43</v>
      </c>
      <c r="AI5" s="15">
        <v>5.16</v>
      </c>
      <c r="AW5" s="186" t="str">
        <f>IF(VLOOKUP($A5,'I-Ligands'!$A:$G,3,FALSE)="","",VLOOKUP($A5,'I-Ligands'!$A:$G,3,FALSE))</f>
        <v>Isoproterenol</v>
      </c>
      <c r="AX5" s="187" t="str">
        <f>IF(VLOOKUP($A5,'I-Ligands'!$A:$G,4,FALSE)="","",VLOOKUP($A5,'I-Ligands'!$A:$G,4,FALSE))</f>
        <v>(−)-Isoproterenol hydrochloride</v>
      </c>
      <c r="AY5" s="98">
        <v>2.93</v>
      </c>
      <c r="AZ5" s="99">
        <v>3.21</v>
      </c>
      <c r="BA5" s="99">
        <v>3.92</v>
      </c>
      <c r="BB5" s="99">
        <v>3.92</v>
      </c>
      <c r="BC5" s="99">
        <v>4.18</v>
      </c>
      <c r="BD5" s="99">
        <v>2.68</v>
      </c>
      <c r="BE5" s="99">
        <v>2.68</v>
      </c>
      <c r="BF5" s="99">
        <v>2.9</v>
      </c>
      <c r="BG5" s="99">
        <v>3.53</v>
      </c>
      <c r="BH5" s="99">
        <v>3.53</v>
      </c>
      <c r="BI5" s="99">
        <v>4.47</v>
      </c>
      <c r="BJ5" s="99">
        <v>3.04</v>
      </c>
      <c r="BK5" s="99">
        <v>3.25</v>
      </c>
      <c r="BL5" s="99">
        <v>3.61</v>
      </c>
      <c r="BM5" s="98">
        <f t="shared" si="0"/>
        <v>8.1228668941979514</v>
      </c>
      <c r="BN5" s="99">
        <f t="shared" si="1"/>
        <v>7.3208722741433023</v>
      </c>
      <c r="BO5" s="99">
        <f t="shared" si="2"/>
        <v>0</v>
      </c>
      <c r="BP5" s="99">
        <f t="shared" si="3"/>
        <v>0</v>
      </c>
      <c r="BQ5" s="99">
        <f t="shared" si="4"/>
        <v>0</v>
      </c>
      <c r="BR5" s="99">
        <f t="shared" si="5"/>
        <v>0</v>
      </c>
      <c r="BS5" s="99">
        <f t="shared" si="6"/>
        <v>0</v>
      </c>
      <c r="BT5" s="99">
        <f t="shared" si="7"/>
        <v>0</v>
      </c>
      <c r="BU5" s="99">
        <f t="shared" si="8"/>
        <v>0</v>
      </c>
      <c r="BV5" s="99">
        <f t="shared" si="9"/>
        <v>0</v>
      </c>
      <c r="BW5" s="99">
        <f t="shared" si="10"/>
        <v>0</v>
      </c>
      <c r="BX5" s="99">
        <f t="shared" si="11"/>
        <v>0</v>
      </c>
      <c r="BY5" s="99">
        <f t="shared" si="12"/>
        <v>0</v>
      </c>
      <c r="BZ5" s="99">
        <f t="shared" si="13"/>
        <v>0</v>
      </c>
    </row>
    <row r="6" spans="1:78" ht="18">
      <c r="A6" s="12" t="s">
        <v>58</v>
      </c>
      <c r="B6" s="13" t="s">
        <v>2607</v>
      </c>
      <c r="C6" s="9" t="str">
        <f>IF(VLOOKUP($A6,'I-Ligands'!$A:$G,5,FALSE)="","",VLOOKUP($A6,'I-Ligands'!$A:$G,5,FALSE))</f>
        <v>Guide to Pharmacology</v>
      </c>
      <c r="D6" s="9">
        <f>IF(VLOOKUP($A6,'I-Ligands'!$A:$G,6,FALSE)="","",VLOOKUP($A6,'I-Ligands'!$A:$G,6,FALSE))</f>
        <v>730</v>
      </c>
      <c r="E6" s="9" t="str">
        <f>IF(VLOOKUP($A6,'I-Ligands'!$A:$G,7,FALSE)="","",VLOOKUP($A6,'I-Ligands'!$A:$G,7,FALSE))</f>
        <v>Surr</v>
      </c>
      <c r="F6" s="7" cm="1">
        <f t="array" ref="F6">_xlfn.IFS(T6=0,0,T6&gt;0,(LOG(0.01*T6/10^-AH6)))</f>
        <v>0</v>
      </c>
      <c r="G6" s="8" cm="1">
        <f t="array" ref="G6">_xlfn.IFS(U6=0,0,U6&gt;0,(LOG(0.01*U6/10^-AI6)))</f>
        <v>0</v>
      </c>
      <c r="H6" s="8" cm="1">
        <f t="array" ref="H6">_xlfn.IFS(V6=0,0,V6&gt;0,(LOG(0.01*V6/10^-AJ6)))</f>
        <v>6.9292180226701827</v>
      </c>
      <c r="I6" s="8" cm="1">
        <f t="array" ref="I6">_xlfn.IFS(W6=0,0,W6&gt;0,(LOG(0.01*W6/10^-AK6)))</f>
        <v>6.9292180226701827</v>
      </c>
      <c r="J6" s="8" cm="1">
        <f t="array" ref="J6">_xlfn.IFS(X6=0,0,X6&gt;0,(LOG(0.01*X6/10^-AL6)))</f>
        <v>6.8264907251724827</v>
      </c>
      <c r="K6" s="8" cm="1">
        <f t="array" ref="K6">_xlfn.IFS(Y6=0,0,Y6&gt;0,(LOG(0.01*Y6/10^-AM6)))</f>
        <v>6.9653058652647708</v>
      </c>
      <c r="L6" s="8" cm="1">
        <f t="array" ref="L6">_xlfn.IFS(Z6=0,0,Z6&gt;0,(LOG(0.01*Z6/10^-AN6)))</f>
        <v>6.9653058652647708</v>
      </c>
      <c r="M6" s="8" cm="1">
        <f t="array" ref="M6">_xlfn.IFS(AA6=0,0,AA6&gt;0,(LOG(0.01*AA6/10^-AO6)))</f>
        <v>6.6388490907372555</v>
      </c>
      <c r="N6" s="8" cm="1">
        <f t="array" ref="N6">_xlfn.IFS(AB6=0,0,AB6&gt;0,(LOG(0.01*AB6/10^-AP6)))</f>
        <v>0</v>
      </c>
      <c r="O6" s="8" cm="1">
        <f t="array" ref="O6">_xlfn.IFS(AC6=0,0,AC6&gt;0,(LOG(0.01*AC6/10^-AQ6)))</f>
        <v>0</v>
      </c>
      <c r="P6" s="8" cm="1">
        <f t="array" ref="P6">_xlfn.IFS(AD6=0,0,AD6&gt;0,(LOG(0.01*AD6/10^-AR6)))</f>
        <v>6.21848501887865</v>
      </c>
      <c r="Q6" s="8" cm="1">
        <f t="array" ref="Q6">_xlfn.IFS(AE6=0,0,AE6&gt;0,(LOG(0.01*AE6/10^-AS6)))</f>
        <v>0</v>
      </c>
      <c r="R6" s="8" cm="1">
        <f t="array" ref="R6">_xlfn.IFS(AF6=0,0,AF6&gt;0,(LOG(0.01*AF6/10^-AT6)))</f>
        <v>6.9106978403536115</v>
      </c>
      <c r="S6" s="8" cm="1">
        <f t="array" ref="S6">_xlfn.IFS(AG6=0,0,AG6&gt;0,(LOG(0.01*AG6/10^-AU6)))</f>
        <v>6.7286001717619177</v>
      </c>
      <c r="V6" s="17">
        <v>11.2</v>
      </c>
      <c r="W6" s="17">
        <v>11.2</v>
      </c>
      <c r="X6" s="17">
        <v>7.7</v>
      </c>
      <c r="Y6" s="17">
        <v>10.6</v>
      </c>
      <c r="Z6" s="17">
        <v>10.6</v>
      </c>
      <c r="AA6" s="17">
        <v>6.9</v>
      </c>
      <c r="AD6" s="17">
        <v>8.1</v>
      </c>
      <c r="AF6" s="17">
        <v>11.5</v>
      </c>
      <c r="AG6" s="17">
        <v>10.199999999999999</v>
      </c>
      <c r="AJ6" s="15">
        <v>7.88</v>
      </c>
      <c r="AK6" s="15">
        <v>7.88</v>
      </c>
      <c r="AL6" s="15">
        <v>7.94</v>
      </c>
      <c r="AM6" s="15">
        <v>7.94</v>
      </c>
      <c r="AN6" s="15">
        <v>7.94</v>
      </c>
      <c r="AO6" s="15">
        <v>7.8</v>
      </c>
      <c r="AR6" s="15">
        <v>7.31</v>
      </c>
      <c r="AT6" s="15">
        <v>7.85</v>
      </c>
      <c r="AU6" s="15">
        <v>7.72</v>
      </c>
      <c r="AW6" s="186" t="str">
        <f>IF(VLOOKUP($A6,'I-Ligands'!$A:$G,3,FALSE)="","",VLOOKUP($A6,'I-Ligands'!$A:$G,3,FALSE))</f>
        <v>CP-55940</v>
      </c>
      <c r="AX6" s="187" t="str">
        <f>IF(VLOOKUP($A6,'I-Ligands'!$A:$G,4,FALSE)="","",VLOOKUP($A6,'I-Ligands'!$A:$G,4,FALSE))</f>
        <v>(−)-CP 55,940</v>
      </c>
      <c r="AY6" s="98">
        <v>1.46</v>
      </c>
      <c r="AZ6" s="99">
        <v>1.59</v>
      </c>
      <c r="BA6" s="99">
        <v>7.35</v>
      </c>
      <c r="BB6" s="99">
        <v>7.35</v>
      </c>
      <c r="BC6" s="99">
        <v>7.85</v>
      </c>
      <c r="BD6" s="99">
        <v>6.79</v>
      </c>
      <c r="BE6" s="99">
        <v>6.79</v>
      </c>
      <c r="BF6" s="99">
        <v>7.44</v>
      </c>
      <c r="BG6" s="99">
        <v>4.24</v>
      </c>
      <c r="BH6" s="99">
        <v>4.24</v>
      </c>
      <c r="BI6" s="99">
        <v>3.66</v>
      </c>
      <c r="BJ6" s="99">
        <v>1.8</v>
      </c>
      <c r="BK6" s="99">
        <v>2.14</v>
      </c>
      <c r="BL6" s="99">
        <v>3.05</v>
      </c>
      <c r="BM6" s="98">
        <f t="shared" si="0"/>
        <v>0</v>
      </c>
      <c r="BN6" s="99">
        <f t="shared" si="1"/>
        <v>0</v>
      </c>
      <c r="BO6" s="99">
        <f t="shared" si="2"/>
        <v>1.5238095238095237</v>
      </c>
      <c r="BP6" s="99">
        <f t="shared" si="3"/>
        <v>1.5238095238095237</v>
      </c>
      <c r="BQ6" s="99">
        <f t="shared" si="4"/>
        <v>0.98089171974522305</v>
      </c>
      <c r="BR6" s="99">
        <f t="shared" si="5"/>
        <v>1.561119293078056</v>
      </c>
      <c r="BS6" s="99">
        <f t="shared" si="6"/>
        <v>1.561119293078056</v>
      </c>
      <c r="BT6" s="99">
        <f t="shared" si="7"/>
        <v>0.92741935483870963</v>
      </c>
      <c r="BU6" s="99">
        <f t="shared" si="8"/>
        <v>0</v>
      </c>
      <c r="BV6" s="99">
        <f t="shared" si="9"/>
        <v>0</v>
      </c>
      <c r="BW6" s="99">
        <f t="shared" si="10"/>
        <v>2.2131147540983607</v>
      </c>
      <c r="BX6" s="99">
        <f t="shared" si="11"/>
        <v>0</v>
      </c>
      <c r="BY6" s="99">
        <f t="shared" si="12"/>
        <v>5.3738317757009346</v>
      </c>
      <c r="BZ6" s="99">
        <f t="shared" si="13"/>
        <v>3.3442622950819674</v>
      </c>
    </row>
    <row r="7" spans="1:78" ht="18">
      <c r="A7" s="12" t="s">
        <v>59</v>
      </c>
      <c r="B7" s="13" t="s">
        <v>2608</v>
      </c>
      <c r="C7" s="9" t="str">
        <f>IF(VLOOKUP($A7,'I-Ligands'!$A:$G,5,FALSE)="","",VLOOKUP($A7,'I-Ligands'!$A:$G,5,FALSE))</f>
        <v>Guide to Pharmacology</v>
      </c>
      <c r="D7" s="9">
        <f>IF(VLOOKUP($A7,'I-Ligands'!$A:$G,6,FALSE)="","",VLOOKUP($A7,'I-Ligands'!$A:$G,6,FALSE))</f>
        <v>730</v>
      </c>
      <c r="E7" s="9" t="str">
        <f>IF(VLOOKUP($A7,'I-Ligands'!$A:$G,7,FALSE)="","",VLOOKUP($A7,'I-Ligands'!$A:$G,7,FALSE))</f>
        <v>Surr</v>
      </c>
      <c r="F7" s="7" cm="1">
        <f t="array" ref="F7">_xlfn.IFS(T7=0,0,T7&gt;0,(LOG(0.01*T7/10^-AH7)))</f>
        <v>0</v>
      </c>
      <c r="G7" s="8" cm="1">
        <f t="array" ref="G7">_xlfn.IFS(U7=0,0,U7&gt;0,(LOG(0.01*U7/10^-AI7)))</f>
        <v>0</v>
      </c>
      <c r="H7" s="8" cm="1">
        <f t="array" ref="H7">_xlfn.IFS(V7=0,0,V7&gt;0,(LOG(0.01*V7/10^-AJ7)))</f>
        <v>7.3695150145426327</v>
      </c>
      <c r="I7" s="8" cm="1">
        <f t="array" ref="I7">_xlfn.IFS(W7=0,0,W7&gt;0,(LOG(0.01*W7/10^-AK7)))</f>
        <v>7.3695150145426327</v>
      </c>
      <c r="J7" s="8" cm="1">
        <f t="array" ref="J7">_xlfn.IFS(X7=0,0,X7&gt;0,(LOG(0.01*X7/10^-AL7)))</f>
        <v>7.3461280356782384</v>
      </c>
      <c r="K7" s="8" cm="1">
        <f t="array" ref="K7">_xlfn.IFS(Y7=0,0,Y7&gt;0,(LOG(0.01*Y7/10^-AM7)))</f>
        <v>7.1113680022349754</v>
      </c>
      <c r="L7" s="8" cm="1">
        <f t="array" ref="L7">_xlfn.IFS(Z7=0,0,Z7&gt;0,(LOG(0.01*Z7/10^-AN7)))</f>
        <v>7.1113680022349754</v>
      </c>
      <c r="M7" s="8" cm="1">
        <f t="array" ref="M7">_xlfn.IFS(AA7=0,0,AA7&gt;0,(LOG(0.01*AA7/10^-AO7)))</f>
        <v>6.7350612633917013</v>
      </c>
      <c r="N7" s="8" cm="1">
        <f t="array" ref="N7">_xlfn.IFS(AB7=0,0,AB7&gt;0,(LOG(0.01*AB7/10^-AP7)))</f>
        <v>0</v>
      </c>
      <c r="O7" s="8" cm="1">
        <f t="array" ref="O7">_xlfn.IFS(AC7=0,0,AC7&gt;0,(LOG(0.01*AC7/10^-AQ7)))</f>
        <v>0</v>
      </c>
      <c r="P7" s="8" cm="1">
        <f t="array" ref="P7">_xlfn.IFS(AD7=0,0,AD7&gt;0,(LOG(0.01*AD7/10^-AR7)))</f>
        <v>6.6127838567197355</v>
      </c>
      <c r="Q7" s="8" cm="1">
        <f t="array" ref="Q7">_xlfn.IFS(AE7=0,0,AE7&gt;0,(LOG(0.01*AE7/10^-AS7)))</f>
        <v>0</v>
      </c>
      <c r="R7" s="8" cm="1">
        <f t="array" ref="R7">_xlfn.IFS(AF7=0,0,AF7&gt;0,(LOG(0.01*AF7/10^-AT7)))</f>
        <v>0</v>
      </c>
      <c r="S7" s="8" cm="1">
        <f t="array" ref="S7">_xlfn.IFS(AG7=0,0,AG7&gt;0,(LOG(0.01*AG7/10^-AU7)))</f>
        <v>0</v>
      </c>
      <c r="V7" s="17">
        <v>16.2</v>
      </c>
      <c r="W7" s="17">
        <v>16.2</v>
      </c>
      <c r="X7" s="17">
        <v>14</v>
      </c>
      <c r="Y7" s="17">
        <v>14.5</v>
      </c>
      <c r="Z7" s="17">
        <v>14.5</v>
      </c>
      <c r="AA7" s="17">
        <v>7.5</v>
      </c>
      <c r="AD7" s="17">
        <v>4.0999999999999996</v>
      </c>
      <c r="AJ7" s="15">
        <v>8.16</v>
      </c>
      <c r="AK7" s="15">
        <v>8.16</v>
      </c>
      <c r="AL7" s="15">
        <v>8.1999999999999993</v>
      </c>
      <c r="AM7" s="15">
        <v>7.95</v>
      </c>
      <c r="AN7" s="15">
        <v>7.95</v>
      </c>
      <c r="AO7" s="15">
        <v>7.86</v>
      </c>
      <c r="AR7" s="15">
        <v>8</v>
      </c>
      <c r="AW7" s="186" t="str">
        <f>IF(VLOOKUP($A7,'I-Ligands'!$A:$G,3,FALSE)="","",VLOOKUP($A7,'I-Ligands'!$A:$G,3,FALSE))</f>
        <v>CP-55940</v>
      </c>
      <c r="AX7" s="187" t="str">
        <f>IF(VLOOKUP($A7,'I-Ligands'!$A:$G,4,FALSE)="","",VLOOKUP($A7,'I-Ligands'!$A:$G,4,FALSE))</f>
        <v>(−)-CP 55,940</v>
      </c>
      <c r="AY7" s="98">
        <v>3.14</v>
      </c>
      <c r="AZ7" s="99">
        <v>1.74</v>
      </c>
      <c r="BA7" s="99">
        <v>6.66</v>
      </c>
      <c r="BB7" s="99">
        <v>6.66</v>
      </c>
      <c r="BC7" s="99">
        <v>7.24</v>
      </c>
      <c r="BD7" s="99">
        <v>2.27</v>
      </c>
      <c r="BE7" s="99">
        <v>2.27</v>
      </c>
      <c r="BF7" s="99">
        <v>1.9</v>
      </c>
      <c r="BG7" s="99">
        <v>5.15</v>
      </c>
      <c r="BH7" s="99">
        <v>5.15</v>
      </c>
      <c r="BI7" s="99">
        <v>5.65</v>
      </c>
      <c r="BJ7" s="99">
        <v>1.43</v>
      </c>
      <c r="BK7" s="99">
        <v>2.31</v>
      </c>
      <c r="BL7" s="99">
        <v>3.97</v>
      </c>
      <c r="BM7" s="98">
        <f t="shared" si="0"/>
        <v>0</v>
      </c>
      <c r="BN7" s="99">
        <f t="shared" si="1"/>
        <v>0</v>
      </c>
      <c r="BO7" s="99">
        <f t="shared" si="2"/>
        <v>2.4324324324324325</v>
      </c>
      <c r="BP7" s="99">
        <f t="shared" si="3"/>
        <v>2.4324324324324325</v>
      </c>
      <c r="BQ7" s="99">
        <f t="shared" si="4"/>
        <v>1.9337016574585635</v>
      </c>
      <c r="BR7" s="99">
        <f t="shared" si="5"/>
        <v>6.3876651982378858</v>
      </c>
      <c r="BS7" s="99">
        <f t="shared" si="6"/>
        <v>6.3876651982378858</v>
      </c>
      <c r="BT7" s="99">
        <f t="shared" si="7"/>
        <v>3.9473684210526319</v>
      </c>
      <c r="BU7" s="99">
        <f t="shared" si="8"/>
        <v>0</v>
      </c>
      <c r="BV7" s="99">
        <f t="shared" si="9"/>
        <v>0</v>
      </c>
      <c r="BW7" s="99">
        <f t="shared" si="10"/>
        <v>0.7256637168141592</v>
      </c>
      <c r="BX7" s="99">
        <f t="shared" si="11"/>
        <v>0</v>
      </c>
      <c r="BY7" s="99">
        <f t="shared" si="12"/>
        <v>0</v>
      </c>
      <c r="BZ7" s="99">
        <f t="shared" si="13"/>
        <v>0</v>
      </c>
    </row>
    <row r="8" spans="1:78" ht="18">
      <c r="A8" s="12" t="s">
        <v>108</v>
      </c>
      <c r="B8" s="13" t="s">
        <v>2610</v>
      </c>
      <c r="C8" s="9" t="str">
        <f>IF(VLOOKUP($A8,'I-Ligands'!$A:$G,5,FALSE)="","",VLOOKUP($A8,'I-Ligands'!$A:$G,5,FALSE))</f>
        <v>Guide to Pharmacology</v>
      </c>
      <c r="D8" s="9">
        <f>IF(VLOOKUP($A8,'I-Ligands'!$A:$G,6,FALSE)="","",VLOOKUP($A8,'I-Ligands'!$A:$G,6,FALSE))</f>
        <v>940</v>
      </c>
      <c r="E8" s="9" t="str">
        <f>IF(VLOOKUP($A8,'I-Ligands'!$A:$G,7,FALSE)="","",VLOOKUP($A8,'I-Ligands'!$A:$G,7,FALSE))</f>
        <v>Phys</v>
      </c>
      <c r="F8" s="7" cm="1">
        <f t="array" ref="F8">_xlfn.IFS(T8=0,0,T8&gt;0,(LOG(0.01*T8/10^-AH8)))</f>
        <v>0</v>
      </c>
      <c r="G8" s="8" cm="1">
        <f t="array" ref="G8">_xlfn.IFS(U8=0,0,U8&gt;0,(LOG(0.01*U8/10^-AI8)))</f>
        <v>0</v>
      </c>
      <c r="H8" s="8" cm="1">
        <f t="array" ref="H8">_xlfn.IFS(V8=0,0,V8&gt;0,(LOG(0.01*V8/10^-AJ8)))</f>
        <v>7.482444233506321</v>
      </c>
      <c r="I8" s="8" cm="1">
        <f t="array" ref="I8">_xlfn.IFS(W8=0,0,W8&gt;0,(LOG(0.01*W8/10^-AK8)))</f>
        <v>7.482444233506321</v>
      </c>
      <c r="J8" s="8" cm="1">
        <f t="array" ref="J8">_xlfn.IFS(X8=0,0,X8&gt;0,(LOG(0.01*X8/10^-AL8)))</f>
        <v>7.6800069429571503</v>
      </c>
      <c r="K8" s="8" cm="1">
        <f t="array" ref="K8">_xlfn.IFS(Y8=0,0,Y8&gt;0,(LOG(0.01*Y8/10^-AM8)))</f>
        <v>7.2510592622177521</v>
      </c>
      <c r="L8" s="8" cm="1">
        <f t="array" ref="L8">_xlfn.IFS(Z8=0,0,Z8&gt;0,(LOG(0.01*Z8/10^-AN8)))</f>
        <v>7.2510592622177521</v>
      </c>
      <c r="M8" s="8" cm="1">
        <f t="array" ref="M8">_xlfn.IFS(AA8=0,0,AA8&gt;0,(LOG(0.01*AA8/10^-AO8)))</f>
        <v>7.0917538610557562</v>
      </c>
      <c r="N8" s="8" cm="1">
        <f t="array" ref="N8">_xlfn.IFS(AB8=0,0,AB8&gt;0,(LOG(0.01*AB8/10^-AP8)))</f>
        <v>0</v>
      </c>
      <c r="O8" s="8" cm="1">
        <f t="array" ref="O8">_xlfn.IFS(AC8=0,0,AC8&gt;0,(LOG(0.01*AC8/10^-AQ8)))</f>
        <v>0</v>
      </c>
      <c r="P8" s="8" cm="1">
        <f t="array" ref="P8">_xlfn.IFS(AD8=0,0,AD8&gt;0,(LOG(0.01*AD8/10^-AR8)))</f>
        <v>0</v>
      </c>
      <c r="Q8" s="8" cm="1">
        <f t="array" ref="Q8">_xlfn.IFS(AE8=0,0,AE8&gt;0,(LOG(0.01*AE8/10^-AS8)))</f>
        <v>0</v>
      </c>
      <c r="R8" s="8" cm="1">
        <f t="array" ref="R8">_xlfn.IFS(AF8=0,0,AF8&gt;0,(LOG(0.01*AF8/10^-AT8)))</f>
        <v>0</v>
      </c>
      <c r="S8" s="8" cm="1">
        <f t="array" ref="S8">_xlfn.IFS(AG8=0,0,AG8&gt;0,(LOG(0.01*AG8/10^-AU8)))</f>
        <v>0</v>
      </c>
      <c r="V8" s="17">
        <v>33.299999999999997</v>
      </c>
      <c r="W8" s="17">
        <v>33.299999999999997</v>
      </c>
      <c r="X8" s="17">
        <v>30.2</v>
      </c>
      <c r="Y8" s="17">
        <v>31.7</v>
      </c>
      <c r="Z8" s="17">
        <v>31.7</v>
      </c>
      <c r="AA8" s="17">
        <v>20.5</v>
      </c>
      <c r="AJ8" s="15">
        <v>7.96</v>
      </c>
      <c r="AK8" s="15">
        <v>7.96</v>
      </c>
      <c r="AL8" s="15">
        <v>8.1999999999999993</v>
      </c>
      <c r="AM8" s="15">
        <v>7.75</v>
      </c>
      <c r="AN8" s="15">
        <v>7.75</v>
      </c>
      <c r="AO8" s="15">
        <v>7.78</v>
      </c>
      <c r="AW8" s="186" t="str">
        <f>IF(VLOOKUP($A8,'I-Ligands'!$A:$G,3,FALSE)="","",VLOOKUP($A8,'I-Ligands'!$A:$G,3,FALSE))</f>
        <v>Dopamine</v>
      </c>
      <c r="AX8" s="187" t="str">
        <f>IF(VLOOKUP($A8,'I-Ligands'!$A:$G,4,FALSE)="","",VLOOKUP($A8,'I-Ligands'!$A:$G,4,FALSE))</f>
        <v>3,4-Dihydroxyphenethylamine Hydrochloride</v>
      </c>
      <c r="BA8" s="99">
        <v>0.35</v>
      </c>
      <c r="BB8" s="99">
        <v>0.35</v>
      </c>
      <c r="BC8" s="99">
        <v>1.92</v>
      </c>
      <c r="BD8" s="99">
        <v>1.78</v>
      </c>
      <c r="BE8" s="99">
        <v>1.78</v>
      </c>
      <c r="BF8" s="99">
        <v>3.25</v>
      </c>
      <c r="BM8" s="98">
        <f t="shared" si="0"/>
        <v>0</v>
      </c>
      <c r="BN8" s="99">
        <f t="shared" si="1"/>
        <v>0</v>
      </c>
      <c r="BO8" s="99">
        <f t="shared" si="2"/>
        <v>95.142857142857139</v>
      </c>
      <c r="BP8" s="99">
        <f t="shared" si="3"/>
        <v>95.142857142857139</v>
      </c>
      <c r="BQ8" s="99">
        <f t="shared" si="4"/>
        <v>15.729166666666666</v>
      </c>
      <c r="BR8" s="99">
        <f t="shared" si="5"/>
        <v>17.808988764044944</v>
      </c>
      <c r="BS8" s="99">
        <f t="shared" si="6"/>
        <v>17.808988764044944</v>
      </c>
      <c r="BT8" s="99">
        <f t="shared" si="7"/>
        <v>6.3076923076923075</v>
      </c>
      <c r="BU8" s="99">
        <f t="shared" si="8"/>
        <v>0</v>
      </c>
      <c r="BV8" s="99">
        <f t="shared" si="9"/>
        <v>0</v>
      </c>
      <c r="BW8" s="99">
        <f t="shared" si="10"/>
        <v>0</v>
      </c>
      <c r="BX8" s="99">
        <f t="shared" si="11"/>
        <v>0</v>
      </c>
      <c r="BY8" s="99">
        <f t="shared" si="12"/>
        <v>0</v>
      </c>
      <c r="BZ8" s="99">
        <f t="shared" si="13"/>
        <v>0</v>
      </c>
    </row>
    <row r="9" spans="1:78" ht="18">
      <c r="A9" s="12" t="s">
        <v>109</v>
      </c>
      <c r="B9" s="13" t="s">
        <v>2611</v>
      </c>
      <c r="C9" s="9" t="str">
        <f>IF(VLOOKUP($A9,'I-Ligands'!$A:$G,5,FALSE)="","",VLOOKUP($A9,'I-Ligands'!$A:$G,5,FALSE))</f>
        <v>Guide to Pharmacology</v>
      </c>
      <c r="D9" s="9">
        <f>IF(VLOOKUP($A9,'I-Ligands'!$A:$G,6,FALSE)="","",VLOOKUP($A9,'I-Ligands'!$A:$G,6,FALSE))</f>
        <v>940</v>
      </c>
      <c r="E9" s="9" t="str">
        <f>IF(VLOOKUP($A9,'I-Ligands'!$A:$G,7,FALSE)="","",VLOOKUP($A9,'I-Ligands'!$A:$G,7,FALSE))</f>
        <v>Phys</v>
      </c>
      <c r="F9" s="7" cm="1">
        <f t="array" ref="F9">_xlfn.IFS(T9=0,0,T9&gt;0,(LOG(0.01*T9/10^-AH9)))</f>
        <v>0</v>
      </c>
      <c r="G9" s="8" cm="1">
        <f t="array" ref="G9">_xlfn.IFS(U9=0,0,U9&gt;0,(LOG(0.01*U9/10^-AI9)))</f>
        <v>0</v>
      </c>
      <c r="H9" s="8" cm="1">
        <f t="array" ref="H9">_xlfn.IFS(V9=0,0,V9&gt;0,(LOG(0.01*V9/10^-AJ9)))</f>
        <v>6.6384829485539356</v>
      </c>
      <c r="I9" s="8" cm="1">
        <f t="array" ref="I9">_xlfn.IFS(W9=0,0,W9&gt;0,(LOG(0.01*W9/10^-AK9)))</f>
        <v>6.6384829485539356</v>
      </c>
      <c r="J9" s="8" cm="1">
        <f t="array" ref="J9">_xlfn.IFS(X9=0,0,X9&gt;0,(LOG(0.01*X9/10^-AL9)))</f>
        <v>7.4180461031287956</v>
      </c>
      <c r="K9" s="8" cm="1">
        <f t="array" ref="K9">_xlfn.IFS(Y9=0,0,Y9&gt;0,(LOG(0.01*Y9/10^-AM9)))</f>
        <v>6.7056351945975505</v>
      </c>
      <c r="L9" s="8" cm="1">
        <f t="array" ref="L9">_xlfn.IFS(Z9=0,0,Z9&gt;0,(LOG(0.01*Z9/10^-AN9)))</f>
        <v>6.7056351945975505</v>
      </c>
      <c r="M9" s="8" cm="1">
        <f t="array" ref="M9">_xlfn.IFS(AA9=0,0,AA9&gt;0,(LOG(0.01*AA9/10^-AO9)))</f>
        <v>7.1634216851622359</v>
      </c>
      <c r="N9" s="8" cm="1">
        <f t="array" ref="N9">_xlfn.IFS(AB9=0,0,AB9&gt;0,(LOG(0.01*AB9/10^-AP9)))</f>
        <v>0</v>
      </c>
      <c r="O9" s="8" cm="1">
        <f t="array" ref="O9">_xlfn.IFS(AC9=0,0,AC9&gt;0,(LOG(0.01*AC9/10^-AQ9)))</f>
        <v>0</v>
      </c>
      <c r="P9" s="8" cm="1">
        <f t="array" ref="P9">_xlfn.IFS(AD9=0,0,AD9&gt;0,(LOG(0.01*AD9/10^-AR9)))</f>
        <v>0</v>
      </c>
      <c r="Q9" s="8" cm="1">
        <f t="array" ref="Q9">_xlfn.IFS(AE9=0,0,AE9&gt;0,(LOG(0.01*AE9/10^-AS9)))</f>
        <v>0</v>
      </c>
      <c r="R9" s="8" cm="1">
        <f t="array" ref="R9">_xlfn.IFS(AF9=0,0,AF9&gt;0,(LOG(0.01*AF9/10^-AT9)))</f>
        <v>0</v>
      </c>
      <c r="S9" s="8" cm="1">
        <f t="array" ref="S9">_xlfn.IFS(AG9=0,0,AG9&gt;0,(LOG(0.01*AG9/10^-AU9)))</f>
        <v>0</v>
      </c>
      <c r="V9" s="17">
        <v>9.3000000000000007</v>
      </c>
      <c r="W9" s="17">
        <v>9.3000000000000007</v>
      </c>
      <c r="X9" s="17">
        <v>17.3</v>
      </c>
      <c r="Y9" s="17">
        <v>9.9</v>
      </c>
      <c r="Z9" s="17">
        <v>9.9</v>
      </c>
      <c r="AA9" s="17">
        <v>12.4</v>
      </c>
      <c r="AJ9" s="15">
        <v>7.67</v>
      </c>
      <c r="AK9" s="15">
        <v>7.67</v>
      </c>
      <c r="AL9" s="15">
        <v>8.18</v>
      </c>
      <c r="AM9" s="15">
        <v>7.71</v>
      </c>
      <c r="AN9" s="15">
        <v>7.71</v>
      </c>
      <c r="AO9" s="15">
        <v>8.07</v>
      </c>
      <c r="AW9" s="186" t="str">
        <f>IF(VLOOKUP($A9,'I-Ligands'!$A:$G,3,FALSE)="","",VLOOKUP($A9,'I-Ligands'!$A:$G,3,FALSE))</f>
        <v>Dopamine</v>
      </c>
      <c r="AX9" s="187" t="str">
        <f>IF(VLOOKUP($A9,'I-Ligands'!$A:$G,4,FALSE)="","",VLOOKUP($A9,'I-Ligands'!$A:$G,4,FALSE))</f>
        <v>3,4-Dihydroxyphenethylamine Hydrochloride</v>
      </c>
      <c r="AY9" s="98">
        <v>5.15</v>
      </c>
      <c r="AZ9" s="99">
        <v>5.77</v>
      </c>
      <c r="BA9" s="99">
        <v>3.59</v>
      </c>
      <c r="BB9" s="99">
        <v>3.59</v>
      </c>
      <c r="BC9" s="99">
        <v>5.3</v>
      </c>
      <c r="BD9" s="99">
        <v>2.68</v>
      </c>
      <c r="BE9" s="99">
        <v>2.68</v>
      </c>
      <c r="BF9" s="99">
        <v>3.43</v>
      </c>
      <c r="BG9" s="99">
        <v>6.56</v>
      </c>
      <c r="BH9" s="99">
        <v>6.56</v>
      </c>
      <c r="BI9" s="99">
        <v>3.13</v>
      </c>
      <c r="BJ9" s="99">
        <v>4.12</v>
      </c>
      <c r="BK9" s="99">
        <v>4.5999999999999996</v>
      </c>
      <c r="BL9" s="99">
        <v>4.25</v>
      </c>
      <c r="BM9" s="98">
        <f t="shared" si="0"/>
        <v>0</v>
      </c>
      <c r="BN9" s="99">
        <f t="shared" si="1"/>
        <v>0</v>
      </c>
      <c r="BO9" s="99">
        <f t="shared" si="2"/>
        <v>2.5905292479108639</v>
      </c>
      <c r="BP9" s="99">
        <f t="shared" si="3"/>
        <v>2.5905292479108639</v>
      </c>
      <c r="BQ9" s="99">
        <f t="shared" si="4"/>
        <v>3.2641509433962268</v>
      </c>
      <c r="BR9" s="99">
        <f t="shared" si="5"/>
        <v>3.6940298507462686</v>
      </c>
      <c r="BS9" s="99">
        <f t="shared" si="6"/>
        <v>3.6940298507462686</v>
      </c>
      <c r="BT9" s="99">
        <f t="shared" si="7"/>
        <v>3.6151603498542273</v>
      </c>
      <c r="BU9" s="99">
        <f t="shared" si="8"/>
        <v>0</v>
      </c>
      <c r="BV9" s="99">
        <f t="shared" si="9"/>
        <v>0</v>
      </c>
      <c r="BW9" s="99">
        <f t="shared" si="10"/>
        <v>0</v>
      </c>
      <c r="BX9" s="99">
        <f t="shared" si="11"/>
        <v>0</v>
      </c>
      <c r="BY9" s="99">
        <f t="shared" si="12"/>
        <v>0</v>
      </c>
      <c r="BZ9" s="99">
        <f t="shared" si="13"/>
        <v>0</v>
      </c>
    </row>
    <row r="10" spans="1:78" ht="18">
      <c r="A10" s="12" t="s">
        <v>110</v>
      </c>
      <c r="B10" s="13" t="s">
        <v>2612</v>
      </c>
      <c r="C10" s="9" t="str">
        <f>IF(VLOOKUP($A10,'I-Ligands'!$A:$G,5,FALSE)="","",VLOOKUP($A10,'I-Ligands'!$A:$G,5,FALSE))</f>
        <v>Guide to Pharmacology</v>
      </c>
      <c r="D10" s="9">
        <f>IF(VLOOKUP($A10,'I-Ligands'!$A:$G,6,FALSE)="","",VLOOKUP($A10,'I-Ligands'!$A:$G,6,FALSE))</f>
        <v>940</v>
      </c>
      <c r="E10" s="9" t="str">
        <f>IF(VLOOKUP($A10,'I-Ligands'!$A:$G,7,FALSE)="","",VLOOKUP($A10,'I-Ligands'!$A:$G,7,FALSE))</f>
        <v>Phys</v>
      </c>
      <c r="F10" s="7" cm="1">
        <f t="array" ref="F10">_xlfn.IFS(T10=0,0,T10&gt;0,(LOG(0.01*T10/10^-AH10)))</f>
        <v>0</v>
      </c>
      <c r="G10" s="8" cm="1">
        <f t="array" ref="G10">_xlfn.IFS(U10=0,0,U10&gt;0,(LOG(0.01*U10/10^-AI10)))</f>
        <v>0</v>
      </c>
      <c r="H10" s="8" cm="1">
        <f t="array" ref="H10">_xlfn.IFS(V10=0,0,V10&gt;0,(LOG(0.01*V10/10^-AJ10)))</f>
        <v>6.9428254269591818</v>
      </c>
      <c r="I10" s="8" cm="1">
        <f t="array" ref="I10">_xlfn.IFS(W10=0,0,W10&gt;0,(LOG(0.01*W10/10^-AK10)))</f>
        <v>6.9428254269591818</v>
      </c>
      <c r="J10" s="8" cm="1">
        <f t="array" ref="J10">_xlfn.IFS(X10=0,0,X10&gt;0,(LOG(0.01*X10/10^-AL10)))</f>
        <v>7.3810592622177529</v>
      </c>
      <c r="K10" s="8" cm="1">
        <f t="array" ref="K10">_xlfn.IFS(Y10=0,0,Y10&gt;0,(LOG(0.01*Y10/10^-AM10)))</f>
        <v>6.9028735836087538</v>
      </c>
      <c r="L10" s="8" cm="1">
        <f t="array" ref="L10">_xlfn.IFS(Z10=0,0,Z10&gt;0,(LOG(0.01*Z10/10^-AN10)))</f>
        <v>6.9028735836087538</v>
      </c>
      <c r="M10" s="8" cm="1">
        <f t="array" ref="M10">_xlfn.IFS(AA10=0,0,AA10&gt;0,(LOG(0.01*AA10/10^-AO10)))</f>
        <v>6.9891660843645331</v>
      </c>
      <c r="N10" s="8" cm="1">
        <f t="array" ref="N10">_xlfn.IFS(AB10=0,0,AB10&gt;0,(LOG(0.01*AB10/10^-AP10)))</f>
        <v>0</v>
      </c>
      <c r="O10" s="8" cm="1">
        <f t="array" ref="O10">_xlfn.IFS(AC10=0,0,AC10&gt;0,(LOG(0.01*AC10/10^-AQ10)))</f>
        <v>0</v>
      </c>
      <c r="P10" s="8" cm="1">
        <f t="array" ref="P10">_xlfn.IFS(AD10=0,0,AD10&gt;0,(LOG(0.01*AD10/10^-AR10)))</f>
        <v>0</v>
      </c>
      <c r="Q10" s="8" cm="1">
        <f t="array" ref="Q10">_xlfn.IFS(AE10=0,0,AE10&gt;0,(LOG(0.01*AE10/10^-AS10)))</f>
        <v>0</v>
      </c>
      <c r="R10" s="8" cm="1">
        <f t="array" ref="R10">_xlfn.IFS(AF10=0,0,AF10&gt;0,(LOG(0.01*AF10/10^-AT10)))</f>
        <v>0</v>
      </c>
      <c r="S10" s="8" cm="1">
        <f t="array" ref="S10">_xlfn.IFS(AG10=0,0,AG10&gt;0,(LOG(0.01*AG10/10^-AU10)))</f>
        <v>0</v>
      </c>
      <c r="V10" s="17">
        <v>34.9</v>
      </c>
      <c r="W10" s="17">
        <v>34.9</v>
      </c>
      <c r="X10" s="17">
        <v>31.7</v>
      </c>
      <c r="Y10" s="17">
        <v>30.4</v>
      </c>
      <c r="Z10" s="17">
        <v>30.4</v>
      </c>
      <c r="AA10" s="17">
        <v>24.5</v>
      </c>
      <c r="AJ10" s="15">
        <v>7.4</v>
      </c>
      <c r="AK10" s="15">
        <v>7.4</v>
      </c>
      <c r="AL10" s="15">
        <v>7.88</v>
      </c>
      <c r="AM10" s="15">
        <v>7.42</v>
      </c>
      <c r="AN10" s="15">
        <v>7.42</v>
      </c>
      <c r="AO10" s="15">
        <v>7.6</v>
      </c>
      <c r="AW10" s="186" t="str">
        <f>IF(VLOOKUP($A10,'I-Ligands'!$A:$G,3,FALSE)="","",VLOOKUP($A10,'I-Ligands'!$A:$G,3,FALSE))</f>
        <v>Dopamine</v>
      </c>
      <c r="AX10" s="187" t="str">
        <f>IF(VLOOKUP($A10,'I-Ligands'!$A:$G,4,FALSE)="","",VLOOKUP($A10,'I-Ligands'!$A:$G,4,FALSE))</f>
        <v>3,4-Dihydroxyphenethylamine Hydrochloride</v>
      </c>
      <c r="BA10" s="99">
        <v>4.71</v>
      </c>
      <c r="BB10" s="99">
        <v>4.71</v>
      </c>
      <c r="BC10" s="99">
        <v>0.26</v>
      </c>
      <c r="BD10" s="99">
        <v>0.04</v>
      </c>
      <c r="BE10" s="99">
        <v>0.04</v>
      </c>
      <c r="BF10" s="99">
        <v>1.22</v>
      </c>
      <c r="BM10" s="98">
        <f t="shared" si="0"/>
        <v>0</v>
      </c>
      <c r="BN10" s="99">
        <f t="shared" si="1"/>
        <v>0</v>
      </c>
      <c r="BO10" s="99">
        <f t="shared" si="2"/>
        <v>7.4097664543524413</v>
      </c>
      <c r="BP10" s="99">
        <f t="shared" si="3"/>
        <v>7.4097664543524413</v>
      </c>
      <c r="BQ10" s="99">
        <f t="shared" si="4"/>
        <v>121.92307692307692</v>
      </c>
      <c r="BR10" s="99">
        <f t="shared" si="5"/>
        <v>760</v>
      </c>
      <c r="BS10" s="99">
        <f t="shared" si="6"/>
        <v>760</v>
      </c>
      <c r="BT10" s="99">
        <f t="shared" si="7"/>
        <v>20.081967213114755</v>
      </c>
      <c r="BU10" s="99">
        <f t="shared" si="8"/>
        <v>0</v>
      </c>
      <c r="BV10" s="99">
        <f t="shared" si="9"/>
        <v>0</v>
      </c>
      <c r="BW10" s="99">
        <f t="shared" si="10"/>
        <v>0</v>
      </c>
      <c r="BX10" s="99">
        <f t="shared" si="11"/>
        <v>0</v>
      </c>
      <c r="BY10" s="99">
        <f t="shared" si="12"/>
        <v>0</v>
      </c>
      <c r="BZ10" s="99">
        <f t="shared" si="13"/>
        <v>0</v>
      </c>
    </row>
    <row r="11" spans="1:78">
      <c r="A11" s="12" t="s">
        <v>114</v>
      </c>
      <c r="B11" s="13" t="s">
        <v>114</v>
      </c>
      <c r="C11" s="9" t="str">
        <f>IF(VLOOKUP($A11,'I-Ligands'!$A:$G,5,FALSE)="","",VLOOKUP($A11,'I-Ligands'!$A:$G,5,FALSE))</f>
        <v>Guide to Pharmacology</v>
      </c>
      <c r="D11" s="9">
        <f>IF(VLOOKUP($A11,'I-Ligands'!$A:$G,6,FALSE)="","",VLOOKUP($A11,'I-Ligands'!$A:$G,6,FALSE))</f>
        <v>1022</v>
      </c>
      <c r="E11" s="9" t="str">
        <f>IF(VLOOKUP($A11,'I-Ligands'!$A:$G,7,FALSE)="","",VLOOKUP($A11,'I-Ligands'!$A:$G,7,FALSE))</f>
        <v>Phys</v>
      </c>
      <c r="F11" s="7" cm="1">
        <f t="array" ref="F11">_xlfn.IFS(T11=0,0,T11&gt;0,(LOG(0.01*T11/10^-AH11)))</f>
        <v>0</v>
      </c>
      <c r="G11" s="8" cm="1">
        <f t="array" ref="G11">_xlfn.IFS(U11=0,0,U11&gt;0,(LOG(0.01*U11/10^-AI11)))</f>
        <v>0</v>
      </c>
      <c r="H11" s="8" cm="1">
        <f t="array" ref="H11">_xlfn.IFS(V11=0,0,V11&gt;0,(LOG(0.01*V11/10^-AJ11)))</f>
        <v>6.0073324964312693</v>
      </c>
      <c r="I11" s="8" cm="1">
        <f t="array" ref="I11">_xlfn.IFS(W11=0,0,W11&gt;0,(LOG(0.01*W11/10^-AK11)))</f>
        <v>6.0073324964312693</v>
      </c>
      <c r="J11" s="8" cm="1">
        <f t="array" ref="J11">_xlfn.IFS(X11=0,0,X11&gt;0,(LOG(0.01*X11/10^-AL11)))</f>
        <v>6.9186570869544228</v>
      </c>
      <c r="K11" s="8" cm="1">
        <f t="array" ref="K11">_xlfn.IFS(Y11=0,0,Y11&gt;0,(LOG(0.01*Y11/10^-AM11)))</f>
        <v>0</v>
      </c>
      <c r="L11" s="8" cm="1">
        <f t="array" ref="L11">_xlfn.IFS(Z11=0,0,Z11&gt;0,(LOG(0.01*Z11/10^-AN11)))</f>
        <v>0</v>
      </c>
      <c r="M11" s="8" cm="1">
        <f t="array" ref="M11">_xlfn.IFS(AA11=0,0,AA11&gt;0,(LOG(0.01*AA11/10^-AO11)))</f>
        <v>0</v>
      </c>
      <c r="N11" s="8" cm="1">
        <f t="array" ref="N11">_xlfn.IFS(AB11=0,0,AB11&gt;0,(LOG(0.01*AB11/10^-AP11)))</f>
        <v>0</v>
      </c>
      <c r="O11" s="8" cm="1">
        <f t="array" ref="O11">_xlfn.IFS(AC11=0,0,AC11&gt;0,(LOG(0.01*AC11/10^-AQ11)))</f>
        <v>0</v>
      </c>
      <c r="P11" s="8" cm="1">
        <f t="array" ref="P11">_xlfn.IFS(AD11=0,0,AD11&gt;0,(LOG(0.01*AD11/10^-AR11)))</f>
        <v>6.1490780923760751</v>
      </c>
      <c r="Q11" s="8" cm="1">
        <f t="array" ref="Q11">_xlfn.IFS(AE11=0,0,AE11&gt;0,(LOG(0.01*AE11/10^-AS11)))</f>
        <v>0</v>
      </c>
      <c r="R11" s="8" cm="1">
        <f t="array" ref="R11">_xlfn.IFS(AF11=0,0,AF11&gt;0,(LOG(0.01*AF11/10^-AT11)))</f>
        <v>0</v>
      </c>
      <c r="S11" s="8" cm="1">
        <f t="array" ref="S11">_xlfn.IFS(AG11=0,0,AG11&gt;0,(LOG(0.01*AG11/10^-AU11)))</f>
        <v>0</v>
      </c>
      <c r="V11" s="17">
        <v>7.2</v>
      </c>
      <c r="W11" s="17">
        <v>7.2</v>
      </c>
      <c r="X11" s="17">
        <v>15.8</v>
      </c>
      <c r="AD11" s="17">
        <v>8.3000000000000007</v>
      </c>
      <c r="AJ11" s="15">
        <v>7.15</v>
      </c>
      <c r="AK11" s="15">
        <v>7.15</v>
      </c>
      <c r="AL11" s="15">
        <v>7.72</v>
      </c>
      <c r="AR11" s="15">
        <v>7.23</v>
      </c>
      <c r="AW11" s="186" t="str">
        <f>IF(VLOOKUP($A11,'I-Ligands'!$A:$G,3,FALSE)="","",VLOOKUP($A11,'I-Ligands'!$A:$G,3,FALSE))</f>
        <v>fMLP</v>
      </c>
      <c r="AX11" s="187" t="str">
        <f>IF(VLOOKUP($A11,'I-Ligands'!$A:$G,4,FALSE)="","",VLOOKUP($A11,'I-Ligands'!$A:$G,4,FALSE))</f>
        <v>For-MLP</v>
      </c>
      <c r="AY11" s="98">
        <v>4.38</v>
      </c>
      <c r="AZ11" s="99">
        <v>3.93</v>
      </c>
      <c r="BA11" s="99">
        <v>5.3</v>
      </c>
      <c r="BB11" s="99">
        <v>5.3</v>
      </c>
      <c r="BC11" s="99">
        <v>7.12</v>
      </c>
      <c r="BD11" s="99">
        <v>5.86</v>
      </c>
      <c r="BE11" s="99">
        <v>5.86</v>
      </c>
      <c r="BF11" s="99">
        <v>4.68</v>
      </c>
      <c r="BG11" s="99">
        <v>7.15</v>
      </c>
      <c r="BH11" s="99">
        <v>7.15</v>
      </c>
      <c r="BI11" s="99">
        <v>5.72</v>
      </c>
      <c r="BJ11" s="99">
        <v>4.28</v>
      </c>
      <c r="BK11" s="99">
        <v>3.86</v>
      </c>
      <c r="BL11" s="99">
        <v>3.78</v>
      </c>
      <c r="BM11" s="98">
        <f t="shared" si="0"/>
        <v>0</v>
      </c>
      <c r="BN11" s="99">
        <f t="shared" si="1"/>
        <v>0</v>
      </c>
      <c r="BO11" s="99">
        <f t="shared" si="2"/>
        <v>1.358490566037736</v>
      </c>
      <c r="BP11" s="99">
        <f t="shared" si="3"/>
        <v>1.358490566037736</v>
      </c>
      <c r="BQ11" s="99">
        <f t="shared" si="4"/>
        <v>2.2191011235955056</v>
      </c>
      <c r="BR11" s="99">
        <f t="shared" si="5"/>
        <v>0</v>
      </c>
      <c r="BS11" s="99">
        <f t="shared" si="6"/>
        <v>0</v>
      </c>
      <c r="BT11" s="99">
        <f t="shared" si="7"/>
        <v>0</v>
      </c>
      <c r="BU11" s="99">
        <f t="shared" si="8"/>
        <v>0</v>
      </c>
      <c r="BV11" s="99">
        <f t="shared" si="9"/>
        <v>0</v>
      </c>
      <c r="BW11" s="99">
        <f t="shared" si="10"/>
        <v>1.4510489510489513</v>
      </c>
      <c r="BX11" s="99">
        <f t="shared" si="11"/>
        <v>0</v>
      </c>
      <c r="BY11" s="99">
        <f t="shared" si="12"/>
        <v>0</v>
      </c>
      <c r="BZ11" s="99">
        <f t="shared" si="13"/>
        <v>0</v>
      </c>
    </row>
    <row r="12" spans="1:78" ht="18">
      <c r="A12" s="12" t="s">
        <v>124</v>
      </c>
      <c r="B12" s="13" t="s">
        <v>2618</v>
      </c>
      <c r="C12" s="9" t="str">
        <f>IF(VLOOKUP($A12,'I-Ligands'!$A:$G,5,FALSE)="","",VLOOKUP($A12,'I-Ligands'!$A:$G,5,FALSE))</f>
        <v>Guide to Pharmacology</v>
      </c>
      <c r="D12" s="9">
        <f>IF(VLOOKUP($A12,'I-Ligands'!$A:$G,6,FALSE)="","",VLOOKUP($A12,'I-Ligands'!$A:$G,6,FALSE))</f>
        <v>3593</v>
      </c>
      <c r="E12" s="9" t="str">
        <f>IF(VLOOKUP($A12,'I-Ligands'!$A:$G,7,FALSE)="","",VLOOKUP($A12,'I-Ligands'!$A:$G,7,FALSE))</f>
        <v>Phys</v>
      </c>
      <c r="F12" s="7" cm="1">
        <f t="array" ref="F12">_xlfn.IFS(T12=0,0,T12&gt;0,(LOG(0.01*T12/10^-AH12)))</f>
        <v>0</v>
      </c>
      <c r="G12" s="8" cm="1">
        <f t="array" ref="G12">_xlfn.IFS(U12=0,0,U12&gt;0,(LOG(0.01*U12/10^-AI12)))</f>
        <v>0</v>
      </c>
      <c r="H12" s="8" cm="1">
        <f t="array" ref="H12">_xlfn.IFS(V12=0,0,V12&gt;0,(LOG(0.01*V12/10^-AJ12)))</f>
        <v>5.1950612633917013</v>
      </c>
      <c r="I12" s="8" cm="1">
        <f t="array" ref="I12">_xlfn.IFS(W12=0,0,W12&gt;0,(LOG(0.01*W12/10^-AK12)))</f>
        <v>5.1950612633917013</v>
      </c>
      <c r="J12" s="8" cm="1">
        <f t="array" ref="J12">_xlfn.IFS(X12=0,0,X12&gt;0,(LOG(0.01*X12/10^-AL12)))</f>
        <v>5.5073173347481772</v>
      </c>
      <c r="K12" s="8" cm="1">
        <f t="array" ref="K12">_xlfn.IFS(Y12=0,0,Y12&gt;0,(LOG(0.01*Y12/10^-AM12)))</f>
        <v>5.4031278535996989</v>
      </c>
      <c r="L12" s="8" cm="1">
        <f t="array" ref="L12">_xlfn.IFS(Z12=0,0,Z12&gt;0,(LOG(0.01*Z12/10^-AN12)))</f>
        <v>5.4031278535996989</v>
      </c>
      <c r="M12" s="8" cm="1">
        <f t="array" ref="M12">_xlfn.IFS(AA12=0,0,AA12&gt;0,(LOG(0.01*AA12/10^-AO12)))</f>
        <v>5.3222712330395687</v>
      </c>
      <c r="N12" s="8" cm="1">
        <f t="array" ref="N12">_xlfn.IFS(AB12=0,0,AB12&gt;0,(LOG(0.01*AB12/10^-AP12)))</f>
        <v>0</v>
      </c>
      <c r="O12" s="8" cm="1">
        <f t="array" ref="O12">_xlfn.IFS(AC12=0,0,AC12&gt;0,(LOG(0.01*AC12/10^-AQ12)))</f>
        <v>0</v>
      </c>
      <c r="P12" s="8" cm="1">
        <f t="array" ref="P12">_xlfn.IFS(AD12=0,0,AD12&gt;0,(LOG(0.01*AD12/10^-AR12)))</f>
        <v>4.9212412373755887</v>
      </c>
      <c r="Q12" s="8" cm="1">
        <f t="array" ref="Q12">_xlfn.IFS(AE12=0,0,AE12&gt;0,(LOG(0.01*AE12/10^-AS12)))</f>
        <v>0</v>
      </c>
      <c r="R12" s="8" cm="1">
        <f t="array" ref="R12">_xlfn.IFS(AF12=0,0,AF12&gt;0,(LOG(0.01*AF12/10^-AT12)))</f>
        <v>0</v>
      </c>
      <c r="S12" s="8" cm="1">
        <f t="array" ref="S12">_xlfn.IFS(AG12=0,0,AG12&gt;0,(LOG(0.01*AG12/10^-AU12)))</f>
        <v>0</v>
      </c>
      <c r="V12" s="17">
        <v>7.5</v>
      </c>
      <c r="W12" s="17">
        <v>7.5</v>
      </c>
      <c r="X12" s="17">
        <v>14.7</v>
      </c>
      <c r="Y12" s="17">
        <v>9.4</v>
      </c>
      <c r="Z12" s="17">
        <v>9.4</v>
      </c>
      <c r="AA12" s="17">
        <v>9.6</v>
      </c>
      <c r="AD12" s="17">
        <v>4.8</v>
      </c>
      <c r="AJ12" s="15">
        <v>6.32</v>
      </c>
      <c r="AK12" s="15">
        <v>6.32</v>
      </c>
      <c r="AL12" s="15">
        <v>6.34</v>
      </c>
      <c r="AM12" s="15">
        <v>6.43</v>
      </c>
      <c r="AN12" s="15">
        <v>6.43</v>
      </c>
      <c r="AO12" s="15">
        <v>6.34</v>
      </c>
      <c r="AR12" s="15">
        <v>6.24</v>
      </c>
      <c r="AW12" s="186" t="str">
        <f>IF(VLOOKUP($A12,'I-Ligands'!$A:$G,3,FALSE)="","",VLOOKUP($A12,'I-Ligands'!$A:$G,3,FALSE))</f>
        <v>Galanin (rat)</v>
      </c>
      <c r="AX12" s="187" t="str">
        <f>IF(VLOOKUP($A12,'I-Ligands'!$A:$G,4,FALSE)="","",VLOOKUP($A12,'I-Ligands'!$A:$G,4,FALSE))</f>
        <v>GWTLNSAGYLLGPHAIDNHRSFSDKHGLT-NH2</v>
      </c>
      <c r="AY12" s="98">
        <v>4.12</v>
      </c>
      <c r="AZ12" s="99">
        <v>3.35</v>
      </c>
      <c r="BA12" s="99">
        <v>3.08</v>
      </c>
      <c r="BB12" s="99">
        <v>3.08</v>
      </c>
      <c r="BC12" s="99">
        <v>7.09</v>
      </c>
      <c r="BD12" s="99">
        <v>4.08</v>
      </c>
      <c r="BE12" s="99">
        <v>4.08</v>
      </c>
      <c r="BF12" s="99">
        <v>3.5</v>
      </c>
      <c r="BG12" s="99">
        <v>6.31</v>
      </c>
      <c r="BH12" s="99">
        <v>6.31</v>
      </c>
      <c r="BI12" s="99">
        <v>6.49</v>
      </c>
      <c r="BJ12" s="99">
        <v>2.7</v>
      </c>
      <c r="BK12" s="99">
        <v>3.65</v>
      </c>
      <c r="BL12" s="99">
        <v>4.07</v>
      </c>
      <c r="BM12" s="98">
        <f t="shared" si="0"/>
        <v>0</v>
      </c>
      <c r="BN12" s="99">
        <f t="shared" si="1"/>
        <v>0</v>
      </c>
      <c r="BO12" s="99">
        <f t="shared" si="2"/>
        <v>2.4350649350649349</v>
      </c>
      <c r="BP12" s="99">
        <f t="shared" si="3"/>
        <v>2.4350649350649349</v>
      </c>
      <c r="BQ12" s="99">
        <f t="shared" si="4"/>
        <v>2.0733427362482368</v>
      </c>
      <c r="BR12" s="99">
        <f t="shared" si="5"/>
        <v>2.3039215686274512</v>
      </c>
      <c r="BS12" s="99">
        <f t="shared" si="6"/>
        <v>2.3039215686274512</v>
      </c>
      <c r="BT12" s="99">
        <f t="shared" si="7"/>
        <v>2.7428571428571429</v>
      </c>
      <c r="BU12" s="99">
        <f t="shared" si="8"/>
        <v>0</v>
      </c>
      <c r="BV12" s="99">
        <f t="shared" si="9"/>
        <v>0</v>
      </c>
      <c r="BW12" s="99">
        <f t="shared" si="10"/>
        <v>0.73959938366718025</v>
      </c>
      <c r="BX12" s="99">
        <f t="shared" si="11"/>
        <v>0</v>
      </c>
      <c r="BY12" s="99">
        <f t="shared" si="12"/>
        <v>0</v>
      </c>
      <c r="BZ12" s="99">
        <f t="shared" si="13"/>
        <v>0</v>
      </c>
    </row>
    <row r="13" spans="1:78">
      <c r="A13" s="12" t="s">
        <v>127</v>
      </c>
      <c r="B13" s="13" t="s">
        <v>2554</v>
      </c>
      <c r="C13" s="9" t="str">
        <f>IF(VLOOKUP($A13,'I-Ligands'!$A:$G,5,FALSE)="","",VLOOKUP($A13,'I-Ligands'!$A:$G,5,FALSE))</f>
        <v>Guide to Pharmacology</v>
      </c>
      <c r="D13" s="9">
        <f>IF(VLOOKUP($A13,'I-Ligands'!$A:$G,6,FALSE)="","",VLOOKUP($A13,'I-Ligands'!$A:$G,6,FALSE))</f>
        <v>3542</v>
      </c>
      <c r="E13" s="9" t="str">
        <f>IF(VLOOKUP($A13,'I-Ligands'!$A:$G,7,FALSE)="","",VLOOKUP($A13,'I-Ligands'!$A:$G,7,FALSE))</f>
        <v>Phys</v>
      </c>
      <c r="F13" s="7" cm="1">
        <f t="array" ref="F13">_xlfn.IFS(T13=0,0,T13&gt;0,(LOG(0.01*T13/10^-AH13)))</f>
        <v>7.9783105537896022</v>
      </c>
      <c r="G13" s="8" cm="1">
        <f t="array" ref="G13">_xlfn.IFS(U13=0,0,U13&gt;0,(LOG(0.01*U13/10^-AI13)))</f>
        <v>7.8685507165004465</v>
      </c>
      <c r="H13" s="8" cm="1">
        <f t="array" ref="H13">_xlfn.IFS(V13=0,0,V13&gt;0,(LOG(0.01*V13/10^-AJ13)))</f>
        <v>0</v>
      </c>
      <c r="I13" s="8" cm="1">
        <f t="array" ref="I13">_xlfn.IFS(W13=0,0,W13&gt;0,(LOG(0.01*W13/10^-AK13)))</f>
        <v>0</v>
      </c>
      <c r="J13" s="8" cm="1">
        <f t="array" ref="J13">_xlfn.IFS(X13=0,0,X13&gt;0,(LOG(0.01*X13/10^-AL13)))</f>
        <v>0</v>
      </c>
      <c r="K13" s="8" cm="1">
        <f t="array" ref="K13">_xlfn.IFS(Y13=0,0,Y13&gt;0,(LOG(0.01*Y13/10^-AM13)))</f>
        <v>0</v>
      </c>
      <c r="L13" s="8" cm="1">
        <f t="array" ref="L13">_xlfn.IFS(Z13=0,0,Z13&gt;0,(LOG(0.01*Z13/10^-AN13)))</f>
        <v>0</v>
      </c>
      <c r="M13" s="8" cm="1">
        <f t="array" ref="M13">_xlfn.IFS(AA13=0,0,AA13&gt;0,(LOG(0.01*AA13/10^-AO13)))</f>
        <v>0</v>
      </c>
      <c r="N13" s="8" cm="1">
        <f t="array" ref="N13">_xlfn.IFS(AB13=0,0,AB13&gt;0,(LOG(0.01*AB13/10^-AP13)))</f>
        <v>0</v>
      </c>
      <c r="O13" s="8" cm="1">
        <f t="array" ref="O13">_xlfn.IFS(AC13=0,0,AC13&gt;0,(LOG(0.01*AC13/10^-AQ13)))</f>
        <v>0</v>
      </c>
      <c r="P13" s="8" cm="1">
        <f t="array" ref="P13">_xlfn.IFS(AD13=0,0,AD13&gt;0,(LOG(0.01*AD13/10^-AR13)))</f>
        <v>0</v>
      </c>
      <c r="Q13" s="8" cm="1">
        <f t="array" ref="Q13">_xlfn.IFS(AE13=0,0,AE13&gt;0,(LOG(0.01*AE13/10^-AS13)))</f>
        <v>0</v>
      </c>
      <c r="R13" s="8" cm="1">
        <f t="array" ref="R13">_xlfn.IFS(AF13=0,0,AF13&gt;0,(LOG(0.01*AF13/10^-AT13)))</f>
        <v>0</v>
      </c>
      <c r="S13" s="8" cm="1">
        <f t="array" ref="S13">_xlfn.IFS(AG13=0,0,AG13&gt;0,(LOG(0.01*AG13/10^-AU13)))</f>
        <v>0</v>
      </c>
      <c r="T13" s="16">
        <v>31.5</v>
      </c>
      <c r="U13" s="17">
        <v>30.8</v>
      </c>
      <c r="AH13" s="14">
        <v>8.48</v>
      </c>
      <c r="AI13" s="15">
        <v>8.3800000000000008</v>
      </c>
      <c r="AW13" s="186" t="str">
        <f>IF(VLOOKUP($A13,'I-Ligands'!$A:$G,3,FALSE)="","",VLOOKUP($A13,'I-Ligands'!$A:$G,3,FALSE))</f>
        <v>Gastric Inhibitory Peptide</v>
      </c>
      <c r="AX13" s="187" t="str">
        <f>IF(VLOOKUP($A13,'I-Ligands'!$A:$G,4,FALSE)="","",VLOOKUP($A13,'I-Ligands'!$A:$G,4,FALSE))</f>
        <v>YAEGTFISDYSIAMDKIHQQDFVNWLLAQKGKKNDWKHNITQ</v>
      </c>
      <c r="AY13" s="98">
        <v>6.77</v>
      </c>
      <c r="AZ13" s="99">
        <v>4.97</v>
      </c>
      <c r="BA13" s="99">
        <v>6.55</v>
      </c>
      <c r="BB13" s="99">
        <v>6.55</v>
      </c>
      <c r="BC13" s="99">
        <v>6.79</v>
      </c>
      <c r="BD13" s="99">
        <v>7.54</v>
      </c>
      <c r="BE13" s="99">
        <v>7.54</v>
      </c>
      <c r="BF13" s="99">
        <v>5.26</v>
      </c>
      <c r="BG13" s="99">
        <v>8.32</v>
      </c>
      <c r="BH13" s="99">
        <v>8.32</v>
      </c>
      <c r="BI13" s="99">
        <v>8.25</v>
      </c>
      <c r="BJ13" s="99">
        <v>5.97</v>
      </c>
      <c r="BK13" s="99">
        <v>5.68</v>
      </c>
      <c r="BL13" s="99">
        <v>6.07</v>
      </c>
      <c r="BM13" s="98">
        <f t="shared" si="0"/>
        <v>4.6528803545051698</v>
      </c>
      <c r="BN13" s="99">
        <f t="shared" si="1"/>
        <v>6.1971830985915499</v>
      </c>
      <c r="BO13" s="99">
        <f t="shared" si="2"/>
        <v>0</v>
      </c>
      <c r="BP13" s="99">
        <f t="shared" si="3"/>
        <v>0</v>
      </c>
      <c r="BQ13" s="99">
        <f t="shared" si="4"/>
        <v>0</v>
      </c>
      <c r="BR13" s="99">
        <f t="shared" si="5"/>
        <v>0</v>
      </c>
      <c r="BS13" s="99">
        <f t="shared" si="6"/>
        <v>0</v>
      </c>
      <c r="BT13" s="99">
        <f t="shared" si="7"/>
        <v>0</v>
      </c>
      <c r="BU13" s="99">
        <f t="shared" si="8"/>
        <v>0</v>
      </c>
      <c r="BV13" s="99">
        <f t="shared" si="9"/>
        <v>0</v>
      </c>
      <c r="BW13" s="99">
        <f t="shared" si="10"/>
        <v>0</v>
      </c>
      <c r="BX13" s="99">
        <f t="shared" si="11"/>
        <v>0</v>
      </c>
      <c r="BY13" s="99">
        <f t="shared" si="12"/>
        <v>0</v>
      </c>
      <c r="BZ13" s="99">
        <f t="shared" si="13"/>
        <v>0</v>
      </c>
    </row>
    <row r="14" spans="1:78">
      <c r="A14" s="12" t="s">
        <v>84</v>
      </c>
      <c r="B14" s="13" t="s">
        <v>85</v>
      </c>
      <c r="C14" s="9" t="str">
        <f>IF(VLOOKUP($A14,'I-Ligands'!$A:$G,5,FALSE)="","",VLOOKUP($A14,'I-Ligands'!$A:$G,5,FALSE))</f>
        <v>Guide to Pharmacology</v>
      </c>
      <c r="D14" s="9">
        <f>IF(VLOOKUP($A14,'I-Ligands'!$A:$G,6,FALSE)="","",VLOOKUP($A14,'I-Ligands'!$A:$G,6,FALSE))</f>
        <v>4064</v>
      </c>
      <c r="E14" s="9" t="str">
        <f>IF(VLOOKUP($A14,'I-Ligands'!$A:$G,7,FALSE)="","",VLOOKUP($A14,'I-Ligands'!$A:$G,7,FALSE))</f>
        <v>Phys</v>
      </c>
      <c r="F14" s="7" cm="1">
        <f t="array" ref="F14">_xlfn.IFS(T14=0,0,T14&gt;0,(LOG(0.01*T14/10^-AH14)))</f>
        <v>6.9974264979406247</v>
      </c>
      <c r="G14" s="8" cm="1">
        <f t="array" ref="G14">_xlfn.IFS(U14=0,0,U14&gt;0,(LOG(0.01*U14/10^-AI14)))</f>
        <v>6.5977236052888486</v>
      </c>
      <c r="H14" s="8" cm="1">
        <f t="array" ref="H14">_xlfn.IFS(V14=0,0,V14&gt;0,(LOG(0.01*V14/10^-AJ14)))</f>
        <v>0</v>
      </c>
      <c r="I14" s="8" cm="1">
        <f t="array" ref="I14">_xlfn.IFS(W14=0,0,W14&gt;0,(LOG(0.01*W14/10^-AK14)))</f>
        <v>0</v>
      </c>
      <c r="J14" s="8" cm="1">
        <f t="array" ref="J14">_xlfn.IFS(X14=0,0,X14&gt;0,(LOG(0.01*X14/10^-AL14)))</f>
        <v>0</v>
      </c>
      <c r="K14" s="8" cm="1">
        <f t="array" ref="K14">_xlfn.IFS(Y14=0,0,Y14&gt;0,(LOG(0.01*Y14/10^-AM14)))</f>
        <v>0</v>
      </c>
      <c r="L14" s="8" cm="1">
        <f t="array" ref="L14">_xlfn.IFS(Z14=0,0,Z14&gt;0,(LOG(0.01*Z14/10^-AN14)))</f>
        <v>0</v>
      </c>
      <c r="M14" s="8" cm="1">
        <f t="array" ref="M14">_xlfn.IFS(AA14=0,0,AA14&gt;0,(LOG(0.01*AA14/10^-AO14)))</f>
        <v>0</v>
      </c>
      <c r="N14" s="8" cm="1">
        <f t="array" ref="N14">_xlfn.IFS(AB14=0,0,AB14&gt;0,(LOG(0.01*AB14/10^-AP14)))</f>
        <v>0</v>
      </c>
      <c r="O14" s="8" cm="1">
        <f t="array" ref="O14">_xlfn.IFS(AC14=0,0,AC14&gt;0,(LOG(0.01*AC14/10^-AQ14)))</f>
        <v>0</v>
      </c>
      <c r="P14" s="8" cm="1">
        <f t="array" ref="P14">_xlfn.IFS(AD14=0,0,AD14&gt;0,(LOG(0.01*AD14/10^-AR14)))</f>
        <v>0</v>
      </c>
      <c r="Q14" s="8" cm="1">
        <f t="array" ref="Q14">_xlfn.IFS(AE14=0,0,AE14&gt;0,(LOG(0.01*AE14/10^-AS14)))</f>
        <v>0</v>
      </c>
      <c r="R14" s="8" cm="1">
        <f t="array" ref="R14">_xlfn.IFS(AF14=0,0,AF14&gt;0,(LOG(0.01*AF14/10^-AT14)))</f>
        <v>0</v>
      </c>
      <c r="S14" s="8" cm="1">
        <f t="array" ref="S14">_xlfn.IFS(AG14=0,0,AG14&gt;0,(LOG(0.01*AG14/10^-AU14)))</f>
        <v>6.3961280356782391</v>
      </c>
      <c r="T14" s="16">
        <v>10.9</v>
      </c>
      <c r="U14" s="17">
        <v>9.5</v>
      </c>
      <c r="AG14" s="17">
        <v>14</v>
      </c>
      <c r="AH14" s="14">
        <v>7.96</v>
      </c>
      <c r="AI14" s="15">
        <v>7.62</v>
      </c>
      <c r="AU14" s="15">
        <v>7.25</v>
      </c>
      <c r="AW14" s="186" t="str">
        <f>IF(VLOOKUP($A14,'I-Ligands'!$A:$G,3,FALSE)="","",VLOOKUP($A14,'I-Ligands'!$A:$G,3,FALSE))</f>
        <v>Lysophosphatidylserine</v>
      </c>
      <c r="AX14" s="187" t="str">
        <f>IF(VLOOKUP($A14,'I-Ligands'!$A:$G,4,FALSE)="","",VLOOKUP($A14,'I-Ligands'!$A:$G,4,FALSE))</f>
        <v>1-oleoyl-2-hydroxy-sn-glycero-3-phospho-L-serine, sodium salt</v>
      </c>
      <c r="AY14" s="98">
        <v>3.02</v>
      </c>
      <c r="AZ14" s="99">
        <v>2.73</v>
      </c>
      <c r="BA14" s="99">
        <v>2.61</v>
      </c>
      <c r="BB14" s="99">
        <v>2.61</v>
      </c>
      <c r="BC14" s="99">
        <v>2.68</v>
      </c>
      <c r="BD14" s="99">
        <v>1.97</v>
      </c>
      <c r="BE14" s="99">
        <v>1.97</v>
      </c>
      <c r="BF14" s="99">
        <v>2.71</v>
      </c>
      <c r="BG14" s="99">
        <v>5.34</v>
      </c>
      <c r="BH14" s="99">
        <v>5.34</v>
      </c>
      <c r="BI14" s="99">
        <v>3.91</v>
      </c>
      <c r="BJ14" s="99">
        <v>3.32</v>
      </c>
      <c r="BK14" s="99">
        <v>3.79</v>
      </c>
      <c r="BL14" s="99">
        <v>4.3</v>
      </c>
      <c r="BM14" s="98">
        <f t="shared" si="0"/>
        <v>3.6092715231788079</v>
      </c>
      <c r="BN14" s="99">
        <f t="shared" si="1"/>
        <v>3.4798534798534799</v>
      </c>
      <c r="BO14" s="99">
        <f t="shared" si="2"/>
        <v>0</v>
      </c>
      <c r="BP14" s="99">
        <f t="shared" si="3"/>
        <v>0</v>
      </c>
      <c r="BQ14" s="99">
        <f t="shared" si="4"/>
        <v>0</v>
      </c>
      <c r="BR14" s="99">
        <f t="shared" si="5"/>
        <v>0</v>
      </c>
      <c r="BS14" s="99">
        <f t="shared" si="6"/>
        <v>0</v>
      </c>
      <c r="BT14" s="99">
        <f t="shared" si="7"/>
        <v>0</v>
      </c>
      <c r="BU14" s="99">
        <f t="shared" si="8"/>
        <v>0</v>
      </c>
      <c r="BV14" s="99">
        <f t="shared" si="9"/>
        <v>0</v>
      </c>
      <c r="BW14" s="99">
        <f t="shared" si="10"/>
        <v>0</v>
      </c>
      <c r="BX14" s="99">
        <f t="shared" si="11"/>
        <v>0</v>
      </c>
      <c r="BY14" s="99">
        <f t="shared" si="12"/>
        <v>0</v>
      </c>
      <c r="BZ14" s="99">
        <f t="shared" si="13"/>
        <v>3.2558139534883721</v>
      </c>
    </row>
    <row r="15" spans="1:78">
      <c r="A15" s="12" t="s">
        <v>89</v>
      </c>
      <c r="B15" s="13" t="s">
        <v>89</v>
      </c>
      <c r="C15" s="9" t="str">
        <f>IF(VLOOKUP($A15,'I-Ligands'!$A:$G,5,FALSE)="","",VLOOKUP($A15,'I-Ligands'!$A:$G,5,FALSE))</f>
        <v>Guide to Pharmacology</v>
      </c>
      <c r="D15" s="9">
        <f>IF(VLOOKUP($A15,'I-Ligands'!$A:$G,6,FALSE)="","",VLOOKUP($A15,'I-Ligands'!$A:$G,6,FALSE))</f>
        <v>4064</v>
      </c>
      <c r="E15" s="9" t="str">
        <f>IF(VLOOKUP($A15,'I-Ligands'!$A:$G,7,FALSE)="","",VLOOKUP($A15,'I-Ligands'!$A:$G,7,FALSE))</f>
        <v>Phys</v>
      </c>
      <c r="F15" s="7" cm="1">
        <f t="array" ref="F15">_xlfn.IFS(T15=0,0,T15&gt;0,(LOG(0.01*T15/10^-AH15)))</f>
        <v>0</v>
      </c>
      <c r="G15" s="8" cm="1">
        <f t="array" ref="G15">_xlfn.IFS(U15=0,0,U15&gt;0,(LOG(0.01*U15/10^-AI15)))</f>
        <v>0</v>
      </c>
      <c r="H15" s="8" cm="1">
        <f t="array" ref="H15">_xlfn.IFS(V15=0,0,V15&gt;0,(LOG(0.01*V15/10^-AJ15)))</f>
        <v>5.9603316981702923</v>
      </c>
      <c r="I15" s="8" cm="1">
        <f t="array" ref="I15">_xlfn.IFS(W15=0,0,W15&gt;0,(LOG(0.01*W15/10^-AK15)))</f>
        <v>5.9603316981702923</v>
      </c>
      <c r="J15" s="8" cm="1">
        <f t="array" ref="J15">_xlfn.IFS(X15=0,0,X15&gt;0,(LOG(0.01*X15/10^-AL15)))</f>
        <v>5.4674839442139067</v>
      </c>
      <c r="K15" s="8" cm="1">
        <f t="array" ref="K15">_xlfn.IFS(Y15=0,0,Y15&gt;0,(LOG(0.01*Y15/10^-AM15)))</f>
        <v>5.6978017299302266</v>
      </c>
      <c r="L15" s="8" cm="1">
        <f t="array" ref="L15">_xlfn.IFS(Z15=0,0,Z15&gt;0,(LOG(0.01*Z15/10^-AN15)))</f>
        <v>5.6978017299302266</v>
      </c>
      <c r="M15" s="8" cm="1">
        <f t="array" ref="M15">_xlfn.IFS(AA15=0,0,AA15&gt;0,(LOG(0.01*AA15/10^-AO15)))</f>
        <v>0</v>
      </c>
      <c r="N15" s="8" cm="1">
        <f t="array" ref="N15">_xlfn.IFS(AB15=0,0,AB15&gt;0,(LOG(0.01*AB15/10^-AP15)))</f>
        <v>0</v>
      </c>
      <c r="O15" s="8" cm="1">
        <f t="array" ref="O15">_xlfn.IFS(AC15=0,0,AC15&gt;0,(LOG(0.01*AC15/10^-AQ15)))</f>
        <v>0</v>
      </c>
      <c r="P15" s="8" cm="1">
        <f t="array" ref="P15">_xlfn.IFS(AD15=0,0,AD15&gt;0,(LOG(0.01*AD15/10^-AR15)))</f>
        <v>0</v>
      </c>
      <c r="Q15" s="8" cm="1">
        <f t="array" ref="Q15">_xlfn.IFS(AE15=0,0,AE15&gt;0,(LOG(0.01*AE15/10^-AS15)))</f>
        <v>0</v>
      </c>
      <c r="R15" s="8" cm="1">
        <f t="array" ref="R15">_xlfn.IFS(AF15=0,0,AF15&gt;0,(LOG(0.01*AF15/10^-AT15)))</f>
        <v>0</v>
      </c>
      <c r="S15" s="8" cm="1">
        <f t="array" ref="S15">_xlfn.IFS(AG15=0,0,AG15&gt;0,(LOG(0.01*AG15/10^-AU15)))</f>
        <v>0</v>
      </c>
      <c r="V15" s="17">
        <v>15.5</v>
      </c>
      <c r="W15" s="17">
        <v>15.5</v>
      </c>
      <c r="X15" s="17">
        <v>16.5</v>
      </c>
      <c r="Y15" s="17">
        <v>19.399999999999999</v>
      </c>
      <c r="Z15" s="17">
        <v>19.399999999999999</v>
      </c>
      <c r="AJ15" s="15">
        <v>6.77</v>
      </c>
      <c r="AK15" s="15">
        <v>6.77</v>
      </c>
      <c r="AL15" s="15">
        <v>6.25</v>
      </c>
      <c r="AM15" s="15">
        <v>6.41</v>
      </c>
      <c r="AN15" s="15">
        <v>6.41</v>
      </c>
      <c r="AW15" s="186" t="str">
        <f>IF(VLOOKUP($A15,'I-Ligands'!$A:$G,3,FALSE)="","",VLOOKUP($A15,'I-Ligands'!$A:$G,3,FALSE))</f>
        <v>Lysophosphatidylserine</v>
      </c>
      <c r="AX15" s="187" t="str">
        <f>IF(VLOOKUP($A15,'I-Ligands'!$A:$G,4,FALSE)="","",VLOOKUP($A15,'I-Ligands'!$A:$G,4,FALSE))</f>
        <v>1-oleoyl-2-hydroxy-sn-glycero-3-phospho-L-serine, sodium salt</v>
      </c>
      <c r="AY15" s="98">
        <v>2.4900000000000002</v>
      </c>
      <c r="AZ15" s="99">
        <v>1.87</v>
      </c>
      <c r="BA15" s="99">
        <v>3.8</v>
      </c>
      <c r="BB15" s="99">
        <v>3.8</v>
      </c>
      <c r="BC15" s="99">
        <v>3.43</v>
      </c>
      <c r="BD15" s="99">
        <v>2.59</v>
      </c>
      <c r="BE15" s="99">
        <v>2.59</v>
      </c>
      <c r="BF15" s="99">
        <v>2.04</v>
      </c>
      <c r="BG15" s="99">
        <v>2.02</v>
      </c>
      <c r="BH15" s="99">
        <v>2.02</v>
      </c>
      <c r="BI15" s="99">
        <v>2.96</v>
      </c>
      <c r="BJ15" s="99">
        <v>1.64</v>
      </c>
      <c r="BK15" s="99">
        <v>1.17</v>
      </c>
      <c r="BL15" s="99">
        <v>1.31</v>
      </c>
      <c r="BM15" s="98">
        <f t="shared" si="0"/>
        <v>0</v>
      </c>
      <c r="BN15" s="99">
        <f t="shared" si="1"/>
        <v>0</v>
      </c>
      <c r="BO15" s="99">
        <f t="shared" si="2"/>
        <v>4.0789473684210531</v>
      </c>
      <c r="BP15" s="99">
        <f t="shared" si="3"/>
        <v>4.0789473684210531</v>
      </c>
      <c r="BQ15" s="99">
        <f t="shared" si="4"/>
        <v>4.8104956268221573</v>
      </c>
      <c r="BR15" s="99">
        <f t="shared" si="5"/>
        <v>7.4903474903474905</v>
      </c>
      <c r="BS15" s="99">
        <f t="shared" si="6"/>
        <v>7.4903474903474905</v>
      </c>
      <c r="BT15" s="99">
        <f t="shared" si="7"/>
        <v>0</v>
      </c>
      <c r="BU15" s="99">
        <f t="shared" si="8"/>
        <v>0</v>
      </c>
      <c r="BV15" s="99">
        <f t="shared" si="9"/>
        <v>0</v>
      </c>
      <c r="BW15" s="99">
        <f t="shared" si="10"/>
        <v>0</v>
      </c>
      <c r="BX15" s="99">
        <f t="shared" si="11"/>
        <v>0</v>
      </c>
      <c r="BY15" s="99">
        <f t="shared" si="12"/>
        <v>0</v>
      </c>
      <c r="BZ15" s="99">
        <f t="shared" si="13"/>
        <v>0</v>
      </c>
    </row>
    <row r="16" spans="1:78">
      <c r="A16" s="12" t="s">
        <v>90</v>
      </c>
      <c r="B16" s="13" t="s">
        <v>90</v>
      </c>
      <c r="C16" s="9" t="str">
        <f>IF(VLOOKUP($A16,'I-Ligands'!$A:$G,5,FALSE)="","",VLOOKUP($A16,'I-Ligands'!$A:$G,5,FALSE))</f>
        <v>Guide to Pharmacology</v>
      </c>
      <c r="D16" s="9">
        <f>IF(VLOOKUP($A16,'I-Ligands'!$A:$G,6,FALSE)="","",VLOOKUP($A16,'I-Ligands'!$A:$G,6,FALSE))</f>
        <v>2919</v>
      </c>
      <c r="E16" s="9" t="str">
        <f>IF(VLOOKUP($A16,'I-Ligands'!$A:$G,7,FALSE)="","",VLOOKUP($A16,'I-Ligands'!$A:$G,7,FALSE))</f>
        <v>Surr</v>
      </c>
      <c r="F16" s="7" cm="1">
        <f t="array" ref="F16">_xlfn.IFS(T16=0,0,T16&gt;0,(LOG(0.01*T16/10^-AH16)))</f>
        <v>0</v>
      </c>
      <c r="G16" s="8" cm="1">
        <f t="array" ref="G16">_xlfn.IFS(U16=0,0,U16&gt;0,(LOG(0.01*U16/10^-AI16)))</f>
        <v>0</v>
      </c>
      <c r="H16" s="8" cm="1">
        <f t="array" ref="H16">_xlfn.IFS(V16=0,0,V16&gt;0,(LOG(0.01*V16/10^-AJ16)))</f>
        <v>4.8320170425748694</v>
      </c>
      <c r="I16" s="8" cm="1">
        <f t="array" ref="I16">_xlfn.IFS(W16=0,0,W16&gt;0,(LOG(0.01*W16/10^-AK16)))</f>
        <v>4.8320170425748694</v>
      </c>
      <c r="J16" s="8" cm="1">
        <f t="array" ref="J16">_xlfn.IFS(X16=0,0,X16&gt;0,(LOG(0.01*X16/10^-AL16)))</f>
        <v>4.8880461031287972</v>
      </c>
      <c r="K16" s="8" cm="1">
        <f t="array" ref="K16">_xlfn.IFS(Y16=0,0,Y16&gt;0,(LOG(0.01*Y16/10^-AM16)))</f>
        <v>5.0436119798921446</v>
      </c>
      <c r="L16" s="8" cm="1">
        <f t="array" ref="L16">_xlfn.IFS(Z16=0,0,Z16&gt;0,(LOG(0.01*Z16/10^-AN16)))</f>
        <v>5.0436119798921446</v>
      </c>
      <c r="M16" s="8" cm="1">
        <f t="array" ref="M16">_xlfn.IFS(AA16=0,0,AA16&gt;0,(LOG(0.01*AA16/10^-AO16)))</f>
        <v>4.2139433523068375</v>
      </c>
      <c r="N16" s="8" cm="1">
        <f t="array" ref="N16">_xlfn.IFS(AB16=0,0,AB16&gt;0,(LOG(0.01*AB16/10^-AP16)))</f>
        <v>0</v>
      </c>
      <c r="O16" s="8" cm="1">
        <f t="array" ref="O16">_xlfn.IFS(AC16=0,0,AC16&gt;0,(LOG(0.01*AC16/10^-AQ16)))</f>
        <v>0</v>
      </c>
      <c r="P16" s="8" cm="1">
        <f t="array" ref="P16">_xlfn.IFS(AD16=0,0,AD16&gt;0,(LOG(0.01*AD16/10^-AR16)))</f>
        <v>0</v>
      </c>
      <c r="Q16" s="8" cm="1">
        <f t="array" ref="Q16">_xlfn.IFS(AE16=0,0,AE16&gt;0,(LOG(0.01*AE16/10^-AS16)))</f>
        <v>0</v>
      </c>
      <c r="R16" s="8" cm="1">
        <f t="array" ref="R16">_xlfn.IFS(AF16=0,0,AF16&gt;0,(LOG(0.01*AF16/10^-AT16)))</f>
        <v>4.9358996524092342</v>
      </c>
      <c r="S16" s="8" cm="1">
        <f t="array" ref="S16">_xlfn.IFS(AG16=0,0,AG16&gt;0,(LOG(0.01*AG16/10^-AU16)))</f>
        <v>4.7253229787866582</v>
      </c>
      <c r="V16" s="17">
        <v>24.1</v>
      </c>
      <c r="W16" s="17">
        <v>24.1</v>
      </c>
      <c r="X16" s="17">
        <v>17.3</v>
      </c>
      <c r="Y16" s="17">
        <v>23.1</v>
      </c>
      <c r="Z16" s="17">
        <v>23.1</v>
      </c>
      <c r="AA16" s="17">
        <v>13</v>
      </c>
      <c r="AF16" s="17">
        <v>15.7</v>
      </c>
      <c r="AG16" s="17">
        <v>11.1</v>
      </c>
      <c r="AJ16" s="15">
        <v>5.45</v>
      </c>
      <c r="AK16" s="15">
        <v>5.45</v>
      </c>
      <c r="AL16" s="15">
        <v>5.65</v>
      </c>
      <c r="AM16" s="15">
        <v>5.68</v>
      </c>
      <c r="AN16" s="15">
        <v>5.68</v>
      </c>
      <c r="AO16" s="15">
        <v>5.0999999999999996</v>
      </c>
      <c r="AT16" s="15">
        <v>5.74</v>
      </c>
      <c r="AU16" s="15">
        <v>5.68</v>
      </c>
      <c r="AW16" s="186" t="str">
        <f>IF(VLOOKUP($A16,'I-Ligands'!$A:$G,3,FALSE)="","",VLOOKUP($A16,'I-Ligands'!$A:$G,3,FALSE))</f>
        <v>Zaprinast</v>
      </c>
      <c r="AX16" s="187" t="str">
        <f>IF(VLOOKUP($A16,'I-Ligands'!$A:$G,4,FALSE)="","",VLOOKUP($A16,'I-Ligands'!$A:$G,4,FALSE))</f>
        <v>Zaprinast</v>
      </c>
      <c r="AY16" s="98">
        <v>2.9</v>
      </c>
      <c r="AZ16" s="99">
        <v>2.19</v>
      </c>
      <c r="BA16" s="99">
        <v>7.36</v>
      </c>
      <c r="BB16" s="99">
        <v>7.36</v>
      </c>
      <c r="BC16" s="99">
        <v>9.1999999999999993</v>
      </c>
      <c r="BD16" s="99">
        <v>7.55</v>
      </c>
      <c r="BE16" s="99">
        <v>7.55</v>
      </c>
      <c r="BF16" s="99">
        <v>5.31</v>
      </c>
      <c r="BG16" s="99">
        <v>6.67</v>
      </c>
      <c r="BH16" s="99">
        <v>6.67</v>
      </c>
      <c r="BI16" s="99">
        <v>6.72</v>
      </c>
      <c r="BJ16" s="99">
        <v>3.01</v>
      </c>
      <c r="BK16" s="99">
        <v>6.45</v>
      </c>
      <c r="BL16" s="99">
        <v>4.8</v>
      </c>
      <c r="BM16" s="98">
        <f t="shared" si="0"/>
        <v>0</v>
      </c>
      <c r="BN16" s="99">
        <f t="shared" si="1"/>
        <v>0</v>
      </c>
      <c r="BO16" s="99">
        <f t="shared" si="2"/>
        <v>3.2744565217391304</v>
      </c>
      <c r="BP16" s="99">
        <f t="shared" si="3"/>
        <v>3.2744565217391304</v>
      </c>
      <c r="BQ16" s="99">
        <f t="shared" si="4"/>
        <v>1.8804347826086958</v>
      </c>
      <c r="BR16" s="99">
        <f t="shared" si="5"/>
        <v>3.0596026490066226</v>
      </c>
      <c r="BS16" s="99">
        <f t="shared" si="6"/>
        <v>3.0596026490066226</v>
      </c>
      <c r="BT16" s="99">
        <f t="shared" si="7"/>
        <v>2.4482109227871942</v>
      </c>
      <c r="BU16" s="99">
        <f t="shared" si="8"/>
        <v>0</v>
      </c>
      <c r="BV16" s="99">
        <f t="shared" si="9"/>
        <v>0</v>
      </c>
      <c r="BW16" s="99">
        <f t="shared" si="10"/>
        <v>0</v>
      </c>
      <c r="BX16" s="99">
        <f t="shared" si="11"/>
        <v>0</v>
      </c>
      <c r="BY16" s="99">
        <f t="shared" si="12"/>
        <v>2.4341085271317828</v>
      </c>
      <c r="BZ16" s="99">
        <f t="shared" si="13"/>
        <v>2.3125</v>
      </c>
    </row>
    <row r="17" spans="1:78">
      <c r="A17" s="12" t="s">
        <v>134</v>
      </c>
      <c r="B17" s="13" t="s">
        <v>134</v>
      </c>
      <c r="C17" s="9" t="str">
        <f>IF(VLOOKUP($A17,'I-Ligands'!$A:$G,5,FALSE)="","",VLOOKUP($A17,'I-Ligands'!$A:$G,5,FALSE))</f>
        <v>Guide to Pharmacology</v>
      </c>
      <c r="D17" s="9">
        <f>IF(VLOOKUP($A17,'I-Ligands'!$A:$G,6,FALSE)="","",VLOOKUP($A17,'I-Ligands'!$A:$G,6,FALSE))</f>
        <v>4028</v>
      </c>
      <c r="E17" s="9" t="str">
        <f>IF(VLOOKUP($A17,'I-Ligands'!$A:$G,7,FALSE)="","",VLOOKUP($A17,'I-Ligands'!$A:$G,7,FALSE))</f>
        <v>Phys</v>
      </c>
      <c r="F17" s="7" cm="1">
        <f t="array" ref="F17">_xlfn.IFS(T17=0,0,T17&gt;0,(LOG(0.01*T17/10^-AH17)))</f>
        <v>0</v>
      </c>
      <c r="G17" s="8" cm="1">
        <f t="array" ref="G17">_xlfn.IFS(U17=0,0,U17&gt;0,(LOG(0.01*U17/10^-AI17)))</f>
        <v>0</v>
      </c>
      <c r="H17" s="8" cm="1">
        <f t="array" ref="H17">_xlfn.IFS(V17=0,0,V17&gt;0,(LOG(0.01*V17/10^-AJ17)))</f>
        <v>0</v>
      </c>
      <c r="I17" s="8" cm="1">
        <f t="array" ref="I17">_xlfn.IFS(W17=0,0,W17&gt;0,(LOG(0.01*W17/10^-AK17)))</f>
        <v>0</v>
      </c>
      <c r="J17" s="8" cm="1">
        <f t="array" ref="J17">_xlfn.IFS(X17=0,0,X17&gt;0,(LOG(0.01*X17/10^-AL17)))</f>
        <v>0</v>
      </c>
      <c r="K17" s="8" cm="1">
        <f t="array" ref="K17">_xlfn.IFS(Y17=0,0,Y17&gt;0,(LOG(0.01*Y17/10^-AM17)))</f>
        <v>0</v>
      </c>
      <c r="L17" s="8" cm="1">
        <f t="array" ref="L17">_xlfn.IFS(Z17=0,0,Z17&gt;0,(LOG(0.01*Z17/10^-AN17)))</f>
        <v>0</v>
      </c>
      <c r="M17" s="8" cm="1">
        <f t="array" ref="M17">_xlfn.IFS(AA17=0,0,AA17&gt;0,(LOG(0.01*AA17/10^-AO17)))</f>
        <v>0</v>
      </c>
      <c r="N17" s="8" cm="1">
        <f t="array" ref="N17">_xlfn.IFS(AB17=0,0,AB17&gt;0,(LOG(0.01*AB17/10^-AP17)))</f>
        <v>0</v>
      </c>
      <c r="O17" s="8" cm="1">
        <f t="array" ref="O17">_xlfn.IFS(AC17=0,0,AC17&gt;0,(LOG(0.01*AC17/10^-AQ17)))</f>
        <v>0</v>
      </c>
      <c r="P17" s="8" cm="1">
        <f t="array" ref="P17">_xlfn.IFS(AD17=0,0,AD17&gt;0,(LOG(0.01*AD17/10^-AR17)))</f>
        <v>0</v>
      </c>
      <c r="Q17" s="8" cm="1">
        <f t="array" ref="Q17">_xlfn.IFS(AE17=0,0,AE17&gt;0,(LOG(0.01*AE17/10^-AS17)))</f>
        <v>0</v>
      </c>
      <c r="R17" s="8" cm="1">
        <f t="array" ref="R17">_xlfn.IFS(AF17=0,0,AF17&gt;0,(LOG(0.01*AF17/10^-AT17)))</f>
        <v>0</v>
      </c>
      <c r="S17" s="8" cm="1">
        <f t="array" ref="S17">_xlfn.IFS(AG17=0,0,AG17&gt;0,(LOG(0.01*AG17/10^-AU17)))</f>
        <v>6.3190032620257881</v>
      </c>
      <c r="AG17" s="17">
        <v>35.4</v>
      </c>
      <c r="AU17" s="15">
        <v>6.77</v>
      </c>
      <c r="AW17" s="186" t="str">
        <f>IF(VLOOKUP($A17,'I-Ligands'!$A:$G,3,FALSE)="","",VLOOKUP($A17,'I-Ligands'!$A:$G,3,FALSE))</f>
        <v>Lysophosphatidylinositol</v>
      </c>
      <c r="AX17" s="187" t="str">
        <f>IF(VLOOKUP($A17,'I-Ligands'!$A:$G,4,FALSE)="","",VLOOKUP($A17,'I-Ligands'!$A:$G,4,FALSE))</f>
        <v>1-arachidonoyl-2-hydroxy-sn-glycero-3-phosphoinositol, ammonium salt</v>
      </c>
      <c r="AY17" s="98">
        <v>6.44</v>
      </c>
      <c r="AZ17" s="99">
        <v>6.04</v>
      </c>
      <c r="BA17" s="99">
        <v>8.83</v>
      </c>
      <c r="BB17" s="99">
        <v>8.83</v>
      </c>
      <c r="BC17" s="99">
        <v>8.5500000000000007</v>
      </c>
      <c r="BD17" s="99">
        <v>8.14</v>
      </c>
      <c r="BE17" s="99">
        <v>8.14</v>
      </c>
      <c r="BF17" s="99">
        <v>7.26</v>
      </c>
      <c r="BG17" s="99">
        <v>10.19</v>
      </c>
      <c r="BH17" s="99">
        <v>10.19</v>
      </c>
      <c r="BI17" s="99">
        <v>6.16</v>
      </c>
      <c r="BJ17" s="99">
        <v>8.61</v>
      </c>
      <c r="BK17" s="99">
        <v>6.65</v>
      </c>
      <c r="BL17" s="99">
        <v>8.9600000000000009</v>
      </c>
      <c r="BM17" s="98">
        <f t="shared" si="0"/>
        <v>0</v>
      </c>
      <c r="BN17" s="99">
        <f t="shared" si="1"/>
        <v>0</v>
      </c>
      <c r="BO17" s="99">
        <f t="shared" si="2"/>
        <v>0</v>
      </c>
      <c r="BP17" s="99">
        <f t="shared" si="3"/>
        <v>0</v>
      </c>
      <c r="BQ17" s="99">
        <f t="shared" si="4"/>
        <v>0</v>
      </c>
      <c r="BR17" s="99">
        <f t="shared" si="5"/>
        <v>0</v>
      </c>
      <c r="BS17" s="99">
        <f t="shared" si="6"/>
        <v>0</v>
      </c>
      <c r="BT17" s="99">
        <f t="shared" si="7"/>
        <v>0</v>
      </c>
      <c r="BU17" s="99">
        <f t="shared" si="8"/>
        <v>0</v>
      </c>
      <c r="BV17" s="99">
        <f t="shared" si="9"/>
        <v>0</v>
      </c>
      <c r="BW17" s="99">
        <f t="shared" si="10"/>
        <v>0</v>
      </c>
      <c r="BX17" s="99">
        <f t="shared" si="11"/>
        <v>0</v>
      </c>
      <c r="BY17" s="99">
        <f t="shared" si="12"/>
        <v>0</v>
      </c>
      <c r="BZ17" s="99">
        <f t="shared" si="13"/>
        <v>3.9508928571428568</v>
      </c>
    </row>
    <row r="18" spans="1:78">
      <c r="A18" s="12" t="s">
        <v>93</v>
      </c>
      <c r="B18" s="13" t="s">
        <v>93</v>
      </c>
      <c r="C18" s="9" t="str">
        <f>IF(VLOOKUP($A18,'I-Ligands'!$A:$G,5,FALSE)="","",VLOOKUP($A18,'I-Ligands'!$A:$G,5,FALSE))</f>
        <v>Guide to Pharmacology</v>
      </c>
      <c r="D18" s="9">
        <f>IF(VLOOKUP($A18,'I-Ligands'!$A:$G,6,FALSE)="","",VLOOKUP($A18,'I-Ligands'!$A:$G,6,FALSE))</f>
        <v>5532</v>
      </c>
      <c r="E18" s="9" t="str">
        <f>IF(VLOOKUP($A18,'I-Ligands'!$A:$G,7,FALSE)="","",VLOOKUP($A18,'I-Ligands'!$A:$G,7,FALSE))</f>
        <v>Phys</v>
      </c>
      <c r="F18" s="7" cm="1">
        <f t="array" ref="F18">_xlfn.IFS(T18=0,0,T18&gt;0,(LOG(0.01*T18/10^-AH18)))</f>
        <v>0</v>
      </c>
      <c r="G18" s="8" cm="1">
        <f t="array" ref="G18">_xlfn.IFS(U18=0,0,U18&gt;0,(LOG(0.01*U18/10^-AI18)))</f>
        <v>0</v>
      </c>
      <c r="H18" s="8" cm="1">
        <f t="array" ref="H18">_xlfn.IFS(V18=0,0,V18&gt;0,(LOG(0.01*V18/10^-AJ18)))</f>
        <v>2.951400540781544</v>
      </c>
      <c r="I18" s="8" cm="1">
        <f t="array" ref="I18">_xlfn.IFS(W18=0,0,W18&gt;0,(LOG(0.01*W18/10^-AK18)))</f>
        <v>2.951400540781544</v>
      </c>
      <c r="J18" s="8" cm="1">
        <f t="array" ref="J18">_xlfn.IFS(X18=0,0,X18&gt;0,(LOG(0.01*X18/10^-AL18)))</f>
        <v>3.4676299008713394</v>
      </c>
      <c r="K18" s="8" cm="1">
        <f t="array" ref="K18">_xlfn.IFS(Y18=0,0,Y18&gt;0,(LOG(0.01*Y18/10^-AM18)))</f>
        <v>3.159752280002408</v>
      </c>
      <c r="L18" s="8" cm="1">
        <f t="array" ref="L18">_xlfn.IFS(Z18=0,0,Z18&gt;0,(LOG(0.01*Z18/10^-AN18)))</f>
        <v>3.159752280002408</v>
      </c>
      <c r="M18" s="8" cm="1">
        <f t="array" ref="M18">_xlfn.IFS(AA18=0,0,AA18&gt;0,(LOG(0.01*AA18/10^-AO18)))</f>
        <v>2.613038048686295</v>
      </c>
      <c r="N18" s="8" cm="1">
        <f t="array" ref="N18">_xlfn.IFS(AB18=0,0,AB18&gt;0,(LOG(0.01*AB18/10^-AP18)))</f>
        <v>0</v>
      </c>
      <c r="O18" s="8" cm="1">
        <f t="array" ref="O18">_xlfn.IFS(AC18=0,0,AC18&gt;0,(LOG(0.01*AC18/10^-AQ18)))</f>
        <v>0</v>
      </c>
      <c r="P18" s="8" cm="1">
        <f t="array" ref="P18">_xlfn.IFS(AD18=0,0,AD18&gt;0,(LOG(0.01*AD18/10^-AR18)))</f>
        <v>0</v>
      </c>
      <c r="Q18" s="8" cm="1">
        <f t="array" ref="Q18">_xlfn.IFS(AE18=0,0,AE18&gt;0,(LOG(0.01*AE18/10^-AS18)))</f>
        <v>0</v>
      </c>
      <c r="R18" s="8" cm="1">
        <f t="array" ref="R18">_xlfn.IFS(AF18=0,0,AF18&gt;0,(LOG(0.01*AF18/10^-AT18)))</f>
        <v>0</v>
      </c>
      <c r="S18" s="8" cm="1">
        <f t="array" ref="S18">_xlfn.IFS(AG18=0,0,AG18&gt;0,(LOG(0.01*AG18/10^-AU18)))</f>
        <v>0</v>
      </c>
      <c r="V18" s="17">
        <v>25.2</v>
      </c>
      <c r="W18" s="17">
        <v>25.2</v>
      </c>
      <c r="X18" s="17">
        <v>33.700000000000003</v>
      </c>
      <c r="Y18" s="17">
        <v>26.9</v>
      </c>
      <c r="Z18" s="17">
        <v>26.9</v>
      </c>
      <c r="AA18" s="17">
        <v>17.5</v>
      </c>
      <c r="AJ18" s="15">
        <v>3.55</v>
      </c>
      <c r="AK18" s="15">
        <v>3.55</v>
      </c>
      <c r="AL18" s="15">
        <v>3.94</v>
      </c>
      <c r="AM18" s="15">
        <v>3.73</v>
      </c>
      <c r="AN18" s="15">
        <v>3.73</v>
      </c>
      <c r="AO18" s="15">
        <v>3.37</v>
      </c>
      <c r="AW18" s="186" t="str">
        <f>IF(VLOOKUP($A18,'I-Ligands'!$A:$G,3,FALSE)="","",VLOOKUP($A18,'I-Ligands'!$A:$G,3,FALSE))</f>
        <v>Capric acid</v>
      </c>
      <c r="AX18" s="187" t="str">
        <f>IF(VLOOKUP($A18,'I-Ligands'!$A:$G,4,FALSE)="","",VLOOKUP($A18,'I-Ligands'!$A:$G,4,FALSE))</f>
        <v>Decanoic Acid</v>
      </c>
      <c r="AY18" s="98">
        <v>4.0999999999999996</v>
      </c>
      <c r="AZ18" s="99">
        <v>2.87</v>
      </c>
      <c r="BA18" s="99">
        <v>5.0999999999999996</v>
      </c>
      <c r="BB18" s="99">
        <v>5.0999999999999996</v>
      </c>
      <c r="BC18" s="99">
        <v>4.3099999999999996</v>
      </c>
      <c r="BD18" s="99">
        <v>5.76</v>
      </c>
      <c r="BE18" s="99">
        <v>5.76</v>
      </c>
      <c r="BF18" s="99">
        <v>6.24</v>
      </c>
      <c r="BG18" s="99">
        <v>8.82</v>
      </c>
      <c r="BH18" s="99">
        <v>8.82</v>
      </c>
      <c r="BI18" s="99">
        <v>8.26</v>
      </c>
      <c r="BJ18" s="99">
        <v>6.72</v>
      </c>
      <c r="BK18" s="99">
        <v>3.17</v>
      </c>
      <c r="BL18" s="99">
        <v>4.88</v>
      </c>
      <c r="BM18" s="98">
        <f t="shared" si="0"/>
        <v>0</v>
      </c>
      <c r="BN18" s="99">
        <f t="shared" si="1"/>
        <v>0</v>
      </c>
      <c r="BO18" s="99">
        <f t="shared" si="2"/>
        <v>4.9411764705882355</v>
      </c>
      <c r="BP18" s="99">
        <f t="shared" si="3"/>
        <v>4.9411764705882355</v>
      </c>
      <c r="BQ18" s="99">
        <f t="shared" si="4"/>
        <v>7.8190255220417644</v>
      </c>
      <c r="BR18" s="99">
        <f t="shared" si="5"/>
        <v>4.6701388888888884</v>
      </c>
      <c r="BS18" s="99">
        <f t="shared" si="6"/>
        <v>4.6701388888888884</v>
      </c>
      <c r="BT18" s="99">
        <f t="shared" si="7"/>
        <v>2.8044871794871793</v>
      </c>
      <c r="BU18" s="99">
        <f t="shared" si="8"/>
        <v>0</v>
      </c>
      <c r="BV18" s="99">
        <f t="shared" si="9"/>
        <v>0</v>
      </c>
      <c r="BW18" s="99">
        <f t="shared" si="10"/>
        <v>0</v>
      </c>
      <c r="BX18" s="99">
        <f t="shared" si="11"/>
        <v>0</v>
      </c>
      <c r="BY18" s="99">
        <f t="shared" si="12"/>
        <v>0</v>
      </c>
      <c r="BZ18" s="99">
        <f t="shared" si="13"/>
        <v>0</v>
      </c>
    </row>
    <row r="19" spans="1:78" ht="18">
      <c r="A19" s="12" t="s">
        <v>138</v>
      </c>
      <c r="B19" s="13" t="s">
        <v>2624</v>
      </c>
      <c r="C19" s="9" t="str">
        <f>IF(VLOOKUP($A19,'I-Ligands'!$A:$G,5,FALSE)="","",VLOOKUP($A19,'I-Ligands'!$A:$G,5,FALSE))</f>
        <v>Guide to Pharmacology</v>
      </c>
      <c r="D19" s="9">
        <f>IF(VLOOKUP($A19,'I-Ligands'!$A:$G,6,FALSE)="","",VLOOKUP($A19,'I-Ligands'!$A:$G,6,FALSE))</f>
        <v>1204</v>
      </c>
      <c r="E19" s="9" t="str">
        <f>IF(VLOOKUP($A19,'I-Ligands'!$A:$G,7,FALSE)="","",VLOOKUP($A19,'I-Ligands'!$A:$G,7,FALSE))</f>
        <v>Phys</v>
      </c>
      <c r="F19" s="7" cm="1">
        <f t="array" ref="F19">_xlfn.IFS(T19=0,0,T19&gt;0,(LOG(0.01*T19/10^-AH19)))</f>
        <v>0</v>
      </c>
      <c r="G19" s="8" cm="1">
        <f t="array" ref="G19">_xlfn.IFS(U19=0,0,U19&gt;0,(LOG(0.01*U19/10^-AI19)))</f>
        <v>0</v>
      </c>
      <c r="H19" s="8" cm="1">
        <f t="array" ref="H19">_xlfn.IFS(V19=0,0,V19&gt;0,(LOG(0.01*V19/10^-AJ19)))</f>
        <v>6.4885260335771946</v>
      </c>
      <c r="I19" s="8" cm="1">
        <f t="array" ref="I19">_xlfn.IFS(W19=0,0,W19&gt;0,(LOG(0.01*W19/10^-AK19)))</f>
        <v>6.4885260335771946</v>
      </c>
      <c r="J19" s="8" cm="1">
        <f t="array" ref="J19">_xlfn.IFS(X19=0,0,X19&gt;0,(LOG(0.01*X19/10^-AL19)))</f>
        <v>6.3246660642520895</v>
      </c>
      <c r="K19" s="8" cm="1">
        <f t="array" ref="K19">_xlfn.IFS(Y19=0,0,Y19&gt;0,(LOG(0.01*Y19/10^-AM19)))</f>
        <v>5.7908978427565483</v>
      </c>
      <c r="L19" s="8" cm="1">
        <f t="array" ref="L19">_xlfn.IFS(Z19=0,0,Z19&gt;0,(LOG(0.01*Z19/10^-AN19)))</f>
        <v>5.7908978427565483</v>
      </c>
      <c r="M19" s="8" cm="1">
        <f t="array" ref="M19">_xlfn.IFS(AA19=0,0,AA19&gt;0,(LOG(0.01*AA19/10^-AO19)))</f>
        <v>5.0450612633917009</v>
      </c>
      <c r="N19" s="8" cm="1">
        <f t="array" ref="N19">_xlfn.IFS(AB19=0,0,AB19&gt;0,(LOG(0.01*AB19/10^-AP19)))</f>
        <v>0</v>
      </c>
      <c r="O19" s="8" cm="1">
        <f t="array" ref="O19">_xlfn.IFS(AC19=0,0,AC19&gt;0,(LOG(0.01*AC19/10^-AQ19)))</f>
        <v>0</v>
      </c>
      <c r="P19" s="8" cm="1">
        <f t="array" ref="P19">_xlfn.IFS(AD19=0,0,AD19&gt;0,(LOG(0.01*AD19/10^-AR19)))</f>
        <v>5.2503337684950067</v>
      </c>
      <c r="Q19" s="8" cm="1">
        <f t="array" ref="Q19">_xlfn.IFS(AE19=0,0,AE19&gt;0,(LOG(0.01*AE19/10^-AS19)))</f>
        <v>0</v>
      </c>
      <c r="R19" s="8" cm="1">
        <f t="array" ref="R19">_xlfn.IFS(AF19=0,0,AF19&gt;0,(LOG(0.01*AF19/10^-AT19)))</f>
        <v>4.5825089127062375</v>
      </c>
      <c r="S19" s="8" cm="1">
        <f t="array" ref="S19">_xlfn.IFS(AG19=0,0,AG19&gt;0,(LOG(0.01*AG19/10^-AU19)))</f>
        <v>0</v>
      </c>
      <c r="V19" s="17">
        <v>40.6</v>
      </c>
      <c r="W19" s="17">
        <v>40.6</v>
      </c>
      <c r="X19" s="17">
        <v>36.700000000000003</v>
      </c>
      <c r="Y19" s="17">
        <v>28.9</v>
      </c>
      <c r="Z19" s="17">
        <v>28.9</v>
      </c>
      <c r="AA19" s="17">
        <v>7.5</v>
      </c>
      <c r="AD19" s="17">
        <v>13.5</v>
      </c>
      <c r="AF19" s="17">
        <v>6.8</v>
      </c>
      <c r="AJ19" s="15">
        <v>6.88</v>
      </c>
      <c r="AK19" s="15">
        <v>6.88</v>
      </c>
      <c r="AL19" s="15">
        <v>6.76</v>
      </c>
      <c r="AM19" s="15">
        <v>6.33</v>
      </c>
      <c r="AN19" s="15">
        <v>6.33</v>
      </c>
      <c r="AO19" s="15">
        <v>6.17</v>
      </c>
      <c r="AR19" s="15">
        <v>6.12</v>
      </c>
      <c r="AT19" s="15">
        <v>5.75</v>
      </c>
      <c r="AW19" s="186" t="str">
        <f>IF(VLOOKUP($A19,'I-Ligands'!$A:$G,3,FALSE)="","",VLOOKUP($A19,'I-Ligands'!$A:$G,3,FALSE))</f>
        <v>Histamine</v>
      </c>
      <c r="AX19" s="187" t="str">
        <f>IF(VLOOKUP($A19,'I-Ligands'!$A:$G,4,FALSE)="","",VLOOKUP($A19,'I-Ligands'!$A:$G,4,FALSE))</f>
        <v>Histamine Dihydrochloride</v>
      </c>
      <c r="AY19" s="98">
        <v>3.77</v>
      </c>
      <c r="AZ19" s="99">
        <v>5.45</v>
      </c>
      <c r="BA19" s="99">
        <v>2.64</v>
      </c>
      <c r="BB19" s="99">
        <v>2.64</v>
      </c>
      <c r="BC19" s="99">
        <v>4.1399999999999997</v>
      </c>
      <c r="BD19" s="99">
        <v>2.56</v>
      </c>
      <c r="BE19" s="99">
        <v>2.56</v>
      </c>
      <c r="BF19" s="99">
        <v>2.75</v>
      </c>
      <c r="BG19" s="99">
        <v>4.1500000000000004</v>
      </c>
      <c r="BH19" s="99">
        <v>4.1500000000000004</v>
      </c>
      <c r="BI19" s="99">
        <v>2.71</v>
      </c>
      <c r="BJ19" s="99">
        <v>3.27</v>
      </c>
      <c r="BK19" s="99">
        <v>2.89</v>
      </c>
      <c r="BL19" s="99">
        <v>1.77</v>
      </c>
      <c r="BM19" s="98">
        <f t="shared" si="0"/>
        <v>0</v>
      </c>
      <c r="BN19" s="99">
        <f t="shared" si="1"/>
        <v>0</v>
      </c>
      <c r="BO19" s="99">
        <f t="shared" si="2"/>
        <v>15.378787878787879</v>
      </c>
      <c r="BP19" s="99">
        <f t="shared" si="3"/>
        <v>15.378787878787879</v>
      </c>
      <c r="BQ19" s="99">
        <f t="shared" si="4"/>
        <v>8.8647342995169094</v>
      </c>
      <c r="BR19" s="99">
        <f t="shared" si="5"/>
        <v>11.2890625</v>
      </c>
      <c r="BS19" s="99">
        <f t="shared" si="6"/>
        <v>11.2890625</v>
      </c>
      <c r="BT19" s="99">
        <f t="shared" si="7"/>
        <v>2.7272727272727271</v>
      </c>
      <c r="BU19" s="99">
        <f t="shared" si="8"/>
        <v>0</v>
      </c>
      <c r="BV19" s="99">
        <f t="shared" si="9"/>
        <v>0</v>
      </c>
      <c r="BW19" s="99">
        <f t="shared" si="10"/>
        <v>4.9815498154981555</v>
      </c>
      <c r="BX19" s="99">
        <f t="shared" si="11"/>
        <v>0</v>
      </c>
      <c r="BY19" s="99">
        <f t="shared" si="12"/>
        <v>2.3529411764705879</v>
      </c>
      <c r="BZ19" s="99">
        <f t="shared" si="13"/>
        <v>0</v>
      </c>
    </row>
    <row r="20" spans="1:78" ht="18">
      <c r="A20" s="12" t="s">
        <v>152</v>
      </c>
      <c r="B20" s="13" t="s">
        <v>2630</v>
      </c>
      <c r="C20" s="9" t="str">
        <f>IF(VLOOKUP($A20,'I-Ligands'!$A:$G,5,FALSE)="","",VLOOKUP($A20,'I-Ligands'!$A:$G,5,FALSE))</f>
        <v>Guide to Pharmacology</v>
      </c>
      <c r="D20" s="9">
        <f>IF(VLOOKUP($A20,'I-Ligands'!$A:$G,6,FALSE)="","",VLOOKUP($A20,'I-Ligands'!$A:$G,6,FALSE))</f>
        <v>2906</v>
      </c>
      <c r="E20" s="9" t="str">
        <f>IF(VLOOKUP($A20,'I-Ligands'!$A:$G,7,FALSE)="","",VLOOKUP($A20,'I-Ligands'!$A:$G,7,FALSE))</f>
        <v>Phys</v>
      </c>
      <c r="F20" s="7" cm="1">
        <f t="array" ref="F20">_xlfn.IFS(T20=0,0,T20&gt;0,(LOG(0.01*T20/10^-AH20)))</f>
        <v>0</v>
      </c>
      <c r="G20" s="8" cm="1">
        <f t="array" ref="G20">_xlfn.IFS(U20=0,0,U20&gt;0,(LOG(0.01*U20/10^-AI20)))</f>
        <v>0</v>
      </c>
      <c r="H20" s="8" cm="1">
        <f t="array" ref="H20">_xlfn.IFS(V20=0,0,V20&gt;0,(LOG(0.01*V20/10^-AJ20)))</f>
        <v>6.0502112417116072</v>
      </c>
      <c r="I20" s="8" cm="1">
        <f t="array" ref="I20">_xlfn.IFS(W20=0,0,W20&gt;0,(LOG(0.01*W20/10^-AK20)))</f>
        <v>6.0502112417116072</v>
      </c>
      <c r="J20" s="8" cm="1">
        <f t="array" ref="J20">_xlfn.IFS(X20=0,0,X20&gt;0,(LOG(0.01*X20/10^-AL20)))</f>
        <v>5.9569100130080574</v>
      </c>
      <c r="K20" s="8" cm="1">
        <f t="array" ref="K20">_xlfn.IFS(Y20=0,0,Y20&gt;0,(LOG(0.01*Y20/10^-AM20)))</f>
        <v>6.1056042032735984</v>
      </c>
      <c r="L20" s="8" cm="1">
        <f t="array" ref="L20">_xlfn.IFS(Z20=0,0,Z20&gt;0,(LOG(0.01*Z20/10^-AN20)))</f>
        <v>6.1056042032735984</v>
      </c>
      <c r="M20" s="8" cm="1">
        <f t="array" ref="M20">_xlfn.IFS(AA20=0,0,AA20&gt;0,(LOG(0.01*AA20/10^-AO20)))</f>
        <v>6.0044516808262172</v>
      </c>
      <c r="N20" s="8" cm="1">
        <f t="array" ref="N20">_xlfn.IFS(AB20=0,0,AB20&gt;0,(LOG(0.01*AB20/10^-AP20)))</f>
        <v>0</v>
      </c>
      <c r="O20" s="8" cm="1">
        <f t="array" ref="O20">_xlfn.IFS(AC20=0,0,AC20&gt;0,(LOG(0.01*AC20/10^-AQ20)))</f>
        <v>0</v>
      </c>
      <c r="P20" s="8" cm="1">
        <f t="array" ref="P20">_xlfn.IFS(AD20=0,0,AD20&gt;0,(LOG(0.01*AD20/10^-AR20)))</f>
        <v>0</v>
      </c>
      <c r="Q20" s="8" cm="1">
        <f t="array" ref="Q20">_xlfn.IFS(AE20=0,0,AE20&gt;0,(LOG(0.01*AE20/10^-AS20)))</f>
        <v>0</v>
      </c>
      <c r="R20" s="8" cm="1">
        <f t="array" ref="R20">_xlfn.IFS(AF20=0,0,AF20&gt;0,(LOG(0.01*AF20/10^-AT20)))</f>
        <v>0</v>
      </c>
      <c r="S20" s="8" cm="1">
        <f t="array" ref="S20">_xlfn.IFS(AG20=0,0,AG20&gt;0,(LOG(0.01*AG20/10^-AU20)))</f>
        <v>0</v>
      </c>
      <c r="V20" s="17">
        <v>24</v>
      </c>
      <c r="W20" s="17">
        <v>24</v>
      </c>
      <c r="X20" s="17">
        <v>12.5</v>
      </c>
      <c r="Y20" s="17">
        <v>27.9</v>
      </c>
      <c r="Z20" s="17">
        <v>27.9</v>
      </c>
      <c r="AA20" s="17">
        <v>24.8</v>
      </c>
      <c r="AJ20" s="15">
        <v>6.67</v>
      </c>
      <c r="AK20" s="15">
        <v>6.67</v>
      </c>
      <c r="AL20" s="15">
        <v>6.86</v>
      </c>
      <c r="AM20" s="15">
        <v>6.66</v>
      </c>
      <c r="AN20" s="15">
        <v>6.66</v>
      </c>
      <c r="AO20" s="15">
        <v>6.61</v>
      </c>
      <c r="AW20" s="186" t="str">
        <f>IF(VLOOKUP($A20,'I-Ligands'!$A:$G,3,FALSE)="","",VLOOKUP($A20,'I-Ligands'!$A:$G,3,FALSE))</f>
        <v>Lysophosphatidic acid</v>
      </c>
      <c r="AX20" s="187" t="str">
        <f>IF(VLOOKUP($A20,'I-Ligands'!$A:$G,4,FALSE)="","",VLOOKUP($A20,'I-Ligands'!$A:$G,4,FALSE))</f>
        <v>1-oleoyl-2-hydroxy-sn-glycero-3-phosphate, sodium salt</v>
      </c>
      <c r="AY20" s="98">
        <v>6.12</v>
      </c>
      <c r="AZ20" s="99">
        <v>6.38</v>
      </c>
      <c r="BA20" s="99">
        <v>7.13</v>
      </c>
      <c r="BB20" s="99">
        <v>7.13</v>
      </c>
      <c r="BC20" s="99">
        <v>5.58</v>
      </c>
      <c r="BD20" s="99">
        <v>7.53</v>
      </c>
      <c r="BE20" s="99">
        <v>7.53</v>
      </c>
      <c r="BF20" s="99">
        <v>5.25</v>
      </c>
      <c r="BG20" s="99">
        <v>6.02</v>
      </c>
      <c r="BH20" s="99">
        <v>6.02</v>
      </c>
      <c r="BI20" s="99">
        <v>5.91</v>
      </c>
      <c r="BJ20" s="99">
        <v>6.4</v>
      </c>
      <c r="BK20" s="99">
        <v>5.44</v>
      </c>
      <c r="BL20" s="99">
        <v>5.61</v>
      </c>
      <c r="BM20" s="98">
        <f t="shared" si="0"/>
        <v>0</v>
      </c>
      <c r="BN20" s="99">
        <f t="shared" si="1"/>
        <v>0</v>
      </c>
      <c r="BO20" s="99">
        <f t="shared" si="2"/>
        <v>3.3660589060308554</v>
      </c>
      <c r="BP20" s="99">
        <f t="shared" si="3"/>
        <v>3.3660589060308554</v>
      </c>
      <c r="BQ20" s="99">
        <f t="shared" si="4"/>
        <v>2.2401433691756272</v>
      </c>
      <c r="BR20" s="99">
        <f t="shared" si="5"/>
        <v>3.7051792828685257</v>
      </c>
      <c r="BS20" s="99">
        <f t="shared" si="6"/>
        <v>3.7051792828685257</v>
      </c>
      <c r="BT20" s="99">
        <f t="shared" si="7"/>
        <v>4.7238095238095239</v>
      </c>
      <c r="BU20" s="99">
        <f t="shared" si="8"/>
        <v>0</v>
      </c>
      <c r="BV20" s="99">
        <f t="shared" si="9"/>
        <v>0</v>
      </c>
      <c r="BW20" s="99">
        <f t="shared" si="10"/>
        <v>0</v>
      </c>
      <c r="BX20" s="99">
        <f t="shared" si="11"/>
        <v>0</v>
      </c>
      <c r="BY20" s="99">
        <f t="shared" si="12"/>
        <v>0</v>
      </c>
      <c r="BZ20" s="99">
        <f t="shared" si="13"/>
        <v>0</v>
      </c>
    </row>
    <row r="21" spans="1:78" ht="18">
      <c r="A21" s="12" t="s">
        <v>164</v>
      </c>
      <c r="B21" s="13" t="s">
        <v>2640</v>
      </c>
      <c r="C21" s="9" t="str">
        <f>IF(VLOOKUP($A21,'I-Ligands'!$A:$G,5,FALSE)="","",VLOOKUP($A21,'I-Ligands'!$A:$G,5,FALSE))</f>
        <v>Guide to Pharmacology</v>
      </c>
      <c r="D21" s="9">
        <f>IF(VLOOKUP($A21,'I-Ligands'!$A:$G,6,FALSE)="","",VLOOKUP($A21,'I-Ligands'!$A:$G,6,FALSE))</f>
        <v>224</v>
      </c>
      <c r="E21" s="9" t="str">
        <f>IF(VLOOKUP($A21,'I-Ligands'!$A:$G,7,FALSE)="","",VLOOKUP($A21,'I-Ligands'!$A:$G,7,FALSE))</f>
        <v>Phys</v>
      </c>
      <c r="F21" s="7" cm="1">
        <f t="array" ref="F21">_xlfn.IFS(T21=0,0,T21&gt;0,(LOG(0.01*T21/10^-AH21)))</f>
        <v>0</v>
      </c>
      <c r="G21" s="8" cm="1">
        <f t="array" ref="G21">_xlfn.IFS(U21=0,0,U21&gt;0,(LOG(0.01*U21/10^-AI21)))</f>
        <v>0</v>
      </c>
      <c r="H21" s="8" cm="1">
        <f t="array" ref="H21">_xlfn.IFS(V21=0,0,V21&gt;0,(LOG(0.01*V21/10^-AJ21)))</f>
        <v>9.7938929889859079</v>
      </c>
      <c r="I21" s="8" cm="1">
        <f t="array" ref="I21">_xlfn.IFS(W21=0,0,W21&gt;0,(LOG(0.01*W21/10^-AK21)))</f>
        <v>9.7938929889859079</v>
      </c>
      <c r="J21" s="8" cm="1">
        <f t="array" ref="J21">_xlfn.IFS(X21=0,0,X21&gt;0,(LOG(0.01*X21/10^-AL21)))</f>
        <v>9.9145689040341995</v>
      </c>
      <c r="K21" s="8" cm="1">
        <f t="array" ref="K21">_xlfn.IFS(Y21=0,0,Y21&gt;0,(LOG(0.01*Y21/10^-AM21)))</f>
        <v>9.4966405073382827</v>
      </c>
      <c r="L21" s="8" cm="1">
        <f t="array" ref="L21">_xlfn.IFS(Z21=0,0,Z21&gt;0,(LOG(0.01*Z21/10^-AN21)))</f>
        <v>9.4966405073382827</v>
      </c>
      <c r="M21" s="8" cm="1">
        <f t="array" ref="M21">_xlfn.IFS(AA21=0,0,AA21&gt;0,(LOG(0.01*AA21/10^-AO21)))</f>
        <v>9.8722560713564764</v>
      </c>
      <c r="N21" s="8" cm="1">
        <f t="array" ref="N21">_xlfn.IFS(AB21=0,0,AB21&gt;0,(LOG(0.01*AB21/10^-AP21)))</f>
        <v>0</v>
      </c>
      <c r="O21" s="8" cm="1">
        <f t="array" ref="O21">_xlfn.IFS(AC21=0,0,AC21&gt;0,(LOG(0.01*AC21/10^-AQ21)))</f>
        <v>0</v>
      </c>
      <c r="P21" s="8" cm="1">
        <f t="array" ref="P21">_xlfn.IFS(AD21=0,0,AD21&gt;0,(LOG(0.01*AD21/10^-AR21)))</f>
        <v>0</v>
      </c>
      <c r="Q21" s="8" cm="1">
        <f t="array" ref="Q21">_xlfn.IFS(AE21=0,0,AE21&gt;0,(LOG(0.01*AE21/10^-AS21)))</f>
        <v>0</v>
      </c>
      <c r="R21" s="8" cm="1">
        <f t="array" ref="R21">_xlfn.IFS(AF21=0,0,AF21&gt;0,(LOG(0.01*AF21/10^-AT21)))</f>
        <v>0</v>
      </c>
      <c r="S21" s="8" cm="1">
        <f t="array" ref="S21">_xlfn.IFS(AG21=0,0,AG21&gt;0,(LOG(0.01*AG21/10^-AU21)))</f>
        <v>0</v>
      </c>
      <c r="V21" s="17">
        <v>29.1</v>
      </c>
      <c r="W21" s="17">
        <v>29.1</v>
      </c>
      <c r="X21" s="17">
        <v>27.2</v>
      </c>
      <c r="Y21" s="17">
        <v>26.1</v>
      </c>
      <c r="Z21" s="17">
        <v>26.1</v>
      </c>
      <c r="AA21" s="17">
        <v>19.600000000000001</v>
      </c>
      <c r="AJ21" s="15">
        <v>10.33</v>
      </c>
      <c r="AK21" s="15">
        <v>10.33</v>
      </c>
      <c r="AL21" s="15">
        <v>10.48</v>
      </c>
      <c r="AM21" s="15">
        <v>10.08</v>
      </c>
      <c r="AN21" s="15">
        <v>10.08</v>
      </c>
      <c r="AO21" s="15">
        <v>10.58</v>
      </c>
      <c r="AW21" s="186" t="str">
        <f>IF(VLOOKUP($A21,'I-Ligands'!$A:$G,3,FALSE)="","",VLOOKUP($A21,'I-Ligands'!$A:$G,3,FALSE))</f>
        <v>Melatonin</v>
      </c>
      <c r="AX21" s="187" t="str">
        <f>IF(VLOOKUP($A21,'I-Ligands'!$A:$G,4,FALSE)="","",VLOOKUP($A21,'I-Ligands'!$A:$G,4,FALSE))</f>
        <v>Melatonin</v>
      </c>
      <c r="AY21" s="98">
        <v>4.6100000000000003</v>
      </c>
      <c r="AZ21" s="99">
        <v>2.21</v>
      </c>
      <c r="BA21" s="99">
        <v>3.62</v>
      </c>
      <c r="BB21" s="99">
        <v>3.62</v>
      </c>
      <c r="BC21" s="99">
        <v>2.2999999999999998</v>
      </c>
      <c r="BD21" s="99">
        <v>4.47</v>
      </c>
      <c r="BE21" s="99">
        <v>4.47</v>
      </c>
      <c r="BF21" s="99">
        <v>4.8600000000000003</v>
      </c>
      <c r="BG21" s="99">
        <v>4.41</v>
      </c>
      <c r="BH21" s="99">
        <v>4.41</v>
      </c>
      <c r="BI21" s="99">
        <v>3.76</v>
      </c>
      <c r="BJ21" s="99">
        <v>7.5</v>
      </c>
      <c r="BK21" s="99">
        <v>7.92</v>
      </c>
      <c r="BL21" s="99">
        <v>7.43</v>
      </c>
      <c r="BM21" s="98">
        <f t="shared" si="0"/>
        <v>0</v>
      </c>
      <c r="BN21" s="99">
        <f t="shared" si="1"/>
        <v>0</v>
      </c>
      <c r="BO21" s="99">
        <f t="shared" si="2"/>
        <v>8.0386740331491708</v>
      </c>
      <c r="BP21" s="99">
        <f t="shared" si="3"/>
        <v>8.0386740331491708</v>
      </c>
      <c r="BQ21" s="99">
        <f t="shared" si="4"/>
        <v>11.82608695652174</v>
      </c>
      <c r="BR21" s="99">
        <f t="shared" si="5"/>
        <v>5.8389261744966445</v>
      </c>
      <c r="BS21" s="99">
        <f t="shared" si="6"/>
        <v>5.8389261744966445</v>
      </c>
      <c r="BT21" s="99">
        <f t="shared" si="7"/>
        <v>4.0329218106995883</v>
      </c>
      <c r="BU21" s="99">
        <f t="shared" si="8"/>
        <v>0</v>
      </c>
      <c r="BV21" s="99">
        <f t="shared" si="9"/>
        <v>0</v>
      </c>
      <c r="BW21" s="99">
        <f t="shared" si="10"/>
        <v>0</v>
      </c>
      <c r="BX21" s="99">
        <f t="shared" si="11"/>
        <v>0</v>
      </c>
      <c r="BY21" s="99">
        <f t="shared" si="12"/>
        <v>0</v>
      </c>
      <c r="BZ21" s="99">
        <f t="shared" si="13"/>
        <v>0</v>
      </c>
    </row>
    <row r="22" spans="1:78" ht="18">
      <c r="A22" s="12" t="s">
        <v>166</v>
      </c>
      <c r="B22" s="13" t="s">
        <v>2641</v>
      </c>
      <c r="C22" s="9" t="str">
        <f>IF(VLOOKUP($A22,'I-Ligands'!$A:$G,5,FALSE)="","",VLOOKUP($A22,'I-Ligands'!$A:$G,5,FALSE))</f>
        <v>Guide to Pharmacology</v>
      </c>
      <c r="D22" s="9">
        <f>IF(VLOOKUP($A22,'I-Ligands'!$A:$G,6,FALSE)="","",VLOOKUP($A22,'I-Ligands'!$A:$G,6,FALSE))</f>
        <v>224</v>
      </c>
      <c r="E22" s="9" t="str">
        <f>IF(VLOOKUP($A22,'I-Ligands'!$A:$G,7,FALSE)="","",VLOOKUP($A22,'I-Ligands'!$A:$G,7,FALSE))</f>
        <v>Phys</v>
      </c>
      <c r="F22" s="7" cm="1">
        <f t="array" ref="F22">_xlfn.IFS(T22=0,0,T22&gt;0,(LOG(0.01*T22/10^-AH22)))</f>
        <v>0</v>
      </c>
      <c r="G22" s="8" cm="1">
        <f t="array" ref="G22">_xlfn.IFS(U22=0,0,U22&gt;0,(LOG(0.01*U22/10^-AI22)))</f>
        <v>0</v>
      </c>
      <c r="H22" s="8" cm="1">
        <f t="array" ref="H22">_xlfn.IFS(V22=0,0,V22&gt;0,(LOG(0.01*V22/10^-AJ22)))</f>
        <v>9.6010592622177526</v>
      </c>
      <c r="I22" s="8" cm="1">
        <f t="array" ref="I22">_xlfn.IFS(W22=0,0,W22&gt;0,(LOG(0.01*W22/10^-AK22)))</f>
        <v>9.6010592622177526</v>
      </c>
      <c r="J22" s="8" cm="1">
        <f t="array" ref="J22">_xlfn.IFS(X22=0,0,X22&gt;0,(LOG(0.01*X22/10^-AL22)))</f>
        <v>9.5929692908744073</v>
      </c>
      <c r="K22" s="8" cm="1">
        <f t="array" ref="K22">_xlfn.IFS(Y22=0,0,Y22&gt;0,(LOG(0.01*Y22/10^-AM22)))</f>
        <v>8.7139433523068366</v>
      </c>
      <c r="L22" s="8" cm="1">
        <f t="array" ref="L22">_xlfn.IFS(Z22=0,0,Z22&gt;0,(LOG(0.01*Z22/10^-AN22)))</f>
        <v>8.7139433523068366</v>
      </c>
      <c r="M22" s="8" cm="1">
        <f t="array" ref="M22">_xlfn.IFS(AA22=0,0,AA22&gt;0,(LOG(0.01*AA22/10^-AO22)))</f>
        <v>9.3176785748691859</v>
      </c>
      <c r="N22" s="8" cm="1">
        <f t="array" ref="N22">_xlfn.IFS(AB22=0,0,AB22&gt;0,(LOG(0.01*AB22/10^-AP22)))</f>
        <v>0</v>
      </c>
      <c r="O22" s="8" cm="1">
        <f t="array" ref="O22">_xlfn.IFS(AC22=0,0,AC22&gt;0,(LOG(0.01*AC22/10^-AQ22)))</f>
        <v>0</v>
      </c>
      <c r="P22" s="8" cm="1">
        <f t="array" ref="P22">_xlfn.IFS(AD22=0,0,AD22&gt;0,(LOG(0.01*AD22/10^-AR22)))</f>
        <v>0</v>
      </c>
      <c r="Q22" s="8" cm="1">
        <f t="array" ref="Q22">_xlfn.IFS(AE22=0,0,AE22&gt;0,(LOG(0.01*AE22/10^-AS22)))</f>
        <v>0</v>
      </c>
      <c r="R22" s="8" cm="1">
        <f t="array" ref="R22">_xlfn.IFS(AF22=0,0,AF22&gt;0,(LOG(0.01*AF22/10^-AT22)))</f>
        <v>0</v>
      </c>
      <c r="S22" s="8" cm="1">
        <f t="array" ref="S22">_xlfn.IFS(AG22=0,0,AG22&gt;0,(LOG(0.01*AG22/10^-AU22)))</f>
        <v>0</v>
      </c>
      <c r="V22" s="17">
        <v>31.7</v>
      </c>
      <c r="W22" s="17">
        <v>31.7</v>
      </c>
      <c r="X22" s="17">
        <v>27.1</v>
      </c>
      <c r="Y22" s="17">
        <v>13</v>
      </c>
      <c r="Z22" s="17">
        <v>13</v>
      </c>
      <c r="AA22" s="17">
        <v>18.100000000000001</v>
      </c>
      <c r="AJ22" s="15">
        <v>10.1</v>
      </c>
      <c r="AK22" s="15">
        <v>10.1</v>
      </c>
      <c r="AL22" s="15">
        <v>10.16</v>
      </c>
      <c r="AM22" s="15">
        <v>9.6</v>
      </c>
      <c r="AN22" s="15">
        <v>9.6</v>
      </c>
      <c r="AO22" s="15">
        <v>10.06</v>
      </c>
      <c r="AW22" s="186" t="str">
        <f>IF(VLOOKUP($A22,'I-Ligands'!$A:$G,3,FALSE)="","",VLOOKUP($A22,'I-Ligands'!$A:$G,3,FALSE))</f>
        <v>Melatonin</v>
      </c>
      <c r="AX22" s="187" t="str">
        <f>IF(VLOOKUP($A22,'I-Ligands'!$A:$G,4,FALSE)="","",VLOOKUP($A22,'I-Ligands'!$A:$G,4,FALSE))</f>
        <v>Melatonin</v>
      </c>
      <c r="AY22" s="98">
        <v>0.54</v>
      </c>
      <c r="AZ22" s="99">
        <v>1.24</v>
      </c>
      <c r="BA22" s="99">
        <v>1.64</v>
      </c>
      <c r="BB22" s="99">
        <v>1.64</v>
      </c>
      <c r="BC22" s="99">
        <v>0.47</v>
      </c>
      <c r="BD22" s="99">
        <v>2.06</v>
      </c>
      <c r="BE22" s="99">
        <v>2.06</v>
      </c>
      <c r="BF22" s="99">
        <v>2.06</v>
      </c>
      <c r="BG22" s="99">
        <v>3.04</v>
      </c>
      <c r="BH22" s="99">
        <v>3.04</v>
      </c>
      <c r="BI22" s="99">
        <v>2.35</v>
      </c>
      <c r="BJ22" s="99">
        <v>1.6</v>
      </c>
      <c r="BK22" s="99">
        <v>0.78</v>
      </c>
      <c r="BL22" s="99">
        <v>1.27</v>
      </c>
      <c r="BM22" s="98">
        <f t="shared" si="0"/>
        <v>0</v>
      </c>
      <c r="BN22" s="99">
        <f t="shared" si="1"/>
        <v>0</v>
      </c>
      <c r="BO22" s="99">
        <f t="shared" si="2"/>
        <v>19.329268292682926</v>
      </c>
      <c r="BP22" s="99">
        <f t="shared" si="3"/>
        <v>19.329268292682926</v>
      </c>
      <c r="BQ22" s="99">
        <f t="shared" si="4"/>
        <v>57.659574468085111</v>
      </c>
      <c r="BR22" s="99">
        <f t="shared" si="5"/>
        <v>6.3106796116504853</v>
      </c>
      <c r="BS22" s="99">
        <f t="shared" si="6"/>
        <v>6.3106796116504853</v>
      </c>
      <c r="BT22" s="99">
        <f t="shared" si="7"/>
        <v>8.7864077669902922</v>
      </c>
      <c r="BU22" s="99">
        <f t="shared" si="8"/>
        <v>0</v>
      </c>
      <c r="BV22" s="99">
        <f t="shared" si="9"/>
        <v>0</v>
      </c>
      <c r="BW22" s="99">
        <f t="shared" si="10"/>
        <v>0</v>
      </c>
      <c r="BX22" s="99">
        <f t="shared" si="11"/>
        <v>0</v>
      </c>
      <c r="BY22" s="99">
        <f t="shared" si="12"/>
        <v>0</v>
      </c>
      <c r="BZ22" s="99">
        <f t="shared" si="13"/>
        <v>0</v>
      </c>
    </row>
    <row r="23" spans="1:78">
      <c r="A23" s="12" t="s">
        <v>176</v>
      </c>
      <c r="B23" s="13" t="s">
        <v>176</v>
      </c>
      <c r="C23" s="9" t="str">
        <f>IF(VLOOKUP($A23,'I-Ligands'!$A:$G,5,FALSE)="","",VLOOKUP($A23,'I-Ligands'!$A:$G,5,FALSE))</f>
        <v>Guide to Pharmacology</v>
      </c>
      <c r="D23" s="9">
        <f>IF(VLOOKUP($A23,'I-Ligands'!$A:$G,6,FALSE)="","",VLOOKUP($A23,'I-Ligands'!$A:$G,6,FALSE))</f>
        <v>1496</v>
      </c>
      <c r="E23" s="9" t="str">
        <f>IF(VLOOKUP($A23,'I-Ligands'!$A:$G,7,FALSE)="","",VLOOKUP($A23,'I-Ligands'!$A:$G,7,FALSE))</f>
        <v>Phys</v>
      </c>
      <c r="F23" s="7" cm="1">
        <f t="array" ref="F23">_xlfn.IFS(T23=0,0,T23&gt;0,(LOG(0.01*T23/10^-AH23)))</f>
        <v>0</v>
      </c>
      <c r="G23" s="8" cm="1">
        <f t="array" ref="G23">_xlfn.IFS(U23=0,0,U23&gt;0,(LOG(0.01*U23/10^-AI23)))</f>
        <v>0</v>
      </c>
      <c r="H23" s="8" cm="1">
        <f t="array" ref="H23">_xlfn.IFS(V23=0,0,V23&gt;0,(LOG(0.01*V23/10^-AJ23)))</f>
        <v>6.3461993470957365</v>
      </c>
      <c r="I23" s="8" cm="1">
        <f t="array" ref="I23">_xlfn.IFS(W23=0,0,W23&gt;0,(LOG(0.01*W23/10^-AK23)))</f>
        <v>6.3461993470957365</v>
      </c>
      <c r="J23" s="8" cm="1">
        <f t="array" ref="J23">_xlfn.IFS(X23=0,0,X23&gt;0,(LOG(0.01*X23/10^-AL23)))</f>
        <v>6.4447483460101056</v>
      </c>
      <c r="K23" s="8" cm="1">
        <f t="array" ref="K23">_xlfn.IFS(Y23=0,0,Y23&gt;0,(LOG(0.01*Y23/10^-AM23)))</f>
        <v>5.0613926851582258</v>
      </c>
      <c r="L23" s="8" cm="1">
        <f t="array" ref="L23">_xlfn.IFS(Z23=0,0,Z23&gt;0,(LOG(0.01*Z23/10^-AN23)))</f>
        <v>5.0613926851582258</v>
      </c>
      <c r="M23" s="8" cm="1">
        <f t="array" ref="M23">_xlfn.IFS(AA23=0,0,AA23&gt;0,(LOG(0.01*AA23/10^-AO23)))</f>
        <v>0</v>
      </c>
      <c r="N23" s="8" cm="1">
        <f t="array" ref="N23">_xlfn.IFS(AB23=0,0,AB23&gt;0,(LOG(0.01*AB23/10^-AP23)))</f>
        <v>0</v>
      </c>
      <c r="O23" s="8" cm="1">
        <f t="array" ref="O23">_xlfn.IFS(AC23=0,0,AC23&gt;0,(LOG(0.01*AC23/10^-AQ23)))</f>
        <v>0</v>
      </c>
      <c r="P23" s="8" cm="1">
        <f t="array" ref="P23">_xlfn.IFS(AD23=0,0,AD23&gt;0,(LOG(0.01*AD23/10^-AR23)))</f>
        <v>0</v>
      </c>
      <c r="Q23" s="8" cm="1">
        <f t="array" ref="Q23">_xlfn.IFS(AE23=0,0,AE23&gt;0,(LOG(0.01*AE23/10^-AS23)))</f>
        <v>0</v>
      </c>
      <c r="R23" s="8" cm="1">
        <f t="array" ref="R23">_xlfn.IFS(AF23=0,0,AF23&gt;0,(LOG(0.01*AF23/10^-AT23)))</f>
        <v>0</v>
      </c>
      <c r="S23" s="8" cm="1">
        <f t="array" ref="S23">_xlfn.IFS(AG23=0,0,AG23&gt;0,(LOG(0.01*AG23/10^-AU23)))</f>
        <v>0</v>
      </c>
      <c r="V23" s="17">
        <v>24.9</v>
      </c>
      <c r="W23" s="17">
        <v>24.9</v>
      </c>
      <c r="X23" s="17">
        <v>23.7</v>
      </c>
      <c r="Y23" s="17">
        <v>11</v>
      </c>
      <c r="Z23" s="17">
        <v>11</v>
      </c>
      <c r="AJ23" s="15">
        <v>6.95</v>
      </c>
      <c r="AK23" s="15">
        <v>6.95</v>
      </c>
      <c r="AL23" s="15">
        <v>7.07</v>
      </c>
      <c r="AM23" s="15">
        <v>6.02</v>
      </c>
      <c r="AN23" s="15">
        <v>6.02</v>
      </c>
      <c r="AW23" s="186" t="str">
        <f>IF(VLOOKUP($A23,'I-Ligands'!$A:$G,3,FALSE)="","",VLOOKUP($A23,'I-Ligands'!$A:$G,3,FALSE))</f>
        <v>Neuropeptide W-30</v>
      </c>
      <c r="AX23" s="187" t="str">
        <f>IF(VLOOKUP($A23,'I-Ligands'!$A:$G,4,FALSE)="","",VLOOKUP($A23,'I-Ligands'!$A:$G,4,FALSE))</f>
        <v>WYKHVASPRYHTVGRAAGLLMGLRRSPYLW</v>
      </c>
      <c r="AY23" s="98">
        <v>4.5999999999999996</v>
      </c>
      <c r="AZ23" s="99">
        <v>2.19</v>
      </c>
      <c r="BA23" s="99">
        <v>3.8</v>
      </c>
      <c r="BB23" s="99">
        <v>3.8</v>
      </c>
      <c r="BC23" s="99">
        <v>5.54</v>
      </c>
      <c r="BD23" s="99">
        <v>4.7</v>
      </c>
      <c r="BE23" s="99">
        <v>4.7</v>
      </c>
      <c r="BF23" s="99">
        <v>4.54</v>
      </c>
      <c r="BG23" s="99">
        <v>8.6199999999999992</v>
      </c>
      <c r="BH23" s="99">
        <v>8.6199999999999992</v>
      </c>
      <c r="BI23" s="99">
        <v>8.17</v>
      </c>
      <c r="BJ23" s="99">
        <v>4.9000000000000004</v>
      </c>
      <c r="BK23" s="99">
        <v>4.0599999999999996</v>
      </c>
      <c r="BL23" s="99">
        <v>5.7</v>
      </c>
      <c r="BM23" s="98">
        <f t="shared" si="0"/>
        <v>0</v>
      </c>
      <c r="BN23" s="99">
        <f t="shared" si="1"/>
        <v>0</v>
      </c>
      <c r="BO23" s="99">
        <f t="shared" si="2"/>
        <v>6.5526315789473681</v>
      </c>
      <c r="BP23" s="99">
        <f t="shared" si="3"/>
        <v>6.5526315789473681</v>
      </c>
      <c r="BQ23" s="99">
        <f t="shared" si="4"/>
        <v>4.27797833935018</v>
      </c>
      <c r="BR23" s="99">
        <f t="shared" si="5"/>
        <v>2.3404255319148937</v>
      </c>
      <c r="BS23" s="99">
        <f t="shared" si="6"/>
        <v>2.3404255319148937</v>
      </c>
      <c r="BT23" s="99">
        <f t="shared" si="7"/>
        <v>0</v>
      </c>
      <c r="BU23" s="99">
        <f t="shared" si="8"/>
        <v>0</v>
      </c>
      <c r="BV23" s="99">
        <f t="shared" si="9"/>
        <v>0</v>
      </c>
      <c r="BW23" s="99">
        <f t="shared" si="10"/>
        <v>0</v>
      </c>
      <c r="BX23" s="99">
        <f t="shared" si="11"/>
        <v>0</v>
      </c>
      <c r="BY23" s="99">
        <f t="shared" si="12"/>
        <v>0</v>
      </c>
      <c r="BZ23" s="99">
        <f t="shared" si="13"/>
        <v>0</v>
      </c>
    </row>
    <row r="24" spans="1:78">
      <c r="A24" s="12" t="s">
        <v>174</v>
      </c>
      <c r="B24" s="13" t="s">
        <v>174</v>
      </c>
      <c r="C24" s="9" t="str">
        <f>IF(VLOOKUP($A24,'I-Ligands'!$A:$G,5,FALSE)="","",VLOOKUP($A24,'I-Ligands'!$A:$G,5,FALSE))</f>
        <v>Guide to Pharmacology</v>
      </c>
      <c r="D24" s="9">
        <f>IF(VLOOKUP($A24,'I-Ligands'!$A:$G,6,FALSE)="","",VLOOKUP($A24,'I-Ligands'!$A:$G,6,FALSE))</f>
        <v>1479</v>
      </c>
      <c r="E24" s="9" t="str">
        <f>IF(VLOOKUP($A24,'I-Ligands'!$A:$G,7,FALSE)="","",VLOOKUP($A24,'I-Ligands'!$A:$G,7,FALSE))</f>
        <v>Phys</v>
      </c>
      <c r="F24" s="7" cm="1">
        <f t="array" ref="F24">_xlfn.IFS(T24=0,0,T24&gt;0,(LOG(0.01*T24/10^-AH24)))</f>
        <v>0</v>
      </c>
      <c r="G24" s="8" cm="1">
        <f t="array" ref="G24">_xlfn.IFS(U24=0,0,U24&gt;0,(LOG(0.01*U24/10^-AI24)))</f>
        <v>0</v>
      </c>
      <c r="H24" s="8" cm="1">
        <f t="array" ref="H24">_xlfn.IFS(V24=0,0,V24&gt;0,(LOG(0.01*V24/10^-AJ24)))</f>
        <v>6.398790506763115</v>
      </c>
      <c r="I24" s="8" cm="1">
        <f t="array" ref="I24">_xlfn.IFS(W24=0,0,W24&gt;0,(LOG(0.01*W24/10^-AK24)))</f>
        <v>6.398790506763115</v>
      </c>
      <c r="J24" s="8" cm="1">
        <f t="array" ref="J24">_xlfn.IFS(X24=0,0,X24&gt;0,(LOG(0.01*X24/10^-AL24)))</f>
        <v>7.0577109650189112</v>
      </c>
      <c r="K24" s="8" cm="1">
        <f t="array" ref="K24">_xlfn.IFS(Y24=0,0,Y24&gt;0,(LOG(0.01*Y24/10^-AM24)))</f>
        <v>6.1676299008713391</v>
      </c>
      <c r="L24" s="8" cm="1">
        <f t="array" ref="L24">_xlfn.IFS(Z24=0,0,Z24&gt;0,(LOG(0.01*Z24/10^-AN24)))</f>
        <v>6.1676299008713391</v>
      </c>
      <c r="M24" s="8" cm="1">
        <f t="array" ref="M24">_xlfn.IFS(AA24=0,0,AA24&gt;0,(LOG(0.01*AA24/10^-AO24)))</f>
        <v>6.2910678622717366</v>
      </c>
      <c r="N24" s="8" cm="1">
        <f t="array" ref="N24">_xlfn.IFS(AB24=0,0,AB24&gt;0,(LOG(0.01*AB24/10^-AP24)))</f>
        <v>0</v>
      </c>
      <c r="O24" s="8" cm="1">
        <f t="array" ref="O24">_xlfn.IFS(AC24=0,0,AC24&gt;0,(LOG(0.01*AC24/10^-AQ24)))</f>
        <v>0</v>
      </c>
      <c r="P24" s="8" cm="1">
        <f t="array" ref="P24">_xlfn.IFS(AD24=0,0,AD24&gt;0,(LOG(0.01*AD24/10^-AR24)))</f>
        <v>0</v>
      </c>
      <c r="Q24" s="8" cm="1">
        <f t="array" ref="Q24">_xlfn.IFS(AE24=0,0,AE24&gt;0,(LOG(0.01*AE24/10^-AS24)))</f>
        <v>0</v>
      </c>
      <c r="R24" s="8" cm="1">
        <f t="array" ref="R24">_xlfn.IFS(AF24=0,0,AF24&gt;0,(LOG(0.01*AF24/10^-AT24)))</f>
        <v>0</v>
      </c>
      <c r="S24" s="8" cm="1">
        <f t="array" ref="S24">_xlfn.IFS(AG24=0,0,AG24&gt;0,(LOG(0.01*AG24/10^-AU24)))</f>
        <v>0</v>
      </c>
      <c r="V24" s="17">
        <v>39.700000000000003</v>
      </c>
      <c r="W24" s="17">
        <v>39.700000000000003</v>
      </c>
      <c r="X24" s="17">
        <v>38.700000000000003</v>
      </c>
      <c r="Y24" s="17">
        <v>33.700000000000003</v>
      </c>
      <c r="Z24" s="17">
        <v>33.700000000000003</v>
      </c>
      <c r="AA24" s="17">
        <v>23.5</v>
      </c>
      <c r="AJ24" s="15">
        <v>6.8</v>
      </c>
      <c r="AK24" s="15">
        <v>6.8</v>
      </c>
      <c r="AL24" s="15">
        <v>7.47</v>
      </c>
      <c r="AM24" s="15">
        <v>6.64</v>
      </c>
      <c r="AN24" s="15">
        <v>6.64</v>
      </c>
      <c r="AO24" s="15">
        <v>6.92</v>
      </c>
      <c r="AW24" s="186" t="str">
        <f>IF(VLOOKUP($A24,'I-Ligands'!$A:$G,3,FALSE)="","",VLOOKUP($A24,'I-Ligands'!$A:$G,3,FALSE))</f>
        <v>Neuropeptide FF</v>
      </c>
      <c r="AX24" s="187" t="str">
        <f>IF(VLOOKUP($A24,'I-Ligands'!$A:$G,4,FALSE)="","",VLOOKUP($A24,'I-Ligands'!$A:$G,4,FALSE))</f>
        <v>FLFQPQRF-NH2</v>
      </c>
      <c r="AY24" s="98">
        <v>4.42</v>
      </c>
      <c r="AZ24" s="99">
        <v>4.42</v>
      </c>
      <c r="BA24" s="99">
        <v>2.62</v>
      </c>
      <c r="BB24" s="99">
        <v>2.62</v>
      </c>
      <c r="BC24" s="99">
        <v>3.53</v>
      </c>
      <c r="BD24" s="99">
        <v>4.63</v>
      </c>
      <c r="BE24" s="99">
        <v>4.63</v>
      </c>
      <c r="BF24" s="99">
        <v>5.75</v>
      </c>
      <c r="BG24" s="99">
        <v>5.34</v>
      </c>
      <c r="BH24" s="99">
        <v>5.34</v>
      </c>
      <c r="BI24" s="99">
        <v>3.75</v>
      </c>
      <c r="BJ24" s="99">
        <v>4.6399999999999997</v>
      </c>
      <c r="BK24" s="99">
        <v>15.77</v>
      </c>
      <c r="BL24" s="99">
        <v>18.61</v>
      </c>
      <c r="BM24" s="98">
        <f t="shared" si="0"/>
        <v>0</v>
      </c>
      <c r="BN24" s="99">
        <f t="shared" si="1"/>
        <v>0</v>
      </c>
      <c r="BO24" s="99">
        <f t="shared" si="2"/>
        <v>15.152671755725191</v>
      </c>
      <c r="BP24" s="99">
        <f t="shared" si="3"/>
        <v>15.152671755725191</v>
      </c>
      <c r="BQ24" s="99">
        <f t="shared" si="4"/>
        <v>10.963172804532579</v>
      </c>
      <c r="BR24" s="99">
        <f t="shared" si="5"/>
        <v>7.2786177105831538</v>
      </c>
      <c r="BS24" s="99">
        <f t="shared" si="6"/>
        <v>7.2786177105831538</v>
      </c>
      <c r="BT24" s="99">
        <f t="shared" si="7"/>
        <v>4.0869565217391308</v>
      </c>
      <c r="BU24" s="99">
        <f t="shared" si="8"/>
        <v>0</v>
      </c>
      <c r="BV24" s="99">
        <f t="shared" si="9"/>
        <v>0</v>
      </c>
      <c r="BW24" s="99">
        <f t="shared" si="10"/>
        <v>0</v>
      </c>
      <c r="BX24" s="99">
        <f t="shared" si="11"/>
        <v>0</v>
      </c>
      <c r="BY24" s="99">
        <f t="shared" si="12"/>
        <v>0</v>
      </c>
      <c r="BZ24" s="99">
        <f t="shared" si="13"/>
        <v>0</v>
      </c>
    </row>
    <row r="25" spans="1:78">
      <c r="A25" s="12" t="s">
        <v>175</v>
      </c>
      <c r="B25" s="13" t="s">
        <v>175</v>
      </c>
      <c r="C25" s="9" t="str">
        <f>IF(VLOOKUP($A25,'I-Ligands'!$A:$G,5,FALSE)="","",VLOOKUP($A25,'I-Ligands'!$A:$G,5,FALSE))</f>
        <v>Guide to Pharmacology</v>
      </c>
      <c r="D25" s="9">
        <f>IF(VLOOKUP($A25,'I-Ligands'!$A:$G,6,FALSE)="","",VLOOKUP($A25,'I-Ligands'!$A:$G,6,FALSE))</f>
        <v>1479</v>
      </c>
      <c r="E25" s="9" t="str">
        <f>IF(VLOOKUP($A25,'I-Ligands'!$A:$G,7,FALSE)="","",VLOOKUP($A25,'I-Ligands'!$A:$G,7,FALSE))</f>
        <v>Phys</v>
      </c>
      <c r="F25" s="7" cm="1">
        <f t="array" ref="F25">_xlfn.IFS(T25=0,0,T25&gt;0,(LOG(0.01*T25/10^-AH25)))</f>
        <v>0</v>
      </c>
      <c r="G25" s="8" cm="1">
        <f t="array" ref="G25">_xlfn.IFS(U25=0,0,U25&gt;0,(LOG(0.01*U25/10^-AI25)))</f>
        <v>0</v>
      </c>
      <c r="H25" s="8" cm="1">
        <f t="array" ref="H25">_xlfn.IFS(V25=0,0,V25&gt;0,(LOG(0.01*V25/10^-AJ25)))</f>
        <v>7.4182017240669946</v>
      </c>
      <c r="I25" s="8" cm="1">
        <f t="array" ref="I25">_xlfn.IFS(W25=0,0,W25&gt;0,(LOG(0.01*W25/10^-AK25)))</f>
        <v>7.4182017240669946</v>
      </c>
      <c r="J25" s="8" cm="1">
        <f t="array" ref="J25">_xlfn.IFS(X25=0,0,X25&gt;0,(LOG(0.01*X25/10^-AL25)))</f>
        <v>7.5703294747908743</v>
      </c>
      <c r="K25" s="8" cm="1">
        <f t="array" ref="K25">_xlfn.IFS(Y25=0,0,Y25&gt;0,(LOG(0.01*Y25/10^-AM25)))</f>
        <v>7.3024271199844328</v>
      </c>
      <c r="L25" s="8" cm="1">
        <f t="array" ref="L25">_xlfn.IFS(Z25=0,0,Z25&gt;0,(LOG(0.01*Z25/10^-AN25)))</f>
        <v>7.3024271199844328</v>
      </c>
      <c r="M25" s="8" cm="1">
        <f t="array" ref="M25">_xlfn.IFS(AA25=0,0,AA25&gt;0,(LOG(0.01*AA25/10^-AO25)))</f>
        <v>7.3183979009481384</v>
      </c>
      <c r="N25" s="8" cm="1">
        <f t="array" ref="N25">_xlfn.IFS(AB25=0,0,AB25&gt;0,(LOG(0.01*AB25/10^-AP25)))</f>
        <v>0</v>
      </c>
      <c r="O25" s="8" cm="1">
        <f t="array" ref="O25">_xlfn.IFS(AC25=0,0,AC25&gt;0,(LOG(0.01*AC25/10^-AQ25)))</f>
        <v>0</v>
      </c>
      <c r="P25" s="8" cm="1">
        <f t="array" ref="P25">_xlfn.IFS(AD25=0,0,AD25&gt;0,(LOG(0.01*AD25/10^-AR25)))</f>
        <v>0</v>
      </c>
      <c r="Q25" s="8" cm="1">
        <f t="array" ref="Q25">_xlfn.IFS(AE25=0,0,AE25&gt;0,(LOG(0.01*AE25/10^-AS25)))</f>
        <v>0</v>
      </c>
      <c r="R25" s="8" cm="1">
        <f t="array" ref="R25">_xlfn.IFS(AF25=0,0,AF25&gt;0,(LOG(0.01*AF25/10^-AT25)))</f>
        <v>0</v>
      </c>
      <c r="S25" s="8" cm="1">
        <f t="array" ref="S25">_xlfn.IFS(AG25=0,0,AG25&gt;0,(LOG(0.01*AG25/10^-AU25)))</f>
        <v>0</v>
      </c>
      <c r="V25" s="17">
        <v>37</v>
      </c>
      <c r="W25" s="17">
        <v>37</v>
      </c>
      <c r="X25" s="17">
        <v>34.700000000000003</v>
      </c>
      <c r="Y25" s="17">
        <v>31.8</v>
      </c>
      <c r="Z25" s="17">
        <v>31.8</v>
      </c>
      <c r="AA25" s="17">
        <v>23.9</v>
      </c>
      <c r="AJ25" s="15">
        <v>7.85</v>
      </c>
      <c r="AK25" s="15">
        <v>7.85</v>
      </c>
      <c r="AL25" s="15">
        <v>8.0299999999999994</v>
      </c>
      <c r="AM25" s="15">
        <v>7.8</v>
      </c>
      <c r="AN25" s="15">
        <v>7.8</v>
      </c>
      <c r="AO25" s="15">
        <v>7.94</v>
      </c>
      <c r="AW25" s="186" t="str">
        <f>IF(VLOOKUP($A25,'I-Ligands'!$A:$G,3,FALSE)="","",VLOOKUP($A25,'I-Ligands'!$A:$G,3,FALSE))</f>
        <v>Neuropeptide FF</v>
      </c>
      <c r="AX25" s="187" t="str">
        <f>IF(VLOOKUP($A25,'I-Ligands'!$A:$G,4,FALSE)="","",VLOOKUP($A25,'I-Ligands'!$A:$G,4,FALSE))</f>
        <v>FLFQPQRF-NH2</v>
      </c>
      <c r="AY25" s="98">
        <v>3.25</v>
      </c>
      <c r="AZ25" s="99">
        <v>3.45</v>
      </c>
      <c r="BA25" s="99">
        <v>3.77</v>
      </c>
      <c r="BB25" s="99">
        <v>3.77</v>
      </c>
      <c r="BC25" s="99">
        <v>2.2400000000000002</v>
      </c>
      <c r="BD25" s="99">
        <v>2.71</v>
      </c>
      <c r="BE25" s="99">
        <v>2.71</v>
      </c>
      <c r="BF25" s="99">
        <v>3.28</v>
      </c>
      <c r="BG25" s="99">
        <v>6.95</v>
      </c>
      <c r="BH25" s="99">
        <v>6.95</v>
      </c>
      <c r="BI25" s="99">
        <v>6.95</v>
      </c>
      <c r="BJ25" s="99">
        <v>3.7</v>
      </c>
      <c r="BK25" s="99">
        <v>12.26</v>
      </c>
      <c r="BL25" s="99">
        <v>13.48</v>
      </c>
      <c r="BM25" s="98">
        <f t="shared" si="0"/>
        <v>0</v>
      </c>
      <c r="BN25" s="99">
        <f t="shared" si="1"/>
        <v>0</v>
      </c>
      <c r="BO25" s="99">
        <f t="shared" si="2"/>
        <v>9.8143236074270561</v>
      </c>
      <c r="BP25" s="99">
        <f t="shared" si="3"/>
        <v>9.8143236074270561</v>
      </c>
      <c r="BQ25" s="99">
        <f t="shared" si="4"/>
        <v>15.491071428571429</v>
      </c>
      <c r="BR25" s="99">
        <f t="shared" si="5"/>
        <v>11.734317343173432</v>
      </c>
      <c r="BS25" s="99">
        <f t="shared" si="6"/>
        <v>11.734317343173432</v>
      </c>
      <c r="BT25" s="99">
        <f t="shared" si="7"/>
        <v>7.2865853658536581</v>
      </c>
      <c r="BU25" s="99">
        <f t="shared" si="8"/>
        <v>0</v>
      </c>
      <c r="BV25" s="99">
        <f t="shared" si="9"/>
        <v>0</v>
      </c>
      <c r="BW25" s="99">
        <f t="shared" si="10"/>
        <v>0</v>
      </c>
      <c r="BX25" s="99">
        <f t="shared" si="11"/>
        <v>0</v>
      </c>
      <c r="BY25" s="99">
        <f t="shared" si="12"/>
        <v>0</v>
      </c>
      <c r="BZ25" s="99">
        <f t="shared" si="13"/>
        <v>0</v>
      </c>
    </row>
    <row r="26" spans="1:78">
      <c r="A26" s="12" t="s">
        <v>181</v>
      </c>
      <c r="B26" s="13" t="s">
        <v>2551</v>
      </c>
      <c r="C26" s="9" t="str">
        <f>IF(VLOOKUP($A26,'I-Ligands'!$A:$G,5,FALSE)="","",VLOOKUP($A26,'I-Ligands'!$A:$G,5,FALSE))</f>
        <v>Guide to Pharmacology</v>
      </c>
      <c r="D26" s="9">
        <f>IF(VLOOKUP($A26,'I-Ligands'!$A:$G,6,FALSE)="","",VLOOKUP($A26,'I-Ligands'!$A:$G,6,FALSE))</f>
        <v>1614</v>
      </c>
      <c r="E26" s="9" t="str">
        <f>IF(VLOOKUP($A26,'I-Ligands'!$A:$G,7,FALSE)="","",VLOOKUP($A26,'I-Ligands'!$A:$G,7,FALSE))</f>
        <v>Phys</v>
      </c>
      <c r="F26" s="7" cm="1">
        <f t="array" ref="F26">_xlfn.IFS(T26=0,0,T26&gt;0,(LOG(0.01*T26/10^-AH26)))</f>
        <v>0</v>
      </c>
      <c r="G26" s="8" cm="1">
        <f t="array" ref="G26">_xlfn.IFS(U26=0,0,U26&gt;0,(LOG(0.01*U26/10^-AI26)))</f>
        <v>0</v>
      </c>
      <c r="H26" s="8" cm="1">
        <f t="array" ref="H26">_xlfn.IFS(V26=0,0,V26&gt;0,(LOG(0.01*V26/10^-AJ26)))</f>
        <v>7.7122560713564763</v>
      </c>
      <c r="I26" s="8" cm="1">
        <f t="array" ref="I26">_xlfn.IFS(W26=0,0,W26&gt;0,(LOG(0.01*W26/10^-AK26)))</f>
        <v>7.7122560713564763</v>
      </c>
      <c r="J26" s="8" cm="1">
        <f t="array" ref="J26">_xlfn.IFS(X26=0,0,X26&gt;0,(LOG(0.01*X26/10^-AL26)))</f>
        <v>8.0764618041732454</v>
      </c>
      <c r="K26" s="8" cm="1">
        <f t="array" ref="K26">_xlfn.IFS(Y26=0,0,Y26&gt;0,(LOG(0.01*Y26/10^-AM26)))</f>
        <v>6.839218022670182</v>
      </c>
      <c r="L26" s="8" cm="1">
        <f t="array" ref="L26">_xlfn.IFS(Z26=0,0,Z26&gt;0,(LOG(0.01*Z26/10^-AN26)))</f>
        <v>6.839218022670182</v>
      </c>
      <c r="M26" s="8" cm="1">
        <f t="array" ref="M26">_xlfn.IFS(AA26=0,0,AA26&gt;0,(LOG(0.01*AA26/10^-AO26)))</f>
        <v>6.4833228601204569</v>
      </c>
      <c r="N26" s="8" cm="1">
        <f t="array" ref="N26">_xlfn.IFS(AB26=0,0,AB26&gt;0,(LOG(0.01*AB26/10^-AP26)))</f>
        <v>0</v>
      </c>
      <c r="O26" s="8" cm="1">
        <f t="array" ref="O26">_xlfn.IFS(AC26=0,0,AC26&gt;0,(LOG(0.01*AC26/10^-AQ26)))</f>
        <v>0</v>
      </c>
      <c r="P26" s="8" cm="1">
        <f t="array" ref="P26">_xlfn.IFS(AD26=0,0,AD26&gt;0,(LOG(0.01*AD26/10^-AR26)))</f>
        <v>7.6027164711475859</v>
      </c>
      <c r="Q26" s="8" cm="1">
        <f t="array" ref="Q26">_xlfn.IFS(AE26=0,0,AE26&gt;0,(LOG(0.01*AE26/10^-AS26)))</f>
        <v>6.1093405494535826</v>
      </c>
      <c r="R26" s="8" cm="1">
        <f t="array" ref="R26">_xlfn.IFS(AF26=0,0,AF26&gt;0,(LOG(0.01*AF26/10^-AT26)))</f>
        <v>6.1490413923210943</v>
      </c>
      <c r="S26" s="8" cm="1">
        <f t="array" ref="S26">_xlfn.IFS(AG26=0,0,AG26&gt;0,(LOG(0.01*AG26/10^-AU26)))</f>
        <v>0</v>
      </c>
      <c r="V26" s="17">
        <v>19.600000000000001</v>
      </c>
      <c r="W26" s="17">
        <v>19.600000000000001</v>
      </c>
      <c r="X26" s="17">
        <v>18.899999999999999</v>
      </c>
      <c r="Y26" s="17">
        <v>11.2</v>
      </c>
      <c r="Z26" s="17">
        <v>11.2</v>
      </c>
      <c r="AA26" s="17">
        <v>7.3</v>
      </c>
      <c r="AD26" s="17">
        <v>16.7</v>
      </c>
      <c r="AE26" s="17">
        <v>6.3</v>
      </c>
      <c r="AF26" s="17">
        <v>9.1</v>
      </c>
      <c r="AJ26" s="15">
        <v>8.42</v>
      </c>
      <c r="AK26" s="15">
        <v>8.42</v>
      </c>
      <c r="AL26" s="15">
        <v>8.8000000000000007</v>
      </c>
      <c r="AM26" s="15">
        <v>7.79</v>
      </c>
      <c r="AN26" s="15">
        <v>7.79</v>
      </c>
      <c r="AO26" s="15">
        <v>7.62</v>
      </c>
      <c r="AR26" s="15">
        <v>8.3800000000000008</v>
      </c>
      <c r="AS26" s="15">
        <v>7.31</v>
      </c>
      <c r="AT26" s="15">
        <v>7.19</v>
      </c>
      <c r="AW26" s="186" t="str">
        <f>IF(VLOOKUP($A26,'I-Ligands'!$A:$G,3,FALSE)="","",VLOOKUP($A26,'I-Ligands'!$A:$G,3,FALSE))</f>
        <v>Methionine-Enkephalin</v>
      </c>
      <c r="AX26" s="187" t="str">
        <f>IF(VLOOKUP($A26,'I-Ligands'!$A:$G,4,FALSE)="","",VLOOKUP($A26,'I-Ligands'!$A:$G,4,FALSE))</f>
        <v>YGGFM</v>
      </c>
      <c r="AY26" s="98">
        <v>4.09</v>
      </c>
      <c r="AZ26" s="99">
        <v>3.81</v>
      </c>
      <c r="BA26" s="99">
        <v>5.55</v>
      </c>
      <c r="BB26" s="99">
        <v>5.55</v>
      </c>
      <c r="BC26" s="99">
        <v>10.77</v>
      </c>
      <c r="BD26" s="99">
        <v>6.14</v>
      </c>
      <c r="BE26" s="99">
        <v>6.14</v>
      </c>
      <c r="BF26" s="99">
        <v>5.67</v>
      </c>
      <c r="BG26" s="99">
        <v>5.14</v>
      </c>
      <c r="BH26" s="99">
        <v>5.14</v>
      </c>
      <c r="BI26" s="99">
        <v>7.48</v>
      </c>
      <c r="BJ26" s="99">
        <v>2.86</v>
      </c>
      <c r="BK26" s="99">
        <v>3.27</v>
      </c>
      <c r="BL26" s="99">
        <v>4.75</v>
      </c>
      <c r="BM26" s="98">
        <f t="shared" si="0"/>
        <v>0</v>
      </c>
      <c r="BN26" s="99">
        <f t="shared" si="1"/>
        <v>0</v>
      </c>
      <c r="BO26" s="99">
        <f t="shared" si="2"/>
        <v>3.5315315315315319</v>
      </c>
      <c r="BP26" s="99">
        <f t="shared" si="3"/>
        <v>3.5315315315315319</v>
      </c>
      <c r="BQ26" s="99">
        <f t="shared" si="4"/>
        <v>1.7548746518105849</v>
      </c>
      <c r="BR26" s="99">
        <f t="shared" si="5"/>
        <v>1.8241042345276872</v>
      </c>
      <c r="BS26" s="99">
        <f t="shared" si="6"/>
        <v>1.8241042345276872</v>
      </c>
      <c r="BT26" s="99">
        <f t="shared" si="7"/>
        <v>1.2874779541446209</v>
      </c>
      <c r="BU26" s="99">
        <f t="shared" si="8"/>
        <v>0</v>
      </c>
      <c r="BV26" s="99">
        <f t="shared" si="9"/>
        <v>0</v>
      </c>
      <c r="BW26" s="99">
        <f t="shared" si="10"/>
        <v>2.2326203208556148</v>
      </c>
      <c r="BX26" s="99">
        <f t="shared" si="11"/>
        <v>2.2027972027972029</v>
      </c>
      <c r="BY26" s="99">
        <f t="shared" si="12"/>
        <v>2.782874617737003</v>
      </c>
      <c r="BZ26" s="99">
        <f t="shared" si="13"/>
        <v>0</v>
      </c>
    </row>
    <row r="27" spans="1:78">
      <c r="A27" s="12" t="s">
        <v>183</v>
      </c>
      <c r="B27" s="13" t="s">
        <v>2549</v>
      </c>
      <c r="C27" s="9" t="str">
        <f>IF(VLOOKUP($A27,'I-Ligands'!$A:$G,5,FALSE)="","",VLOOKUP($A27,'I-Ligands'!$A:$G,5,FALSE))</f>
        <v>Guide to Pharmacology</v>
      </c>
      <c r="D27" s="9">
        <f>IF(VLOOKUP($A27,'I-Ligands'!$A:$G,6,FALSE)="","",VLOOKUP($A27,'I-Ligands'!$A:$G,6,FALSE))</f>
        <v>1614</v>
      </c>
      <c r="E27" s="9" t="str">
        <f>IF(VLOOKUP($A27,'I-Ligands'!$A:$G,7,FALSE)="","",VLOOKUP($A27,'I-Ligands'!$A:$G,7,FALSE))</f>
        <v>Phys</v>
      </c>
      <c r="F27" s="7" cm="1">
        <f t="array" ref="F27">_xlfn.IFS(T27=0,0,T27&gt;0,(LOG(0.01*T27/10^-AH27)))</f>
        <v>0</v>
      </c>
      <c r="G27" s="8" cm="1">
        <f t="array" ref="G27">_xlfn.IFS(U27=0,0,U27&gt;0,(LOG(0.01*U27/10^-AI27)))</f>
        <v>0</v>
      </c>
      <c r="H27" s="8" cm="1">
        <f t="array" ref="H27">_xlfn.IFS(V27=0,0,V27&gt;0,(LOG(0.01*V27/10^-AJ27)))</f>
        <v>6.64813479402879</v>
      </c>
      <c r="I27" s="8" cm="1">
        <f t="array" ref="I27">_xlfn.IFS(W27=0,0,W27&gt;0,(LOG(0.01*W27/10^-AK27)))</f>
        <v>6.64813479402879</v>
      </c>
      <c r="J27" s="8" cm="1">
        <f t="array" ref="J27">_xlfn.IFS(X27=0,0,X27&gt;0,(LOG(0.01*X27/10^-AL27)))</f>
        <v>6.8582399653118511</v>
      </c>
      <c r="K27" s="8" cm="1">
        <f t="array" ref="K27">_xlfn.IFS(Y27=0,0,Y27&gt;0,(LOG(0.01*Y27/10^-AM27)))</f>
        <v>5.9603316981702923</v>
      </c>
      <c r="L27" s="8" cm="1">
        <f t="array" ref="L27">_xlfn.IFS(Z27=0,0,Z27&gt;0,(LOG(0.01*Z27/10^-AN27)))</f>
        <v>5.9603316981702923</v>
      </c>
      <c r="M27" s="8" cm="1">
        <f t="array" ref="M27">_xlfn.IFS(AA27=0,0,AA27&gt;0,(LOG(0.01*AA27/10^-AO27)))</f>
        <v>6.1155469613925311</v>
      </c>
      <c r="N27" s="8" cm="1">
        <f t="array" ref="N27">_xlfn.IFS(AB27=0,0,AB27&gt;0,(LOG(0.01*AB27/10^-AP27)))</f>
        <v>0</v>
      </c>
      <c r="O27" s="8" cm="1">
        <f t="array" ref="O27">_xlfn.IFS(AC27=0,0,AC27&gt;0,(LOG(0.01*AC27/10^-AQ27)))</f>
        <v>0</v>
      </c>
      <c r="P27" s="8" cm="1">
        <f t="array" ref="P27">_xlfn.IFS(AD27=0,0,AD27&gt;0,(LOG(0.01*AD27/10^-AR27)))</f>
        <v>5.6593837776852096</v>
      </c>
      <c r="Q27" s="8" cm="1">
        <f t="array" ref="Q27">_xlfn.IFS(AE27=0,0,AE27&gt;0,(LOG(0.01*AE27/10^-AS27)))</f>
        <v>0</v>
      </c>
      <c r="R27" s="8" cm="1">
        <f t="array" ref="R27">_xlfn.IFS(AF27=0,0,AF27&gt;0,(LOG(0.01*AF27/10^-AT27)))</f>
        <v>0</v>
      </c>
      <c r="S27" s="8" cm="1">
        <f t="array" ref="S27">_xlfn.IFS(AG27=0,0,AG27&gt;0,(LOG(0.01*AG27/10^-AU27)))</f>
        <v>0</v>
      </c>
      <c r="V27" s="17">
        <v>26.8</v>
      </c>
      <c r="W27" s="17">
        <v>26.8</v>
      </c>
      <c r="X27" s="17">
        <v>25.6</v>
      </c>
      <c r="Y27" s="17">
        <v>15.5</v>
      </c>
      <c r="Z27" s="17">
        <v>15.5</v>
      </c>
      <c r="AA27" s="17">
        <v>11.9</v>
      </c>
      <c r="AD27" s="17">
        <v>10.7</v>
      </c>
      <c r="AJ27" s="15">
        <v>7.22</v>
      </c>
      <c r="AK27" s="15">
        <v>7.22</v>
      </c>
      <c r="AL27" s="15">
        <v>7.45</v>
      </c>
      <c r="AM27" s="15">
        <v>6.77</v>
      </c>
      <c r="AN27" s="15">
        <v>6.77</v>
      </c>
      <c r="AO27" s="15">
        <v>7.04</v>
      </c>
      <c r="AR27" s="15">
        <v>6.63</v>
      </c>
      <c r="AW27" s="186" t="str">
        <f>IF(VLOOKUP($A27,'I-Ligands'!$A:$G,3,FALSE)="","",VLOOKUP($A27,'I-Ligands'!$A:$G,3,FALSE))</f>
        <v>Methionine-Enkephalin</v>
      </c>
      <c r="AX27" s="187" t="str">
        <f>IF(VLOOKUP($A27,'I-Ligands'!$A:$G,4,FALSE)="","",VLOOKUP($A27,'I-Ligands'!$A:$G,4,FALSE))</f>
        <v>YGGFM</v>
      </c>
      <c r="AY27" s="98">
        <v>5.61</v>
      </c>
      <c r="AZ27" s="99">
        <v>6.7</v>
      </c>
      <c r="BA27" s="99">
        <v>8.52</v>
      </c>
      <c r="BB27" s="99">
        <v>8.52</v>
      </c>
      <c r="BC27" s="99">
        <v>7.94</v>
      </c>
      <c r="BD27" s="99">
        <v>7.13</v>
      </c>
      <c r="BE27" s="99">
        <v>7.13</v>
      </c>
      <c r="BF27" s="99">
        <v>7</v>
      </c>
      <c r="BG27" s="99">
        <v>5.44</v>
      </c>
      <c r="BH27" s="99">
        <v>5.44</v>
      </c>
      <c r="BI27" s="99">
        <v>8.84</v>
      </c>
      <c r="BJ27" s="99">
        <v>6.63</v>
      </c>
      <c r="BK27" s="99">
        <v>7.53</v>
      </c>
      <c r="BL27" s="99">
        <v>7.06</v>
      </c>
      <c r="BM27" s="98">
        <f t="shared" si="0"/>
        <v>0</v>
      </c>
      <c r="BN27" s="99">
        <f t="shared" si="1"/>
        <v>0</v>
      </c>
      <c r="BO27" s="99">
        <f t="shared" si="2"/>
        <v>3.1455399061032865</v>
      </c>
      <c r="BP27" s="99">
        <f t="shared" si="3"/>
        <v>3.1455399061032865</v>
      </c>
      <c r="BQ27" s="99">
        <f t="shared" si="4"/>
        <v>3.2241813602015115</v>
      </c>
      <c r="BR27" s="99">
        <f t="shared" si="5"/>
        <v>2.1739130434782608</v>
      </c>
      <c r="BS27" s="99">
        <f t="shared" si="6"/>
        <v>2.1739130434782608</v>
      </c>
      <c r="BT27" s="99">
        <f t="shared" si="7"/>
        <v>1.7</v>
      </c>
      <c r="BU27" s="99">
        <f t="shared" si="8"/>
        <v>0</v>
      </c>
      <c r="BV27" s="99">
        <f t="shared" si="9"/>
        <v>0</v>
      </c>
      <c r="BW27" s="99">
        <f t="shared" si="10"/>
        <v>1.2104072398190044</v>
      </c>
      <c r="BX27" s="99">
        <f t="shared" si="11"/>
        <v>0</v>
      </c>
      <c r="BY27" s="99">
        <f t="shared" si="12"/>
        <v>0</v>
      </c>
      <c r="BZ27" s="99">
        <f t="shared" si="13"/>
        <v>0</v>
      </c>
    </row>
    <row r="28" spans="1:78" ht="18">
      <c r="A28" s="12" t="s">
        <v>190</v>
      </c>
      <c r="B28" s="13" t="s">
        <v>2649</v>
      </c>
      <c r="C28" s="9" t="str">
        <f>IF(VLOOKUP($A28,'I-Ligands'!$A:$G,5,FALSE)="","",VLOOKUP($A28,'I-Ligands'!$A:$G,5,FALSE))</f>
        <v>Guide to Pharmacology</v>
      </c>
      <c r="D28" s="9">
        <f>IF(VLOOKUP($A28,'I-Ligands'!$A:$G,6,FALSE)="","",VLOOKUP($A28,'I-Ligands'!$A:$G,6,FALSE))</f>
        <v>1712</v>
      </c>
      <c r="E28" s="9" t="str">
        <f>IF(VLOOKUP($A28,'I-Ligands'!$A:$G,7,FALSE)="","",VLOOKUP($A28,'I-Ligands'!$A:$G,7,FALSE))</f>
        <v>Phys</v>
      </c>
      <c r="F28" s="7" cm="1">
        <f t="array" ref="F28">_xlfn.IFS(T28=0,0,T28&gt;0,(LOG(0.01*T28/10^-AH28)))</f>
        <v>6.084321373782644</v>
      </c>
      <c r="G28" s="8" cm="1">
        <f t="array" ref="G28">_xlfn.IFS(U28=0,0,U28&gt;0,(LOG(0.01*U28/10^-AI28)))</f>
        <v>6.1213926851582263</v>
      </c>
      <c r="H28" s="8" cm="1">
        <f t="array" ref="H28">_xlfn.IFS(V28=0,0,V28&gt;0,(LOG(0.01*V28/10^-AJ28)))</f>
        <v>5.9833228601204569</v>
      </c>
      <c r="I28" s="8" cm="1">
        <f t="array" ref="I28">_xlfn.IFS(W28=0,0,W28&gt;0,(LOG(0.01*W28/10^-AK28)))</f>
        <v>5.9833228601204569</v>
      </c>
      <c r="J28" s="8" cm="1">
        <f t="array" ref="J28">_xlfn.IFS(X28=0,0,X28&gt;0,(LOG(0.01*X28/10^-AL28)))</f>
        <v>5.0824226808222068</v>
      </c>
      <c r="K28" s="8" cm="1">
        <f t="array" ref="K28">_xlfn.IFS(Y28=0,0,Y28&gt;0,(LOG(0.01*Y28/10^-AM28)))</f>
        <v>6.0770333392987803</v>
      </c>
      <c r="L28" s="8" cm="1">
        <f t="array" ref="L28">_xlfn.IFS(Z28=0,0,Z28&gt;0,(LOG(0.01*Z28/10^-AN28)))</f>
        <v>6.0770333392987803</v>
      </c>
      <c r="M28" s="8" cm="1">
        <f t="array" ref="M28">_xlfn.IFS(AA28=0,0,AA28&gt;0,(LOG(0.01*AA28/10^-AO28)))</f>
        <v>5.7299051114393986</v>
      </c>
      <c r="N28" s="8" cm="1">
        <f t="array" ref="N28">_xlfn.IFS(AB28=0,0,AB28&gt;0,(LOG(0.01*AB28/10^-AP28)))</f>
        <v>0</v>
      </c>
      <c r="O28" s="8" cm="1">
        <f t="array" ref="O28">_xlfn.IFS(AC28=0,0,AC28&gt;0,(LOG(0.01*AC28/10^-AQ28)))</f>
        <v>0</v>
      </c>
      <c r="P28" s="8" cm="1">
        <f t="array" ref="P28">_xlfn.IFS(AD28=0,0,AD28&gt;0,(LOG(0.01*AD28/10^-AR28)))</f>
        <v>0</v>
      </c>
      <c r="Q28" s="8" cm="1">
        <f t="array" ref="Q28">_xlfn.IFS(AE28=0,0,AE28&gt;0,(LOG(0.01*AE28/10^-AS28)))</f>
        <v>5.9155284469075493</v>
      </c>
      <c r="R28" s="8" cm="1">
        <f t="array" ref="R28">_xlfn.IFS(AF28=0,0,AF28&gt;0,(LOG(0.01*AF28/10^-AT28)))</f>
        <v>5.983127853599699</v>
      </c>
      <c r="S28" s="8" cm="1">
        <f t="array" ref="S28">_xlfn.IFS(AG28=0,0,AG28&gt;0,(LOG(0.01*AG28/10^-AU28)))</f>
        <v>5.8610646070265</v>
      </c>
      <c r="T28" s="16">
        <v>10.1</v>
      </c>
      <c r="U28" s="17">
        <v>11</v>
      </c>
      <c r="V28" s="17">
        <v>7.3</v>
      </c>
      <c r="W28" s="17">
        <v>7.3</v>
      </c>
      <c r="X28" s="17">
        <v>2.2000000000000002</v>
      </c>
      <c r="Y28" s="17">
        <v>10.4</v>
      </c>
      <c r="Z28" s="17">
        <v>10.4</v>
      </c>
      <c r="AA28" s="17">
        <v>12.3</v>
      </c>
      <c r="AE28" s="17">
        <v>17.2</v>
      </c>
      <c r="AF28" s="17">
        <v>9.4</v>
      </c>
      <c r="AG28" s="17">
        <v>3.9</v>
      </c>
      <c r="AH28" s="14">
        <v>7.08</v>
      </c>
      <c r="AI28" s="15">
        <v>7.08</v>
      </c>
      <c r="AJ28" s="15">
        <v>7.12</v>
      </c>
      <c r="AK28" s="15">
        <v>7.12</v>
      </c>
      <c r="AL28" s="15">
        <v>6.74</v>
      </c>
      <c r="AM28" s="15">
        <v>7.06</v>
      </c>
      <c r="AN28" s="15">
        <v>7.06</v>
      </c>
      <c r="AO28" s="15">
        <v>6.64</v>
      </c>
      <c r="AS28" s="15">
        <v>6.68</v>
      </c>
      <c r="AT28" s="15">
        <v>7.01</v>
      </c>
      <c r="AU28" s="15">
        <v>7.27</v>
      </c>
      <c r="AW28" s="186" t="str">
        <f>IF(VLOOKUP($A28,'I-Ligands'!$A:$G,3,FALSE)="","",VLOOKUP($A28,'I-Ligands'!$A:$G,3,FALSE))</f>
        <v>ADP</v>
      </c>
      <c r="AX28" s="187" t="str">
        <f>IF(VLOOKUP($A28,'I-Ligands'!$A:$G,4,FALSE)="","",VLOOKUP($A28,'I-Ligands'!$A:$G,4,FALSE))</f>
        <v>Adenosine 5'-Diphosphate Sodium Salt</v>
      </c>
      <c r="AY28" s="98">
        <v>12.41</v>
      </c>
      <c r="AZ28" s="99">
        <v>13.28</v>
      </c>
      <c r="BA28" s="99">
        <v>12.53</v>
      </c>
      <c r="BB28" s="99">
        <v>12.53</v>
      </c>
      <c r="BC28" s="99">
        <v>8.65</v>
      </c>
      <c r="BD28" s="99">
        <v>12.27</v>
      </c>
      <c r="BE28" s="99">
        <v>12.27</v>
      </c>
      <c r="BF28" s="99">
        <v>9.94</v>
      </c>
      <c r="BG28" s="99">
        <v>9.8699999999999992</v>
      </c>
      <c r="BH28" s="99">
        <v>9.8699999999999992</v>
      </c>
      <c r="BI28" s="99">
        <v>4.93</v>
      </c>
      <c r="BJ28" s="99">
        <v>9.3800000000000008</v>
      </c>
      <c r="BK28" s="99">
        <v>12.3</v>
      </c>
      <c r="BL28" s="99">
        <v>7.11</v>
      </c>
      <c r="BM28" s="98">
        <f t="shared" si="0"/>
        <v>0.813859790491539</v>
      </c>
      <c r="BN28" s="99">
        <f t="shared" si="1"/>
        <v>0.82831325301204828</v>
      </c>
      <c r="BO28" s="99">
        <f t="shared" si="2"/>
        <v>0.5826017557861134</v>
      </c>
      <c r="BP28" s="99">
        <f t="shared" si="3"/>
        <v>0.5826017557861134</v>
      </c>
      <c r="BQ28" s="99">
        <f t="shared" si="4"/>
        <v>0.25433526011560692</v>
      </c>
      <c r="BR28" s="99">
        <f t="shared" si="5"/>
        <v>0.84759576202118991</v>
      </c>
      <c r="BS28" s="99">
        <f t="shared" si="6"/>
        <v>0.84759576202118991</v>
      </c>
      <c r="BT28" s="99">
        <f t="shared" si="7"/>
        <v>1.2374245472837024</v>
      </c>
      <c r="BU28" s="99">
        <f t="shared" si="8"/>
        <v>0</v>
      </c>
      <c r="BV28" s="99">
        <f t="shared" si="9"/>
        <v>0</v>
      </c>
      <c r="BW28" s="99">
        <f t="shared" si="10"/>
        <v>0</v>
      </c>
      <c r="BX28" s="99">
        <f t="shared" si="11"/>
        <v>1.833688699360341</v>
      </c>
      <c r="BY28" s="99">
        <f t="shared" si="12"/>
        <v>0.7642276422764227</v>
      </c>
      <c r="BZ28" s="99">
        <f t="shared" si="13"/>
        <v>0.54852320675105481</v>
      </c>
    </row>
    <row r="29" spans="1:78" ht="18">
      <c r="A29" s="12" t="s">
        <v>191</v>
      </c>
      <c r="B29" s="13" t="s">
        <v>2650</v>
      </c>
      <c r="C29" s="9" t="str">
        <f>IF(VLOOKUP($A29,'I-Ligands'!$A:$G,5,FALSE)="","",VLOOKUP($A29,'I-Ligands'!$A:$G,5,FALSE))</f>
        <v>Guide to Pharmacology</v>
      </c>
      <c r="D29" s="9">
        <f>IF(VLOOKUP($A29,'I-Ligands'!$A:$G,6,FALSE)="","",VLOOKUP($A29,'I-Ligands'!$A:$G,6,FALSE))</f>
        <v>1713</v>
      </c>
      <c r="E29" s="9" t="str">
        <f>IF(VLOOKUP($A29,'I-Ligands'!$A:$G,7,FALSE)="","",VLOOKUP($A29,'I-Ligands'!$A:$G,7,FALSE))</f>
        <v>Phys</v>
      </c>
      <c r="F29" s="7" cm="1">
        <f t="array" ref="F29">_xlfn.IFS(T29=0,0,T29&gt;0,(LOG(0.01*T29/10^-AH29)))</f>
        <v>5.1689700043360194</v>
      </c>
      <c r="G29" s="8" cm="1">
        <f t="array" ref="G29">_xlfn.IFS(U29=0,0,U29&gt;0,(LOG(0.01*U29/10^-AI29)))</f>
        <v>5.357332496431269</v>
      </c>
      <c r="H29" s="8" cm="1">
        <f t="array" ref="H29">_xlfn.IFS(V29=0,0,V29&gt;0,(LOG(0.01*V29/10^-AJ29)))</f>
        <v>0</v>
      </c>
      <c r="I29" s="8" cm="1">
        <f t="array" ref="I29">_xlfn.IFS(W29=0,0,W29&gt;0,(LOG(0.01*W29/10^-AK29)))</f>
        <v>0</v>
      </c>
      <c r="J29" s="8" cm="1">
        <f t="array" ref="J29">_xlfn.IFS(X29=0,0,X29&gt;0,(LOG(0.01*X29/10^-AL29)))</f>
        <v>0</v>
      </c>
      <c r="K29" s="8" cm="1">
        <f t="array" ref="K29">_xlfn.IFS(Y29=0,0,Y29&gt;0,(LOG(0.01*Y29/10^-AM29)))</f>
        <v>0</v>
      </c>
      <c r="L29" s="8" cm="1">
        <f t="array" ref="L29">_xlfn.IFS(Z29=0,0,Z29&gt;0,(LOG(0.01*Z29/10^-AN29)))</f>
        <v>0</v>
      </c>
      <c r="M29" s="8" cm="1">
        <f t="array" ref="M29">_xlfn.IFS(AA29=0,0,AA29&gt;0,(LOG(0.01*AA29/10^-AO29)))</f>
        <v>0</v>
      </c>
      <c r="N29" s="8" cm="1">
        <f t="array" ref="N29">_xlfn.IFS(AB29=0,0,AB29&gt;0,(LOG(0.01*AB29/10^-AP29)))</f>
        <v>0</v>
      </c>
      <c r="O29" s="8" cm="1">
        <f t="array" ref="O29">_xlfn.IFS(AC29=0,0,AC29&gt;0,(LOG(0.01*AC29/10^-AQ29)))</f>
        <v>0</v>
      </c>
      <c r="P29" s="8" cm="1">
        <f t="array" ref="P29">_xlfn.IFS(AD29=0,0,AD29&gt;0,(LOG(0.01*AD29/10^-AR29)))</f>
        <v>0</v>
      </c>
      <c r="Q29" s="8" cm="1">
        <f t="array" ref="Q29">_xlfn.IFS(AE29=0,0,AE29&gt;0,(LOG(0.01*AE29/10^-AS29)))</f>
        <v>5.6195192526186188</v>
      </c>
      <c r="R29" s="8" cm="1">
        <f t="array" ref="R29">_xlfn.IFS(AF29=0,0,AF29&gt;0,(LOG(0.01*AF29/10^-AT29)))</f>
        <v>5.5030899869919443</v>
      </c>
      <c r="S29" s="8" cm="1">
        <f t="array" ref="S29">_xlfn.IFS(AG29=0,0,AG29&gt;0,(LOG(0.01*AG29/10^-AU29)))</f>
        <v>5.539543935541869</v>
      </c>
      <c r="T29" s="16">
        <v>5</v>
      </c>
      <c r="U29" s="17">
        <v>7.2</v>
      </c>
      <c r="AE29" s="17">
        <v>8.6999999999999993</v>
      </c>
      <c r="AF29" s="17">
        <v>8</v>
      </c>
      <c r="AG29" s="17">
        <v>6.6</v>
      </c>
      <c r="AH29" s="14">
        <v>6.47</v>
      </c>
      <c r="AI29" s="15">
        <v>6.5</v>
      </c>
      <c r="AS29" s="15">
        <v>6.68</v>
      </c>
      <c r="AT29" s="15">
        <v>6.6</v>
      </c>
      <c r="AU29" s="15">
        <v>6.72</v>
      </c>
      <c r="AW29" s="186" t="str">
        <f>IF(VLOOKUP($A29,'I-Ligands'!$A:$G,3,FALSE)="","",VLOOKUP($A29,'I-Ligands'!$A:$G,3,FALSE))</f>
        <v>ATP</v>
      </c>
      <c r="AX29" s="187" t="str">
        <f>IF(VLOOKUP($A29,'I-Ligands'!$A:$G,4,FALSE)="","",VLOOKUP($A29,'I-Ligands'!$A:$G,4,FALSE))</f>
        <v>Adenosine 5'-Triphosphate Disodium Salt</v>
      </c>
      <c r="AY29" s="98">
        <v>10.199999999999999</v>
      </c>
      <c r="AZ29" s="99">
        <v>10.69</v>
      </c>
      <c r="BA29" s="99">
        <v>7.54</v>
      </c>
      <c r="BB29" s="99">
        <v>7.54</v>
      </c>
      <c r="BC29" s="99">
        <v>7.96</v>
      </c>
      <c r="BD29" s="99">
        <v>8.3699999999999992</v>
      </c>
      <c r="BE29" s="99">
        <v>8.3699999999999992</v>
      </c>
      <c r="BF29" s="99">
        <v>9.02</v>
      </c>
      <c r="BG29" s="99">
        <v>7.46</v>
      </c>
      <c r="BH29" s="99">
        <v>7.46</v>
      </c>
      <c r="BI29" s="99">
        <v>7.11</v>
      </c>
      <c r="BJ29" s="99">
        <v>11.34</v>
      </c>
      <c r="BK29" s="99">
        <v>13.4</v>
      </c>
      <c r="BL29" s="99">
        <v>13.47</v>
      </c>
      <c r="BM29" s="98">
        <f t="shared" si="0"/>
        <v>0.49019607843137258</v>
      </c>
      <c r="BN29" s="99">
        <f t="shared" si="1"/>
        <v>0.67352666043030873</v>
      </c>
      <c r="BO29" s="99">
        <f t="shared" si="2"/>
        <v>0</v>
      </c>
      <c r="BP29" s="99">
        <f t="shared" si="3"/>
        <v>0</v>
      </c>
      <c r="BQ29" s="99">
        <f t="shared" si="4"/>
        <v>0</v>
      </c>
      <c r="BR29" s="99">
        <f t="shared" si="5"/>
        <v>0</v>
      </c>
      <c r="BS29" s="99">
        <f t="shared" si="6"/>
        <v>0</v>
      </c>
      <c r="BT29" s="99">
        <f t="shared" si="7"/>
        <v>0</v>
      </c>
      <c r="BU29" s="99">
        <f t="shared" si="8"/>
        <v>0</v>
      </c>
      <c r="BV29" s="99">
        <f t="shared" si="9"/>
        <v>0</v>
      </c>
      <c r="BW29" s="99">
        <f t="shared" si="10"/>
        <v>0</v>
      </c>
      <c r="BX29" s="99">
        <f t="shared" si="11"/>
        <v>0.7671957671957671</v>
      </c>
      <c r="BY29" s="99">
        <f t="shared" si="12"/>
        <v>0.59701492537313428</v>
      </c>
      <c r="BZ29" s="99">
        <f t="shared" si="13"/>
        <v>0.48997772828507791</v>
      </c>
    </row>
    <row r="30" spans="1:78" ht="18">
      <c r="A30" s="12" t="s">
        <v>192</v>
      </c>
      <c r="B30" s="13" t="s">
        <v>2651</v>
      </c>
      <c r="C30" s="9" t="str">
        <f>IF(VLOOKUP($A30,'I-Ligands'!$A:$G,5,FALSE)="","",VLOOKUP($A30,'I-Ligands'!$A:$G,5,FALSE))</f>
        <v>Guide to Pharmacology</v>
      </c>
      <c r="D30" s="9">
        <f>IF(VLOOKUP($A30,'I-Ligands'!$A:$G,6,FALSE)="","",VLOOKUP($A30,'I-Ligands'!$A:$G,6,FALSE))</f>
        <v>1713</v>
      </c>
      <c r="E30" s="9" t="str">
        <f>IF(VLOOKUP($A30,'I-Ligands'!$A:$G,7,FALSE)="","",VLOOKUP($A30,'I-Ligands'!$A:$G,7,FALSE))</f>
        <v>Phys</v>
      </c>
      <c r="F30" s="7" cm="1">
        <f t="array" ref="F30">_xlfn.IFS(T30=0,0,T30&gt;0,(LOG(0.01*T30/10^-AH30)))</f>
        <v>5.3042758696007892</v>
      </c>
      <c r="G30" s="8" cm="1">
        <f t="array" ref="G30">_xlfn.IFS(U30=0,0,U30&gt;0,(LOG(0.01*U30/10^-AI30)))</f>
        <v>4.9294189257142929</v>
      </c>
      <c r="H30" s="8" cm="1">
        <f t="array" ref="H30">_xlfn.IFS(V30=0,0,V30&gt;0,(LOG(0.01*V30/10^-AJ30)))</f>
        <v>6.6543213737826434</v>
      </c>
      <c r="I30" s="8" cm="1">
        <f t="array" ref="I30">_xlfn.IFS(W30=0,0,W30&gt;0,(LOG(0.01*W30/10^-AK30)))</f>
        <v>6.6543213737826434</v>
      </c>
      <c r="J30" s="8" cm="1">
        <f t="array" ref="J30">_xlfn.IFS(X30=0,0,X30&gt;0,(LOG(0.01*X30/10^-AL30)))</f>
        <v>5.9932492903979009</v>
      </c>
      <c r="K30" s="8" cm="1">
        <f t="array" ref="K30">_xlfn.IFS(Y30=0,0,Y30&gt;0,(LOG(0.01*Y30/10^-AM30)))</f>
        <v>6.5293900066449142</v>
      </c>
      <c r="L30" s="8" cm="1">
        <f t="array" ref="L30">_xlfn.IFS(Z30=0,0,Z30&gt;0,(LOG(0.01*Z30/10^-AN30)))</f>
        <v>6.5293900066449142</v>
      </c>
      <c r="M30" s="8" cm="1">
        <f t="array" ref="M30">_xlfn.IFS(AA30=0,0,AA30&gt;0,(LOG(0.01*AA30/10^-AO30)))</f>
        <v>5.9484850188786496</v>
      </c>
      <c r="N30" s="8" cm="1">
        <f t="array" ref="N30">_xlfn.IFS(AB30=0,0,AB30&gt;0,(LOG(0.01*AB30/10^-AP30)))</f>
        <v>0</v>
      </c>
      <c r="O30" s="8" cm="1">
        <f t="array" ref="O30">_xlfn.IFS(AC30=0,0,AC30&gt;0,(LOG(0.01*AC30/10^-AQ30)))</f>
        <v>0</v>
      </c>
      <c r="P30" s="8" cm="1">
        <f t="array" ref="P30">_xlfn.IFS(AD30=0,0,AD30&gt;0,(LOG(0.01*AD30/10^-AR30)))</f>
        <v>0</v>
      </c>
      <c r="Q30" s="8" cm="1">
        <f t="array" ref="Q30">_xlfn.IFS(AE30=0,0,AE30&gt;0,(LOG(0.01*AE30/10^-AS30)))</f>
        <v>5.7442792860618823</v>
      </c>
      <c r="R30" s="8" cm="1">
        <f t="array" ref="R30">_xlfn.IFS(AF30=0,0,AF30&gt;0,(LOG(0.01*AF30/10^-AT30)))</f>
        <v>4.9727578316815739</v>
      </c>
      <c r="S30" s="8" cm="1">
        <f t="array" ref="S30">_xlfn.IFS(AG30=0,0,AG30&gt;0,(LOG(0.01*AG30/10^-AU30)))</f>
        <v>6.1913926851582266</v>
      </c>
      <c r="T30" s="16">
        <v>5.3</v>
      </c>
      <c r="U30" s="17">
        <v>8.5</v>
      </c>
      <c r="V30" s="17">
        <v>10.1</v>
      </c>
      <c r="W30" s="17">
        <v>10.1</v>
      </c>
      <c r="X30" s="17">
        <v>4.2</v>
      </c>
      <c r="Y30" s="17">
        <v>8.9</v>
      </c>
      <c r="Z30" s="17">
        <v>8.9</v>
      </c>
      <c r="AA30" s="17">
        <v>8.1</v>
      </c>
      <c r="AE30" s="17">
        <v>8.4</v>
      </c>
      <c r="AF30" s="17">
        <v>4.5999999999999996</v>
      </c>
      <c r="AG30" s="17">
        <v>11</v>
      </c>
      <c r="AH30" s="14">
        <v>6.58</v>
      </c>
      <c r="AI30" s="15">
        <v>6</v>
      </c>
      <c r="AJ30" s="15">
        <v>7.65</v>
      </c>
      <c r="AK30" s="15">
        <v>7.65</v>
      </c>
      <c r="AL30" s="15">
        <v>7.37</v>
      </c>
      <c r="AM30" s="15">
        <v>7.58</v>
      </c>
      <c r="AN30" s="15">
        <v>7.58</v>
      </c>
      <c r="AO30" s="15">
        <v>7.04</v>
      </c>
      <c r="AS30" s="15">
        <v>6.82</v>
      </c>
      <c r="AT30" s="15">
        <v>6.31</v>
      </c>
      <c r="AU30" s="15">
        <v>7.15</v>
      </c>
      <c r="AW30" s="186" t="str">
        <f>IF(VLOOKUP($A30,'I-Ligands'!$A:$G,3,FALSE)="","",VLOOKUP($A30,'I-Ligands'!$A:$G,3,FALSE))</f>
        <v>ATP</v>
      </c>
      <c r="AX30" s="187" t="str">
        <f>IF(VLOOKUP($A30,'I-Ligands'!$A:$G,4,FALSE)="","",VLOOKUP($A30,'I-Ligands'!$A:$G,4,FALSE))</f>
        <v>Adenosine 5'-Triphosphate Disodium Salt</v>
      </c>
      <c r="AY30" s="98">
        <v>2.67</v>
      </c>
      <c r="AZ30" s="99">
        <v>1.79</v>
      </c>
      <c r="BA30" s="99">
        <v>2.91</v>
      </c>
      <c r="BB30" s="99">
        <v>2.91</v>
      </c>
      <c r="BC30" s="99">
        <v>4.9400000000000004</v>
      </c>
      <c r="BD30" s="99">
        <v>1.33</v>
      </c>
      <c r="BE30" s="99">
        <v>1.33</v>
      </c>
      <c r="BF30" s="99">
        <v>2.61</v>
      </c>
      <c r="BG30" s="99">
        <v>4.6100000000000003</v>
      </c>
      <c r="BH30" s="99">
        <v>4.6100000000000003</v>
      </c>
      <c r="BI30" s="99">
        <v>4.75</v>
      </c>
      <c r="BJ30" s="99">
        <v>2.11</v>
      </c>
      <c r="BK30" s="99">
        <v>0.86</v>
      </c>
      <c r="BL30" s="99">
        <v>3.41</v>
      </c>
      <c r="BM30" s="98">
        <f t="shared" si="0"/>
        <v>1.9850187265917603</v>
      </c>
      <c r="BN30" s="99">
        <f t="shared" si="1"/>
        <v>4.7486033519553068</v>
      </c>
      <c r="BO30" s="99">
        <f t="shared" si="2"/>
        <v>3.4707903780068725</v>
      </c>
      <c r="BP30" s="99">
        <f t="shared" si="3"/>
        <v>3.4707903780068725</v>
      </c>
      <c r="BQ30" s="99">
        <f t="shared" si="4"/>
        <v>0.85020242914979749</v>
      </c>
      <c r="BR30" s="99">
        <f t="shared" si="5"/>
        <v>6.6917293233082704</v>
      </c>
      <c r="BS30" s="99">
        <f t="shared" si="6"/>
        <v>6.6917293233082704</v>
      </c>
      <c r="BT30" s="99">
        <f t="shared" si="7"/>
        <v>3.103448275862069</v>
      </c>
      <c r="BU30" s="99">
        <f t="shared" si="8"/>
        <v>0</v>
      </c>
      <c r="BV30" s="99">
        <f t="shared" si="9"/>
        <v>0</v>
      </c>
      <c r="BW30" s="99">
        <f t="shared" si="10"/>
        <v>0</v>
      </c>
      <c r="BX30" s="99">
        <f t="shared" si="11"/>
        <v>3.9810426540284363</v>
      </c>
      <c r="BY30" s="99">
        <f t="shared" si="12"/>
        <v>5.3488372093023253</v>
      </c>
      <c r="BZ30" s="99">
        <f t="shared" si="13"/>
        <v>3.225806451612903</v>
      </c>
    </row>
    <row r="31" spans="1:78" ht="18">
      <c r="A31" s="12" t="s">
        <v>193</v>
      </c>
      <c r="B31" s="13" t="s">
        <v>2652</v>
      </c>
      <c r="C31" s="9" t="str">
        <f>IF(VLOOKUP($A31,'I-Ligands'!$A:$G,5,FALSE)="","",VLOOKUP($A31,'I-Ligands'!$A:$G,5,FALSE))</f>
        <v>Guide to Pharmacology</v>
      </c>
      <c r="D31" s="9">
        <f>IF(VLOOKUP($A31,'I-Ligands'!$A:$G,6,FALSE)="","",VLOOKUP($A31,'I-Ligands'!$A:$G,6,FALSE))</f>
        <v>1749</v>
      </c>
      <c r="E31" s="9" t="str">
        <f>IF(VLOOKUP($A31,'I-Ligands'!$A:$G,7,FALSE)="","",VLOOKUP($A31,'I-Ligands'!$A:$G,7,FALSE))</f>
        <v>Phys</v>
      </c>
      <c r="F31" s="7" cm="1">
        <f t="array" ref="F31">_xlfn.IFS(T31=0,0,T31&gt;0,(LOG(0.01*T31/10^-AH31)))</f>
        <v>6.3881858617461624</v>
      </c>
      <c r="G31" s="8" cm="1">
        <f t="array" ref="G31">_xlfn.IFS(U31=0,0,U31&gt;0,(LOG(0.01*U31/10^-AI31)))</f>
        <v>6.2818820073061259</v>
      </c>
      <c r="H31" s="8" cm="1">
        <f t="array" ref="H31">_xlfn.IFS(V31=0,0,V31&gt;0,(LOG(0.01*V31/10^-AJ31)))</f>
        <v>5.5771580313422202</v>
      </c>
      <c r="I31" s="8" cm="1">
        <f t="array" ref="I31">_xlfn.IFS(W31=0,0,W31&gt;0,(LOG(0.01*W31/10^-AK31)))</f>
        <v>5.5771580313422202</v>
      </c>
      <c r="J31" s="8" cm="1">
        <f t="array" ref="J31">_xlfn.IFS(X31=0,0,X31&gt;0,(LOG(0.01*X31/10^-AL31)))</f>
        <v>0</v>
      </c>
      <c r="K31" s="8" cm="1">
        <f t="array" ref="K31">_xlfn.IFS(Y31=0,0,Y31&gt;0,(LOG(0.01*Y31/10^-AM31)))</f>
        <v>5.3603626894942451</v>
      </c>
      <c r="L31" s="8" cm="1">
        <f t="array" ref="L31">_xlfn.IFS(Z31=0,0,Z31&gt;0,(LOG(0.01*Z31/10^-AN31)))</f>
        <v>5.3603626894942451</v>
      </c>
      <c r="M31" s="8" cm="1">
        <f t="array" ref="M31">_xlfn.IFS(AA31=0,0,AA31&gt;0,(LOG(0.01*AA31/10^-AO31)))</f>
        <v>6.2133228601204564</v>
      </c>
      <c r="N31" s="8" cm="1">
        <f t="array" ref="N31">_xlfn.IFS(AB31=0,0,AB31&gt;0,(LOG(0.01*AB31/10^-AP31)))</f>
        <v>0</v>
      </c>
      <c r="O31" s="8" cm="1">
        <f t="array" ref="O31">_xlfn.IFS(AC31=0,0,AC31&gt;0,(LOG(0.01*AC31/10^-AQ31)))</f>
        <v>0</v>
      </c>
      <c r="P31" s="8" cm="1">
        <f t="array" ref="P31">_xlfn.IFS(AD31=0,0,AD31&gt;0,(LOG(0.01*AD31/10^-AR31)))</f>
        <v>0</v>
      </c>
      <c r="Q31" s="8" cm="1">
        <f t="array" ref="Q31">_xlfn.IFS(AE31=0,0,AE31&gt;0,(LOG(0.01*AE31/10^-AS31)))</f>
        <v>6.2295192526186192</v>
      </c>
      <c r="R31" s="8" cm="1">
        <f t="array" ref="R31">_xlfn.IFS(AF31=0,0,AF31&gt;0,(LOG(0.01*AF31/10^-AT31)))</f>
        <v>6.3561799739838882</v>
      </c>
      <c r="S31" s="8" cm="1">
        <f t="array" ref="S31">_xlfn.IFS(AG31=0,0,AG31&gt;0,(LOG(0.01*AG31/10^-AU31)))</f>
        <v>6.1920946026904806</v>
      </c>
      <c r="T31" s="16">
        <v>11.7</v>
      </c>
      <c r="U31" s="17">
        <v>11.8</v>
      </c>
      <c r="V31" s="17">
        <v>2.8</v>
      </c>
      <c r="W31" s="17">
        <v>2.8</v>
      </c>
      <c r="Y31" s="17">
        <v>5.5</v>
      </c>
      <c r="Z31" s="17">
        <v>5.5</v>
      </c>
      <c r="AA31" s="17">
        <v>7.3</v>
      </c>
      <c r="AE31" s="17">
        <v>8.6999999999999993</v>
      </c>
      <c r="AF31" s="17">
        <v>6.4</v>
      </c>
      <c r="AG31" s="17">
        <v>7.8</v>
      </c>
      <c r="AH31" s="14">
        <v>7.32</v>
      </c>
      <c r="AI31" s="15">
        <v>7.21</v>
      </c>
      <c r="AJ31" s="15">
        <v>7.13</v>
      </c>
      <c r="AK31" s="15">
        <v>7.13</v>
      </c>
      <c r="AM31" s="15">
        <v>6.62</v>
      </c>
      <c r="AN31" s="15">
        <v>6.62</v>
      </c>
      <c r="AO31" s="15">
        <v>7.35</v>
      </c>
      <c r="AS31" s="15">
        <v>7.29</v>
      </c>
      <c r="AT31" s="15">
        <v>7.55</v>
      </c>
      <c r="AU31" s="15">
        <v>7.3</v>
      </c>
      <c r="AW31" s="186" t="str">
        <f>IF(VLOOKUP($A31,'I-Ligands'!$A:$G,3,FALSE)="","",VLOOKUP($A31,'I-Ligands'!$A:$G,3,FALSE))</f>
        <v>UDP</v>
      </c>
      <c r="AX31" s="187" t="str">
        <f>IF(VLOOKUP($A31,'I-Ligands'!$A:$G,4,FALSE)="","",VLOOKUP($A31,'I-Ligands'!$A:$G,4,FALSE))</f>
        <v>Uridine 5'-Diphosphate Disodium Salt</v>
      </c>
      <c r="AY31" s="98">
        <v>12.66</v>
      </c>
      <c r="AZ31" s="99">
        <v>13.61</v>
      </c>
      <c r="BA31" s="99">
        <v>9.43</v>
      </c>
      <c r="BB31" s="99">
        <v>9.43</v>
      </c>
      <c r="BC31" s="99">
        <v>6.16</v>
      </c>
      <c r="BD31" s="99">
        <v>12.2</v>
      </c>
      <c r="BE31" s="99">
        <v>12.2</v>
      </c>
      <c r="BF31" s="99">
        <v>7.62</v>
      </c>
      <c r="BG31" s="99">
        <v>4.45</v>
      </c>
      <c r="BH31" s="99">
        <v>4.45</v>
      </c>
      <c r="BI31" s="99">
        <v>4.72</v>
      </c>
      <c r="BJ31" s="99">
        <v>8.7799999999999994</v>
      </c>
      <c r="BK31" s="99">
        <v>9.74</v>
      </c>
      <c r="BL31" s="99">
        <v>10.42</v>
      </c>
      <c r="BM31" s="98">
        <f t="shared" si="0"/>
        <v>0.92417061611374396</v>
      </c>
      <c r="BN31" s="99">
        <f t="shared" si="1"/>
        <v>0.86700955180014705</v>
      </c>
      <c r="BO31" s="99">
        <f t="shared" si="2"/>
        <v>0.29692470837751855</v>
      </c>
      <c r="BP31" s="99">
        <f t="shared" si="3"/>
        <v>0.29692470837751855</v>
      </c>
      <c r="BQ31" s="99">
        <f t="shared" si="4"/>
        <v>0</v>
      </c>
      <c r="BR31" s="99">
        <f t="shared" si="5"/>
        <v>0.45081967213114754</v>
      </c>
      <c r="BS31" s="99">
        <f t="shared" si="6"/>
        <v>0.45081967213114754</v>
      </c>
      <c r="BT31" s="99">
        <f t="shared" si="7"/>
        <v>0.95800524934383202</v>
      </c>
      <c r="BU31" s="99">
        <f t="shared" si="8"/>
        <v>0</v>
      </c>
      <c r="BV31" s="99">
        <f t="shared" si="9"/>
        <v>0</v>
      </c>
      <c r="BW31" s="99">
        <f t="shared" si="10"/>
        <v>0</v>
      </c>
      <c r="BX31" s="99">
        <f t="shared" si="11"/>
        <v>0.99088838268792712</v>
      </c>
      <c r="BY31" s="99">
        <f t="shared" si="12"/>
        <v>0.65708418891170428</v>
      </c>
      <c r="BZ31" s="99">
        <f t="shared" si="13"/>
        <v>0.74856046065259119</v>
      </c>
    </row>
    <row r="32" spans="1:78" ht="18">
      <c r="A32" s="12" t="s">
        <v>154</v>
      </c>
      <c r="B32" s="13" t="s">
        <v>2664</v>
      </c>
      <c r="C32" s="9" t="str">
        <f>IF(VLOOKUP($A32,'I-Ligands'!$A:$G,5,FALSE)="","",VLOOKUP($A32,'I-Ligands'!$A:$G,5,FALSE))</f>
        <v>Guide to Pharmacology</v>
      </c>
      <c r="D32" s="9">
        <f>IF(VLOOKUP($A32,'I-Ligands'!$A:$G,6,FALSE)="","",VLOOKUP($A32,'I-Ligands'!$A:$G,6,FALSE))</f>
        <v>911</v>
      </c>
      <c r="E32" s="9" t="str">
        <f>IF(VLOOKUP($A32,'I-Ligands'!$A:$G,7,FALSE)="","",VLOOKUP($A32,'I-Ligands'!$A:$G,7,FALSE))</f>
        <v>Phys</v>
      </c>
      <c r="F32" s="7" cm="1">
        <f t="array" ref="F32">_xlfn.IFS(T32=0,0,T32&gt;0,(LOG(0.01*T32/10^-AH32)))</f>
        <v>0</v>
      </c>
      <c r="G32" s="8" cm="1">
        <f t="array" ref="G32">_xlfn.IFS(U32=0,0,U32&gt;0,(LOG(0.01*U32/10^-AI32)))</f>
        <v>0</v>
      </c>
      <c r="H32" s="8" cm="1">
        <f t="array" ref="H32">_xlfn.IFS(V32=0,0,V32&gt;0,(LOG(0.01*V32/10^-AJ32)))</f>
        <v>6.5116197059632297</v>
      </c>
      <c r="I32" s="8" cm="1">
        <f t="array" ref="I32">_xlfn.IFS(W32=0,0,W32&gt;0,(LOG(0.01*W32/10^-AK32)))</f>
        <v>6.5116197059632297</v>
      </c>
      <c r="J32" s="8" cm="1">
        <f t="array" ref="J32">_xlfn.IFS(X32=0,0,X32&gt;0,(LOG(0.01*X32/10^-AL32)))</f>
        <v>6.9905492482826004</v>
      </c>
      <c r="K32" s="8" cm="1">
        <f t="array" ref="K32">_xlfn.IFS(Y32=0,0,Y32&gt;0,(LOG(0.01*Y32/10^-AM32)))</f>
        <v>6.0984564936046057</v>
      </c>
      <c r="L32" s="8" cm="1">
        <f t="array" ref="L32">_xlfn.IFS(Z32=0,0,Z32&gt;0,(LOG(0.01*Z32/10^-AN32)))</f>
        <v>6.0984564936046057</v>
      </c>
      <c r="M32" s="8" cm="1">
        <f t="array" ref="M32">_xlfn.IFS(AA32=0,0,AA32&gt;0,(LOG(0.01*AA32/10^-AO32)))</f>
        <v>6.5053092817258635</v>
      </c>
      <c r="N32" s="8" cm="1">
        <f t="array" ref="N32">_xlfn.IFS(AB32=0,0,AB32&gt;0,(LOG(0.01*AB32/10^-AP32)))</f>
        <v>0</v>
      </c>
      <c r="O32" s="8" cm="1">
        <f t="array" ref="O32">_xlfn.IFS(AC32=0,0,AC32&gt;0,(LOG(0.01*AC32/10^-AQ32)))</f>
        <v>0</v>
      </c>
      <c r="P32" s="8" cm="1">
        <f t="array" ref="P32">_xlfn.IFS(AD32=0,0,AD32&gt;0,(LOG(0.01*AD32/10^-AR32)))</f>
        <v>0</v>
      </c>
      <c r="Q32" s="8" cm="1">
        <f t="array" ref="Q32">_xlfn.IFS(AE32=0,0,AE32&gt;0,(LOG(0.01*AE32/10^-AS32)))</f>
        <v>0</v>
      </c>
      <c r="R32" s="8" cm="1">
        <f t="array" ref="R32">_xlfn.IFS(AF32=0,0,AF32&gt;0,(LOG(0.01*AF32/10^-AT32)))</f>
        <v>5.824282455297694</v>
      </c>
      <c r="S32" s="8" cm="1">
        <f t="array" ref="S32">_xlfn.IFS(AG32=0,0,AG32&gt;0,(LOG(0.01*AG32/10^-AU32)))</f>
        <v>5.3991660843645333</v>
      </c>
      <c r="V32" s="17">
        <v>25.8</v>
      </c>
      <c r="W32" s="17">
        <v>25.8</v>
      </c>
      <c r="X32" s="17">
        <v>17.399999999999999</v>
      </c>
      <c r="Y32" s="17">
        <v>21.8</v>
      </c>
      <c r="Z32" s="17">
        <v>21.8</v>
      </c>
      <c r="AA32" s="17">
        <v>16.8</v>
      </c>
      <c r="AF32" s="17">
        <v>21.1</v>
      </c>
      <c r="AG32" s="17">
        <v>24.5</v>
      </c>
      <c r="AJ32" s="15">
        <v>7.1</v>
      </c>
      <c r="AK32" s="15">
        <v>7.1</v>
      </c>
      <c r="AL32" s="15">
        <v>7.75</v>
      </c>
      <c r="AM32" s="15">
        <v>6.76</v>
      </c>
      <c r="AN32" s="15">
        <v>6.76</v>
      </c>
      <c r="AO32" s="15">
        <v>7.28</v>
      </c>
      <c r="AT32" s="15">
        <v>6.5</v>
      </c>
      <c r="AU32" s="15">
        <v>6.01</v>
      </c>
      <c r="AW32" s="186" t="str">
        <f>IF(VLOOKUP($A32,'I-Ligands'!$A:$G,3,FALSE)="","",VLOOKUP($A32,'I-Ligands'!$A:$G,3,FALSE))</f>
        <v>Sphingosine 1-phosphate</v>
      </c>
      <c r="AX32" s="187" t="str">
        <f>IF(VLOOKUP($A32,'I-Ligands'!$A:$G,4,FALSE)="","",VLOOKUP($A32,'I-Ligands'!$A:$G,4,FALSE))</f>
        <v>Sphingosine-1-Phosphate</v>
      </c>
      <c r="AY32" s="98">
        <v>1.29</v>
      </c>
      <c r="AZ32" s="99">
        <v>1.62</v>
      </c>
      <c r="BA32" s="99">
        <v>0.74</v>
      </c>
      <c r="BB32" s="99">
        <v>0.74</v>
      </c>
      <c r="BC32" s="99">
        <v>1.61</v>
      </c>
      <c r="BD32" s="99">
        <v>1.61</v>
      </c>
      <c r="BE32" s="99">
        <v>1.61</v>
      </c>
      <c r="BF32" s="99">
        <v>1.46</v>
      </c>
      <c r="BG32" s="99">
        <v>3.56</v>
      </c>
      <c r="BH32" s="99">
        <v>3.56</v>
      </c>
      <c r="BI32" s="99">
        <v>3.31</v>
      </c>
      <c r="BJ32" s="99">
        <v>1.17</v>
      </c>
      <c r="BK32" s="99">
        <v>1.18</v>
      </c>
      <c r="BL32" s="99">
        <v>1.86</v>
      </c>
      <c r="BM32" s="98">
        <f t="shared" si="0"/>
        <v>0</v>
      </c>
      <c r="BN32" s="99">
        <f t="shared" si="1"/>
        <v>0</v>
      </c>
      <c r="BO32" s="99">
        <f t="shared" si="2"/>
        <v>34.864864864864863</v>
      </c>
      <c r="BP32" s="99">
        <f t="shared" si="3"/>
        <v>34.864864864864863</v>
      </c>
      <c r="BQ32" s="99">
        <f t="shared" si="4"/>
        <v>10.807453416149066</v>
      </c>
      <c r="BR32" s="99">
        <f t="shared" si="5"/>
        <v>13.540372670807454</v>
      </c>
      <c r="BS32" s="99">
        <f t="shared" si="6"/>
        <v>13.540372670807454</v>
      </c>
      <c r="BT32" s="99">
        <f t="shared" si="7"/>
        <v>11.506849315068495</v>
      </c>
      <c r="BU32" s="99">
        <f t="shared" si="8"/>
        <v>0</v>
      </c>
      <c r="BV32" s="99">
        <f t="shared" si="9"/>
        <v>0</v>
      </c>
      <c r="BW32" s="99">
        <f t="shared" si="10"/>
        <v>0</v>
      </c>
      <c r="BX32" s="99">
        <f t="shared" si="11"/>
        <v>0</v>
      </c>
      <c r="BY32" s="99">
        <f t="shared" si="12"/>
        <v>17.881355932203391</v>
      </c>
      <c r="BZ32" s="99">
        <f t="shared" si="13"/>
        <v>13.172043010752688</v>
      </c>
    </row>
    <row r="33" spans="1:78" ht="18">
      <c r="A33" s="12" t="s">
        <v>157</v>
      </c>
      <c r="B33" s="13" t="s">
        <v>2667</v>
      </c>
      <c r="C33" s="9" t="str">
        <f>IF(VLOOKUP($A33,'I-Ligands'!$A:$G,5,FALSE)="","",VLOOKUP($A33,'I-Ligands'!$A:$G,5,FALSE))</f>
        <v>Guide to Pharmacology</v>
      </c>
      <c r="D33" s="9">
        <f>IF(VLOOKUP($A33,'I-Ligands'!$A:$G,6,FALSE)="","",VLOOKUP($A33,'I-Ligands'!$A:$G,6,FALSE))</f>
        <v>911</v>
      </c>
      <c r="E33" s="9" t="str">
        <f>IF(VLOOKUP($A33,'I-Ligands'!$A:$G,7,FALSE)="","",VLOOKUP($A33,'I-Ligands'!$A:$G,7,FALSE))</f>
        <v>Phys</v>
      </c>
      <c r="F33" s="7" cm="1">
        <f t="array" ref="F33">_xlfn.IFS(T33=0,0,T33&gt;0,(LOG(0.01*T33/10^-AH33)))</f>
        <v>0</v>
      </c>
      <c r="G33" s="8" cm="1">
        <f t="array" ref="G33">_xlfn.IFS(U33=0,0,U33&gt;0,(LOG(0.01*U33/10^-AI33)))</f>
        <v>0</v>
      </c>
      <c r="H33" s="8" cm="1">
        <f t="array" ref="H33">_xlfn.IFS(V33=0,0,V33&gt;0,(LOG(0.01*V33/10^-AJ33)))</f>
        <v>5.7644579892269192</v>
      </c>
      <c r="I33" s="8" cm="1">
        <f t="array" ref="I33">_xlfn.IFS(W33=0,0,W33&gt;0,(LOG(0.01*W33/10^-AK33)))</f>
        <v>5.7644579892269192</v>
      </c>
      <c r="J33" s="8" cm="1">
        <f t="array" ref="J33">_xlfn.IFS(X33=0,0,X33&gt;0,(LOG(0.01*X33/10^-AL33)))</f>
        <v>6.1722560713564771</v>
      </c>
      <c r="K33" s="8" cm="1">
        <f t="array" ref="K33">_xlfn.IFS(Y33=0,0,Y33&gt;0,(LOG(0.01*Y33/10^-AM33)))</f>
        <v>0</v>
      </c>
      <c r="L33" s="8" cm="1">
        <f t="array" ref="L33">_xlfn.IFS(Z33=0,0,Z33&gt;0,(LOG(0.01*Z33/10^-AN33)))</f>
        <v>0</v>
      </c>
      <c r="M33" s="8" cm="1">
        <f t="array" ref="M33">_xlfn.IFS(AA33=0,0,AA33&gt;0,(LOG(0.01*AA33/10^-AO33)))</f>
        <v>0</v>
      </c>
      <c r="N33" s="8" cm="1">
        <f t="array" ref="N33">_xlfn.IFS(AB33=0,0,AB33&gt;0,(LOG(0.01*AB33/10^-AP33)))</f>
        <v>0</v>
      </c>
      <c r="O33" s="8" cm="1">
        <f t="array" ref="O33">_xlfn.IFS(AC33=0,0,AC33&gt;0,(LOG(0.01*AC33/10^-AQ33)))</f>
        <v>0</v>
      </c>
      <c r="P33" s="8" cm="1">
        <f t="array" ref="P33">_xlfn.IFS(AD33=0,0,AD33&gt;0,(LOG(0.01*AD33/10^-AR33)))</f>
        <v>0</v>
      </c>
      <c r="Q33" s="8" cm="1">
        <f t="array" ref="Q33">_xlfn.IFS(AE33=0,0,AE33&gt;0,(LOG(0.01*AE33/10^-AS33)))</f>
        <v>0</v>
      </c>
      <c r="R33" s="8" cm="1">
        <f t="array" ref="R33">_xlfn.IFS(AF33=0,0,AF33&gt;0,(LOG(0.01*AF33/10^-AT33)))</f>
        <v>4.4824226808222063</v>
      </c>
      <c r="S33" s="8" cm="1">
        <f t="array" ref="S33">_xlfn.IFS(AG33=0,0,AG33&gt;0,(LOG(0.01*AG33/10^-AU33)))</f>
        <v>4.7318435879447724</v>
      </c>
      <c r="V33" s="17">
        <v>11.6</v>
      </c>
      <c r="W33" s="17">
        <v>11.6</v>
      </c>
      <c r="X33" s="17">
        <v>19.600000000000001</v>
      </c>
      <c r="AF33" s="17">
        <v>2.2000000000000002</v>
      </c>
      <c r="AG33" s="17">
        <v>15.2</v>
      </c>
      <c r="AJ33" s="15">
        <v>6.7</v>
      </c>
      <c r="AK33" s="15">
        <v>6.7</v>
      </c>
      <c r="AL33" s="15">
        <v>6.88</v>
      </c>
      <c r="AT33" s="15">
        <v>6.14</v>
      </c>
      <c r="AU33" s="15">
        <v>5.55</v>
      </c>
      <c r="AW33" s="186" t="str">
        <f>IF(VLOOKUP($A33,'I-Ligands'!$A:$G,3,FALSE)="","",VLOOKUP($A33,'I-Ligands'!$A:$G,3,FALSE))</f>
        <v>Sphingosine 1-phosphate</v>
      </c>
      <c r="AX33" s="187" t="str">
        <f>IF(VLOOKUP($A33,'I-Ligands'!$A:$G,4,FALSE)="","",VLOOKUP($A33,'I-Ligands'!$A:$G,4,FALSE))</f>
        <v>Sphingosine-1-Phosphate</v>
      </c>
      <c r="AY33" s="98">
        <v>5.0999999999999996</v>
      </c>
      <c r="AZ33" s="99">
        <v>5.09</v>
      </c>
      <c r="BA33" s="99">
        <v>6.06</v>
      </c>
      <c r="BB33" s="99">
        <v>6.06</v>
      </c>
      <c r="BC33" s="99">
        <v>4.59</v>
      </c>
      <c r="BD33" s="99">
        <v>5.37</v>
      </c>
      <c r="BE33" s="99">
        <v>5.37</v>
      </c>
      <c r="BF33" s="99">
        <v>3.58</v>
      </c>
      <c r="BG33" s="99">
        <v>6.02</v>
      </c>
      <c r="BH33" s="99">
        <v>6.02</v>
      </c>
      <c r="BI33" s="99">
        <v>4.47</v>
      </c>
      <c r="BJ33" s="99">
        <v>3.74</v>
      </c>
      <c r="BK33" s="99">
        <v>3.1</v>
      </c>
      <c r="BL33" s="99">
        <v>5.88</v>
      </c>
      <c r="BM33" s="98">
        <f t="shared" si="0"/>
        <v>0</v>
      </c>
      <c r="BN33" s="99">
        <f t="shared" si="1"/>
        <v>0</v>
      </c>
      <c r="BO33" s="99">
        <f t="shared" si="2"/>
        <v>1.9141914191419143</v>
      </c>
      <c r="BP33" s="99">
        <f t="shared" si="3"/>
        <v>1.9141914191419143</v>
      </c>
      <c r="BQ33" s="99">
        <f t="shared" si="4"/>
        <v>4.2701525054466236</v>
      </c>
      <c r="BR33" s="99">
        <f t="shared" si="5"/>
        <v>0</v>
      </c>
      <c r="BS33" s="99">
        <f t="shared" si="6"/>
        <v>0</v>
      </c>
      <c r="BT33" s="99">
        <f t="shared" si="7"/>
        <v>0</v>
      </c>
      <c r="BU33" s="99">
        <f t="shared" si="8"/>
        <v>0</v>
      </c>
      <c r="BV33" s="99">
        <f t="shared" si="9"/>
        <v>0</v>
      </c>
      <c r="BW33" s="99">
        <f t="shared" si="10"/>
        <v>0</v>
      </c>
      <c r="BX33" s="99">
        <f t="shared" si="11"/>
        <v>0</v>
      </c>
      <c r="BY33" s="99">
        <f t="shared" si="12"/>
        <v>0.70967741935483875</v>
      </c>
      <c r="BZ33" s="99">
        <f t="shared" si="13"/>
        <v>2.5850340136054419</v>
      </c>
    </row>
    <row r="34" spans="1:78">
      <c r="A34" s="12" t="s">
        <v>216</v>
      </c>
      <c r="B34" s="13" t="s">
        <v>2542</v>
      </c>
      <c r="C34" s="9" t="str">
        <f>IF(VLOOKUP($A34,'I-Ligands'!$A:$G,5,FALSE)="","",VLOOKUP($A34,'I-Ligands'!$A:$G,5,FALSE))</f>
        <v>Guide to Pharmacology</v>
      </c>
      <c r="D34" s="9">
        <f>IF(VLOOKUP($A34,'I-Ligands'!$A:$G,6,FALSE)="","",VLOOKUP($A34,'I-Ligands'!$A:$G,6,FALSE))</f>
        <v>2019</v>
      </c>
      <c r="E34" s="9" t="str">
        <f>IF(VLOOKUP($A34,'I-Ligands'!$A:$G,7,FALSE)="","",VLOOKUP($A34,'I-Ligands'!$A:$G,7,FALSE))</f>
        <v>Phys</v>
      </c>
      <c r="F34" s="7" cm="1">
        <f t="array" ref="F34">_xlfn.IFS(T34=0,0,T34&gt;0,(LOG(0.01*T34/10^-AH34)))</f>
        <v>0</v>
      </c>
      <c r="G34" s="8" cm="1">
        <f t="array" ref="G34">_xlfn.IFS(U34=0,0,U34&gt;0,(LOG(0.01*U34/10^-AI34)))</f>
        <v>0</v>
      </c>
      <c r="H34" s="8" cm="1">
        <f t="array" ref="H34">_xlfn.IFS(V34=0,0,V34&gt;0,(LOG(0.01*V34/10^-AJ34)))</f>
        <v>8.6178190950732745</v>
      </c>
      <c r="I34" s="8" cm="1">
        <f t="array" ref="I34">_xlfn.IFS(W34=0,0,W34&gt;0,(LOG(0.01*W34/10^-AK34)))</f>
        <v>8.6178190950732745</v>
      </c>
      <c r="J34" s="8" cm="1">
        <f t="array" ref="J34">_xlfn.IFS(X34=0,0,X34&gt;0,(LOG(0.01*X34/10^-AL34)))</f>
        <v>8.9297522800024094</v>
      </c>
      <c r="K34" s="8" cm="1">
        <f t="array" ref="K34">_xlfn.IFS(Y34=0,0,Y34&gt;0,(LOG(0.01*Y34/10^-AM34)))</f>
        <v>7.8499331233312946</v>
      </c>
      <c r="L34" s="8" cm="1">
        <f t="array" ref="L34">_xlfn.IFS(Z34=0,0,Z34&gt;0,(LOG(0.01*Z34/10^-AN34)))</f>
        <v>7.8499331233312946</v>
      </c>
      <c r="M34" s="8" cm="1">
        <f t="array" ref="M34">_xlfn.IFS(AA34=0,0,AA34&gt;0,(LOG(0.01*AA34/10^-AO34)))</f>
        <v>7.1369100130080572</v>
      </c>
      <c r="N34" s="8" cm="1">
        <f t="array" ref="N34">_xlfn.IFS(AB34=0,0,AB34&gt;0,(LOG(0.01*AB34/10^-AP34)))</f>
        <v>0</v>
      </c>
      <c r="O34" s="8" cm="1">
        <f t="array" ref="O34">_xlfn.IFS(AC34=0,0,AC34&gt;0,(LOG(0.01*AC34/10^-AQ34)))</f>
        <v>0</v>
      </c>
      <c r="P34" s="8" cm="1">
        <f t="array" ref="P34">_xlfn.IFS(AD34=0,0,AD34&gt;0,(LOG(0.01*AD34/10^-AR34)))</f>
        <v>7.4603316981702914</v>
      </c>
      <c r="Q34" s="8" cm="1">
        <f t="array" ref="Q34">_xlfn.IFS(AE34=0,0,AE34&gt;0,(LOG(0.01*AE34/10^-AS34)))</f>
        <v>7.21921911265538</v>
      </c>
      <c r="R34" s="8" cm="1">
        <f t="array" ref="R34">_xlfn.IFS(AF34=0,0,AF34&gt;0,(LOG(0.01*AF34/10^-AT34)))</f>
        <v>8.1801996982030829</v>
      </c>
      <c r="S34" s="8" cm="1">
        <f t="array" ref="S34">_xlfn.IFS(AG34=0,0,AG34&gt;0,(LOG(0.01*AG34/10^-AU34)))</f>
        <v>6.7356351945975499</v>
      </c>
      <c r="V34" s="17">
        <v>34.5</v>
      </c>
      <c r="W34" s="17">
        <v>34.5</v>
      </c>
      <c r="X34" s="17">
        <v>26.9</v>
      </c>
      <c r="Y34" s="17">
        <v>25.7</v>
      </c>
      <c r="Z34" s="17">
        <v>25.7</v>
      </c>
      <c r="AA34" s="17">
        <v>12.5</v>
      </c>
      <c r="AD34" s="17">
        <v>15.5</v>
      </c>
      <c r="AE34" s="17">
        <v>14.1</v>
      </c>
      <c r="AF34" s="17">
        <v>33.9</v>
      </c>
      <c r="AG34" s="17">
        <v>9.9</v>
      </c>
      <c r="AJ34" s="15">
        <v>9.08</v>
      </c>
      <c r="AK34" s="15">
        <v>9.08</v>
      </c>
      <c r="AL34" s="15">
        <v>9.5</v>
      </c>
      <c r="AM34" s="15">
        <v>8.44</v>
      </c>
      <c r="AN34" s="15">
        <v>8.44</v>
      </c>
      <c r="AO34" s="15">
        <v>8.0399999999999991</v>
      </c>
      <c r="AR34" s="15">
        <v>8.27</v>
      </c>
      <c r="AS34" s="15">
        <v>8.07</v>
      </c>
      <c r="AT34" s="15">
        <v>8.65</v>
      </c>
      <c r="AU34" s="15">
        <v>7.74</v>
      </c>
      <c r="AW34" s="186" t="str">
        <f>IF(VLOOKUP($A34,'I-Ligands'!$A:$G,3,FALSE)="","",VLOOKUP($A34,'I-Ligands'!$A:$G,3,FALSE))</f>
        <v>Somatostatin</v>
      </c>
      <c r="AX34" s="187" t="str">
        <f>IF(VLOOKUP($A34,'I-Ligands'!$A:$G,4,FALSE)="","",VLOOKUP($A34,'I-Ligands'!$A:$G,4,FALSE))</f>
        <v>AGCKNFFWKTFTSC</v>
      </c>
      <c r="AY34" s="98">
        <v>3.38</v>
      </c>
      <c r="AZ34" s="99">
        <v>3.24</v>
      </c>
      <c r="BA34" s="99">
        <v>2.73</v>
      </c>
      <c r="BB34" s="99">
        <v>2.73</v>
      </c>
      <c r="BC34" s="99">
        <v>4.83</v>
      </c>
      <c r="BD34" s="99">
        <v>3.6</v>
      </c>
      <c r="BE34" s="99">
        <v>3.6</v>
      </c>
      <c r="BF34" s="99">
        <v>4.55</v>
      </c>
      <c r="BG34" s="99">
        <v>3.69</v>
      </c>
      <c r="BH34" s="99">
        <v>3.69</v>
      </c>
      <c r="BI34" s="99">
        <v>4.28</v>
      </c>
      <c r="BJ34" s="99">
        <v>2.88</v>
      </c>
      <c r="BK34" s="99">
        <v>3.35</v>
      </c>
      <c r="BL34" s="99">
        <v>3.36</v>
      </c>
      <c r="BM34" s="98">
        <f t="shared" ref="BM34:BM65" si="14">IF(T34="",0,IFERROR(T34/AY34,""))</f>
        <v>0</v>
      </c>
      <c r="BN34" s="99">
        <f t="shared" ref="BN34:BN65" si="15">IF(U34="",0,IFERROR(U34/AZ34,""))</f>
        <v>0</v>
      </c>
      <c r="BO34" s="99">
        <f t="shared" ref="BO34:BO65" si="16">IF(V34="",0,IFERROR(V34/BA34,""))</f>
        <v>12.637362637362637</v>
      </c>
      <c r="BP34" s="99">
        <f t="shared" ref="BP34:BP65" si="17">IF(W34="",0,IFERROR(W34/BB34,""))</f>
        <v>12.637362637362637</v>
      </c>
      <c r="BQ34" s="99">
        <f t="shared" ref="BQ34:BQ65" si="18">IF(X34="",0,IFERROR(X34/BC34,""))</f>
        <v>5.5693581780538297</v>
      </c>
      <c r="BR34" s="99">
        <f t="shared" ref="BR34:BR65" si="19">IF(Y34="",0,IFERROR(Y34/BD34,""))</f>
        <v>7.1388888888888884</v>
      </c>
      <c r="BS34" s="99">
        <f t="shared" ref="BS34:BS65" si="20">IF(Z34="",0,IFERROR(Z34/BE34,""))</f>
        <v>7.1388888888888884</v>
      </c>
      <c r="BT34" s="99">
        <f t="shared" ref="BT34:BT65" si="21">IF(AA34="",0,IFERROR(AA34/BF34,""))</f>
        <v>2.7472527472527473</v>
      </c>
      <c r="BU34" s="99">
        <f t="shared" ref="BU34:BU65" si="22">IF(AB34="",0,IFERROR(AB34/BG34,""))</f>
        <v>0</v>
      </c>
      <c r="BV34" s="99">
        <f t="shared" ref="BV34:BV65" si="23">IF(AC34="",0,IFERROR(AC34/BH34,""))</f>
        <v>0</v>
      </c>
      <c r="BW34" s="99">
        <f t="shared" ref="BW34:BW65" si="24">IF(AD34="",0,IFERROR(AD34/BI34,""))</f>
        <v>3.6214953271028034</v>
      </c>
      <c r="BX34" s="99">
        <f t="shared" ref="BX34:BX65" si="25">IF(AE34="",0,IFERROR(AE34/BJ34,""))</f>
        <v>4.895833333333333</v>
      </c>
      <c r="BY34" s="99">
        <f t="shared" ref="BY34:BY65" si="26">IF(AF34="",0,IFERROR(AF34/BK34,""))</f>
        <v>10.119402985074625</v>
      </c>
      <c r="BZ34" s="99">
        <f t="shared" ref="BZ34:BZ65" si="27">IF(AG34="",0,IFERROR(AG34/BL34,""))</f>
        <v>2.9464285714285716</v>
      </c>
    </row>
    <row r="35" spans="1:78">
      <c r="A35" s="12" t="s">
        <v>218</v>
      </c>
      <c r="B35" s="13" t="s">
        <v>2541</v>
      </c>
      <c r="C35" s="9" t="str">
        <f>IF(VLOOKUP($A35,'I-Ligands'!$A:$G,5,FALSE)="","",VLOOKUP($A35,'I-Ligands'!$A:$G,5,FALSE))</f>
        <v>Guide to Pharmacology</v>
      </c>
      <c r="D35" s="9">
        <f>IF(VLOOKUP($A35,'I-Ligands'!$A:$G,6,FALSE)="","",VLOOKUP($A35,'I-Ligands'!$A:$G,6,FALSE))</f>
        <v>2019</v>
      </c>
      <c r="E35" s="9" t="str">
        <f>IF(VLOOKUP($A35,'I-Ligands'!$A:$G,7,FALSE)="","",VLOOKUP($A35,'I-Ligands'!$A:$G,7,FALSE))</f>
        <v>Phys</v>
      </c>
      <c r="F35" s="7" cm="1">
        <f t="array" ref="F35">_xlfn.IFS(T35=0,0,T35&gt;0,(LOG(0.01*T35/10^-AH35)))</f>
        <v>0</v>
      </c>
      <c r="G35" s="8" cm="1">
        <f t="array" ref="G35">_xlfn.IFS(U35=0,0,U35&gt;0,(LOG(0.01*U35/10^-AI35)))</f>
        <v>0</v>
      </c>
      <c r="H35" s="8" cm="1">
        <f t="array" ref="H35">_xlfn.IFS(V35=0,0,V35&gt;0,(LOG(0.01*V35/10^-AJ35)))</f>
        <v>8.047881896733994</v>
      </c>
      <c r="I35" s="8" cm="1">
        <f t="array" ref="I35">_xlfn.IFS(W35=0,0,W35&gt;0,(LOG(0.01*W35/10^-AK35)))</f>
        <v>8.047881896733994</v>
      </c>
      <c r="J35" s="8" cm="1">
        <f t="array" ref="J35">_xlfn.IFS(X35=0,0,X35&gt;0,(LOG(0.01*X35/10^-AL35)))</f>
        <v>8.7938830266438757</v>
      </c>
      <c r="K35" s="8" cm="1">
        <f t="array" ref="K35">_xlfn.IFS(Y35=0,0,Y35&gt;0,(LOG(0.01*Y35/10^-AM35)))</f>
        <v>7.7055573090077747</v>
      </c>
      <c r="L35" s="8" cm="1">
        <f t="array" ref="L35">_xlfn.IFS(Z35=0,0,Z35&gt;0,(LOG(0.01*Z35/10^-AN35)))</f>
        <v>7.7055573090077747</v>
      </c>
      <c r="M35" s="8" cm="1">
        <f t="array" ref="M35">_xlfn.IFS(AA35=0,0,AA35&gt;0,(LOG(0.01*AA35/10^-AO35)))</f>
        <v>7.2843213737826424</v>
      </c>
      <c r="N35" s="8" cm="1">
        <f t="array" ref="N35">_xlfn.IFS(AB35=0,0,AB35&gt;0,(LOG(0.01*AB35/10^-AP35)))</f>
        <v>0</v>
      </c>
      <c r="O35" s="8" cm="1">
        <f t="array" ref="O35">_xlfn.IFS(AC35=0,0,AC35&gt;0,(LOG(0.01*AC35/10^-AQ35)))</f>
        <v>0</v>
      </c>
      <c r="P35" s="8" cm="1">
        <f t="array" ref="P35">_xlfn.IFS(AD35=0,0,AD35&gt;0,(LOG(0.01*AD35/10^-AR35)))</f>
        <v>8.0079348470004543</v>
      </c>
      <c r="Q35" s="8" cm="1">
        <f t="array" ref="Q35">_xlfn.IFS(AE35=0,0,AE35&gt;0,(LOG(0.01*AE35/10^-AS35)))</f>
        <v>6.9977236052888481</v>
      </c>
      <c r="R35" s="8" cm="1">
        <f t="array" ref="R35">_xlfn.IFS(AF35=0,0,AF35&gt;0,(LOG(0.01*AF35/10^-AT35)))</f>
        <v>0</v>
      </c>
      <c r="S35" s="8" cm="1">
        <f t="array" ref="S35">_xlfn.IFS(AG35=0,0,AG35&gt;0,(LOG(0.01*AG35/10^-AU35)))</f>
        <v>0</v>
      </c>
      <c r="V35" s="17">
        <v>28.7</v>
      </c>
      <c r="W35" s="17">
        <v>28.7</v>
      </c>
      <c r="X35" s="17">
        <v>35.799999999999997</v>
      </c>
      <c r="Y35" s="17">
        <v>19.3</v>
      </c>
      <c r="Z35" s="17">
        <v>19.3</v>
      </c>
      <c r="AA35" s="17">
        <v>10.1</v>
      </c>
      <c r="AD35" s="17">
        <v>22.8</v>
      </c>
      <c r="AE35" s="17">
        <v>9.5</v>
      </c>
      <c r="AJ35" s="15">
        <v>8.59</v>
      </c>
      <c r="AK35" s="15">
        <v>8.59</v>
      </c>
      <c r="AL35" s="15">
        <v>9.24</v>
      </c>
      <c r="AM35" s="15">
        <v>8.42</v>
      </c>
      <c r="AN35" s="15">
        <v>8.42</v>
      </c>
      <c r="AO35" s="15">
        <v>8.2799999999999994</v>
      </c>
      <c r="AR35" s="15">
        <v>8.65</v>
      </c>
      <c r="AS35" s="15">
        <v>8.02</v>
      </c>
      <c r="AW35" s="186" t="str">
        <f>IF(VLOOKUP($A35,'I-Ligands'!$A:$G,3,FALSE)="","",VLOOKUP($A35,'I-Ligands'!$A:$G,3,FALSE))</f>
        <v>Somatostatin</v>
      </c>
      <c r="AX35" s="187" t="str">
        <f>IF(VLOOKUP($A35,'I-Ligands'!$A:$G,4,FALSE)="","",VLOOKUP($A35,'I-Ligands'!$A:$G,4,FALSE))</f>
        <v>AGCKNFFWKTFTSC</v>
      </c>
      <c r="AY35" s="98">
        <v>6.28</v>
      </c>
      <c r="AZ35" s="99">
        <v>5.43</v>
      </c>
      <c r="BA35" s="99">
        <v>6.67</v>
      </c>
      <c r="BB35" s="99">
        <v>6.67</v>
      </c>
      <c r="BC35" s="99">
        <v>6.01</v>
      </c>
      <c r="BD35" s="99">
        <v>5.86</v>
      </c>
      <c r="BE35" s="99">
        <v>5.86</v>
      </c>
      <c r="BF35" s="99">
        <v>6.42</v>
      </c>
      <c r="BG35" s="99">
        <v>9.59</v>
      </c>
      <c r="BH35" s="99">
        <v>9.59</v>
      </c>
      <c r="BI35" s="99">
        <v>9.43</v>
      </c>
      <c r="BJ35" s="99">
        <v>6.74</v>
      </c>
      <c r="BK35" s="99">
        <v>4.67</v>
      </c>
      <c r="BL35" s="99">
        <v>7.16</v>
      </c>
      <c r="BM35" s="98">
        <f t="shared" si="14"/>
        <v>0</v>
      </c>
      <c r="BN35" s="99">
        <f t="shared" si="15"/>
        <v>0</v>
      </c>
      <c r="BO35" s="99">
        <f t="shared" si="16"/>
        <v>4.3028485757121437</v>
      </c>
      <c r="BP35" s="99">
        <f t="shared" si="17"/>
        <v>4.3028485757121437</v>
      </c>
      <c r="BQ35" s="99">
        <f t="shared" si="18"/>
        <v>5.956738768718802</v>
      </c>
      <c r="BR35" s="99">
        <f t="shared" si="19"/>
        <v>3.2935153583617747</v>
      </c>
      <c r="BS35" s="99">
        <f t="shared" si="20"/>
        <v>3.2935153583617747</v>
      </c>
      <c r="BT35" s="99">
        <f t="shared" si="21"/>
        <v>1.5732087227414331</v>
      </c>
      <c r="BU35" s="99">
        <f t="shared" si="22"/>
        <v>0</v>
      </c>
      <c r="BV35" s="99">
        <f t="shared" si="23"/>
        <v>0</v>
      </c>
      <c r="BW35" s="99">
        <f t="shared" si="24"/>
        <v>2.4178154825026512</v>
      </c>
      <c r="BX35" s="99">
        <f t="shared" si="25"/>
        <v>1.4094955489614243</v>
      </c>
      <c r="BY35" s="99">
        <f t="shared" si="26"/>
        <v>0</v>
      </c>
      <c r="BZ35" s="99">
        <f t="shared" si="27"/>
        <v>0</v>
      </c>
    </row>
    <row r="36" spans="1:78">
      <c r="A36" s="12" t="s">
        <v>220</v>
      </c>
      <c r="B36" s="13" t="s">
        <v>2539</v>
      </c>
      <c r="C36" s="9" t="str">
        <f>IF(VLOOKUP($A36,'I-Ligands'!$A:$G,5,FALSE)="","",VLOOKUP($A36,'I-Ligands'!$A:$G,5,FALSE))</f>
        <v>Guide to Pharmacology</v>
      </c>
      <c r="D36" s="9">
        <f>IF(VLOOKUP($A36,'I-Ligands'!$A:$G,6,FALSE)="","",VLOOKUP($A36,'I-Ligands'!$A:$G,6,FALSE))</f>
        <v>2019</v>
      </c>
      <c r="E36" s="9" t="str">
        <f>IF(VLOOKUP($A36,'I-Ligands'!$A:$G,7,FALSE)="","",VLOOKUP($A36,'I-Ligands'!$A:$G,7,FALSE))</f>
        <v>Phys</v>
      </c>
      <c r="F36" s="7" cm="1">
        <f t="array" ref="F36">_xlfn.IFS(T36=0,0,T36&gt;0,(LOG(0.01*T36/10^-AH36)))</f>
        <v>0</v>
      </c>
      <c r="G36" s="8" cm="1">
        <f t="array" ref="G36">_xlfn.IFS(U36=0,0,U36&gt;0,(LOG(0.01*U36/10^-AI36)))</f>
        <v>0</v>
      </c>
      <c r="H36" s="8" cm="1">
        <f t="array" ref="H36">_xlfn.IFS(V36=0,0,V36&gt;0,(LOG(0.01*V36/10^-AJ36)))</f>
        <v>8.5302283530550955</v>
      </c>
      <c r="I36" s="8" cm="1">
        <f t="array" ref="I36">_xlfn.IFS(W36=0,0,W36&gt;0,(LOG(0.01*W36/10^-AK36)))</f>
        <v>8.5302283530550955</v>
      </c>
      <c r="J36" s="8" cm="1">
        <f t="array" ref="J36">_xlfn.IFS(X36=0,0,X36&gt;0,(LOG(0.01*X36/10^-AL36)))</f>
        <v>9.0058738437116794</v>
      </c>
      <c r="K36" s="8" cm="1">
        <f t="array" ref="K36">_xlfn.IFS(Y36=0,0,Y36&gt;0,(LOG(0.01*Y36/10^-AM36)))</f>
        <v>7.7487536009528304</v>
      </c>
      <c r="L36" s="8" cm="1">
        <f t="array" ref="L36">_xlfn.IFS(Z36=0,0,Z36&gt;0,(LOG(0.01*Z36/10^-AN36)))</f>
        <v>7.7487536009528304</v>
      </c>
      <c r="M36" s="8" cm="1">
        <f t="array" ref="M36">_xlfn.IFS(AA36=0,0,AA36&gt;0,(LOG(0.01*AA36/10^-AO36)))</f>
        <v>7.2431278535996979</v>
      </c>
      <c r="N36" s="8" cm="1">
        <f t="array" ref="N36">_xlfn.IFS(AB36=0,0,AB36&gt;0,(LOG(0.01*AB36/10^-AP36)))</f>
        <v>0</v>
      </c>
      <c r="O36" s="8" cm="1">
        <f t="array" ref="O36">_xlfn.IFS(AC36=0,0,AC36&gt;0,(LOG(0.01*AC36/10^-AQ36)))</f>
        <v>0</v>
      </c>
      <c r="P36" s="8" cm="1">
        <f t="array" ref="P36">_xlfn.IFS(AD36=0,0,AD36&gt;0,(LOG(0.01*AD36/10^-AR36)))</f>
        <v>7.6118820073061251</v>
      </c>
      <c r="Q36" s="8" cm="1">
        <f t="array" ref="Q36">_xlfn.IFS(AE36=0,0,AE36&gt;0,(LOG(0.01*AE36/10^-AS36)))</f>
        <v>7.3793900066449138</v>
      </c>
      <c r="R36" s="8" cm="1">
        <f t="array" ref="R36">_xlfn.IFS(AF36=0,0,AF36&gt;0,(LOG(0.01*AF36/10^-AT36)))</f>
        <v>8.1123979978989578</v>
      </c>
      <c r="S36" s="8" cm="1">
        <f t="array" ref="S36">_xlfn.IFS(AG36=0,0,AG36&gt;0,(LOG(0.01*AG36/10^-AU36)))</f>
        <v>0</v>
      </c>
      <c r="V36" s="17">
        <v>35.5</v>
      </c>
      <c r="W36" s="17">
        <v>35.5</v>
      </c>
      <c r="X36" s="17">
        <v>32.799999999999997</v>
      </c>
      <c r="Y36" s="17">
        <v>19</v>
      </c>
      <c r="Z36" s="17">
        <v>19</v>
      </c>
      <c r="AA36" s="17">
        <v>9.4</v>
      </c>
      <c r="AD36" s="17">
        <v>11.8</v>
      </c>
      <c r="AE36" s="17">
        <v>8.9</v>
      </c>
      <c r="AF36" s="17">
        <v>29</v>
      </c>
      <c r="AJ36" s="15">
        <v>8.98</v>
      </c>
      <c r="AK36" s="15">
        <v>8.98</v>
      </c>
      <c r="AL36" s="15">
        <v>9.49</v>
      </c>
      <c r="AM36" s="15">
        <v>8.4700000000000006</v>
      </c>
      <c r="AN36" s="15">
        <v>8.4700000000000006</v>
      </c>
      <c r="AO36" s="15">
        <v>8.27</v>
      </c>
      <c r="AR36" s="15">
        <v>8.5399999999999991</v>
      </c>
      <c r="AS36" s="15">
        <v>8.43</v>
      </c>
      <c r="AT36" s="15">
        <v>8.65</v>
      </c>
      <c r="AW36" s="186" t="str">
        <f>IF(VLOOKUP($A36,'I-Ligands'!$A:$G,3,FALSE)="","",VLOOKUP($A36,'I-Ligands'!$A:$G,3,FALSE))</f>
        <v>Somatostatin</v>
      </c>
      <c r="AX36" s="187" t="str">
        <f>IF(VLOOKUP($A36,'I-Ligands'!$A:$G,4,FALSE)="","",VLOOKUP($A36,'I-Ligands'!$A:$G,4,FALSE))</f>
        <v>AGCKNFFWKTFTSC</v>
      </c>
      <c r="AY36" s="98">
        <v>4.0199999999999996</v>
      </c>
      <c r="AZ36" s="99">
        <v>3.33</v>
      </c>
      <c r="BA36" s="99">
        <v>4.26</v>
      </c>
      <c r="BB36" s="99">
        <v>4.26</v>
      </c>
      <c r="BC36" s="99">
        <v>3.3</v>
      </c>
      <c r="BD36" s="99">
        <v>5.45</v>
      </c>
      <c r="BE36" s="99">
        <v>5.45</v>
      </c>
      <c r="BF36" s="99">
        <v>2.56</v>
      </c>
      <c r="BG36" s="99">
        <v>4.6900000000000004</v>
      </c>
      <c r="BH36" s="99">
        <v>4.6900000000000004</v>
      </c>
      <c r="BI36" s="99">
        <v>5.31</v>
      </c>
      <c r="BJ36" s="99">
        <v>0.98</v>
      </c>
      <c r="BK36" s="99">
        <v>3.5</v>
      </c>
      <c r="BL36" s="99">
        <v>5.16</v>
      </c>
      <c r="BM36" s="98">
        <f t="shared" si="14"/>
        <v>0</v>
      </c>
      <c r="BN36" s="99">
        <f t="shared" si="15"/>
        <v>0</v>
      </c>
      <c r="BO36" s="99">
        <f t="shared" si="16"/>
        <v>8.3333333333333339</v>
      </c>
      <c r="BP36" s="99">
        <f t="shared" si="17"/>
        <v>8.3333333333333339</v>
      </c>
      <c r="BQ36" s="99">
        <f t="shared" si="18"/>
        <v>9.9393939393939394</v>
      </c>
      <c r="BR36" s="99">
        <f t="shared" si="19"/>
        <v>3.4862385321100917</v>
      </c>
      <c r="BS36" s="99">
        <f t="shared" si="20"/>
        <v>3.4862385321100917</v>
      </c>
      <c r="BT36" s="99">
        <f t="shared" si="21"/>
        <v>3.671875</v>
      </c>
      <c r="BU36" s="99">
        <f t="shared" si="22"/>
        <v>0</v>
      </c>
      <c r="BV36" s="99">
        <f t="shared" si="23"/>
        <v>0</v>
      </c>
      <c r="BW36" s="99">
        <f t="shared" si="24"/>
        <v>2.2222222222222223</v>
      </c>
      <c r="BX36" s="99">
        <f t="shared" si="25"/>
        <v>9.0816326530612255</v>
      </c>
      <c r="BY36" s="99">
        <f t="shared" si="26"/>
        <v>8.2857142857142865</v>
      </c>
      <c r="BZ36" s="99">
        <f t="shared" si="27"/>
        <v>0</v>
      </c>
    </row>
    <row r="37" spans="1:78" ht="18">
      <c r="A37" s="12" t="s">
        <v>139</v>
      </c>
      <c r="B37" s="13" t="s">
        <v>2625</v>
      </c>
      <c r="C37" s="9" t="str">
        <f>IF(VLOOKUP($A37,'I-Ligands'!$A:$G,5,FALSE)="","",VLOOKUP($A37,'I-Ligands'!$A:$G,5,FALSE))</f>
        <v>Guide to Pharmacology</v>
      </c>
      <c r="D37" s="9">
        <f>IF(VLOOKUP($A37,'I-Ligands'!$A:$G,6,FALSE)="","",VLOOKUP($A37,'I-Ligands'!$A:$G,6,FALSE))</f>
        <v>1204</v>
      </c>
      <c r="E37" s="9" t="str">
        <f>IF(VLOOKUP($A37,'I-Ligands'!$A:$G,7,FALSE)="","",VLOOKUP($A37,'I-Ligands'!$A:$G,7,FALSE))</f>
        <v>Phys</v>
      </c>
      <c r="F37" s="7" cm="1">
        <f t="array" ref="F37">_xlfn.IFS(T37=0,0,T37&gt;0,(LOG(0.01*T37/10^-AH37)))</f>
        <v>5.0820599913279629</v>
      </c>
      <c r="G37" s="8" cm="1">
        <f t="array" ref="G37">_xlfn.IFS(U37=0,0,U37&gt;0,(LOG(0.01*U37/10^-AI37)))</f>
        <v>5.1549733479708184</v>
      </c>
      <c r="H37" s="8" cm="1">
        <f t="array" ref="H37">_xlfn.IFS(V37=0,0,V37&gt;0,(LOG(0.01*V37/10^-AJ37)))</f>
        <v>6.7642824552976943</v>
      </c>
      <c r="I37" s="8" cm="1">
        <f t="array" ref="I37">_xlfn.IFS(W37=0,0,W37&gt;0,(LOG(0.01*W37/10^-AK37)))</f>
        <v>6.7642824552976943</v>
      </c>
      <c r="J37" s="8" cm="1">
        <f t="array" ref="J37">_xlfn.IFS(X37=0,0,X37&gt;0,(LOG(0.01*X37/10^-AL37)))</f>
        <v>6.6168258760318501</v>
      </c>
      <c r="K37" s="8" cm="1">
        <f t="array" ref="K37">_xlfn.IFS(Y37=0,0,Y37&gt;0,(LOG(0.01*Y37/10^-AM37)))</f>
        <v>5.5908135922807922</v>
      </c>
      <c r="L37" s="8" cm="1">
        <f t="array" ref="L37">_xlfn.IFS(Z37=0,0,Z37&gt;0,(LOG(0.01*Z37/10^-AN37)))</f>
        <v>5.5908135922807922</v>
      </c>
      <c r="M37" s="8" cm="1">
        <f t="array" ref="M37">_xlfn.IFS(AA37=0,0,AA37&gt;0,(LOG(0.01*AA37/10^-AO37)))</f>
        <v>5.1723979978989565</v>
      </c>
      <c r="N37" s="8" cm="1">
        <f t="array" ref="N37">_xlfn.IFS(AB37=0,0,AB37&gt;0,(LOG(0.01*AB37/10^-AP37)))</f>
        <v>5.2871580313422193</v>
      </c>
      <c r="O37" s="8" cm="1">
        <f t="array" ref="O37">_xlfn.IFS(AC37=0,0,AC37&gt;0,(LOG(0.01*AC37/10^-AQ37)))</f>
        <v>5.2871580313422193</v>
      </c>
      <c r="P37" s="8" cm="1">
        <f t="array" ref="P37">_xlfn.IFS(AD37=0,0,AD37&gt;0,(LOG(0.01*AD37/10^-AR37)))</f>
        <v>5.5132492903979005</v>
      </c>
      <c r="Q37" s="8" cm="1">
        <f t="array" ref="Q37">_xlfn.IFS(AE37=0,0,AE37&gt;0,(LOG(0.01*AE37/10^-AS37)))</f>
        <v>5.7976270912904422</v>
      </c>
      <c r="R37" s="8" cm="1">
        <f t="array" ref="R37">_xlfn.IFS(AF37=0,0,AF37&gt;0,(LOG(0.01*AF37/10^-AT37)))</f>
        <v>5.3220599913279631</v>
      </c>
      <c r="S37" s="8" cm="1">
        <f t="array" ref="S37">_xlfn.IFS(AG37=0,0,AG37&gt;0,(LOG(0.01*AG37/10^-AU37)))</f>
        <v>0</v>
      </c>
      <c r="T37" s="16">
        <v>4</v>
      </c>
      <c r="U37" s="17">
        <v>2.6</v>
      </c>
      <c r="V37" s="17">
        <v>21.1</v>
      </c>
      <c r="W37" s="17">
        <v>21.1</v>
      </c>
      <c r="X37" s="17">
        <v>16.100000000000001</v>
      </c>
      <c r="Y37" s="17">
        <v>7.6</v>
      </c>
      <c r="Z37" s="17">
        <v>7.6</v>
      </c>
      <c r="AA37" s="17">
        <v>2.9</v>
      </c>
      <c r="AB37" s="17">
        <v>2.8</v>
      </c>
      <c r="AC37" s="17">
        <v>2.8</v>
      </c>
      <c r="AD37" s="17">
        <v>4.2</v>
      </c>
      <c r="AE37" s="17">
        <v>7.9</v>
      </c>
      <c r="AF37" s="17">
        <v>4</v>
      </c>
      <c r="AH37" s="14">
        <v>6.48</v>
      </c>
      <c r="AI37" s="15">
        <v>6.74</v>
      </c>
      <c r="AJ37" s="15">
        <v>7.44</v>
      </c>
      <c r="AK37" s="15">
        <v>7.44</v>
      </c>
      <c r="AL37" s="15">
        <v>7.41</v>
      </c>
      <c r="AM37" s="15">
        <v>6.71</v>
      </c>
      <c r="AN37" s="15">
        <v>6.71</v>
      </c>
      <c r="AO37" s="15">
        <v>6.71</v>
      </c>
      <c r="AP37" s="15">
        <v>6.84</v>
      </c>
      <c r="AQ37" s="15">
        <v>6.84</v>
      </c>
      <c r="AR37" s="15">
        <v>6.89</v>
      </c>
      <c r="AS37" s="15">
        <v>6.9</v>
      </c>
      <c r="AT37" s="15">
        <v>6.72</v>
      </c>
      <c r="AW37" s="186" t="str">
        <f>IF(VLOOKUP($A37,'I-Ligands'!$A:$G,3,FALSE)="","",VLOOKUP($A37,'I-Ligands'!$A:$G,3,FALSE))</f>
        <v>Histamine</v>
      </c>
      <c r="AX37" s="187" t="str">
        <f>IF(VLOOKUP($A37,'I-Ligands'!$A:$G,4,FALSE)="","",VLOOKUP($A37,'I-Ligands'!$A:$G,4,FALSE))</f>
        <v>Histamine Dihydrochloride</v>
      </c>
      <c r="AY37" s="98">
        <v>3.25</v>
      </c>
      <c r="AZ37" s="99">
        <v>3.66</v>
      </c>
      <c r="BA37" s="99">
        <v>4.09</v>
      </c>
      <c r="BB37" s="99">
        <v>4.09</v>
      </c>
      <c r="BC37" s="99">
        <v>4.63</v>
      </c>
      <c r="BD37" s="99">
        <v>3.28</v>
      </c>
      <c r="BE37" s="99">
        <v>3.28</v>
      </c>
      <c r="BF37" s="99">
        <v>3.14</v>
      </c>
      <c r="BG37" s="99">
        <v>7.26</v>
      </c>
      <c r="BH37" s="99">
        <v>7.26</v>
      </c>
      <c r="BI37" s="99">
        <v>7.98</v>
      </c>
      <c r="BJ37" s="99">
        <v>2.72</v>
      </c>
      <c r="BK37" s="99">
        <v>3.01</v>
      </c>
      <c r="BL37" s="99">
        <v>2.89</v>
      </c>
      <c r="BM37" s="98">
        <f t="shared" si="14"/>
        <v>1.2307692307692308</v>
      </c>
      <c r="BN37" s="99">
        <f t="shared" si="15"/>
        <v>0.7103825136612022</v>
      </c>
      <c r="BO37" s="99">
        <f t="shared" si="16"/>
        <v>5.1589242053789732</v>
      </c>
      <c r="BP37" s="99">
        <f t="shared" si="17"/>
        <v>5.1589242053789732</v>
      </c>
      <c r="BQ37" s="99">
        <f t="shared" si="18"/>
        <v>3.4773218142548599</v>
      </c>
      <c r="BR37" s="99">
        <f t="shared" si="19"/>
        <v>2.3170731707317072</v>
      </c>
      <c r="BS37" s="99">
        <f t="shared" si="20"/>
        <v>2.3170731707317072</v>
      </c>
      <c r="BT37" s="99">
        <f t="shared" si="21"/>
        <v>0.92356687898089163</v>
      </c>
      <c r="BU37" s="99">
        <f t="shared" si="22"/>
        <v>0.38567493112947659</v>
      </c>
      <c r="BV37" s="99">
        <f t="shared" si="23"/>
        <v>0.38567493112947659</v>
      </c>
      <c r="BW37" s="99">
        <f t="shared" si="24"/>
        <v>0.52631578947368418</v>
      </c>
      <c r="BX37" s="99">
        <f t="shared" si="25"/>
        <v>2.9044117647058822</v>
      </c>
      <c r="BY37" s="99">
        <f t="shared" si="26"/>
        <v>1.3289036544850499</v>
      </c>
      <c r="BZ37" s="99">
        <f t="shared" si="27"/>
        <v>0</v>
      </c>
    </row>
    <row r="38" spans="1:78">
      <c r="A38" s="12" t="s">
        <v>219</v>
      </c>
      <c r="B38" s="13" t="s">
        <v>2540</v>
      </c>
      <c r="C38" s="9" t="str">
        <f>IF(VLOOKUP($A38,'I-Ligands'!$A:$G,5,FALSE)="","",VLOOKUP($A38,'I-Ligands'!$A:$G,5,FALSE))</f>
        <v>Guide to Pharmacology</v>
      </c>
      <c r="D38" s="9">
        <f>IF(VLOOKUP($A38,'I-Ligands'!$A:$G,6,FALSE)="","",VLOOKUP($A38,'I-Ligands'!$A:$G,6,FALSE))</f>
        <v>2019</v>
      </c>
      <c r="E38" s="9" t="str">
        <f>IF(VLOOKUP($A38,'I-Ligands'!$A:$G,7,FALSE)="","",VLOOKUP($A38,'I-Ligands'!$A:$G,7,FALSE))</f>
        <v>Phys</v>
      </c>
      <c r="F38" s="7" cm="1">
        <f t="array" ref="F38">_xlfn.IFS(T38=0,0,T38&gt;0,(LOG(0.01*T38/10^-AH38)))</f>
        <v>0</v>
      </c>
      <c r="G38" s="8" cm="1">
        <f t="array" ref="G38">_xlfn.IFS(U38=0,0,U38&gt;0,(LOG(0.01*U38/10^-AI38)))</f>
        <v>0</v>
      </c>
      <c r="H38" s="8" cm="1">
        <f t="array" ref="H38">_xlfn.IFS(V38=0,0,V38&gt;0,(LOG(0.01*V38/10^-AJ38)))</f>
        <v>7.8824442335063205</v>
      </c>
      <c r="I38" s="8" cm="1">
        <f t="array" ref="I38">_xlfn.IFS(W38=0,0,W38&gt;0,(LOG(0.01*W38/10^-AK38)))</f>
        <v>7.8824442335063205</v>
      </c>
      <c r="J38" s="8" cm="1">
        <f t="array" ref="J38">_xlfn.IFS(X38=0,0,X38&gt;0,(LOG(0.01*X38/10^-AL38)))</f>
        <v>8.1078190950732765</v>
      </c>
      <c r="K38" s="8" cm="1">
        <f t="array" ref="K38">_xlfn.IFS(Y38=0,0,Y38&gt;0,(LOG(0.01*Y38/10^-AM38)))</f>
        <v>6.895272505103307</v>
      </c>
      <c r="L38" s="8" cm="1">
        <f t="array" ref="L38">_xlfn.IFS(Z38=0,0,Z38&gt;0,(LOG(0.01*Z38/10^-AN38)))</f>
        <v>6.895272505103307</v>
      </c>
      <c r="M38" s="8" cm="1">
        <f t="array" ref="M38">_xlfn.IFS(AA38=0,0,AA38&gt;0,(LOG(0.01*AA38/10^-AO38)))</f>
        <v>6.4599051114393982</v>
      </c>
      <c r="N38" s="8" cm="1">
        <f t="array" ref="N38">_xlfn.IFS(AB38=0,0,AB38&gt;0,(LOG(0.01*AB38/10^-AP38)))</f>
        <v>5.7810646070264999</v>
      </c>
      <c r="O38" s="8" cm="1">
        <f t="array" ref="O38">_xlfn.IFS(AC38=0,0,AC38&gt;0,(LOG(0.01*AC38/10^-AQ38)))</f>
        <v>5.7810646070264999</v>
      </c>
      <c r="P38" s="8" cm="1">
        <f t="array" ref="P38">_xlfn.IFS(AD38=0,0,AD38&gt;0,(LOG(0.01*AD38/10^-AR38)))</f>
        <v>6.74897694729317</v>
      </c>
      <c r="Q38" s="8" cm="1">
        <f t="array" ref="Q38">_xlfn.IFS(AE38=0,0,AE38&gt;0,(LOG(0.01*AE38/10^-AS38)))</f>
        <v>5.964242509439325</v>
      </c>
      <c r="R38" s="8" cm="1">
        <f t="array" ref="R38">_xlfn.IFS(AF38=0,0,AF38&gt;0,(LOG(0.01*AF38/10^-AT38)))</f>
        <v>6.1773324964312692</v>
      </c>
      <c r="S38" s="8" cm="1">
        <f t="array" ref="S38">_xlfn.IFS(AG38=0,0,AG38&gt;0,(LOG(0.01*AG38/10^-AU38)))</f>
        <v>0</v>
      </c>
      <c r="V38" s="17">
        <v>33.299999999999997</v>
      </c>
      <c r="W38" s="17">
        <v>33.299999999999997</v>
      </c>
      <c r="X38" s="17">
        <v>34.5</v>
      </c>
      <c r="Y38" s="17">
        <v>18</v>
      </c>
      <c r="Z38" s="17">
        <v>18</v>
      </c>
      <c r="AA38" s="17">
        <v>12.3</v>
      </c>
      <c r="AB38" s="17">
        <v>3.9</v>
      </c>
      <c r="AC38" s="17">
        <v>3.9</v>
      </c>
      <c r="AD38" s="17">
        <v>15.1</v>
      </c>
      <c r="AE38" s="17">
        <v>9</v>
      </c>
      <c r="AF38" s="17">
        <v>7.2</v>
      </c>
      <c r="AJ38" s="15">
        <v>8.36</v>
      </c>
      <c r="AK38" s="15">
        <v>8.36</v>
      </c>
      <c r="AL38" s="15">
        <v>8.57</v>
      </c>
      <c r="AM38" s="15">
        <v>7.64</v>
      </c>
      <c r="AN38" s="15">
        <v>7.64</v>
      </c>
      <c r="AO38" s="15">
        <v>7.37</v>
      </c>
      <c r="AP38" s="15">
        <v>7.19</v>
      </c>
      <c r="AQ38" s="15">
        <v>7.19</v>
      </c>
      <c r="AR38" s="15">
        <v>7.57</v>
      </c>
      <c r="AS38" s="15">
        <v>7.01</v>
      </c>
      <c r="AT38" s="15">
        <v>7.32</v>
      </c>
      <c r="AW38" s="186" t="str">
        <f>IF(VLOOKUP($A38,'I-Ligands'!$A:$G,3,FALSE)="","",VLOOKUP($A38,'I-Ligands'!$A:$G,3,FALSE))</f>
        <v>Somatostatin</v>
      </c>
      <c r="AX38" s="187" t="str">
        <f>IF(VLOOKUP($A38,'I-Ligands'!$A:$G,4,FALSE)="","",VLOOKUP($A38,'I-Ligands'!$A:$G,4,FALSE))</f>
        <v>AGCKNFFWKTFTSC</v>
      </c>
      <c r="AY38" s="98">
        <v>2.84</v>
      </c>
      <c r="AZ38" s="99">
        <v>1.7</v>
      </c>
      <c r="BA38" s="99">
        <v>3.45</v>
      </c>
      <c r="BB38" s="99">
        <v>3.45</v>
      </c>
      <c r="BC38" s="99">
        <v>4.46</v>
      </c>
      <c r="BD38" s="99">
        <v>2.85</v>
      </c>
      <c r="BE38" s="99">
        <v>2.85</v>
      </c>
      <c r="BF38" s="99">
        <v>2.75</v>
      </c>
      <c r="BG38" s="99">
        <v>6.8</v>
      </c>
      <c r="BH38" s="99">
        <v>6.8</v>
      </c>
      <c r="BI38" s="99">
        <v>8.17</v>
      </c>
      <c r="BJ38" s="99">
        <v>1.61</v>
      </c>
      <c r="BK38" s="99">
        <v>2.29</v>
      </c>
      <c r="BL38" s="99">
        <v>4</v>
      </c>
      <c r="BM38" s="98">
        <f t="shared" si="14"/>
        <v>0</v>
      </c>
      <c r="BN38" s="99">
        <f t="shared" si="15"/>
        <v>0</v>
      </c>
      <c r="BO38" s="99">
        <f t="shared" si="16"/>
        <v>9.6521739130434767</v>
      </c>
      <c r="BP38" s="99">
        <f t="shared" si="17"/>
        <v>9.6521739130434767</v>
      </c>
      <c r="BQ38" s="99">
        <f t="shared" si="18"/>
        <v>7.7354260089686102</v>
      </c>
      <c r="BR38" s="99">
        <f t="shared" si="19"/>
        <v>6.3157894736842106</v>
      </c>
      <c r="BS38" s="99">
        <f t="shared" si="20"/>
        <v>6.3157894736842106</v>
      </c>
      <c r="BT38" s="99">
        <f t="shared" si="21"/>
        <v>4.4727272727272727</v>
      </c>
      <c r="BU38" s="99">
        <f t="shared" si="22"/>
        <v>0.57352941176470584</v>
      </c>
      <c r="BV38" s="99">
        <f t="shared" si="23"/>
        <v>0.57352941176470584</v>
      </c>
      <c r="BW38" s="99">
        <f t="shared" si="24"/>
        <v>1.8482252141982864</v>
      </c>
      <c r="BX38" s="99">
        <f t="shared" si="25"/>
        <v>5.5900621118012417</v>
      </c>
      <c r="BY38" s="99">
        <f t="shared" si="26"/>
        <v>3.14410480349345</v>
      </c>
      <c r="BZ38" s="99">
        <f t="shared" si="27"/>
        <v>0</v>
      </c>
    </row>
    <row r="39" spans="1:78">
      <c r="A39" s="12" t="s">
        <v>182</v>
      </c>
      <c r="B39" s="13" t="s">
        <v>2550</v>
      </c>
      <c r="C39" s="9" t="str">
        <f>IF(VLOOKUP($A39,'I-Ligands'!$A:$G,5,FALSE)="","",VLOOKUP($A39,'I-Ligands'!$A:$G,5,FALSE))</f>
        <v>Guide to Pharmacology</v>
      </c>
      <c r="D39" s="9">
        <f>IF(VLOOKUP($A39,'I-Ligands'!$A:$G,6,FALSE)="","",VLOOKUP($A39,'I-Ligands'!$A:$G,6,FALSE))</f>
        <v>1620</v>
      </c>
      <c r="E39" s="9" t="str">
        <f>IF(VLOOKUP($A39,'I-Ligands'!$A:$G,7,FALSE)="","",VLOOKUP($A39,'I-Ligands'!$A:$G,7,FALSE))</f>
        <v>Phys</v>
      </c>
      <c r="F39" s="7" cm="1">
        <f t="array" ref="F39">_xlfn.IFS(T39=0,0,T39&gt;0,(LOG(0.01*T39/10^-AH39)))</f>
        <v>0</v>
      </c>
      <c r="G39" s="8" cm="1">
        <f t="array" ref="G39">_xlfn.IFS(U39=0,0,U39&gt;0,(LOG(0.01*U39/10^-AI39)))</f>
        <v>0</v>
      </c>
      <c r="H39" s="8" cm="1">
        <f t="array" ref="H39">_xlfn.IFS(V39=0,0,V39&gt;0,(LOG(0.01*V39/10^-AJ39)))</f>
        <v>7.4209249756756188</v>
      </c>
      <c r="I39" s="8" cm="1">
        <f t="array" ref="I39">_xlfn.IFS(W39=0,0,W39&gt;0,(LOG(0.01*W39/10^-AK39)))</f>
        <v>7.4209249756756188</v>
      </c>
      <c r="J39" s="8" cm="1">
        <f t="array" ref="J39">_xlfn.IFS(X39=0,0,X39&gt;0,(LOG(0.01*X39/10^-AL39)))</f>
        <v>7.7011013836490578</v>
      </c>
      <c r="K39" s="8" cm="1">
        <f t="array" ref="K39">_xlfn.IFS(Y39=0,0,Y39&gt;0,(LOG(0.01*Y39/10^-AM39)))</f>
        <v>6.879835482339888</v>
      </c>
      <c r="L39" s="8" cm="1">
        <f t="array" ref="L39">_xlfn.IFS(Z39=0,0,Z39&gt;0,(LOG(0.01*Z39/10^-AN39)))</f>
        <v>6.879835482339888</v>
      </c>
      <c r="M39" s="8" cm="1">
        <f t="array" ref="M39">_xlfn.IFS(AA39=0,0,AA39&gt;0,(LOG(0.01*AA39/10^-AO39)))</f>
        <v>6.995970345456918</v>
      </c>
      <c r="N39" s="8" cm="1">
        <f t="array" ref="N39">_xlfn.IFS(AB39=0,0,AB39&gt;0,(LOG(0.01*AB39/10^-AP39)))</f>
        <v>5.4771580313422197</v>
      </c>
      <c r="O39" s="8" cm="1">
        <f t="array" ref="O39">_xlfn.IFS(AC39=0,0,AC39&gt;0,(LOG(0.01*AC39/10^-AQ39)))</f>
        <v>5.4771580313422197</v>
      </c>
      <c r="P39" s="8" cm="1">
        <f t="array" ref="P39">_xlfn.IFS(AD39=0,0,AD39&gt;0,(LOG(0.01*AD39/10^-AR39)))</f>
        <v>6.4253360374650628</v>
      </c>
      <c r="Q39" s="8" cm="1">
        <f t="array" ref="Q39">_xlfn.IFS(AE39=0,0,AE39&gt;0,(LOG(0.01*AE39/10^-AS39)))</f>
        <v>5.5971580313422207</v>
      </c>
      <c r="R39" s="8" cm="1">
        <f t="array" ref="R39">_xlfn.IFS(AF39=0,0,AF39&gt;0,(LOG(0.01*AF39/10^-AT39)))</f>
        <v>6.0295439355418692</v>
      </c>
      <c r="S39" s="8" cm="1">
        <f t="array" ref="S39">_xlfn.IFS(AG39=0,0,AG39&gt;0,(LOG(0.01*AG39/10^-AU39)))</f>
        <v>0</v>
      </c>
      <c r="V39" s="17">
        <v>38.1</v>
      </c>
      <c r="W39" s="17">
        <v>38.1</v>
      </c>
      <c r="X39" s="17">
        <v>36.4</v>
      </c>
      <c r="Y39" s="17">
        <v>22.9</v>
      </c>
      <c r="Z39" s="17">
        <v>22.9</v>
      </c>
      <c r="AA39" s="17">
        <v>20.7</v>
      </c>
      <c r="AB39" s="17">
        <v>2.8</v>
      </c>
      <c r="AC39" s="17">
        <v>2.8</v>
      </c>
      <c r="AD39" s="17">
        <v>14.3</v>
      </c>
      <c r="AE39" s="17">
        <v>2.8</v>
      </c>
      <c r="AF39" s="17">
        <v>6.6</v>
      </c>
      <c r="AJ39" s="15">
        <v>7.84</v>
      </c>
      <c r="AK39" s="15">
        <v>7.84</v>
      </c>
      <c r="AL39" s="15">
        <v>8.14</v>
      </c>
      <c r="AM39" s="15">
        <v>7.52</v>
      </c>
      <c r="AN39" s="15">
        <v>7.52</v>
      </c>
      <c r="AO39" s="15">
        <v>7.68</v>
      </c>
      <c r="AP39" s="15">
        <v>7.03</v>
      </c>
      <c r="AQ39" s="15">
        <v>7.03</v>
      </c>
      <c r="AR39" s="15">
        <v>7.27</v>
      </c>
      <c r="AS39" s="15">
        <v>7.15</v>
      </c>
      <c r="AT39" s="15">
        <v>7.21</v>
      </c>
      <c r="AW39" s="186" t="str">
        <f>IF(VLOOKUP($A39,'I-Ligands'!$A:$G,3,FALSE)="","",VLOOKUP($A39,'I-Ligands'!$A:$G,3,FALSE))</f>
        <v>Dynorphin A</v>
      </c>
      <c r="AX39" s="187" t="str">
        <f>IF(VLOOKUP($A39,'I-Ligands'!$A:$G,4,FALSE)="","",VLOOKUP($A39,'I-Ligands'!$A:$G,4,FALSE))</f>
        <v>YGGFLRRIRPKLK</v>
      </c>
      <c r="AY39" s="98">
        <v>3.66</v>
      </c>
      <c r="AZ39" s="99">
        <v>3.39</v>
      </c>
      <c r="BA39" s="99">
        <v>3.54</v>
      </c>
      <c r="BB39" s="99">
        <v>3.54</v>
      </c>
      <c r="BC39" s="99">
        <v>2.85</v>
      </c>
      <c r="BD39" s="99">
        <v>1.39</v>
      </c>
      <c r="BE39" s="99">
        <v>1.39</v>
      </c>
      <c r="BF39" s="99">
        <v>2.57</v>
      </c>
      <c r="BG39" s="99">
        <v>4.3</v>
      </c>
      <c r="BH39" s="99">
        <v>4.3</v>
      </c>
      <c r="BI39" s="99">
        <v>5.25</v>
      </c>
      <c r="BJ39" s="99">
        <v>2.34</v>
      </c>
      <c r="BK39" s="99">
        <v>3.07</v>
      </c>
      <c r="BL39" s="99">
        <v>3.12</v>
      </c>
      <c r="BM39" s="98">
        <f t="shared" si="14"/>
        <v>0</v>
      </c>
      <c r="BN39" s="99">
        <f t="shared" si="15"/>
        <v>0</v>
      </c>
      <c r="BO39" s="99">
        <f t="shared" si="16"/>
        <v>10.76271186440678</v>
      </c>
      <c r="BP39" s="99">
        <f t="shared" si="17"/>
        <v>10.76271186440678</v>
      </c>
      <c r="BQ39" s="99">
        <f t="shared" si="18"/>
        <v>12.771929824561402</v>
      </c>
      <c r="BR39" s="99">
        <f t="shared" si="19"/>
        <v>16.474820143884891</v>
      </c>
      <c r="BS39" s="99">
        <f t="shared" si="20"/>
        <v>16.474820143884891</v>
      </c>
      <c r="BT39" s="99">
        <f t="shared" si="21"/>
        <v>8.054474708171206</v>
      </c>
      <c r="BU39" s="99">
        <f t="shared" si="22"/>
        <v>0.65116279069767435</v>
      </c>
      <c r="BV39" s="99">
        <f t="shared" si="23"/>
        <v>0.65116279069767435</v>
      </c>
      <c r="BW39" s="99">
        <f t="shared" si="24"/>
        <v>2.7238095238095239</v>
      </c>
      <c r="BX39" s="99">
        <f t="shared" si="25"/>
        <v>1.1965811965811965</v>
      </c>
      <c r="BY39" s="99">
        <f t="shared" si="26"/>
        <v>2.1498371335504887</v>
      </c>
      <c r="BZ39" s="99">
        <f t="shared" si="27"/>
        <v>0</v>
      </c>
    </row>
    <row r="40" spans="1:78" ht="18">
      <c r="A40" s="12" t="s">
        <v>39</v>
      </c>
      <c r="B40" s="13" t="s">
        <v>2597</v>
      </c>
      <c r="C40" s="9" t="str">
        <f>IF(VLOOKUP($A40,'I-Ligands'!$A:$G,5,FALSE)="","",VLOOKUP($A40,'I-Ligands'!$A:$G,5,FALSE))</f>
        <v>Guide to Pharmacology</v>
      </c>
      <c r="D40" s="9">
        <f>IF(VLOOKUP($A40,'I-Ligands'!$A:$G,6,FALSE)="","",VLOOKUP($A40,'I-Ligands'!$A:$G,6,FALSE))</f>
        <v>505</v>
      </c>
      <c r="E40" s="9" t="str">
        <f>IF(VLOOKUP($A40,'I-Ligands'!$A:$G,7,FALSE)="","",VLOOKUP($A40,'I-Ligands'!$A:$G,7,FALSE))</f>
        <v>Phys</v>
      </c>
      <c r="F40" s="7" cm="1">
        <f t="array" ref="F40">_xlfn.IFS(T40=0,0,T40&gt;0,(LOG(0.01*T40/10^-AH40)))</f>
        <v>0</v>
      </c>
      <c r="G40" s="8" cm="1">
        <f t="array" ref="G40">_xlfn.IFS(U40=0,0,U40&gt;0,(LOG(0.01*U40/10^-AI40)))</f>
        <v>0</v>
      </c>
      <c r="H40" s="8" cm="1">
        <f t="array" ref="H40">_xlfn.IFS(V40=0,0,V40&gt;0,(LOG(0.01*V40/10^-AJ40)))</f>
        <v>6.624844860008511</v>
      </c>
      <c r="I40" s="8" cm="1">
        <f t="array" ref="I40">_xlfn.IFS(W40=0,0,W40&gt;0,(LOG(0.01*W40/10^-AK40)))</f>
        <v>6.624844860008511</v>
      </c>
      <c r="J40" s="8" cm="1">
        <f t="array" ref="J40">_xlfn.IFS(X40=0,0,X40&gt;0,(LOG(0.01*X40/10^-AL40)))</f>
        <v>6.6723979978989574</v>
      </c>
      <c r="K40" s="8" cm="1">
        <f t="array" ref="K40">_xlfn.IFS(Y40=0,0,Y40&gt;0,(LOG(0.01*Y40/10^-AM40)))</f>
        <v>6.1566651902615321</v>
      </c>
      <c r="L40" s="8" cm="1">
        <f t="array" ref="L40">_xlfn.IFS(Z40=0,0,Z40&gt;0,(LOG(0.01*Z40/10^-AN40)))</f>
        <v>6.1566651902615321</v>
      </c>
      <c r="M40" s="8" cm="1">
        <f t="array" ref="M40">_xlfn.IFS(AA40=0,0,AA40&gt;0,(LOG(0.01*AA40/10^-AO40)))</f>
        <v>6.8681347940287907</v>
      </c>
      <c r="N40" s="8" cm="1">
        <f t="array" ref="N40">_xlfn.IFS(AB40=0,0,AB40&gt;0,(LOG(0.01*AB40/10^-AP40)))</f>
        <v>5.0975701760979364</v>
      </c>
      <c r="O40" s="8" cm="1">
        <f t="array" ref="O40">_xlfn.IFS(AC40=0,0,AC40&gt;0,(LOG(0.01*AC40/10^-AQ40)))</f>
        <v>5.0975701760979364</v>
      </c>
      <c r="P40" s="8" cm="1">
        <f t="array" ref="P40">_xlfn.IFS(AD40=0,0,AD40&gt;0,(LOG(0.01*AD40/10^-AR40)))</f>
        <v>5.3734237554869502</v>
      </c>
      <c r="Q40" s="8" cm="1">
        <f t="array" ref="Q40">_xlfn.IFS(AE40=0,0,AE40&gt;0,(LOG(0.01*AE40/10^-AS40)))</f>
        <v>0</v>
      </c>
      <c r="R40" s="8" cm="1">
        <f t="array" ref="R40">_xlfn.IFS(AF40=0,0,AF40&gt;0,(LOG(0.01*AF40/10^-AT40)))</f>
        <v>0</v>
      </c>
      <c r="S40" s="8" cm="1">
        <f t="array" ref="S40">_xlfn.IFS(AG40=0,0,AG40&gt;0,(LOG(0.01*AG40/10^-AU40)))</f>
        <v>0</v>
      </c>
      <c r="V40" s="17">
        <v>28.5</v>
      </c>
      <c r="W40" s="17">
        <v>28.5</v>
      </c>
      <c r="X40" s="17">
        <v>29</v>
      </c>
      <c r="Y40" s="17">
        <v>19.8</v>
      </c>
      <c r="Z40" s="17">
        <v>19.8</v>
      </c>
      <c r="AA40" s="17">
        <v>26.8</v>
      </c>
      <c r="AB40" s="17">
        <v>5.0999999999999996</v>
      </c>
      <c r="AC40" s="17">
        <v>5.0999999999999996</v>
      </c>
      <c r="AD40" s="17">
        <v>10.8</v>
      </c>
      <c r="AJ40" s="15">
        <v>7.17</v>
      </c>
      <c r="AK40" s="15">
        <v>7.17</v>
      </c>
      <c r="AL40" s="15">
        <v>7.21</v>
      </c>
      <c r="AM40" s="15">
        <v>6.86</v>
      </c>
      <c r="AN40" s="15">
        <v>6.86</v>
      </c>
      <c r="AO40" s="15">
        <v>7.44</v>
      </c>
      <c r="AP40" s="15">
        <v>6.39</v>
      </c>
      <c r="AQ40" s="15">
        <v>6.39</v>
      </c>
      <c r="AR40" s="15">
        <v>6.34</v>
      </c>
      <c r="AW40" s="186" t="str">
        <f>IF(VLOOKUP($A40,'I-Ligands'!$A:$G,3,FALSE)="","",VLOOKUP($A40,'I-Ligands'!$A:$G,3,FALSE))</f>
        <v>Norepinephrine</v>
      </c>
      <c r="AX40" s="187" t="str">
        <f>IF(VLOOKUP($A40,'I-Ligands'!$A:$G,4,FALSE)="","",VLOOKUP($A40,'I-Ligands'!$A:$G,4,FALSE))</f>
        <v>L-(−)-Norepinephrine (+)-bitartrate salt monohydrate</v>
      </c>
      <c r="AY40" s="98">
        <v>3.87</v>
      </c>
      <c r="AZ40" s="99">
        <v>3.06</v>
      </c>
      <c r="BA40" s="99">
        <v>4.72</v>
      </c>
      <c r="BB40" s="99">
        <v>4.72</v>
      </c>
      <c r="BC40" s="99">
        <v>4.0199999999999996</v>
      </c>
      <c r="BD40" s="99">
        <v>2.65</v>
      </c>
      <c r="BE40" s="99">
        <v>2.65</v>
      </c>
      <c r="BF40" s="99">
        <v>5.68</v>
      </c>
      <c r="BG40" s="99">
        <v>7.49</v>
      </c>
      <c r="BH40" s="99">
        <v>7.49</v>
      </c>
      <c r="BI40" s="99">
        <v>6.14</v>
      </c>
      <c r="BJ40" s="99">
        <v>7.34</v>
      </c>
      <c r="BK40" s="99">
        <v>7.95</v>
      </c>
      <c r="BL40" s="99">
        <v>7.74</v>
      </c>
      <c r="BM40" s="98">
        <f t="shared" si="14"/>
        <v>0</v>
      </c>
      <c r="BN40" s="99">
        <f t="shared" si="15"/>
        <v>0</v>
      </c>
      <c r="BO40" s="99">
        <f t="shared" si="16"/>
        <v>6.0381355932203391</v>
      </c>
      <c r="BP40" s="99">
        <f t="shared" si="17"/>
        <v>6.0381355932203391</v>
      </c>
      <c r="BQ40" s="99">
        <f t="shared" si="18"/>
        <v>7.2139303482587076</v>
      </c>
      <c r="BR40" s="99">
        <f t="shared" si="19"/>
        <v>7.4716981132075473</v>
      </c>
      <c r="BS40" s="99">
        <f t="shared" si="20"/>
        <v>7.4716981132075473</v>
      </c>
      <c r="BT40" s="99">
        <f t="shared" si="21"/>
        <v>4.71830985915493</v>
      </c>
      <c r="BU40" s="99">
        <f t="shared" si="22"/>
        <v>0.68090787716955936</v>
      </c>
      <c r="BV40" s="99">
        <f t="shared" si="23"/>
        <v>0.68090787716955936</v>
      </c>
      <c r="BW40" s="99">
        <f t="shared" si="24"/>
        <v>1.7589576547231272</v>
      </c>
      <c r="BX40" s="99">
        <f t="shared" si="25"/>
        <v>0</v>
      </c>
      <c r="BY40" s="99">
        <f t="shared" si="26"/>
        <v>0</v>
      </c>
      <c r="BZ40" s="99">
        <f t="shared" si="27"/>
        <v>0</v>
      </c>
    </row>
    <row r="41" spans="1:78" ht="18">
      <c r="A41" s="12" t="s">
        <v>160</v>
      </c>
      <c r="B41" s="13" t="s">
        <v>2634</v>
      </c>
      <c r="C41" s="9" t="str">
        <f>IF(VLOOKUP($A41,'I-Ligands'!$A:$G,5,FALSE)="","",VLOOKUP($A41,'I-Ligands'!$A:$G,5,FALSE))</f>
        <v>Guide to Pharmacology</v>
      </c>
      <c r="D41" s="9">
        <f>IF(VLOOKUP($A41,'I-Ligands'!$A:$G,6,FALSE)="","",VLOOKUP($A41,'I-Ligands'!$A:$G,6,FALSE))</f>
        <v>1320</v>
      </c>
      <c r="E41" s="9" t="str">
        <f>IF(VLOOKUP($A41,'I-Ligands'!$A:$G,7,FALSE)="","",VLOOKUP($A41,'I-Ligands'!$A:$G,7,FALSE))</f>
        <v>Phys</v>
      </c>
      <c r="F41" s="7" cm="1">
        <f t="array" ref="F41">_xlfn.IFS(T41=0,0,T41&gt;0,(LOG(0.01*T41/10^-AH41)))</f>
        <v>6.8463025007672869</v>
      </c>
      <c r="G41" s="8" cm="1">
        <f t="array" ref="G41">_xlfn.IFS(U41=0,0,U41&gt;0,(LOG(0.01*U41/10^-AI41)))</f>
        <v>7.3082017240669961</v>
      </c>
      <c r="H41" s="8" cm="1">
        <f t="array" ref="H41">_xlfn.IFS(V41=0,0,V41&gt;0,(LOG(0.01*V41/10^-AJ41)))</f>
        <v>6.9349733479708178</v>
      </c>
      <c r="I41" s="8" cm="1">
        <f t="array" ref="I41">_xlfn.IFS(W41=0,0,W41&gt;0,(LOG(0.01*W41/10^-AK41)))</f>
        <v>6.9349733479708178</v>
      </c>
      <c r="J41" s="8" cm="1">
        <f t="array" ref="J41">_xlfn.IFS(X41=0,0,X41&gt;0,(LOG(0.01*X41/10^-AL41)))</f>
        <v>7.5323937598229707</v>
      </c>
      <c r="K41" s="8" cm="1">
        <f t="array" ref="K41">_xlfn.IFS(Y41=0,0,Y41&gt;0,(LOG(0.01*Y41/10^-AM41)))</f>
        <v>7.3351499783199063</v>
      </c>
      <c r="L41" s="8" cm="1">
        <f t="array" ref="L41">_xlfn.IFS(Z41=0,0,Z41&gt;0,(LOG(0.01*Z41/10^-AN41)))</f>
        <v>7.3351499783199063</v>
      </c>
      <c r="M41" s="8" cm="1">
        <f t="array" ref="M41">_xlfn.IFS(AA41=0,0,AA41&gt;0,(LOG(0.01*AA41/10^-AO41)))</f>
        <v>7.6534279935629392</v>
      </c>
      <c r="N41" s="8" cm="1">
        <f t="array" ref="N41">_xlfn.IFS(AB41=0,0,AB41&gt;0,(LOG(0.01*AB41/10^-AP41)))</f>
        <v>7.4923937598229688</v>
      </c>
      <c r="O41" s="8" cm="1">
        <f t="array" ref="O41">_xlfn.IFS(AC41=0,0,AC41&gt;0,(LOG(0.01*AC41/10^-AQ41)))</f>
        <v>7.4923937598229688</v>
      </c>
      <c r="P41" s="8" cm="1">
        <f t="array" ref="P41">_xlfn.IFS(AD41=0,0,AD41&gt;0,(LOG(0.01*AD41/10^-AR41)))</f>
        <v>7.8237878273455559</v>
      </c>
      <c r="Q41" s="8" cm="1">
        <f t="array" ref="Q41">_xlfn.IFS(AE41=0,0,AE41&gt;0,(LOG(0.01*AE41/10^-AS41)))</f>
        <v>7.8114789170422556</v>
      </c>
      <c r="R41" s="8" cm="1">
        <f t="array" ref="R41">_xlfn.IFS(AF41=0,0,AF41&gt;0,(LOG(0.01*AF41/10^-AT41)))</f>
        <v>7.9271580313422199</v>
      </c>
      <c r="S41" s="8" cm="1">
        <f t="array" ref="S41">_xlfn.IFS(AG41=0,0,AG41&gt;0,(LOG(0.01*AG41/10^-AU41)))</f>
        <v>7.5685139398778887</v>
      </c>
      <c r="T41" s="16">
        <v>3.6</v>
      </c>
      <c r="U41" s="17">
        <v>3.7</v>
      </c>
      <c r="V41" s="17">
        <v>2.6</v>
      </c>
      <c r="W41" s="17">
        <v>2.6</v>
      </c>
      <c r="X41" s="17">
        <v>5.4</v>
      </c>
      <c r="Y41" s="17">
        <v>3.2</v>
      </c>
      <c r="Z41" s="17">
        <v>3.2</v>
      </c>
      <c r="AA41" s="17">
        <v>5.8</v>
      </c>
      <c r="AB41" s="17">
        <v>5.4</v>
      </c>
      <c r="AC41" s="17">
        <v>5.4</v>
      </c>
      <c r="AD41" s="17">
        <v>9.1999999999999993</v>
      </c>
      <c r="AE41" s="17">
        <v>3.4</v>
      </c>
      <c r="AF41" s="17">
        <v>2.8</v>
      </c>
      <c r="AG41" s="17">
        <v>3.3</v>
      </c>
      <c r="AH41" s="14">
        <v>8.2899999999999991</v>
      </c>
      <c r="AI41" s="15">
        <v>8.74</v>
      </c>
      <c r="AJ41" s="15">
        <v>8.52</v>
      </c>
      <c r="AK41" s="15">
        <v>8.52</v>
      </c>
      <c r="AL41" s="15">
        <v>8.8000000000000007</v>
      </c>
      <c r="AM41" s="15">
        <v>8.83</v>
      </c>
      <c r="AN41" s="15">
        <v>8.83</v>
      </c>
      <c r="AO41" s="15">
        <v>8.89</v>
      </c>
      <c r="AP41" s="15">
        <v>8.76</v>
      </c>
      <c r="AQ41" s="15">
        <v>8.76</v>
      </c>
      <c r="AR41" s="15">
        <v>8.86</v>
      </c>
      <c r="AS41" s="15">
        <v>9.2799999999999994</v>
      </c>
      <c r="AT41" s="15">
        <v>9.48</v>
      </c>
      <c r="AU41" s="15">
        <v>9.0500000000000007</v>
      </c>
      <c r="AW41" s="186" t="str">
        <f>IF(VLOOKUP($A41,'I-Ligands'!$A:$G,3,FALSE)="","",VLOOKUP($A41,'I-Ligands'!$A:$G,3,FALSE))</f>
        <v>α-MSH</v>
      </c>
      <c r="AX41" s="187" t="str">
        <f>IF(VLOOKUP($A41,'I-Ligands'!$A:$G,4,FALSE)="","",VLOOKUP($A41,'I-Ligands'!$A:$G,4,FALSE))</f>
        <v>Ac-SYSMEHFRWGKPV-NH2</v>
      </c>
      <c r="AY41" s="98">
        <v>2.4700000000000002</v>
      </c>
      <c r="AZ41" s="99">
        <v>4.54</v>
      </c>
      <c r="BA41" s="99">
        <v>3.57</v>
      </c>
      <c r="BB41" s="99">
        <v>3.57</v>
      </c>
      <c r="BC41" s="99">
        <v>3.17</v>
      </c>
      <c r="BD41" s="99">
        <v>3.62</v>
      </c>
      <c r="BE41" s="99">
        <v>3.62</v>
      </c>
      <c r="BF41" s="99">
        <v>3.6</v>
      </c>
      <c r="BG41" s="99">
        <v>6.94</v>
      </c>
      <c r="BH41" s="99">
        <v>6.94</v>
      </c>
      <c r="BI41" s="99">
        <v>5.31</v>
      </c>
      <c r="BJ41" s="99">
        <v>4.1900000000000004</v>
      </c>
      <c r="BK41" s="99">
        <v>3.11</v>
      </c>
      <c r="BL41" s="99">
        <v>5.77</v>
      </c>
      <c r="BM41" s="98">
        <f t="shared" si="14"/>
        <v>1.4574898785425101</v>
      </c>
      <c r="BN41" s="99">
        <f t="shared" si="15"/>
        <v>0.81497797356828194</v>
      </c>
      <c r="BO41" s="99">
        <f t="shared" si="16"/>
        <v>0.72829131652661072</v>
      </c>
      <c r="BP41" s="99">
        <f t="shared" si="17"/>
        <v>0.72829131652661072</v>
      </c>
      <c r="BQ41" s="99">
        <f t="shared" si="18"/>
        <v>1.7034700315457414</v>
      </c>
      <c r="BR41" s="99">
        <f t="shared" si="19"/>
        <v>0.88397790055248626</v>
      </c>
      <c r="BS41" s="99">
        <f t="shared" si="20"/>
        <v>0.88397790055248626</v>
      </c>
      <c r="BT41" s="99">
        <f t="shared" si="21"/>
        <v>1.6111111111111109</v>
      </c>
      <c r="BU41" s="99">
        <f t="shared" si="22"/>
        <v>0.77809798270893371</v>
      </c>
      <c r="BV41" s="99">
        <f t="shared" si="23"/>
        <v>0.77809798270893371</v>
      </c>
      <c r="BW41" s="99">
        <f t="shared" si="24"/>
        <v>1.7325800376647835</v>
      </c>
      <c r="BX41" s="99">
        <f t="shared" si="25"/>
        <v>0.81145584725536979</v>
      </c>
      <c r="BY41" s="99">
        <f t="shared" si="26"/>
        <v>0.90032154340836013</v>
      </c>
      <c r="BZ41" s="99">
        <f t="shared" si="27"/>
        <v>0.57192374350086661</v>
      </c>
    </row>
    <row r="42" spans="1:78" ht="18">
      <c r="A42" s="12" t="s">
        <v>24</v>
      </c>
      <c r="B42" s="13" t="s">
        <v>2581</v>
      </c>
      <c r="C42" s="9" t="str">
        <f>IF(VLOOKUP($A42,'I-Ligands'!$A:$G,5,FALSE)="","",VLOOKUP($A42,'I-Ligands'!$A:$G,5,FALSE))</f>
        <v>Guide to Pharmacology</v>
      </c>
      <c r="D42" s="9">
        <f>IF(VLOOKUP($A42,'I-Ligands'!$A:$G,6,FALSE)="","",VLOOKUP($A42,'I-Ligands'!$A:$G,6,FALSE))</f>
        <v>5</v>
      </c>
      <c r="E42" s="9" t="str">
        <f>IF(VLOOKUP($A42,'I-Ligands'!$A:$G,7,FALSE)="","",VLOOKUP($A42,'I-Ligands'!$A:$G,7,FALSE))</f>
        <v>Phys</v>
      </c>
      <c r="F42" s="7" cm="1">
        <f t="array" ref="F42">_xlfn.IFS(T42=0,0,T42&gt;0,(LOG(0.01*T42/10^-AH42)))</f>
        <v>6.1441084391474012</v>
      </c>
      <c r="G42" s="8" cm="1">
        <f t="array" ref="G42">_xlfn.IFS(U42=0,0,U42&gt;0,(LOG(0.01*U42/10^-AI42)))</f>
        <v>6.0947483460101042</v>
      </c>
      <c r="H42" s="8" cm="1">
        <f t="array" ref="H42">_xlfn.IFS(V42=0,0,V42&gt;0,(LOG(0.01*V42/10^-AJ42)))</f>
        <v>0</v>
      </c>
      <c r="I42" s="8" cm="1">
        <f t="array" ref="I42">_xlfn.IFS(W42=0,0,W42&gt;0,(LOG(0.01*W42/10^-AK42)))</f>
        <v>0</v>
      </c>
      <c r="J42" s="8" cm="1">
        <f t="array" ref="J42">_xlfn.IFS(X42=0,0,X42&gt;0,(LOG(0.01*X42/10^-AL42)))</f>
        <v>0</v>
      </c>
      <c r="K42" s="8" cm="1">
        <f t="array" ref="K42">_xlfn.IFS(Y42=0,0,Y42&gt;0,(LOG(0.01*Y42/10^-AM42)))</f>
        <v>0</v>
      </c>
      <c r="L42" s="8" cm="1">
        <f t="array" ref="L42">_xlfn.IFS(Z42=0,0,Z42&gt;0,(LOG(0.01*Z42/10^-AN42)))</f>
        <v>0</v>
      </c>
      <c r="M42" s="8" cm="1">
        <f t="array" ref="M42">_xlfn.IFS(AA42=0,0,AA42&gt;0,(LOG(0.01*AA42/10^-AO42)))</f>
        <v>5.7730148002540957</v>
      </c>
      <c r="N42" s="8" cm="1">
        <f t="array" ref="N42">_xlfn.IFS(AB42=0,0,AB42&gt;0,(LOG(0.01*AB42/10^-AP42)))</f>
        <v>5.6273324964312685</v>
      </c>
      <c r="O42" s="8" cm="1">
        <f t="array" ref="O42">_xlfn.IFS(AC42=0,0,AC42&gt;0,(LOG(0.01*AC42/10^-AQ42)))</f>
        <v>5.6273324964312685</v>
      </c>
      <c r="P42" s="8" cm="1">
        <f t="array" ref="P42">_xlfn.IFS(AD42=0,0,AD42&gt;0,(LOG(0.01*AD42/10^-AR42)))</f>
        <v>5.3742425094393251</v>
      </c>
      <c r="Q42" s="8" cm="1">
        <f t="array" ref="Q42">_xlfn.IFS(AE42=0,0,AE42&gt;0,(LOG(0.01*AE42/10^-AS42)))</f>
        <v>0</v>
      </c>
      <c r="R42" s="8" cm="1">
        <f t="array" ref="R42">_xlfn.IFS(AF42=0,0,AF42&gt;0,(LOG(0.01*AF42/10^-AT42)))</f>
        <v>4.581241237375588</v>
      </c>
      <c r="S42" s="8" cm="1">
        <f t="array" ref="S42">_xlfn.IFS(AG42=0,0,AG42&gt;0,(LOG(0.01*AG42/10^-AU42)))</f>
        <v>5.7771717284030144</v>
      </c>
      <c r="T42" s="16">
        <v>22.6</v>
      </c>
      <c r="U42" s="17">
        <v>23.7</v>
      </c>
      <c r="AA42" s="17">
        <v>13.9</v>
      </c>
      <c r="AB42" s="17">
        <v>7.2</v>
      </c>
      <c r="AC42" s="17">
        <v>7.2</v>
      </c>
      <c r="AD42" s="17">
        <v>9</v>
      </c>
      <c r="AF42" s="17">
        <v>4.8</v>
      </c>
      <c r="AG42" s="17">
        <v>18.5</v>
      </c>
      <c r="AH42" s="14">
        <v>6.79</v>
      </c>
      <c r="AI42" s="15">
        <v>6.72</v>
      </c>
      <c r="AO42" s="15">
        <v>6.63</v>
      </c>
      <c r="AP42" s="15">
        <v>6.77</v>
      </c>
      <c r="AQ42" s="15">
        <v>6.77</v>
      </c>
      <c r="AR42" s="15">
        <v>6.42</v>
      </c>
      <c r="AT42" s="15">
        <v>5.9</v>
      </c>
      <c r="AU42" s="15">
        <v>6.51</v>
      </c>
      <c r="AW42" s="186" t="str">
        <f>IF(VLOOKUP($A42,'I-Ligands'!$A:$G,3,FALSE)="","",VLOOKUP($A42,'I-Ligands'!$A:$G,3,FALSE))</f>
        <v>Serotonin</v>
      </c>
      <c r="AX42" s="187" t="str">
        <f>IF(VLOOKUP($A42,'I-Ligands'!$A:$G,4,FALSE)="","",VLOOKUP($A42,'I-Ligands'!$A:$G,4,FALSE))</f>
        <v>5-Hydroxytryptamine Hydrochloride</v>
      </c>
      <c r="AY42" s="98">
        <v>3.13</v>
      </c>
      <c r="AZ42" s="99">
        <v>2.77</v>
      </c>
      <c r="BA42" s="99">
        <v>5.24</v>
      </c>
      <c r="BB42" s="99">
        <v>5.24</v>
      </c>
      <c r="BC42" s="99">
        <v>5.68</v>
      </c>
      <c r="BD42" s="99">
        <v>5.08</v>
      </c>
      <c r="BE42" s="99">
        <v>5.08</v>
      </c>
      <c r="BF42" s="99">
        <v>3.22</v>
      </c>
      <c r="BG42" s="99">
        <v>9.17</v>
      </c>
      <c r="BH42" s="99">
        <v>9.17</v>
      </c>
      <c r="BI42" s="99">
        <v>6.98</v>
      </c>
      <c r="BJ42" s="99">
        <v>5.51</v>
      </c>
      <c r="BK42" s="99">
        <v>4.55</v>
      </c>
      <c r="BL42" s="99">
        <v>4.58</v>
      </c>
      <c r="BM42" s="98">
        <f t="shared" si="14"/>
        <v>7.2204472843450489</v>
      </c>
      <c r="BN42" s="99">
        <f t="shared" si="15"/>
        <v>8.55595667870036</v>
      </c>
      <c r="BO42" s="99">
        <f t="shared" si="16"/>
        <v>0</v>
      </c>
      <c r="BP42" s="99">
        <f t="shared" si="17"/>
        <v>0</v>
      </c>
      <c r="BQ42" s="99">
        <f t="shared" si="18"/>
        <v>0</v>
      </c>
      <c r="BR42" s="99">
        <f t="shared" si="19"/>
        <v>0</v>
      </c>
      <c r="BS42" s="99">
        <f t="shared" si="20"/>
        <v>0</v>
      </c>
      <c r="BT42" s="99">
        <f t="shared" si="21"/>
        <v>4.316770186335404</v>
      </c>
      <c r="BU42" s="99">
        <f t="shared" si="22"/>
        <v>0.7851690294438386</v>
      </c>
      <c r="BV42" s="99">
        <f t="shared" si="23"/>
        <v>0.7851690294438386</v>
      </c>
      <c r="BW42" s="99">
        <f t="shared" si="24"/>
        <v>1.2893982808022921</v>
      </c>
      <c r="BX42" s="99">
        <f t="shared" si="25"/>
        <v>0</v>
      </c>
      <c r="BY42" s="99">
        <f t="shared" si="26"/>
        <v>1.054945054945055</v>
      </c>
      <c r="BZ42" s="99">
        <f t="shared" si="27"/>
        <v>4.0393013100436681</v>
      </c>
    </row>
    <row r="43" spans="1:78" ht="18">
      <c r="A43" s="12" t="s">
        <v>137</v>
      </c>
      <c r="B43" s="13" t="s">
        <v>2623</v>
      </c>
      <c r="C43" s="9" t="str">
        <f>IF(VLOOKUP($A43,'I-Ligands'!$A:$G,5,FALSE)="","",VLOOKUP($A43,'I-Ligands'!$A:$G,5,FALSE))</f>
        <v>Guide to Pharmacology</v>
      </c>
      <c r="D43" s="9">
        <f>IF(VLOOKUP($A43,'I-Ligands'!$A:$G,6,FALSE)="","",VLOOKUP($A43,'I-Ligands'!$A:$G,6,FALSE))</f>
        <v>1204</v>
      </c>
      <c r="E43" s="9" t="str">
        <f>IF(VLOOKUP($A43,'I-Ligands'!$A:$G,7,FALSE)="","",VLOOKUP($A43,'I-Ligands'!$A:$G,7,FALSE))</f>
        <v>Phys</v>
      </c>
      <c r="F43" s="7" cm="1">
        <f t="array" ref="F43">_xlfn.IFS(T43=0,0,T43&gt;0,(LOG(0.01*T43/10^-AH43)))</f>
        <v>5.4499331233312951</v>
      </c>
      <c r="G43" s="8" cm="1">
        <f t="array" ref="G43">_xlfn.IFS(U43=0,0,U43&gt;0,(LOG(0.01*U43/10^-AI43)))</f>
        <v>5.2944537511509315</v>
      </c>
      <c r="H43" s="8" cm="1">
        <f t="array" ref="H43">_xlfn.IFS(V43=0,0,V43&gt;0,(LOG(0.01*V43/10^-AJ43)))</f>
        <v>4.534482672150169</v>
      </c>
      <c r="I43" s="8" cm="1">
        <f t="array" ref="I43">_xlfn.IFS(W43=0,0,W43&gt;0,(LOG(0.01*W43/10^-AK43)))</f>
        <v>4.534482672150169</v>
      </c>
      <c r="J43" s="8" cm="1">
        <f t="array" ref="J43">_xlfn.IFS(X43=0,0,X43&gt;0,(LOG(0.01*X43/10^-AL43)))</f>
        <v>4.8431245983544633</v>
      </c>
      <c r="K43" s="8" cm="1">
        <f t="array" ref="K43">_xlfn.IFS(Y43=0,0,Y43&gt;0,(LOG(0.01*Y43/10^-AM43)))</f>
        <v>4.8848438480476979</v>
      </c>
      <c r="L43" s="8" cm="1">
        <f t="array" ref="L43">_xlfn.IFS(Z43=0,0,Z43&gt;0,(LOG(0.01*Z43/10^-AN43)))</f>
        <v>4.8848438480476979</v>
      </c>
      <c r="M43" s="8" cm="1">
        <f t="array" ref="M43">_xlfn.IFS(AA43=0,0,AA43&gt;0,(LOG(0.01*AA43/10^-AO43)))</f>
        <v>4.5974264979406234</v>
      </c>
      <c r="N43" s="8" cm="1">
        <f t="array" ref="N43">_xlfn.IFS(AB43=0,0,AB43&gt;0,(LOG(0.01*AB43/10^-AP43)))</f>
        <v>4.5508135922807913</v>
      </c>
      <c r="O43" s="8" cm="1">
        <f t="array" ref="O43">_xlfn.IFS(AC43=0,0,AC43&gt;0,(LOG(0.01*AC43/10^-AQ43)))</f>
        <v>4.5508135922807913</v>
      </c>
      <c r="P43" s="8" cm="1">
        <f t="array" ref="P43">_xlfn.IFS(AD43=0,0,AD43&gt;0,(LOG(0.01*AD43/10^-AR43)))</f>
        <v>4.619041392321094</v>
      </c>
      <c r="Q43" s="8" cm="1">
        <f t="array" ref="Q43">_xlfn.IFS(AE43=0,0,AE43&gt;0,(LOG(0.01*AE43/10^-AS43)))</f>
        <v>0</v>
      </c>
      <c r="R43" s="8" cm="1">
        <f t="array" ref="R43">_xlfn.IFS(AF43=0,0,AF43&gt;0,(LOG(0.01*AF43/10^-AT43)))</f>
        <v>0</v>
      </c>
      <c r="S43" s="8" cm="1">
        <f t="array" ref="S43">_xlfn.IFS(AG43=0,0,AG43&gt;0,(LOG(0.01*AG43/10^-AU43)))</f>
        <v>4.6281512503836444</v>
      </c>
      <c r="T43" s="16">
        <v>25.7</v>
      </c>
      <c r="U43" s="17">
        <v>21.6</v>
      </c>
      <c r="V43" s="17">
        <v>8.8000000000000007</v>
      </c>
      <c r="W43" s="17">
        <v>8.8000000000000007</v>
      </c>
      <c r="X43" s="17">
        <v>15.6</v>
      </c>
      <c r="Y43" s="17">
        <v>16.399999999999999</v>
      </c>
      <c r="Z43" s="17">
        <v>16.399999999999999</v>
      </c>
      <c r="AA43" s="17">
        <v>10.9</v>
      </c>
      <c r="AB43" s="17">
        <v>7.6</v>
      </c>
      <c r="AC43" s="17">
        <v>7.6</v>
      </c>
      <c r="AD43" s="17">
        <v>9.1</v>
      </c>
      <c r="AG43" s="17">
        <v>6</v>
      </c>
      <c r="AH43" s="14">
        <v>6.04</v>
      </c>
      <c r="AI43" s="15">
        <v>5.96</v>
      </c>
      <c r="AJ43" s="15">
        <v>5.59</v>
      </c>
      <c r="AK43" s="15">
        <v>5.59</v>
      </c>
      <c r="AL43" s="15">
        <v>5.65</v>
      </c>
      <c r="AM43" s="15">
        <v>5.67</v>
      </c>
      <c r="AN43" s="15">
        <v>5.67</v>
      </c>
      <c r="AO43" s="15">
        <v>5.56</v>
      </c>
      <c r="AP43" s="15">
        <v>5.67</v>
      </c>
      <c r="AQ43" s="15">
        <v>5.67</v>
      </c>
      <c r="AR43" s="15">
        <v>5.66</v>
      </c>
      <c r="AU43" s="15">
        <v>5.85</v>
      </c>
      <c r="AW43" s="186" t="str">
        <f>IF(VLOOKUP($A43,'I-Ligands'!$A:$G,3,FALSE)="","",VLOOKUP($A43,'I-Ligands'!$A:$G,3,FALSE))</f>
        <v>Histamine</v>
      </c>
      <c r="AX43" s="187" t="str">
        <f>IF(VLOOKUP($A43,'I-Ligands'!$A:$G,4,FALSE)="","",VLOOKUP($A43,'I-Ligands'!$A:$G,4,FALSE))</f>
        <v>Histamine Dihydrochloride</v>
      </c>
      <c r="AY43" s="98">
        <v>6.97</v>
      </c>
      <c r="AZ43" s="99">
        <v>7.17</v>
      </c>
      <c r="BA43" s="99">
        <v>8.57</v>
      </c>
      <c r="BB43" s="99">
        <v>8.57</v>
      </c>
      <c r="BC43" s="99">
        <v>5.92</v>
      </c>
      <c r="BD43" s="99">
        <v>5.48</v>
      </c>
      <c r="BE43" s="99">
        <v>5.48</v>
      </c>
      <c r="BF43" s="99">
        <v>6.17</v>
      </c>
      <c r="BG43" s="99">
        <v>9.36</v>
      </c>
      <c r="BH43" s="99">
        <v>9.36</v>
      </c>
      <c r="BI43" s="99">
        <v>8.61</v>
      </c>
      <c r="BJ43" s="99">
        <v>6.73</v>
      </c>
      <c r="BK43" s="99">
        <v>9.49</v>
      </c>
      <c r="BL43" s="99">
        <v>8.89</v>
      </c>
      <c r="BM43" s="98">
        <f t="shared" si="14"/>
        <v>3.6872309899569586</v>
      </c>
      <c r="BN43" s="99">
        <f t="shared" si="15"/>
        <v>3.0125523012552304</v>
      </c>
      <c r="BO43" s="99">
        <f t="shared" si="16"/>
        <v>1.0268378063010501</v>
      </c>
      <c r="BP43" s="99">
        <f t="shared" si="17"/>
        <v>1.0268378063010501</v>
      </c>
      <c r="BQ43" s="99">
        <f t="shared" si="18"/>
        <v>2.6351351351351351</v>
      </c>
      <c r="BR43" s="99">
        <f t="shared" si="19"/>
        <v>2.992700729927007</v>
      </c>
      <c r="BS43" s="99">
        <f t="shared" si="20"/>
        <v>2.992700729927007</v>
      </c>
      <c r="BT43" s="99">
        <f t="shared" si="21"/>
        <v>1.766612641815235</v>
      </c>
      <c r="BU43" s="99">
        <f t="shared" si="22"/>
        <v>0.81196581196581197</v>
      </c>
      <c r="BV43" s="99">
        <f t="shared" si="23"/>
        <v>0.81196581196581197</v>
      </c>
      <c r="BW43" s="99">
        <f t="shared" si="24"/>
        <v>1.056910569105691</v>
      </c>
      <c r="BX43" s="99">
        <f t="shared" si="25"/>
        <v>0</v>
      </c>
      <c r="BY43" s="99">
        <f t="shared" si="26"/>
        <v>0</v>
      </c>
      <c r="BZ43" s="99">
        <f t="shared" si="27"/>
        <v>0.67491563554555678</v>
      </c>
    </row>
    <row r="44" spans="1:78">
      <c r="A44" s="12" t="s">
        <v>86</v>
      </c>
      <c r="B44" s="13" t="s">
        <v>87</v>
      </c>
      <c r="C44" s="9" t="str">
        <f>IF(VLOOKUP($A44,'I-Ligands'!$A:$G,5,FALSE)="","",VLOOKUP($A44,'I-Ligands'!$A:$G,5,FALSE))</f>
        <v>Guide to Pharmacology</v>
      </c>
      <c r="D44" s="9">
        <f>IF(VLOOKUP($A44,'I-Ligands'!$A:$G,6,FALSE)="","",VLOOKUP($A44,'I-Ligands'!$A:$G,6,FALSE))</f>
        <v>2752</v>
      </c>
      <c r="E44" s="9" t="str">
        <f>IF(VLOOKUP($A44,'I-Ligands'!$A:$G,7,FALSE)="","",VLOOKUP($A44,'I-Ligands'!$A:$G,7,FALSE))</f>
        <v>Phys</v>
      </c>
      <c r="F44" s="7" cm="1">
        <f t="array" ref="F44">_xlfn.IFS(T44=0,0,T44&gt;0,(LOG(0.01*T44/10^-AH44)))</f>
        <v>0</v>
      </c>
      <c r="G44" s="8" cm="1">
        <f t="array" ref="G44">_xlfn.IFS(U44=0,0,U44&gt;0,(LOG(0.01*U44/10^-AI44)))</f>
        <v>0</v>
      </c>
      <c r="H44" s="8" cm="1">
        <f t="array" ref="H44">_xlfn.IFS(V44=0,0,V44&gt;0,(LOG(0.01*V44/10^-AJ44)))</f>
        <v>7.6904200023088949</v>
      </c>
      <c r="I44" s="8" cm="1">
        <f t="array" ref="I44">_xlfn.IFS(W44=0,0,W44&gt;0,(LOG(0.01*W44/10^-AK44)))</f>
        <v>7.6904200023088949</v>
      </c>
      <c r="J44" s="8" cm="1">
        <f t="array" ref="J44">_xlfn.IFS(X44=0,0,X44&gt;0,(LOG(0.01*X44/10^-AL44)))</f>
        <v>7.8343213737826431</v>
      </c>
      <c r="K44" s="8" cm="1">
        <f t="array" ref="K44">_xlfn.IFS(Y44=0,0,Y44&gt;0,(LOG(0.01*Y44/10^-AM44)))</f>
        <v>7.6774839442139085</v>
      </c>
      <c r="L44" s="8" cm="1">
        <f t="array" ref="L44">_xlfn.IFS(Z44=0,0,Z44&gt;0,(LOG(0.01*Z44/10^-AN44)))</f>
        <v>7.6774839442139085</v>
      </c>
      <c r="M44" s="8" cm="1">
        <f t="array" ref="M44">_xlfn.IFS(AA44=0,0,AA44&gt;0,(LOG(0.01*AA44/10^-AO44)))</f>
        <v>6.9625089127062383</v>
      </c>
      <c r="N44" s="8" cm="1">
        <f t="array" ref="N44">_xlfn.IFS(AB44=0,0,AB44&gt;0,(LOG(0.01*AB44/10^-AP44)))</f>
        <v>6.5713616938342732</v>
      </c>
      <c r="O44" s="8" cm="1">
        <f t="array" ref="O44">_xlfn.IFS(AC44=0,0,AC44&gt;0,(LOG(0.01*AC44/10^-AQ44)))</f>
        <v>6.5713616938342732</v>
      </c>
      <c r="P44" s="8" cm="1">
        <f t="array" ref="P44">_xlfn.IFS(AD44=0,0,AD44&gt;0,(LOG(0.01*AD44/10^-AR44)))</f>
        <v>6.6110646070265</v>
      </c>
      <c r="Q44" s="8" cm="1">
        <f t="array" ref="Q44">_xlfn.IFS(AE44=0,0,AE44&gt;0,(LOG(0.01*AE44/10^-AS44)))</f>
        <v>6.7242758696007892</v>
      </c>
      <c r="R44" s="8" cm="1">
        <f t="array" ref="R44">_xlfn.IFS(AF44=0,0,AF44&gt;0,(LOG(0.01*AF44/10^-AT44)))</f>
        <v>6.9344984512435675</v>
      </c>
      <c r="S44" s="8" cm="1">
        <f t="array" ref="S44">_xlfn.IFS(AG44=0,0,AG44&gt;0,(LOG(0.01*AG44/10^-AU44)))</f>
        <v>0</v>
      </c>
      <c r="V44" s="17">
        <v>17.8</v>
      </c>
      <c r="W44" s="17">
        <v>17.8</v>
      </c>
      <c r="X44" s="17">
        <v>10.1</v>
      </c>
      <c r="Y44" s="17">
        <v>16.5</v>
      </c>
      <c r="Z44" s="17">
        <v>16.5</v>
      </c>
      <c r="AA44" s="17">
        <v>6.8</v>
      </c>
      <c r="AB44" s="17">
        <v>3.1</v>
      </c>
      <c r="AC44" s="17">
        <v>3.1</v>
      </c>
      <c r="AD44" s="17">
        <v>3.9</v>
      </c>
      <c r="AE44" s="17">
        <v>5.3</v>
      </c>
      <c r="AF44" s="17">
        <v>8.6</v>
      </c>
      <c r="AJ44" s="15">
        <v>8.44</v>
      </c>
      <c r="AK44" s="15">
        <v>8.44</v>
      </c>
      <c r="AL44" s="15">
        <v>8.83</v>
      </c>
      <c r="AM44" s="15">
        <v>8.4600000000000009</v>
      </c>
      <c r="AN44" s="15">
        <v>8.4600000000000009</v>
      </c>
      <c r="AO44" s="15">
        <v>8.1300000000000008</v>
      </c>
      <c r="AP44" s="15">
        <v>8.08</v>
      </c>
      <c r="AQ44" s="15">
        <v>8.08</v>
      </c>
      <c r="AR44" s="15">
        <v>8.02</v>
      </c>
      <c r="AS44" s="15">
        <v>8</v>
      </c>
      <c r="AT44" s="15">
        <v>8</v>
      </c>
      <c r="AW44" s="186" t="str">
        <f>IF(VLOOKUP($A44,'I-Ligands'!$A:$G,3,FALSE)="","",VLOOKUP($A44,'I-Ligands'!$A:$G,3,FALSE))</f>
        <v>7α,25-dihydroxycholesterol</v>
      </c>
      <c r="AX44" s="187" t="str">
        <f>IF(VLOOKUP($A44,'I-Ligands'!$A:$G,4,FALSE)="","",VLOOKUP($A44,'I-Ligands'!$A:$G,4,FALSE))</f>
        <v>7α,25-dihydroxycholesterol</v>
      </c>
      <c r="AY44" s="98">
        <v>3.66</v>
      </c>
      <c r="AZ44" s="99">
        <v>2.98</v>
      </c>
      <c r="BA44" s="99">
        <v>2.64</v>
      </c>
      <c r="BB44" s="99">
        <v>2.64</v>
      </c>
      <c r="BC44" s="99">
        <v>1.53</v>
      </c>
      <c r="BD44" s="99">
        <v>1.89</v>
      </c>
      <c r="BE44" s="99">
        <v>1.89</v>
      </c>
      <c r="BF44" s="99">
        <v>3.23</v>
      </c>
      <c r="BG44" s="99">
        <v>3.49</v>
      </c>
      <c r="BH44" s="99">
        <v>3.49</v>
      </c>
      <c r="BI44" s="99">
        <v>3.75</v>
      </c>
      <c r="BJ44" s="99">
        <v>5.56</v>
      </c>
      <c r="BK44" s="99">
        <v>1.89</v>
      </c>
      <c r="BL44" s="99">
        <v>1.94</v>
      </c>
      <c r="BM44" s="98">
        <f t="shared" si="14"/>
        <v>0</v>
      </c>
      <c r="BN44" s="99">
        <f t="shared" si="15"/>
        <v>0</v>
      </c>
      <c r="BO44" s="99">
        <f t="shared" si="16"/>
        <v>6.7424242424242422</v>
      </c>
      <c r="BP44" s="99">
        <f t="shared" si="17"/>
        <v>6.7424242424242422</v>
      </c>
      <c r="BQ44" s="99">
        <f t="shared" si="18"/>
        <v>6.6013071895424833</v>
      </c>
      <c r="BR44" s="99">
        <f t="shared" si="19"/>
        <v>8.7301587301587311</v>
      </c>
      <c r="BS44" s="99">
        <f t="shared" si="20"/>
        <v>8.7301587301587311</v>
      </c>
      <c r="BT44" s="99">
        <f t="shared" si="21"/>
        <v>2.1052631578947367</v>
      </c>
      <c r="BU44" s="99">
        <f t="shared" si="22"/>
        <v>0.88825214899713467</v>
      </c>
      <c r="BV44" s="99">
        <f t="shared" si="23"/>
        <v>0.88825214899713467</v>
      </c>
      <c r="BW44" s="99">
        <f t="shared" si="24"/>
        <v>1.04</v>
      </c>
      <c r="BX44" s="99">
        <f t="shared" si="25"/>
        <v>0.95323741007194251</v>
      </c>
      <c r="BY44" s="99">
        <f t="shared" si="26"/>
        <v>4.5502645502645507</v>
      </c>
      <c r="BZ44" s="99">
        <f t="shared" si="27"/>
        <v>0</v>
      </c>
    </row>
    <row r="45" spans="1:78">
      <c r="A45" s="12" t="s">
        <v>119</v>
      </c>
      <c r="B45" s="13" t="s">
        <v>2556</v>
      </c>
      <c r="C45" s="9" t="str">
        <f>IF(VLOOKUP($A45,'I-Ligands'!$A:$G,5,FALSE)="","",VLOOKUP($A45,'I-Ligands'!$A:$G,5,FALSE))</f>
        <v>Guide to Pharmacology</v>
      </c>
      <c r="D45" s="9">
        <f>IF(VLOOKUP($A45,'I-Ligands'!$A:$G,6,FALSE)="","",VLOOKUP($A45,'I-Ligands'!$A:$G,6,FALSE))</f>
        <v>1062</v>
      </c>
      <c r="E45" s="9" t="str">
        <f>IF(VLOOKUP($A45,'I-Ligands'!$A:$G,7,FALSE)="","",VLOOKUP($A45,'I-Ligands'!$A:$G,7,FALSE))</f>
        <v>Phys</v>
      </c>
      <c r="F45" s="7" cm="1">
        <f t="array" ref="F45">_xlfn.IFS(T45=0,0,T45&gt;0,(LOG(0.01*T45/10^-AH45)))</f>
        <v>0</v>
      </c>
      <c r="G45" s="8" cm="1">
        <f t="array" ref="G45">_xlfn.IFS(U45=0,0,U45&gt;0,(LOG(0.01*U45/10^-AI45)))</f>
        <v>0</v>
      </c>
      <c r="H45" s="8" cm="1">
        <f t="array" ref="H45">_xlfn.IFS(V45=0,0,V45&gt;0,(LOG(0.01*V45/10^-AJ45)))</f>
        <v>3.9231205211758176</v>
      </c>
      <c r="I45" s="8" cm="1">
        <f t="array" ref="I45">_xlfn.IFS(W45=0,0,W45&gt;0,(LOG(0.01*W45/10^-AK45)))</f>
        <v>3.9231205211758176</v>
      </c>
      <c r="J45" s="8" cm="1">
        <f t="array" ref="J45">_xlfn.IFS(X45=0,0,X45&gt;0,(LOG(0.01*X45/10^-AL45)))</f>
        <v>3.7591660843645327</v>
      </c>
      <c r="K45" s="8" cm="1">
        <f t="array" ref="K45">_xlfn.IFS(Y45=0,0,Y45&gt;0,(LOG(0.01*Y45/10^-AM45)))</f>
        <v>3.486540180433956</v>
      </c>
      <c r="L45" s="8" cm="1">
        <f t="array" ref="L45">_xlfn.IFS(Z45=0,0,Z45&gt;0,(LOG(0.01*Z45/10^-AN45)))</f>
        <v>3.486540180433956</v>
      </c>
      <c r="M45" s="8" cm="1">
        <f t="array" ref="M45">_xlfn.IFS(AA45=0,0,AA45&gt;0,(LOG(0.01*AA45/10^-AO45)))</f>
        <v>3.1964618041732442</v>
      </c>
      <c r="N45" s="8" cm="1">
        <f t="array" ref="N45">_xlfn.IFS(AB45=0,0,AB45&gt;0,(LOG(0.01*AB45/10^-AP45)))</f>
        <v>2.835874855672492</v>
      </c>
      <c r="O45" s="8" cm="1">
        <f t="array" ref="O45">_xlfn.IFS(AC45=0,0,AC45&gt;0,(LOG(0.01*AC45/10^-AQ45)))</f>
        <v>2.835874855672492</v>
      </c>
      <c r="P45" s="8" cm="1">
        <f t="array" ref="P45">_xlfn.IFS(AD45=0,0,AD45&gt;0,(LOG(0.01*AD45/10^-AR45)))</f>
        <v>2.8737878273455562</v>
      </c>
      <c r="Q45" s="8" cm="1">
        <f t="array" ref="Q45">_xlfn.IFS(AE45=0,0,AE45&gt;0,(LOG(0.01*AE45/10^-AS45)))</f>
        <v>2.4760912590556816</v>
      </c>
      <c r="R45" s="8" cm="1">
        <f t="array" ref="R45">_xlfn.IFS(AF45=0,0,AF45&gt;0,(LOG(0.01*AF45/10^-AT45)))</f>
        <v>3.3628735836087538</v>
      </c>
      <c r="S45" s="8" cm="1">
        <f t="array" ref="S45">_xlfn.IFS(AG45=0,0,AG45&gt;0,(LOG(0.01*AG45/10^-AU45)))</f>
        <v>3.4932997640812524</v>
      </c>
      <c r="V45" s="17">
        <v>25.3</v>
      </c>
      <c r="W45" s="17">
        <v>25.3</v>
      </c>
      <c r="X45" s="17">
        <v>24.5</v>
      </c>
      <c r="Y45" s="17">
        <v>25.5</v>
      </c>
      <c r="Z45" s="17">
        <v>25.5</v>
      </c>
      <c r="AA45" s="17">
        <v>18.899999999999999</v>
      </c>
      <c r="AB45" s="17">
        <v>5.7</v>
      </c>
      <c r="AC45" s="17">
        <v>5.7</v>
      </c>
      <c r="AD45" s="17">
        <v>9.1999999999999993</v>
      </c>
      <c r="AE45" s="17">
        <v>15</v>
      </c>
      <c r="AF45" s="17">
        <v>30.4</v>
      </c>
      <c r="AG45" s="17">
        <v>25.9</v>
      </c>
      <c r="AJ45" s="15">
        <v>4.5199999999999996</v>
      </c>
      <c r="AK45" s="15">
        <v>4.5199999999999996</v>
      </c>
      <c r="AL45" s="15">
        <v>4.37</v>
      </c>
      <c r="AM45" s="15">
        <v>4.08</v>
      </c>
      <c r="AN45" s="15">
        <v>4.08</v>
      </c>
      <c r="AO45" s="15">
        <v>3.92</v>
      </c>
      <c r="AP45" s="15">
        <v>4.08</v>
      </c>
      <c r="AQ45" s="15">
        <v>4.08</v>
      </c>
      <c r="AR45" s="15">
        <v>3.91</v>
      </c>
      <c r="AS45" s="15">
        <v>3.3</v>
      </c>
      <c r="AT45" s="15">
        <v>3.88</v>
      </c>
      <c r="AU45" s="15">
        <v>4.08</v>
      </c>
      <c r="AW45" s="186" t="str">
        <f>IF(VLOOKUP($A45,'I-Ligands'!$A:$G,3,FALSE)="","",VLOOKUP($A45,'I-Ligands'!$A:$G,3,FALSE))</f>
        <v>Propionic acid</v>
      </c>
      <c r="AX45" s="187" t="str">
        <f>IF(VLOOKUP($A45,'I-Ligands'!$A:$G,4,FALSE)="","",VLOOKUP($A45,'I-Ligands'!$A:$G,4,FALSE))</f>
        <v>Propionic Acid</v>
      </c>
      <c r="AY45" s="98">
        <v>3.06</v>
      </c>
      <c r="AZ45" s="99">
        <v>1.61</v>
      </c>
      <c r="BA45" s="99">
        <v>2.3199999999999998</v>
      </c>
      <c r="BB45" s="99">
        <v>2.3199999999999998</v>
      </c>
      <c r="BC45" s="99">
        <v>3.03</v>
      </c>
      <c r="BD45" s="99">
        <v>5</v>
      </c>
      <c r="BE45" s="99">
        <v>5</v>
      </c>
      <c r="BF45" s="99">
        <v>6.16</v>
      </c>
      <c r="BG45" s="99">
        <v>6.03</v>
      </c>
      <c r="BH45" s="99">
        <v>6.03</v>
      </c>
      <c r="BI45" s="99">
        <v>4.5599999999999996</v>
      </c>
      <c r="BJ45" s="99">
        <v>1.99</v>
      </c>
      <c r="BK45" s="99">
        <v>2.2599999999999998</v>
      </c>
      <c r="BL45" s="99">
        <v>4.18</v>
      </c>
      <c r="BM45" s="98">
        <f t="shared" si="14"/>
        <v>0</v>
      </c>
      <c r="BN45" s="99">
        <f t="shared" si="15"/>
        <v>0</v>
      </c>
      <c r="BO45" s="99">
        <f t="shared" si="16"/>
        <v>10.905172413793105</v>
      </c>
      <c r="BP45" s="99">
        <f t="shared" si="17"/>
        <v>10.905172413793105</v>
      </c>
      <c r="BQ45" s="99">
        <f t="shared" si="18"/>
        <v>8.0858085808580871</v>
      </c>
      <c r="BR45" s="99">
        <f t="shared" si="19"/>
        <v>5.0999999999999996</v>
      </c>
      <c r="BS45" s="99">
        <f t="shared" si="20"/>
        <v>5.0999999999999996</v>
      </c>
      <c r="BT45" s="99">
        <f t="shared" si="21"/>
        <v>3.0681818181818179</v>
      </c>
      <c r="BU45" s="99">
        <f t="shared" si="22"/>
        <v>0.94527363184079605</v>
      </c>
      <c r="BV45" s="99">
        <f t="shared" si="23"/>
        <v>0.94527363184079605</v>
      </c>
      <c r="BW45" s="99">
        <f t="shared" si="24"/>
        <v>2.0175438596491229</v>
      </c>
      <c r="BX45" s="99">
        <f t="shared" si="25"/>
        <v>7.5376884422110555</v>
      </c>
      <c r="BY45" s="99">
        <f t="shared" si="26"/>
        <v>13.45132743362832</v>
      </c>
      <c r="BZ45" s="99">
        <f t="shared" si="27"/>
        <v>6.196172248803828</v>
      </c>
    </row>
    <row r="46" spans="1:78">
      <c r="A46" s="12" t="s">
        <v>200</v>
      </c>
      <c r="B46" s="13" t="s">
        <v>2111</v>
      </c>
      <c r="C46" s="9" t="str">
        <f>IF(VLOOKUP($A46,'I-Ligands'!$A:$G,5,FALSE)="","",VLOOKUP($A46,'I-Ligands'!$A:$G,5,FALSE))</f>
        <v>Guide to Pharmacology</v>
      </c>
      <c r="D46" s="9">
        <f>IF(VLOOKUP($A46,'I-Ligands'!$A:$G,6,FALSE)="","",VLOOKUP($A46,'I-Ligands'!$A:$G,6,FALSE))</f>
        <v>1831</v>
      </c>
      <c r="E46" s="9" t="str">
        <f>IF(VLOOKUP($A46,'I-Ligands'!$A:$G,7,FALSE)="","",VLOOKUP($A46,'I-Ligands'!$A:$G,7,FALSE))</f>
        <v>Phys</v>
      </c>
      <c r="F46" s="7" cm="1">
        <f t="array" ref="F46">_xlfn.IFS(T46=0,0,T46&gt;0,(LOG(0.01*T46/10^-AH46)))</f>
        <v>8.636352974450638</v>
      </c>
      <c r="G46" s="8" cm="1">
        <f t="array" ref="G46">_xlfn.IFS(U46=0,0,U46&gt;0,(LOG(0.01*U46/10^-AI46)))</f>
        <v>8.6165769570565143</v>
      </c>
      <c r="H46" s="8" cm="1">
        <f t="array" ref="H46">_xlfn.IFS(V46=0,0,V46&gt;0,(LOG(0.01*V46/10^-AJ46)))</f>
        <v>8.5744984512435689</v>
      </c>
      <c r="I46" s="8" cm="1">
        <f t="array" ref="I46">_xlfn.IFS(W46=0,0,W46&gt;0,(LOG(0.01*W46/10^-AK46)))</f>
        <v>8.5744984512435689</v>
      </c>
      <c r="J46" s="8" cm="1">
        <f t="array" ref="J46">_xlfn.IFS(X46=0,0,X46&gt;0,(LOG(0.01*X46/10^-AL46)))</f>
        <v>8.4034526764861894</v>
      </c>
      <c r="K46" s="8" cm="1">
        <f t="array" ref="K46">_xlfn.IFS(Y46=0,0,Y46&gt;0,(LOG(0.01*Y46/10^-AM46)))</f>
        <v>8.6972712956557654</v>
      </c>
      <c r="L46" s="8" cm="1">
        <f t="array" ref="L46">_xlfn.IFS(Z46=0,0,Z46&gt;0,(LOG(0.01*Z46/10^-AN46)))</f>
        <v>8.6972712956557654</v>
      </c>
      <c r="M46" s="8" cm="1">
        <f t="array" ref="M46">_xlfn.IFS(AA46=0,0,AA46&gt;0,(LOG(0.01*AA46/10^-AO46)))</f>
        <v>8.5992180226701844</v>
      </c>
      <c r="N46" s="8" cm="1">
        <f t="array" ref="N46">_xlfn.IFS(AB46=0,0,AB46&gt;0,(LOG(0.01*AB46/10^-AP46)))</f>
        <v>8.7464907251724817</v>
      </c>
      <c r="O46" s="8" cm="1">
        <f t="array" ref="O46">_xlfn.IFS(AC46=0,0,AC46&gt;0,(LOG(0.01*AC46/10^-AQ46)))</f>
        <v>8.7464907251724817</v>
      </c>
      <c r="P46" s="8" cm="1">
        <f t="array" ref="P46">_xlfn.IFS(AD46=0,0,AD46&gt;0,(LOG(0.01*AD46/10^-AR46)))</f>
        <v>8.3658748556724909</v>
      </c>
      <c r="Q46" s="8" cm="1">
        <f t="array" ref="Q46">_xlfn.IFS(AE46=0,0,AE46&gt;0,(LOG(0.01*AE46/10^-AS46)))</f>
        <v>8.6505739312058498</v>
      </c>
      <c r="R46" s="8" cm="1">
        <f t="array" ref="R46">_xlfn.IFS(AF46=0,0,AF46&gt;0,(LOG(0.01*AF46/10^-AT46)))</f>
        <v>8.249041392321093</v>
      </c>
      <c r="S46" s="8" cm="1">
        <f t="array" ref="S46">_xlfn.IFS(AG46=0,0,AG46&gt;0,(LOG(0.01*AG46/10^-AU46)))</f>
        <v>8.4883473304121591</v>
      </c>
      <c r="T46" s="16">
        <v>22.2</v>
      </c>
      <c r="U46" s="17">
        <v>23.8</v>
      </c>
      <c r="V46" s="17">
        <v>8.6</v>
      </c>
      <c r="W46" s="17">
        <v>8.6</v>
      </c>
      <c r="X46" s="17">
        <v>4.4000000000000004</v>
      </c>
      <c r="Y46" s="17">
        <v>13.1</v>
      </c>
      <c r="Z46" s="17">
        <v>13.1</v>
      </c>
      <c r="AA46" s="17">
        <v>11.2</v>
      </c>
      <c r="AB46" s="17">
        <v>7.7</v>
      </c>
      <c r="AC46" s="17">
        <v>7.7</v>
      </c>
      <c r="AD46" s="17">
        <v>5.7</v>
      </c>
      <c r="AE46" s="17">
        <v>13.2</v>
      </c>
      <c r="AF46" s="17">
        <v>9.1</v>
      </c>
      <c r="AG46" s="17">
        <v>29.4</v>
      </c>
      <c r="AH46" s="14">
        <v>9.2899999999999991</v>
      </c>
      <c r="AI46" s="15">
        <v>9.24</v>
      </c>
      <c r="AJ46" s="15">
        <v>9.64</v>
      </c>
      <c r="AK46" s="15">
        <v>9.64</v>
      </c>
      <c r="AL46" s="15">
        <v>9.76</v>
      </c>
      <c r="AM46" s="15">
        <v>9.58</v>
      </c>
      <c r="AN46" s="15">
        <v>9.58</v>
      </c>
      <c r="AO46" s="15">
        <v>9.5500000000000007</v>
      </c>
      <c r="AP46" s="15">
        <v>9.86</v>
      </c>
      <c r="AQ46" s="15">
        <v>9.86</v>
      </c>
      <c r="AR46" s="15">
        <v>9.61</v>
      </c>
      <c r="AS46" s="15">
        <v>9.5299999999999994</v>
      </c>
      <c r="AT46" s="15">
        <v>9.2899999999999991</v>
      </c>
      <c r="AU46" s="15">
        <v>9.02</v>
      </c>
      <c r="AW46" s="186" t="str">
        <f>IF(VLOOKUP($A46,'I-Ligands'!$A:$G,3,FALSE)="","",VLOOKUP($A46,'I-Ligands'!$A:$G,3,FALSE))</f>
        <v>PAF</v>
      </c>
      <c r="AX46" s="187" t="str">
        <f>IF(VLOOKUP($A46,'I-Ligands'!$A:$G,4,FALSE)="","",VLOOKUP($A46,'I-Ligands'!$A:$G,4,FALSE))</f>
        <v>1-O-hexadecyl-2-acetyl-sn-glycero-3-phosphocholine</v>
      </c>
      <c r="AY46" s="98">
        <v>8.08</v>
      </c>
      <c r="AZ46" s="99">
        <v>6.93</v>
      </c>
      <c r="BA46" s="99">
        <v>9.92</v>
      </c>
      <c r="BB46" s="99">
        <v>9.92</v>
      </c>
      <c r="BC46" s="99">
        <v>8.1999999999999993</v>
      </c>
      <c r="BD46" s="99">
        <v>7.61</v>
      </c>
      <c r="BE46" s="99">
        <v>7.61</v>
      </c>
      <c r="BF46" s="99">
        <v>4.3899999999999997</v>
      </c>
      <c r="BG46" s="99">
        <v>8.0500000000000007</v>
      </c>
      <c r="BH46" s="99">
        <v>8.0500000000000007</v>
      </c>
      <c r="BI46" s="99">
        <v>8.99</v>
      </c>
      <c r="BJ46" s="99">
        <v>8.8800000000000008</v>
      </c>
      <c r="BK46" s="99">
        <v>10.57</v>
      </c>
      <c r="BL46" s="99">
        <v>4.04</v>
      </c>
      <c r="BM46" s="98">
        <f t="shared" si="14"/>
        <v>2.7475247524752473</v>
      </c>
      <c r="BN46" s="99">
        <f t="shared" si="15"/>
        <v>3.4343434343434347</v>
      </c>
      <c r="BO46" s="99">
        <f t="shared" si="16"/>
        <v>0.86693548387096775</v>
      </c>
      <c r="BP46" s="99">
        <f t="shared" si="17"/>
        <v>0.86693548387096775</v>
      </c>
      <c r="BQ46" s="99">
        <f t="shared" si="18"/>
        <v>0.53658536585365868</v>
      </c>
      <c r="BR46" s="99">
        <f t="shared" si="19"/>
        <v>1.7214191852825229</v>
      </c>
      <c r="BS46" s="99">
        <f t="shared" si="20"/>
        <v>1.7214191852825229</v>
      </c>
      <c r="BT46" s="99">
        <f t="shared" si="21"/>
        <v>2.5512528473804101</v>
      </c>
      <c r="BU46" s="99">
        <f t="shared" si="22"/>
        <v>0.9565217391304347</v>
      </c>
      <c r="BV46" s="99">
        <f t="shared" si="23"/>
        <v>0.9565217391304347</v>
      </c>
      <c r="BW46" s="99">
        <f t="shared" si="24"/>
        <v>0.63403781979977758</v>
      </c>
      <c r="BX46" s="99">
        <f t="shared" si="25"/>
        <v>1.4864864864864862</v>
      </c>
      <c r="BY46" s="99">
        <f t="shared" si="26"/>
        <v>0.86092715231788075</v>
      </c>
      <c r="BZ46" s="99">
        <f t="shared" si="27"/>
        <v>7.2772277227722766</v>
      </c>
    </row>
    <row r="47" spans="1:78" ht="18">
      <c r="A47" s="12" t="s">
        <v>204</v>
      </c>
      <c r="B47" s="13" t="s">
        <v>2661</v>
      </c>
      <c r="C47" s="9" t="str">
        <f>IF(VLOOKUP($A47,'I-Ligands'!$A:$G,5,FALSE)="","",VLOOKUP($A47,'I-Ligands'!$A:$G,5,FALSE))</f>
        <v>Guide to Pharmacology</v>
      </c>
      <c r="D47" s="9">
        <f>IF(VLOOKUP($A47,'I-Ligands'!$A:$G,6,FALSE)="","",VLOOKUP($A47,'I-Ligands'!$A:$G,6,FALSE))</f>
        <v>1883</v>
      </c>
      <c r="E47" s="9" t="str">
        <f>IF(VLOOKUP($A47,'I-Ligands'!$A:$G,7,FALSE)="","",VLOOKUP($A47,'I-Ligands'!$A:$G,7,FALSE))</f>
        <v>Phys</v>
      </c>
      <c r="F47" s="7" cm="1">
        <f t="array" ref="F47">_xlfn.IFS(T47=0,0,T47&gt;0,(LOG(0.01*T47/10^-AH47)))</f>
        <v>7.5322140229662962</v>
      </c>
      <c r="G47" s="8" cm="1">
        <f t="array" ref="G47">_xlfn.IFS(U47=0,0,U47&gt;0,(LOG(0.01*U47/10^-AI47)))</f>
        <v>7.0011013836490577</v>
      </c>
      <c r="H47" s="8" cm="1">
        <f t="array" ref="H47">_xlfn.IFS(V47=0,0,V47&gt;0,(LOG(0.01*V47/10^-AJ47)))</f>
        <v>0</v>
      </c>
      <c r="I47" s="8" cm="1">
        <f t="array" ref="I47">_xlfn.IFS(W47=0,0,W47&gt;0,(LOG(0.01*W47/10^-AK47)))</f>
        <v>0</v>
      </c>
      <c r="J47" s="8" cm="1">
        <f t="array" ref="J47">_xlfn.IFS(X47=0,0,X47&gt;0,(LOG(0.01*X47/10^-AL47)))</f>
        <v>0</v>
      </c>
      <c r="K47" s="8" cm="1">
        <f t="array" ref="K47">_xlfn.IFS(Y47=0,0,Y47&gt;0,(LOG(0.01*Y47/10^-AM47)))</f>
        <v>0</v>
      </c>
      <c r="L47" s="8" cm="1">
        <f t="array" ref="L47">_xlfn.IFS(Z47=0,0,Z47&gt;0,(LOG(0.01*Z47/10^-AN47)))</f>
        <v>0</v>
      </c>
      <c r="M47" s="8" cm="1">
        <f t="array" ref="M47">_xlfn.IFS(AA47=0,0,AA47&gt;0,(LOG(0.01*AA47/10^-AO47)))</f>
        <v>0</v>
      </c>
      <c r="N47" s="8" cm="1">
        <f t="array" ref="N47">_xlfn.IFS(AB47=0,0,AB47&gt;0,(LOG(0.01*AB47/10^-AP47)))</f>
        <v>6.0533228601204572</v>
      </c>
      <c r="O47" s="8" cm="1">
        <f t="array" ref="O47">_xlfn.IFS(AC47=0,0,AC47&gt;0,(LOG(0.01*AC47/10^-AQ47)))</f>
        <v>6.0533228601204572</v>
      </c>
      <c r="P47" s="8" cm="1">
        <f t="array" ref="P47">_xlfn.IFS(AD47=0,0,AD47&gt;0,(LOG(0.01*AD47/10^-AR47)))</f>
        <v>5.7623937598229684</v>
      </c>
      <c r="Q47" s="8" cm="1">
        <f t="array" ref="Q47">_xlfn.IFS(AE47=0,0,AE47&gt;0,(LOG(0.01*AE47/10^-AS47)))</f>
        <v>0</v>
      </c>
      <c r="R47" s="8" cm="1">
        <f t="array" ref="R47">_xlfn.IFS(AF47=0,0,AF47&gt;0,(LOG(0.01*AF47/10^-AT47)))</f>
        <v>0</v>
      </c>
      <c r="S47" s="8" cm="1">
        <f t="array" ref="S47">_xlfn.IFS(AG47=0,0,AG47&gt;0,(LOG(0.01*AG47/10^-AU47)))</f>
        <v>0</v>
      </c>
      <c r="T47" s="16">
        <v>41.9</v>
      </c>
      <c r="U47" s="17">
        <v>36.4</v>
      </c>
      <c r="AB47" s="17">
        <v>7.3</v>
      </c>
      <c r="AC47" s="17">
        <v>7.3</v>
      </c>
      <c r="AD47" s="17">
        <v>5.4</v>
      </c>
      <c r="AH47" s="14">
        <v>7.91</v>
      </c>
      <c r="AI47" s="15">
        <v>7.44</v>
      </c>
      <c r="AP47" s="15">
        <v>7.19</v>
      </c>
      <c r="AQ47" s="15">
        <v>7.19</v>
      </c>
      <c r="AR47" s="15">
        <v>7.03</v>
      </c>
      <c r="AW47" s="186" t="str">
        <f>IF(VLOOKUP($A47,'I-Ligands'!$A:$G,3,FALSE)="","",VLOOKUP($A47,'I-Ligands'!$A:$G,3,FALSE))</f>
        <v>Prostaglandin E2</v>
      </c>
      <c r="AX47" s="187" t="str">
        <f>IF(VLOOKUP($A47,'I-Ligands'!$A:$G,4,FALSE)="","",VLOOKUP($A47,'I-Ligands'!$A:$G,4,FALSE))</f>
        <v>Prostaglandin E2</v>
      </c>
      <c r="AY47" s="98">
        <v>4.57</v>
      </c>
      <c r="AZ47" s="99">
        <v>4.26</v>
      </c>
      <c r="BA47" s="99">
        <v>4.2699999999999996</v>
      </c>
      <c r="BB47" s="99">
        <v>4.2699999999999996</v>
      </c>
      <c r="BC47" s="99">
        <v>4.38</v>
      </c>
      <c r="BD47" s="99">
        <v>4.55</v>
      </c>
      <c r="BE47" s="99">
        <v>4.55</v>
      </c>
      <c r="BF47" s="99">
        <v>5.0999999999999996</v>
      </c>
      <c r="BG47" s="99">
        <v>7.29</v>
      </c>
      <c r="BH47" s="99">
        <v>7.29</v>
      </c>
      <c r="BI47" s="99">
        <v>5.62</v>
      </c>
      <c r="BJ47" s="99">
        <v>5.61</v>
      </c>
      <c r="BK47" s="99">
        <v>4.4000000000000004</v>
      </c>
      <c r="BL47" s="99">
        <v>3.63</v>
      </c>
      <c r="BM47" s="98">
        <f t="shared" si="14"/>
        <v>9.1684901531728649</v>
      </c>
      <c r="BN47" s="99">
        <f t="shared" si="15"/>
        <v>8.544600938967136</v>
      </c>
      <c r="BO47" s="99">
        <f t="shared" si="16"/>
        <v>0</v>
      </c>
      <c r="BP47" s="99">
        <f t="shared" si="17"/>
        <v>0</v>
      </c>
      <c r="BQ47" s="99">
        <f t="shared" si="18"/>
        <v>0</v>
      </c>
      <c r="BR47" s="99">
        <f t="shared" si="19"/>
        <v>0</v>
      </c>
      <c r="BS47" s="99">
        <f t="shared" si="20"/>
        <v>0</v>
      </c>
      <c r="BT47" s="99">
        <f t="shared" si="21"/>
        <v>0</v>
      </c>
      <c r="BU47" s="99">
        <f t="shared" si="22"/>
        <v>1.0013717421124828</v>
      </c>
      <c r="BV47" s="99">
        <f t="shared" si="23"/>
        <v>1.0013717421124828</v>
      </c>
      <c r="BW47" s="99">
        <f t="shared" si="24"/>
        <v>0.96085409252669041</v>
      </c>
      <c r="BX47" s="99">
        <f t="shared" si="25"/>
        <v>0</v>
      </c>
      <c r="BY47" s="99">
        <f t="shared" si="26"/>
        <v>0</v>
      </c>
      <c r="BZ47" s="99">
        <f t="shared" si="27"/>
        <v>0</v>
      </c>
    </row>
    <row r="48" spans="1:78" ht="18">
      <c r="A48" s="12" t="s">
        <v>163</v>
      </c>
      <c r="B48" s="13" t="s">
        <v>2639</v>
      </c>
      <c r="C48" s="9" t="str">
        <f>IF(VLOOKUP($A48,'I-Ligands'!$A:$G,5,FALSE)="","",VLOOKUP($A48,'I-Ligands'!$A:$G,5,FALSE))</f>
        <v>Guide to Pharmacology</v>
      </c>
      <c r="D48" s="9">
        <f>IF(VLOOKUP($A48,'I-Ligands'!$A:$G,6,FALSE)="","",VLOOKUP($A48,'I-Ligands'!$A:$G,6,FALSE))</f>
        <v>1320</v>
      </c>
      <c r="E48" s="9" t="str">
        <f>IF(VLOOKUP($A48,'I-Ligands'!$A:$G,7,FALSE)="","",VLOOKUP($A48,'I-Ligands'!$A:$G,7,FALSE))</f>
        <v>Phys</v>
      </c>
      <c r="F48" s="7" cm="1">
        <f t="array" ref="F48">_xlfn.IFS(T48=0,0,T48&gt;0,(LOG(0.01*T48/10^-AH48)))</f>
        <v>0</v>
      </c>
      <c r="G48" s="8" cm="1">
        <f t="array" ref="G48">_xlfn.IFS(U48=0,0,U48&gt;0,(LOG(0.01*U48/10^-AI48)))</f>
        <v>0</v>
      </c>
      <c r="H48" s="8" cm="1">
        <f t="array" ref="H48">_xlfn.IFS(V48=0,0,V48&gt;0,(LOG(0.01*V48/10^-AJ48)))</f>
        <v>0</v>
      </c>
      <c r="I48" s="8" cm="1">
        <f t="array" ref="I48">_xlfn.IFS(W48=0,0,W48&gt;0,(LOG(0.01*W48/10^-AK48)))</f>
        <v>0</v>
      </c>
      <c r="J48" s="8" cm="1">
        <f t="array" ref="J48">_xlfn.IFS(X48=0,0,X48&gt;0,(LOG(0.01*X48/10^-AL48)))</f>
        <v>0</v>
      </c>
      <c r="K48" s="8" cm="1">
        <f t="array" ref="K48">_xlfn.IFS(Y48=0,0,Y48&gt;0,(LOG(0.01*Y48/10^-AM48)))</f>
        <v>0</v>
      </c>
      <c r="L48" s="8" cm="1">
        <f t="array" ref="L48">_xlfn.IFS(Z48=0,0,Z48&gt;0,(LOG(0.01*Z48/10^-AN48)))</f>
        <v>0</v>
      </c>
      <c r="M48" s="8" cm="1">
        <f t="array" ref="M48">_xlfn.IFS(AA48=0,0,AA48&gt;0,(LOG(0.01*AA48/10^-AO48)))</f>
        <v>0</v>
      </c>
      <c r="N48" s="8" cm="1">
        <f t="array" ref="N48">_xlfn.IFS(AB48=0,0,AB48&gt;0,(LOG(0.01*AB48/10^-AP48)))</f>
        <v>6.7750980400142575</v>
      </c>
      <c r="O48" s="8" cm="1">
        <f t="array" ref="O48">_xlfn.IFS(AC48=0,0,AC48&gt;0,(LOG(0.01*AC48/10^-AQ48)))</f>
        <v>6.7750980400142575</v>
      </c>
      <c r="P48" s="8" cm="1">
        <f t="array" ref="P48">_xlfn.IFS(AD48=0,0,AD48&gt;0,(LOG(0.01*AD48/10^-AR48)))</f>
        <v>7.2667717342662446</v>
      </c>
      <c r="Q48" s="8" cm="1">
        <f t="array" ref="Q48">_xlfn.IFS(AE48=0,0,AE48&gt;0,(LOG(0.01*AE48/10^-AS48)))</f>
        <v>0</v>
      </c>
      <c r="R48" s="8" cm="1">
        <f t="array" ref="R48">_xlfn.IFS(AF48=0,0,AF48&gt;0,(LOG(0.01*AF48/10^-AT48)))</f>
        <v>0</v>
      </c>
      <c r="S48" s="8" cm="1">
        <f t="array" ref="S48">_xlfn.IFS(AG48=0,0,AG48&gt;0,(LOG(0.01*AG48/10^-AU48)))</f>
        <v>0</v>
      </c>
      <c r="AB48" s="17">
        <v>7</v>
      </c>
      <c r="AC48" s="17">
        <v>7</v>
      </c>
      <c r="AD48" s="17">
        <v>9.6999999999999993</v>
      </c>
      <c r="AP48" s="15">
        <v>7.93</v>
      </c>
      <c r="AQ48" s="15">
        <v>7.93</v>
      </c>
      <c r="AR48" s="15">
        <v>8.2799999999999994</v>
      </c>
      <c r="AW48" s="186" t="str">
        <f>IF(VLOOKUP($A48,'I-Ligands'!$A:$G,3,FALSE)="","",VLOOKUP($A48,'I-Ligands'!$A:$G,3,FALSE))</f>
        <v>α-MSH</v>
      </c>
      <c r="AX48" s="187" t="str">
        <f>IF(VLOOKUP($A48,'I-Ligands'!$A:$G,4,FALSE)="","",VLOOKUP($A48,'I-Ligands'!$A:$G,4,FALSE))</f>
        <v>Ac-SYSMEHFRWGKPV-NH2</v>
      </c>
      <c r="AY48" s="98">
        <v>3.96</v>
      </c>
      <c r="AZ48" s="99">
        <v>3.17</v>
      </c>
      <c r="BA48" s="99">
        <v>6.32</v>
      </c>
      <c r="BB48" s="99">
        <v>6.32</v>
      </c>
      <c r="BC48" s="99">
        <v>6.45</v>
      </c>
      <c r="BD48" s="99">
        <v>7.49</v>
      </c>
      <c r="BE48" s="99">
        <v>7.49</v>
      </c>
      <c r="BF48" s="99">
        <v>2.42</v>
      </c>
      <c r="BG48" s="99">
        <v>6.91</v>
      </c>
      <c r="BH48" s="99">
        <v>6.91</v>
      </c>
      <c r="BI48" s="99">
        <v>6.35</v>
      </c>
      <c r="BJ48" s="99">
        <v>4.6399999999999997</v>
      </c>
      <c r="BK48" s="99">
        <v>5.73</v>
      </c>
      <c r="BL48" s="99">
        <v>4.46</v>
      </c>
      <c r="BM48" s="98">
        <f t="shared" si="14"/>
        <v>0</v>
      </c>
      <c r="BN48" s="99">
        <f t="shared" si="15"/>
        <v>0</v>
      </c>
      <c r="BO48" s="99">
        <f t="shared" si="16"/>
        <v>0</v>
      </c>
      <c r="BP48" s="99">
        <f t="shared" si="17"/>
        <v>0</v>
      </c>
      <c r="BQ48" s="99">
        <f t="shared" si="18"/>
        <v>0</v>
      </c>
      <c r="BR48" s="99">
        <f t="shared" si="19"/>
        <v>0</v>
      </c>
      <c r="BS48" s="99">
        <f t="shared" si="20"/>
        <v>0</v>
      </c>
      <c r="BT48" s="99">
        <f t="shared" si="21"/>
        <v>0</v>
      </c>
      <c r="BU48" s="99">
        <f t="shared" si="22"/>
        <v>1.0130246020260492</v>
      </c>
      <c r="BV48" s="99">
        <f t="shared" si="23"/>
        <v>1.0130246020260492</v>
      </c>
      <c r="BW48" s="99">
        <f t="shared" si="24"/>
        <v>1.5275590551181102</v>
      </c>
      <c r="BX48" s="99">
        <f t="shared" si="25"/>
        <v>0</v>
      </c>
      <c r="BY48" s="99">
        <f t="shared" si="26"/>
        <v>0</v>
      </c>
      <c r="BZ48" s="99">
        <f t="shared" si="27"/>
        <v>0</v>
      </c>
    </row>
    <row r="49" spans="1:80" ht="18">
      <c r="A49" s="12" t="s">
        <v>206</v>
      </c>
      <c r="B49" s="13" t="s">
        <v>2663</v>
      </c>
      <c r="C49" s="9" t="str">
        <f>IF(VLOOKUP($A49,'I-Ligands'!$A:$G,5,FALSE)="","",VLOOKUP($A49,'I-Ligands'!$A:$G,5,FALSE))</f>
        <v>Guide to Pharmacology</v>
      </c>
      <c r="D49" s="9">
        <f>IF(VLOOKUP($A49,'I-Ligands'!$A:$G,6,FALSE)="","",VLOOKUP($A49,'I-Ligands'!$A:$G,6,FALSE))</f>
        <v>1883</v>
      </c>
      <c r="E49" s="9" t="str">
        <f>IF(VLOOKUP($A49,'I-Ligands'!$A:$G,7,FALSE)="","",VLOOKUP($A49,'I-Ligands'!$A:$G,7,FALSE))</f>
        <v>Phys</v>
      </c>
      <c r="F49" s="7" cm="1">
        <f t="array" ref="F49">_xlfn.IFS(T49=0,0,T49&gt;0,(LOG(0.01*T49/10^-AH49)))</f>
        <v>8.6713616938342728</v>
      </c>
      <c r="G49" s="8" cm="1">
        <f t="array" ref="G49">_xlfn.IFS(U49=0,0,U49&gt;0,(LOG(0.01*U49/10^-AI49)))</f>
        <v>8.5668676203541096</v>
      </c>
      <c r="H49" s="8" cm="1">
        <f t="array" ref="H49">_xlfn.IFS(V49=0,0,V49&gt;0,(LOG(0.01*V49/10^-AJ49)))</f>
        <v>8.3553828514484199</v>
      </c>
      <c r="I49" s="8" cm="1">
        <f t="array" ref="I49">_xlfn.IFS(W49=0,0,W49&gt;0,(LOG(0.01*W49/10^-AK49)))</f>
        <v>8.3553828514484199</v>
      </c>
      <c r="J49" s="8" cm="1">
        <f t="array" ref="J49">_xlfn.IFS(X49=0,0,X49&gt;0,(LOG(0.01*X49/10^-AL49)))</f>
        <v>0</v>
      </c>
      <c r="K49" s="8" cm="1">
        <f t="array" ref="K49">_xlfn.IFS(Y49=0,0,Y49&gt;0,(LOG(0.01*Y49/10^-AM49)))</f>
        <v>0</v>
      </c>
      <c r="L49" s="8" cm="1">
        <f t="array" ref="L49">_xlfn.IFS(Z49=0,0,Z49&gt;0,(LOG(0.01*Z49/10^-AN49)))</f>
        <v>0</v>
      </c>
      <c r="M49" s="8" cm="1">
        <f t="array" ref="M49">_xlfn.IFS(AA49=0,0,AA49&gt;0,(LOG(0.01*AA49/10^-AO49)))</f>
        <v>0</v>
      </c>
      <c r="N49" s="8" cm="1">
        <f t="array" ref="N49">_xlfn.IFS(AB49=0,0,AB49&gt;0,(LOG(0.01*AB49/10^-AP49)))</f>
        <v>6.8195192526186199</v>
      </c>
      <c r="O49" s="8" cm="1">
        <f t="array" ref="O49">_xlfn.IFS(AC49=0,0,AC49&gt;0,(LOG(0.01*AC49/10^-AQ49)))</f>
        <v>6.8195192526186199</v>
      </c>
      <c r="P49" s="8" cm="1">
        <f t="array" ref="P49">_xlfn.IFS(AD49=0,0,AD49&gt;0,(LOG(0.01*AD49/10^-AR49)))</f>
        <v>0</v>
      </c>
      <c r="Q49" s="8" cm="1">
        <f t="array" ref="Q49">_xlfn.IFS(AE49=0,0,AE49&gt;0,(LOG(0.01*AE49/10^-AS49)))</f>
        <v>0</v>
      </c>
      <c r="R49" s="8" cm="1">
        <f t="array" ref="R49">_xlfn.IFS(AF49=0,0,AF49&gt;0,(LOG(0.01*AF49/10^-AT49)))</f>
        <v>6.5644826721501692</v>
      </c>
      <c r="S49" s="8" cm="1">
        <f t="array" ref="S49">_xlfn.IFS(AG49=0,0,AG49&gt;0,(LOG(0.01*AG49/10^-AU49)))</f>
        <v>6.7911892990699378</v>
      </c>
      <c r="T49" s="16">
        <v>31</v>
      </c>
      <c r="U49" s="17">
        <v>29.3</v>
      </c>
      <c r="V49" s="17">
        <v>29.2</v>
      </c>
      <c r="W49" s="17">
        <v>29.2</v>
      </c>
      <c r="AB49" s="17">
        <v>8.6999999999999993</v>
      </c>
      <c r="AC49" s="17">
        <v>8.6999999999999993</v>
      </c>
      <c r="AF49" s="17">
        <v>8.8000000000000007</v>
      </c>
      <c r="AG49" s="17">
        <v>10.5</v>
      </c>
      <c r="AH49" s="14">
        <v>9.18</v>
      </c>
      <c r="AI49" s="15">
        <v>9.1</v>
      </c>
      <c r="AJ49" s="15">
        <v>8.89</v>
      </c>
      <c r="AK49" s="15">
        <v>8.89</v>
      </c>
      <c r="AP49" s="15">
        <v>7.88</v>
      </c>
      <c r="AQ49" s="15">
        <v>7.88</v>
      </c>
      <c r="AT49" s="15">
        <v>7.62</v>
      </c>
      <c r="AU49" s="15">
        <v>7.77</v>
      </c>
      <c r="AW49" s="186" t="str">
        <f>IF(VLOOKUP($A49,'I-Ligands'!$A:$G,3,FALSE)="","",VLOOKUP($A49,'I-Ligands'!$A:$G,3,FALSE))</f>
        <v>Prostaglandin E2</v>
      </c>
      <c r="AX49" s="187" t="str">
        <f>IF(VLOOKUP($A49,'I-Ligands'!$A:$G,4,FALSE)="","",VLOOKUP($A49,'I-Ligands'!$A:$G,4,FALSE))</f>
        <v>Prostaglandin E2</v>
      </c>
      <c r="AY49" s="98">
        <v>8.93</v>
      </c>
      <c r="AZ49" s="99">
        <v>8.48</v>
      </c>
      <c r="BA49" s="99">
        <v>7.01</v>
      </c>
      <c r="BB49" s="99">
        <v>7.01</v>
      </c>
      <c r="BC49" s="99">
        <v>7.83</v>
      </c>
      <c r="BD49" s="99">
        <v>7.47</v>
      </c>
      <c r="BE49" s="99">
        <v>7.47</v>
      </c>
      <c r="BF49" s="99">
        <v>7.38</v>
      </c>
      <c r="BG49" s="99">
        <v>7.87</v>
      </c>
      <c r="BH49" s="99">
        <v>7.87</v>
      </c>
      <c r="BI49" s="99">
        <v>8.3800000000000008</v>
      </c>
      <c r="BJ49" s="99">
        <v>7.02</v>
      </c>
      <c r="BK49" s="99">
        <v>9.0299999999999994</v>
      </c>
      <c r="BL49" s="99">
        <v>9.0299999999999994</v>
      </c>
      <c r="BM49" s="98">
        <f t="shared" si="14"/>
        <v>3.4714445688689812</v>
      </c>
      <c r="BN49" s="99">
        <f t="shared" si="15"/>
        <v>3.4551886792452828</v>
      </c>
      <c r="BO49" s="99">
        <f t="shared" si="16"/>
        <v>4.1654778887303854</v>
      </c>
      <c r="BP49" s="99">
        <f t="shared" si="17"/>
        <v>4.1654778887303854</v>
      </c>
      <c r="BQ49" s="99">
        <f t="shared" si="18"/>
        <v>0</v>
      </c>
      <c r="BR49" s="99">
        <f t="shared" si="19"/>
        <v>0</v>
      </c>
      <c r="BS49" s="99">
        <f t="shared" si="20"/>
        <v>0</v>
      </c>
      <c r="BT49" s="99">
        <f t="shared" si="21"/>
        <v>0</v>
      </c>
      <c r="BU49" s="99">
        <f t="shared" si="22"/>
        <v>1.1054637865311308</v>
      </c>
      <c r="BV49" s="99">
        <f t="shared" si="23"/>
        <v>1.1054637865311308</v>
      </c>
      <c r="BW49" s="99">
        <f t="shared" si="24"/>
        <v>0</v>
      </c>
      <c r="BX49" s="99">
        <f t="shared" si="25"/>
        <v>0</v>
      </c>
      <c r="BY49" s="99">
        <f t="shared" si="26"/>
        <v>0.97452934662237001</v>
      </c>
      <c r="BZ49" s="99">
        <f t="shared" si="27"/>
        <v>1.1627906976744187</v>
      </c>
    </row>
    <row r="50" spans="1:80" ht="18">
      <c r="A50" s="12" t="s">
        <v>41</v>
      </c>
      <c r="B50" s="13" t="s">
        <v>2599</v>
      </c>
      <c r="C50" s="9" t="str">
        <f>IF(VLOOKUP($A50,'I-Ligands'!$A:$G,5,FALSE)="","",VLOOKUP($A50,'I-Ligands'!$A:$G,5,FALSE))</f>
        <v>Guide to Pharmacology</v>
      </c>
      <c r="D50" s="9">
        <f>IF(VLOOKUP($A50,'I-Ligands'!$A:$G,6,FALSE)="","",VLOOKUP($A50,'I-Ligands'!$A:$G,6,FALSE))</f>
        <v>536</v>
      </c>
      <c r="E50" s="9" t="str">
        <f>IF(VLOOKUP($A50,'I-Ligands'!$A:$G,7,FALSE)="","",VLOOKUP($A50,'I-Ligands'!$A:$G,7,FALSE))</f>
        <v>Surr</v>
      </c>
      <c r="F50" s="7" cm="1">
        <f t="array" ref="F50">_xlfn.IFS(T50=0,0,T50&gt;0,(LOG(0.01*T50/10^-AH50)))</f>
        <v>6.6724510897304299</v>
      </c>
      <c r="G50" s="8" cm="1">
        <f t="array" ref="G50">_xlfn.IFS(U50=0,0,U50&gt;0,(LOG(0.01*U50/10^-AI50)))</f>
        <v>6.4673173347481763</v>
      </c>
      <c r="H50" s="8" cm="1">
        <f t="array" ref="H50">_xlfn.IFS(V50=0,0,V50&gt;0,(LOG(0.01*V50/10^-AJ50)))</f>
        <v>0</v>
      </c>
      <c r="I50" s="8" cm="1">
        <f t="array" ref="I50">_xlfn.IFS(W50=0,0,W50&gt;0,(LOG(0.01*W50/10^-AK50)))</f>
        <v>0</v>
      </c>
      <c r="J50" s="8" cm="1">
        <f t="array" ref="J50">_xlfn.IFS(X50=0,0,X50&gt;0,(LOG(0.01*X50/10^-AL50)))</f>
        <v>0</v>
      </c>
      <c r="K50" s="8" cm="1">
        <f t="array" ref="K50">_xlfn.IFS(Y50=0,0,Y50&gt;0,(LOG(0.01*Y50/10^-AM50)))</f>
        <v>0</v>
      </c>
      <c r="L50" s="8" cm="1">
        <f t="array" ref="L50">_xlfn.IFS(Z50=0,0,Z50&gt;0,(LOG(0.01*Z50/10^-AN50)))</f>
        <v>0</v>
      </c>
      <c r="M50" s="8" cm="1">
        <f t="array" ref="M50">_xlfn.IFS(AA50=0,0,AA50&gt;0,(LOG(0.01*AA50/10^-AO50)))</f>
        <v>0</v>
      </c>
      <c r="N50" s="8" cm="1">
        <f t="array" ref="N50">_xlfn.IFS(AB50=0,0,AB50&gt;0,(LOG(0.01*AB50/10^-AP50)))</f>
        <v>6.1084829485539345</v>
      </c>
      <c r="O50" s="8" cm="1">
        <f t="array" ref="O50">_xlfn.IFS(AC50=0,0,AC50&gt;0,(LOG(0.01*AC50/10^-AQ50)))</f>
        <v>6.1084829485539345</v>
      </c>
      <c r="P50" s="8" cm="1">
        <f t="array" ref="P50">_xlfn.IFS(AD50=0,0,AD50&gt;0,(LOG(0.01*AD50/10^-AR50)))</f>
        <v>6.7060912590556825</v>
      </c>
      <c r="Q50" s="8" cm="1">
        <f t="array" ref="Q50">_xlfn.IFS(AE50=0,0,AE50&gt;0,(LOG(0.01*AE50/10^-AS50)))</f>
        <v>0</v>
      </c>
      <c r="R50" s="8" cm="1">
        <f t="array" ref="R50">_xlfn.IFS(AF50=0,0,AF50&gt;0,(LOG(0.01*AF50/10^-AT50)))</f>
        <v>0</v>
      </c>
      <c r="S50" s="8" cm="1">
        <f t="array" ref="S50">_xlfn.IFS(AG50=0,0,AG50&gt;0,(LOG(0.01*AG50/10^-AU50)))</f>
        <v>0</v>
      </c>
      <c r="T50" s="16">
        <v>18.3</v>
      </c>
      <c r="U50" s="17">
        <v>14.7</v>
      </c>
      <c r="AB50" s="17">
        <v>9.3000000000000007</v>
      </c>
      <c r="AC50" s="17">
        <v>9.3000000000000007</v>
      </c>
      <c r="AD50" s="17">
        <v>15</v>
      </c>
      <c r="AH50" s="14">
        <v>7.41</v>
      </c>
      <c r="AI50" s="15">
        <v>7.3</v>
      </c>
      <c r="AP50" s="15">
        <v>7.14</v>
      </c>
      <c r="AQ50" s="15">
        <v>7.14</v>
      </c>
      <c r="AR50" s="15">
        <v>7.53</v>
      </c>
      <c r="AW50" s="186" t="str">
        <f>IF(VLOOKUP($A50,'I-Ligands'!$A:$G,3,FALSE)="","",VLOOKUP($A50,'I-Ligands'!$A:$G,3,FALSE))</f>
        <v>Isoproterenol</v>
      </c>
      <c r="AX50" s="187" t="str">
        <f>IF(VLOOKUP($A50,'I-Ligands'!$A:$G,4,FALSE)="","",VLOOKUP($A50,'I-Ligands'!$A:$G,4,FALSE))</f>
        <v>(−)-Isoproterenol hydrochloride</v>
      </c>
      <c r="AY50" s="98">
        <v>3.56</v>
      </c>
      <c r="AZ50" s="99">
        <v>1.91</v>
      </c>
      <c r="BA50" s="99">
        <v>4.5199999999999996</v>
      </c>
      <c r="BB50" s="99">
        <v>4.5199999999999996</v>
      </c>
      <c r="BC50" s="99">
        <v>4.78</v>
      </c>
      <c r="BD50" s="99">
        <v>3.8</v>
      </c>
      <c r="BE50" s="99">
        <v>3.8</v>
      </c>
      <c r="BF50" s="99">
        <v>3.39</v>
      </c>
      <c r="BG50" s="99">
        <v>7.54</v>
      </c>
      <c r="BH50" s="99">
        <v>7.54</v>
      </c>
      <c r="BI50" s="99">
        <v>6.78</v>
      </c>
      <c r="BJ50" s="99">
        <v>3.27</v>
      </c>
      <c r="BK50" s="99">
        <v>2.5099999999999998</v>
      </c>
      <c r="BL50" s="99">
        <v>2.73</v>
      </c>
      <c r="BM50" s="98">
        <f t="shared" si="14"/>
        <v>5.1404494382022472</v>
      </c>
      <c r="BN50" s="99">
        <f t="shared" si="15"/>
        <v>7.6963350785340312</v>
      </c>
      <c r="BO50" s="99">
        <f t="shared" si="16"/>
        <v>0</v>
      </c>
      <c r="BP50" s="99">
        <f t="shared" si="17"/>
        <v>0</v>
      </c>
      <c r="BQ50" s="99">
        <f t="shared" si="18"/>
        <v>0</v>
      </c>
      <c r="BR50" s="99">
        <f t="shared" si="19"/>
        <v>0</v>
      </c>
      <c r="BS50" s="99">
        <f t="shared" si="20"/>
        <v>0</v>
      </c>
      <c r="BT50" s="99">
        <f t="shared" si="21"/>
        <v>0</v>
      </c>
      <c r="BU50" s="99">
        <f t="shared" si="22"/>
        <v>1.23342175066313</v>
      </c>
      <c r="BV50" s="99">
        <f t="shared" si="23"/>
        <v>1.23342175066313</v>
      </c>
      <c r="BW50" s="99">
        <f t="shared" si="24"/>
        <v>2.2123893805309733</v>
      </c>
      <c r="BX50" s="99">
        <f t="shared" si="25"/>
        <v>0</v>
      </c>
      <c r="BY50" s="99">
        <f t="shared" si="26"/>
        <v>0</v>
      </c>
      <c r="BZ50" s="99">
        <f t="shared" si="27"/>
        <v>0</v>
      </c>
    </row>
    <row r="51" spans="1:80" ht="18">
      <c r="A51" s="12" t="s">
        <v>52</v>
      </c>
      <c r="B51" s="13" t="s">
        <v>2602</v>
      </c>
      <c r="C51" s="9" t="str">
        <f>IF(VLOOKUP($A51,'I-Ligands'!$A:$G,5,FALSE)="","",VLOOKUP($A51,'I-Ligands'!$A:$G,5,FALSE))</f>
        <v>Guide to Pharmacology</v>
      </c>
      <c r="D51" s="9">
        <f>IF(VLOOKUP($A51,'I-Ligands'!$A:$G,6,FALSE)="","",VLOOKUP($A51,'I-Ligands'!$A:$G,6,FALSE))</f>
        <v>649</v>
      </c>
      <c r="E51" s="9" t="str">
        <f>IF(VLOOKUP($A51,'I-Ligands'!$A:$G,7,FALSE)="","",VLOOKUP($A51,'I-Ligands'!$A:$G,7,FALSE))</f>
        <v>Phys</v>
      </c>
      <c r="F51" s="7" cm="1">
        <f t="array" ref="F51">_xlfn.IFS(T51=0,0,T51&gt;0,(LOG(0.01*T51/10^-AH51)))</f>
        <v>7.0996301674258993</v>
      </c>
      <c r="G51" s="8" cm="1">
        <f t="array" ref="G51">_xlfn.IFS(U51=0,0,U51&gt;0,(LOG(0.01*U51/10^-AI51)))</f>
        <v>6.9874960379132132</v>
      </c>
      <c r="H51" s="8" cm="1">
        <f t="array" ref="H51">_xlfn.IFS(V51=0,0,V51&gt;0,(LOG(0.01*V51/10^-AJ51)))</f>
        <v>7.5588530764097079</v>
      </c>
      <c r="I51" s="8" cm="1">
        <f t="array" ref="I51">_xlfn.IFS(W51=0,0,W51&gt;0,(LOG(0.01*W51/10^-AK51)))</f>
        <v>7.5588530764097079</v>
      </c>
      <c r="J51" s="8" cm="1">
        <f t="array" ref="J51">_xlfn.IFS(X51=0,0,X51&gt;0,(LOG(0.01*X51/10^-AL51)))</f>
        <v>7.5167205671564092</v>
      </c>
      <c r="K51" s="8" cm="1">
        <f t="array" ref="K51">_xlfn.IFS(Y51=0,0,Y51&gt;0,(LOG(0.01*Y51/10^-AM51)))</f>
        <v>7.4854879848908995</v>
      </c>
      <c r="L51" s="8" cm="1">
        <f t="array" ref="L51">_xlfn.IFS(Z51=0,0,Z51&gt;0,(LOG(0.01*Z51/10^-AN51)))</f>
        <v>7.4854879848908995</v>
      </c>
      <c r="M51" s="8" cm="1">
        <f t="array" ref="M51">_xlfn.IFS(AA51=0,0,AA51&gt;0,(LOG(0.01*AA51/10^-AO51)))</f>
        <v>6.4834237554869514</v>
      </c>
      <c r="N51" s="8" cm="1">
        <f t="array" ref="N51">_xlfn.IFS(AB51=0,0,AB51&gt;0,(LOG(0.01*AB51/10^-AP51)))</f>
        <v>7.5490780923760754</v>
      </c>
      <c r="O51" s="8" cm="1">
        <f t="array" ref="O51">_xlfn.IFS(AC51=0,0,AC51&gt;0,(LOG(0.01*AC51/10^-AQ51)))</f>
        <v>7.5490780923760754</v>
      </c>
      <c r="P51" s="8" cm="1">
        <f t="array" ref="P51">_xlfn.IFS(AD51=0,0,AD51&gt;0,(LOG(0.01*AD51/10^-AR51)))</f>
        <v>7.4230899869919433</v>
      </c>
      <c r="Q51" s="8" cm="1">
        <f t="array" ref="Q51">_xlfn.IFS(AE51=0,0,AE51&gt;0,(LOG(0.01*AE51/10^-AS51)))</f>
        <v>7.4766651902615315</v>
      </c>
      <c r="R51" s="8" cm="1">
        <f t="array" ref="R51">_xlfn.IFS(AF51=0,0,AF51&gt;0,(LOG(0.01*AF51/10^-AT51)))</f>
        <v>7.0244662261615947</v>
      </c>
      <c r="S51" s="8" cm="1">
        <f t="array" ref="S51">_xlfn.IFS(AG51=0,0,AG51&gt;0,(LOG(0.01*AG51/10^-AU51)))</f>
        <v>7.3364597338485291</v>
      </c>
      <c r="T51" s="16">
        <v>20.399999999999999</v>
      </c>
      <c r="U51" s="17">
        <v>20.3</v>
      </c>
      <c r="V51" s="17">
        <v>19.899999999999999</v>
      </c>
      <c r="W51" s="17">
        <v>19.899999999999999</v>
      </c>
      <c r="X51" s="17">
        <v>13.7</v>
      </c>
      <c r="Y51" s="17">
        <v>23.2</v>
      </c>
      <c r="Z51" s="17">
        <v>23.2</v>
      </c>
      <c r="AA51" s="17">
        <v>10.8</v>
      </c>
      <c r="AB51" s="17">
        <v>8.3000000000000007</v>
      </c>
      <c r="AC51" s="17">
        <v>8.3000000000000007</v>
      </c>
      <c r="AD51" s="17">
        <v>8</v>
      </c>
      <c r="AE51" s="17">
        <v>19.8</v>
      </c>
      <c r="AF51" s="17">
        <v>19.7</v>
      </c>
      <c r="AG51" s="17">
        <v>21.7</v>
      </c>
      <c r="AH51" s="14">
        <v>7.79</v>
      </c>
      <c r="AI51" s="15">
        <v>7.68</v>
      </c>
      <c r="AJ51" s="15">
        <v>8.26</v>
      </c>
      <c r="AK51" s="15">
        <v>8.26</v>
      </c>
      <c r="AL51" s="15">
        <v>8.3800000000000008</v>
      </c>
      <c r="AM51" s="15">
        <v>8.1199999999999992</v>
      </c>
      <c r="AN51" s="15">
        <v>8.1199999999999992</v>
      </c>
      <c r="AO51" s="15">
        <v>7.45</v>
      </c>
      <c r="AP51" s="15">
        <v>8.6300000000000008</v>
      </c>
      <c r="AQ51" s="15">
        <v>8.6300000000000008</v>
      </c>
      <c r="AR51" s="15">
        <v>8.52</v>
      </c>
      <c r="AS51" s="15">
        <v>8.18</v>
      </c>
      <c r="AT51" s="15">
        <v>7.73</v>
      </c>
      <c r="AU51" s="15">
        <v>8</v>
      </c>
      <c r="AW51" s="186" t="str">
        <f>IF(VLOOKUP($A51,'I-Ligands'!$A:$G,3,FALSE)="","",VLOOKUP($A51,'I-Ligands'!$A:$G,3,FALSE))</f>
        <v>Bradykinin</v>
      </c>
      <c r="AX51" s="187" t="str">
        <f>IF(VLOOKUP($A51,'I-Ligands'!$A:$G,4,FALSE)="","",VLOOKUP($A51,'I-Ligands'!$A:$G,4,FALSE))</f>
        <v>RPPGFSPFR</v>
      </c>
      <c r="AY51" s="98">
        <v>6.91</v>
      </c>
      <c r="AZ51" s="99">
        <v>5.52</v>
      </c>
      <c r="BA51" s="99">
        <v>7.12</v>
      </c>
      <c r="BB51" s="99">
        <v>7.12</v>
      </c>
      <c r="BC51" s="99">
        <v>8.44</v>
      </c>
      <c r="BD51" s="99">
        <v>7.32</v>
      </c>
      <c r="BE51" s="99">
        <v>7.32</v>
      </c>
      <c r="BF51" s="99">
        <v>2.91</v>
      </c>
      <c r="BG51" s="99">
        <v>6.59</v>
      </c>
      <c r="BH51" s="99">
        <v>6.59</v>
      </c>
      <c r="BI51" s="99">
        <v>4.91</v>
      </c>
      <c r="BJ51" s="99">
        <v>4.3</v>
      </c>
      <c r="BK51" s="99">
        <v>5.52</v>
      </c>
      <c r="BL51" s="99">
        <v>7.15</v>
      </c>
      <c r="BM51" s="98">
        <f t="shared" si="14"/>
        <v>2.9522431259044861</v>
      </c>
      <c r="BN51" s="99">
        <f t="shared" si="15"/>
        <v>3.6775362318840585</v>
      </c>
      <c r="BO51" s="99">
        <f t="shared" si="16"/>
        <v>2.7949438202247188</v>
      </c>
      <c r="BP51" s="99">
        <f t="shared" si="17"/>
        <v>2.7949438202247188</v>
      </c>
      <c r="BQ51" s="99">
        <f t="shared" si="18"/>
        <v>1.6232227488151658</v>
      </c>
      <c r="BR51" s="99">
        <f t="shared" si="19"/>
        <v>3.1693989071038251</v>
      </c>
      <c r="BS51" s="99">
        <f t="shared" si="20"/>
        <v>3.1693989071038251</v>
      </c>
      <c r="BT51" s="99">
        <f t="shared" si="21"/>
        <v>3.7113402061855671</v>
      </c>
      <c r="BU51" s="99">
        <f t="shared" si="22"/>
        <v>1.2594840667678302</v>
      </c>
      <c r="BV51" s="99">
        <f t="shared" si="23"/>
        <v>1.2594840667678302</v>
      </c>
      <c r="BW51" s="99">
        <f t="shared" si="24"/>
        <v>1.6293279022403258</v>
      </c>
      <c r="BX51" s="99">
        <f t="shared" si="25"/>
        <v>4.6046511627906979</v>
      </c>
      <c r="BY51" s="99">
        <f t="shared" si="26"/>
        <v>3.568840579710145</v>
      </c>
      <c r="BZ51" s="99">
        <f t="shared" si="27"/>
        <v>3.0349650349650346</v>
      </c>
    </row>
    <row r="52" spans="1:80">
      <c r="A52" s="12" t="s">
        <v>117</v>
      </c>
      <c r="B52" s="13" t="s">
        <v>2558</v>
      </c>
      <c r="C52" s="9" t="str">
        <f>IF(VLOOKUP($A52,'I-Ligands'!$A:$G,5,FALSE)="","",VLOOKUP($A52,'I-Ligands'!$A:$G,5,FALSE))</f>
        <v>Guide to Pharmacology</v>
      </c>
      <c r="D52" s="9">
        <f>IF(VLOOKUP($A52,'I-Ligands'!$A:$G,6,FALSE)="","",VLOOKUP($A52,'I-Ligands'!$A:$G,6,FALSE))</f>
        <v>1055</v>
      </c>
      <c r="E52" s="9" t="str">
        <f>IF(VLOOKUP($A52,'I-Ligands'!$A:$G,7,FALSE)="","",VLOOKUP($A52,'I-Ligands'!$A:$G,7,FALSE))</f>
        <v>Phys</v>
      </c>
      <c r="F52" s="7" cm="1">
        <f t="array" ref="F52">_xlfn.IFS(T52=0,0,T52&gt;0,(LOG(0.01*T52/10^-AH52)))</f>
        <v>4.2981347940287895</v>
      </c>
      <c r="G52" s="8" cm="1">
        <f t="array" ref="G52">_xlfn.IFS(U52=0,0,U52&gt;0,(LOG(0.01*U52/10^-AI52)))</f>
        <v>4.314568904034199</v>
      </c>
      <c r="H52" s="8" cm="1">
        <f t="array" ref="H52">_xlfn.IFS(V52=0,0,V52&gt;0,(LOG(0.01*V52/10^-AJ52)))</f>
        <v>4.2281880270062011</v>
      </c>
      <c r="I52" s="8" cm="1">
        <f t="array" ref="I52">_xlfn.IFS(W52=0,0,W52&gt;0,(LOG(0.01*W52/10^-AK52)))</f>
        <v>4.2281880270062011</v>
      </c>
      <c r="J52" s="8" cm="1">
        <f t="array" ref="J52">_xlfn.IFS(X52=0,0,X52&gt;0,(LOG(0.01*X52/10^-AL52)))</f>
        <v>0</v>
      </c>
      <c r="K52" s="8" cm="1">
        <f t="array" ref="K52">_xlfn.IFS(Y52=0,0,Y52&gt;0,(LOG(0.01*Y52/10^-AM52)))</f>
        <v>4.2995150145426315</v>
      </c>
      <c r="L52" s="8" cm="1">
        <f t="array" ref="L52">_xlfn.IFS(Z52=0,0,Z52&gt;0,(LOG(0.01*Z52/10^-AN52)))</f>
        <v>4.2995150145426315</v>
      </c>
      <c r="M52" s="8" cm="1">
        <f t="array" ref="M52">_xlfn.IFS(AA52=0,0,AA52&gt;0,(LOG(0.01*AA52/10^-AO52)))</f>
        <v>3.6190413923210945</v>
      </c>
      <c r="N52" s="8" cm="1">
        <f t="array" ref="N52">_xlfn.IFS(AB52=0,0,AB52&gt;0,(LOG(0.01*AB52/10^-AP52)))</f>
        <v>4.6513926851582257</v>
      </c>
      <c r="O52" s="8" cm="1">
        <f t="array" ref="O52">_xlfn.IFS(AC52=0,0,AC52&gt;0,(LOG(0.01*AC52/10^-AQ52)))</f>
        <v>4.6513926851582257</v>
      </c>
      <c r="P52" s="8" cm="1">
        <f t="array" ref="P52">_xlfn.IFS(AD52=0,0,AD52&gt;0,(LOG(0.01*AD52/10^-AR52)))</f>
        <v>0</v>
      </c>
      <c r="Q52" s="8" cm="1">
        <f t="array" ref="Q52">_xlfn.IFS(AE52=0,0,AE52&gt;0,(LOG(0.01*AE52/10^-AS52)))</f>
        <v>3.4677236052888483</v>
      </c>
      <c r="R52" s="8" cm="1">
        <f t="array" ref="R52">_xlfn.IFS(AF52=0,0,AF52&gt;0,(LOG(0.01*AF52/10^-AT52)))</f>
        <v>3.7638037209559574</v>
      </c>
      <c r="S52" s="8" cm="1">
        <f t="array" ref="S52">_xlfn.IFS(AG52=0,0,AG52&gt;0,(LOG(0.01*AG52/10^-AU52)))</f>
        <v>3.5476270912904422</v>
      </c>
      <c r="T52" s="16">
        <v>26.8</v>
      </c>
      <c r="U52" s="17">
        <v>27.2</v>
      </c>
      <c r="V52" s="17">
        <v>5.6</v>
      </c>
      <c r="W52" s="17">
        <v>5.6</v>
      </c>
      <c r="Y52" s="17">
        <v>16.2</v>
      </c>
      <c r="Z52" s="17">
        <v>16.2</v>
      </c>
      <c r="AA52" s="17">
        <v>9.1</v>
      </c>
      <c r="AB52" s="17">
        <v>11</v>
      </c>
      <c r="AC52" s="17">
        <v>11</v>
      </c>
      <c r="AE52" s="17">
        <v>9.5</v>
      </c>
      <c r="AF52" s="17">
        <v>12.7</v>
      </c>
      <c r="AG52" s="17">
        <v>7.9</v>
      </c>
      <c r="AH52" s="14">
        <v>4.87</v>
      </c>
      <c r="AI52" s="15">
        <v>4.88</v>
      </c>
      <c r="AJ52" s="15">
        <v>5.48</v>
      </c>
      <c r="AK52" s="15">
        <v>5.48</v>
      </c>
      <c r="AM52" s="15">
        <v>5.09</v>
      </c>
      <c r="AN52" s="15">
        <v>5.09</v>
      </c>
      <c r="AO52" s="15">
        <v>4.66</v>
      </c>
      <c r="AP52" s="15">
        <v>5.61</v>
      </c>
      <c r="AQ52" s="15">
        <v>5.61</v>
      </c>
      <c r="AS52" s="15">
        <v>4.49</v>
      </c>
      <c r="AT52" s="15">
        <v>4.66</v>
      </c>
      <c r="AU52" s="15">
        <v>4.6500000000000004</v>
      </c>
      <c r="AW52" s="186" t="str">
        <f>IF(VLOOKUP($A52,'I-Ligands'!$A:$G,3,FALSE)="","",VLOOKUP($A52,'I-Ligands'!$A:$G,3,FALSE))</f>
        <v>Palmitic acid</v>
      </c>
      <c r="AX52" s="187" t="str">
        <f>IF(VLOOKUP($A52,'I-Ligands'!$A:$G,4,FALSE)="","",VLOOKUP($A52,'I-Ligands'!$A:$G,4,FALSE))</f>
        <v>Palmitic acid</v>
      </c>
      <c r="AY52" s="98">
        <v>2.27</v>
      </c>
      <c r="AZ52" s="99">
        <v>2.2799999999999998</v>
      </c>
      <c r="BA52" s="99">
        <v>4.62</v>
      </c>
      <c r="BB52" s="99">
        <v>4.62</v>
      </c>
      <c r="BC52" s="99">
        <v>5.22</v>
      </c>
      <c r="BD52" s="99">
        <v>2.5299999999999998</v>
      </c>
      <c r="BE52" s="99">
        <v>2.5299999999999998</v>
      </c>
      <c r="BF52" s="99">
        <v>1.07</v>
      </c>
      <c r="BG52" s="99">
        <v>8.2200000000000006</v>
      </c>
      <c r="BH52" s="99">
        <v>8.2200000000000006</v>
      </c>
      <c r="BI52" s="99">
        <v>5.88</v>
      </c>
      <c r="BJ52" s="99">
        <v>2.11</v>
      </c>
      <c r="BK52" s="99">
        <v>1.53</v>
      </c>
      <c r="BL52" s="99">
        <v>1.28</v>
      </c>
      <c r="BM52" s="98">
        <f t="shared" si="14"/>
        <v>11.806167400881057</v>
      </c>
      <c r="BN52" s="99">
        <f t="shared" si="15"/>
        <v>11.92982456140351</v>
      </c>
      <c r="BO52" s="99">
        <f t="shared" si="16"/>
        <v>1.2121212121212119</v>
      </c>
      <c r="BP52" s="99">
        <f t="shared" si="17"/>
        <v>1.2121212121212119</v>
      </c>
      <c r="BQ52" s="99">
        <f t="shared" si="18"/>
        <v>0</v>
      </c>
      <c r="BR52" s="99">
        <f t="shared" si="19"/>
        <v>6.4031620553359687</v>
      </c>
      <c r="BS52" s="99">
        <f t="shared" si="20"/>
        <v>6.4031620553359687</v>
      </c>
      <c r="BT52" s="99">
        <f t="shared" si="21"/>
        <v>8.5046728971962615</v>
      </c>
      <c r="BU52" s="99">
        <f t="shared" si="22"/>
        <v>1.3381995133819951</v>
      </c>
      <c r="BV52" s="99">
        <f t="shared" si="23"/>
        <v>1.3381995133819951</v>
      </c>
      <c r="BW52" s="99">
        <f t="shared" si="24"/>
        <v>0</v>
      </c>
      <c r="BX52" s="99">
        <f t="shared" si="25"/>
        <v>4.5023696682464456</v>
      </c>
      <c r="BY52" s="99">
        <f t="shared" si="26"/>
        <v>8.3006535947712408</v>
      </c>
      <c r="BZ52" s="99">
        <f t="shared" si="27"/>
        <v>6.171875</v>
      </c>
    </row>
    <row r="53" spans="1:80" ht="18">
      <c r="A53" s="12" t="s">
        <v>100</v>
      </c>
      <c r="B53" s="13" t="s">
        <v>2653</v>
      </c>
      <c r="C53" s="9" t="str">
        <f>IF(VLOOKUP($A53,'I-Ligands'!$A:$G,5,FALSE)="","",VLOOKUP($A53,'I-Ligands'!$A:$G,5,FALSE))</f>
        <v>Guide to Pharmacology</v>
      </c>
      <c r="D53" s="9">
        <f>IF(VLOOKUP($A53,'I-Ligands'!$A:$G,6,FALSE)="","",VLOOKUP($A53,'I-Ligands'!$A:$G,6,FALSE))</f>
        <v>4064</v>
      </c>
      <c r="E53" s="9" t="str">
        <f>IF(VLOOKUP($A53,'I-Ligands'!$A:$G,7,FALSE)="","",VLOOKUP($A53,'I-Ligands'!$A:$G,7,FALSE))</f>
        <v>Phys</v>
      </c>
      <c r="F53" s="7" cm="1">
        <f t="array" ref="F53">_xlfn.IFS(T53=0,0,T53&gt;0,(LOG(0.01*T53/10^-AH53)))</f>
        <v>0</v>
      </c>
      <c r="G53" s="8" cm="1">
        <f t="array" ref="G53">_xlfn.IFS(U53=0,0,U53&gt;0,(LOG(0.01*U53/10^-AI53)))</f>
        <v>0</v>
      </c>
      <c r="H53" s="8" cm="1">
        <f t="array" ref="H53">_xlfn.IFS(V53=0,0,V53&gt;0,(LOG(0.01*V53/10^-AJ53)))</f>
        <v>6.3622712330395688</v>
      </c>
      <c r="I53" s="8" cm="1">
        <f t="array" ref="I53">_xlfn.IFS(W53=0,0,W53&gt;0,(LOG(0.01*W53/10^-AK53)))</f>
        <v>6.3622712330395688</v>
      </c>
      <c r="J53" s="8" cm="1">
        <f t="array" ref="J53">_xlfn.IFS(X53=0,0,X53&gt;0,(LOG(0.01*X53/10^-AL53)))</f>
        <v>6.5238037209559572</v>
      </c>
      <c r="K53" s="8" cm="1">
        <f t="array" ref="K53">_xlfn.IFS(Y53=0,0,Y53&gt;0,(LOG(0.01*Y53/10^-AM53)))</f>
        <v>6.1305897102992493</v>
      </c>
      <c r="L53" s="8" cm="1">
        <f t="array" ref="L53">_xlfn.IFS(Z53=0,0,Z53&gt;0,(LOG(0.01*Z53/10^-AN53)))</f>
        <v>6.1305897102992493</v>
      </c>
      <c r="M53" s="8" cm="1">
        <f t="array" ref="M53">_xlfn.IFS(AA53=0,0,AA53&gt;0,(LOG(0.01*AA53/10^-AO53)))</f>
        <v>6.2855284469075485</v>
      </c>
      <c r="N53" s="8" cm="1">
        <f t="array" ref="N53">_xlfn.IFS(AB53=0,0,AB53&gt;0,(LOG(0.01*AB53/10^-AP53)))</f>
        <v>6.1234684555795882</v>
      </c>
      <c r="O53" s="8" cm="1">
        <f t="array" ref="O53">_xlfn.IFS(AC53=0,0,AC53&gt;0,(LOG(0.01*AC53/10^-AQ53)))</f>
        <v>6.1234684555795882</v>
      </c>
      <c r="P53" s="8" cm="1">
        <f t="array" ref="P53">_xlfn.IFS(AD53=0,0,AD53&gt;0,(LOG(0.01*AD53/10^-AR53)))</f>
        <v>6.3931278535996983</v>
      </c>
      <c r="Q53" s="8" cm="1">
        <f t="array" ref="Q53">_xlfn.IFS(AE53=0,0,AE53&gt;0,(LOG(0.01*AE53/10^-AS53)))</f>
        <v>0</v>
      </c>
      <c r="R53" s="8" cm="1">
        <f t="array" ref="R53">_xlfn.IFS(AF53=0,0,AF53&gt;0,(LOG(0.01*AF53/10^-AT53)))</f>
        <v>6.5935389083702178</v>
      </c>
      <c r="S53" s="8" cm="1">
        <f t="array" ref="S53">_xlfn.IFS(AG53=0,0,AG53&gt;0,(LOG(0.01*AG53/10^-AU53)))</f>
        <v>6.8527853703164503</v>
      </c>
      <c r="V53" s="17">
        <v>9.6</v>
      </c>
      <c r="W53" s="17">
        <v>9.6</v>
      </c>
      <c r="X53" s="17">
        <v>12.7</v>
      </c>
      <c r="Y53" s="17">
        <v>12.9</v>
      </c>
      <c r="Z53" s="17">
        <v>12.9</v>
      </c>
      <c r="AA53" s="17">
        <v>17.2</v>
      </c>
      <c r="AB53" s="17">
        <v>4.3</v>
      </c>
      <c r="AC53" s="17">
        <v>4.3</v>
      </c>
      <c r="AD53" s="17">
        <v>9.4</v>
      </c>
      <c r="AF53" s="17">
        <v>13.6</v>
      </c>
      <c r="AG53" s="17">
        <v>12.1</v>
      </c>
      <c r="AJ53" s="15">
        <v>7.38</v>
      </c>
      <c r="AK53" s="15">
        <v>7.38</v>
      </c>
      <c r="AL53" s="15">
        <v>7.42</v>
      </c>
      <c r="AM53" s="15">
        <v>7.02</v>
      </c>
      <c r="AN53" s="15">
        <v>7.02</v>
      </c>
      <c r="AO53" s="15">
        <v>7.05</v>
      </c>
      <c r="AP53" s="15">
        <v>7.49</v>
      </c>
      <c r="AQ53" s="15">
        <v>7.49</v>
      </c>
      <c r="AR53" s="15">
        <v>7.42</v>
      </c>
      <c r="AT53" s="15">
        <v>7.46</v>
      </c>
      <c r="AU53" s="15">
        <v>7.77</v>
      </c>
      <c r="AW53" s="186" t="str">
        <f>IF(VLOOKUP($A53,'I-Ligands'!$A:$G,3,FALSE)="","",VLOOKUP($A53,'I-Ligands'!$A:$G,3,FALSE))</f>
        <v>Lysophosphatidylserine</v>
      </c>
      <c r="AX53" s="187" t="str">
        <f>IF(VLOOKUP($A53,'I-Ligands'!$A:$G,4,FALSE)="","",VLOOKUP($A53,'I-Ligands'!$A:$G,4,FALSE))</f>
        <v>1-oleoyl-2-hydroxy-sn-glycero-3-phospho-L-serine, sodium salt</v>
      </c>
      <c r="AY53" s="98">
        <v>2.57</v>
      </c>
      <c r="AZ53" s="99">
        <v>2.15</v>
      </c>
      <c r="BA53" s="99">
        <v>2.63</v>
      </c>
      <c r="BB53" s="99">
        <v>2.63</v>
      </c>
      <c r="BC53" s="99">
        <v>3.02</v>
      </c>
      <c r="BD53" s="99">
        <v>2.38</v>
      </c>
      <c r="BE53" s="99">
        <v>2.38</v>
      </c>
      <c r="BF53" s="99">
        <v>3.55</v>
      </c>
      <c r="BG53" s="99">
        <v>3.19</v>
      </c>
      <c r="BH53" s="99">
        <v>3.19</v>
      </c>
      <c r="BI53" s="99">
        <v>3.26</v>
      </c>
      <c r="BJ53" s="99">
        <v>2.82</v>
      </c>
      <c r="BK53" s="99">
        <v>3.44</v>
      </c>
      <c r="BL53" s="99">
        <v>5.18</v>
      </c>
      <c r="BM53" s="98">
        <f t="shared" si="14"/>
        <v>0</v>
      </c>
      <c r="BN53" s="99">
        <f t="shared" si="15"/>
        <v>0</v>
      </c>
      <c r="BO53" s="99">
        <f t="shared" si="16"/>
        <v>3.6501901140684412</v>
      </c>
      <c r="BP53" s="99">
        <f t="shared" si="17"/>
        <v>3.6501901140684412</v>
      </c>
      <c r="BQ53" s="99">
        <f t="shared" si="18"/>
        <v>4.2052980132450326</v>
      </c>
      <c r="BR53" s="99">
        <f t="shared" si="19"/>
        <v>5.420168067226891</v>
      </c>
      <c r="BS53" s="99">
        <f t="shared" si="20"/>
        <v>5.420168067226891</v>
      </c>
      <c r="BT53" s="99">
        <f t="shared" si="21"/>
        <v>4.845070422535211</v>
      </c>
      <c r="BU53" s="99">
        <f t="shared" si="22"/>
        <v>1.347962382445141</v>
      </c>
      <c r="BV53" s="99">
        <f t="shared" si="23"/>
        <v>1.347962382445141</v>
      </c>
      <c r="BW53" s="99">
        <f t="shared" si="24"/>
        <v>2.8834355828220861</v>
      </c>
      <c r="BX53" s="99">
        <f t="shared" si="25"/>
        <v>0</v>
      </c>
      <c r="BY53" s="99">
        <f t="shared" si="26"/>
        <v>3.9534883720930232</v>
      </c>
      <c r="BZ53" s="99">
        <f t="shared" si="27"/>
        <v>2.3359073359073359</v>
      </c>
    </row>
    <row r="54" spans="1:80" ht="18">
      <c r="A54" s="12" t="s">
        <v>17</v>
      </c>
      <c r="B54" s="13" t="s">
        <v>2574</v>
      </c>
      <c r="C54" s="9" t="str">
        <f>IF(VLOOKUP($A54,'I-Ligands'!$A:$G,5,FALSE)="","",VLOOKUP($A54,'I-Ligands'!$A:$G,5,FALSE))</f>
        <v>Guide to Pharmacology</v>
      </c>
      <c r="D54" s="9">
        <f>IF(VLOOKUP($A54,'I-Ligands'!$A:$G,6,FALSE)="","",VLOOKUP($A54,'I-Ligands'!$A:$G,6,FALSE))</f>
        <v>5</v>
      </c>
      <c r="E54" s="9" t="str">
        <f>IF(VLOOKUP($A54,'I-Ligands'!$A:$G,7,FALSE)="","",VLOOKUP($A54,'I-Ligands'!$A:$G,7,FALSE))</f>
        <v>Phys</v>
      </c>
      <c r="F54" s="7" cm="1">
        <f t="array" ref="F54">_xlfn.IFS(T54=0,0,T54&gt;0,(LOG(0.01*T54/10^-AH54)))</f>
        <v>0</v>
      </c>
      <c r="G54" s="8" cm="1">
        <f t="array" ref="G54">_xlfn.IFS(U54=0,0,U54&gt;0,(LOG(0.01*U54/10^-AI54)))</f>
        <v>0</v>
      </c>
      <c r="H54" s="8" cm="1">
        <f t="array" ref="H54">_xlfn.IFS(V54=0,0,V54&gt;0,(LOG(0.01*V54/10^-AJ54)))</f>
        <v>7.9861280356782389</v>
      </c>
      <c r="I54" s="8" cm="1">
        <f t="array" ref="I54">_xlfn.IFS(W54=0,0,W54&gt;0,(LOG(0.01*W54/10^-AK54)))</f>
        <v>7.9861280356782389</v>
      </c>
      <c r="J54" s="8" cm="1">
        <f t="array" ref="J54">_xlfn.IFS(X54=0,0,X54&gt;0,(LOG(0.01*X54/10^-AL54)))</f>
        <v>7.9531278535996996</v>
      </c>
      <c r="K54" s="8" cm="1">
        <f t="array" ref="K54">_xlfn.IFS(Y54=0,0,Y54&gt;0,(LOG(0.01*Y54/10^-AM54)))</f>
        <v>7.9218416065364998</v>
      </c>
      <c r="L54" s="8" cm="1">
        <f t="array" ref="L54">_xlfn.IFS(Z54=0,0,Z54&gt;0,(LOG(0.01*Z54/10^-AN54)))</f>
        <v>7.9218416065364998</v>
      </c>
      <c r="M54" s="8" cm="1">
        <f t="array" ref="M54">_xlfn.IFS(AA54=0,0,AA54&gt;0,(LOG(0.01*AA54/10^-AO54)))</f>
        <v>7.7369100130080577</v>
      </c>
      <c r="N54" s="8" cm="1">
        <f t="array" ref="N54">_xlfn.IFS(AB54=0,0,AB54&gt;0,(LOG(0.01*AB54/10^-AP54)))</f>
        <v>6.7637878273455554</v>
      </c>
      <c r="O54" s="8" cm="1">
        <f t="array" ref="O54">_xlfn.IFS(AC54=0,0,AC54&gt;0,(LOG(0.01*AC54/10^-AQ54)))</f>
        <v>6.7637878273455554</v>
      </c>
      <c r="P54" s="8" cm="1">
        <f t="array" ref="P54">_xlfn.IFS(AD54=0,0,AD54&gt;0,(LOG(0.01*AD54/10^-AR54)))</f>
        <v>7.4795150145426303</v>
      </c>
      <c r="Q54" s="8" cm="1">
        <f t="array" ref="Q54">_xlfn.IFS(AE54=0,0,AE54&gt;0,(LOG(0.01*AE54/10^-AS54)))</f>
        <v>6.2310299956639819</v>
      </c>
      <c r="R54" s="8" cm="1">
        <f t="array" ref="R54">_xlfn.IFS(AF54=0,0,AF54&gt;0,(LOG(0.01*AF54/10^-AT54)))</f>
        <v>6.341478917042255</v>
      </c>
      <c r="S54" s="8" cm="1">
        <f t="array" ref="S54">_xlfn.IFS(AG54=0,0,AG54&gt;0,(LOG(0.01*AG54/10^-AU54)))</f>
        <v>6.5588490907372554</v>
      </c>
      <c r="V54" s="17">
        <v>14</v>
      </c>
      <c r="W54" s="17">
        <v>14</v>
      </c>
      <c r="X54" s="17">
        <v>9.4</v>
      </c>
      <c r="Y54" s="17">
        <v>18.7</v>
      </c>
      <c r="Z54" s="17">
        <v>18.7</v>
      </c>
      <c r="AA54" s="17">
        <v>12.5</v>
      </c>
      <c r="AB54" s="17">
        <v>9.1999999999999993</v>
      </c>
      <c r="AC54" s="17">
        <v>9.1999999999999993</v>
      </c>
      <c r="AD54" s="17">
        <v>16.2</v>
      </c>
      <c r="AE54" s="17">
        <v>2</v>
      </c>
      <c r="AF54" s="17">
        <v>3.4</v>
      </c>
      <c r="AG54" s="17">
        <v>6.9</v>
      </c>
      <c r="AJ54" s="15">
        <v>8.84</v>
      </c>
      <c r="AK54" s="15">
        <v>8.84</v>
      </c>
      <c r="AL54" s="15">
        <v>8.98</v>
      </c>
      <c r="AM54" s="15">
        <v>8.65</v>
      </c>
      <c r="AN54" s="15">
        <v>8.65</v>
      </c>
      <c r="AO54" s="15">
        <v>8.64</v>
      </c>
      <c r="AP54" s="15">
        <v>7.8</v>
      </c>
      <c r="AQ54" s="15">
        <v>7.8</v>
      </c>
      <c r="AR54" s="15">
        <v>8.27</v>
      </c>
      <c r="AS54" s="15">
        <v>7.93</v>
      </c>
      <c r="AT54" s="15">
        <v>7.81</v>
      </c>
      <c r="AU54" s="15">
        <v>7.72</v>
      </c>
      <c r="AW54" s="186" t="str">
        <f>IF(VLOOKUP($A54,'I-Ligands'!$A:$G,3,FALSE)="","",VLOOKUP($A54,'I-Ligands'!$A:$G,3,FALSE))</f>
        <v>Serotonin</v>
      </c>
      <c r="AX54" s="187" t="str">
        <f>IF(VLOOKUP($A54,'I-Ligands'!$A:$G,4,FALSE)="","",VLOOKUP($A54,'I-Ligands'!$A:$G,4,FALSE))</f>
        <v>5-Hydroxytryptamine Hydrochloride</v>
      </c>
      <c r="AY54" s="98">
        <v>5.92</v>
      </c>
      <c r="AZ54" s="99">
        <v>4.18</v>
      </c>
      <c r="BA54" s="99">
        <v>5.14</v>
      </c>
      <c r="BB54" s="99">
        <v>5.14</v>
      </c>
      <c r="BC54" s="99">
        <v>6.81</v>
      </c>
      <c r="BD54" s="99">
        <v>4.32</v>
      </c>
      <c r="BE54" s="99">
        <v>4.32</v>
      </c>
      <c r="BF54" s="99">
        <v>6.84</v>
      </c>
      <c r="BG54" s="99">
        <v>6.77</v>
      </c>
      <c r="BH54" s="99">
        <v>6.77</v>
      </c>
      <c r="BI54" s="99">
        <v>5.84</v>
      </c>
      <c r="BJ54" s="99">
        <v>5.57</v>
      </c>
      <c r="BK54" s="99">
        <v>4.54</v>
      </c>
      <c r="BL54" s="99">
        <v>5.21</v>
      </c>
      <c r="BM54" s="98">
        <f t="shared" si="14"/>
        <v>0</v>
      </c>
      <c r="BN54" s="99">
        <f t="shared" si="15"/>
        <v>0</v>
      </c>
      <c r="BO54" s="99">
        <f t="shared" si="16"/>
        <v>2.7237354085603114</v>
      </c>
      <c r="BP54" s="99">
        <f t="shared" si="17"/>
        <v>2.7237354085603114</v>
      </c>
      <c r="BQ54" s="99">
        <f t="shared" si="18"/>
        <v>1.380323054331865</v>
      </c>
      <c r="BR54" s="99">
        <f t="shared" si="19"/>
        <v>4.3287037037037033</v>
      </c>
      <c r="BS54" s="99">
        <f t="shared" si="20"/>
        <v>4.3287037037037033</v>
      </c>
      <c r="BT54" s="99">
        <f t="shared" si="21"/>
        <v>1.827485380116959</v>
      </c>
      <c r="BU54" s="99">
        <f t="shared" si="22"/>
        <v>1.3589364844903988</v>
      </c>
      <c r="BV54" s="99">
        <f t="shared" si="23"/>
        <v>1.3589364844903988</v>
      </c>
      <c r="BW54" s="99">
        <f t="shared" si="24"/>
        <v>2.7739726027397258</v>
      </c>
      <c r="BX54" s="99">
        <f t="shared" si="25"/>
        <v>0.35906642728904847</v>
      </c>
      <c r="BY54" s="99">
        <f t="shared" si="26"/>
        <v>0.74889867841409685</v>
      </c>
      <c r="BZ54" s="99">
        <f t="shared" si="27"/>
        <v>1.324376199616123</v>
      </c>
    </row>
    <row r="55" spans="1:80" ht="18">
      <c r="A55" s="12" t="s">
        <v>1</v>
      </c>
      <c r="B55" s="13" t="s">
        <v>2584</v>
      </c>
      <c r="C55" s="9" t="str">
        <f>IF(VLOOKUP($A55,'I-Ligands'!$A:$G,5,FALSE)="","",VLOOKUP($A55,'I-Ligands'!$A:$G,5,FALSE))</f>
        <v>Guide to Pharmacology</v>
      </c>
      <c r="D55" s="9">
        <f>IF(VLOOKUP($A55,'I-Ligands'!$A:$G,6,FALSE)="","",VLOOKUP($A55,'I-Ligands'!$A:$G,6,FALSE))</f>
        <v>2844</v>
      </c>
      <c r="E55" s="9" t="str">
        <f>IF(VLOOKUP($A55,'I-Ligands'!$A:$G,7,FALSE)="","",VLOOKUP($A55,'I-Ligands'!$A:$G,7,FALSE))</f>
        <v>Phys</v>
      </c>
      <c r="F55" s="7" cm="1">
        <f t="array" ref="F55">_xlfn.IFS(T55=0,0,T55&gt;0,(LOG(0.01*T55/10^-AH55)))</f>
        <v>5.4861280356782389</v>
      </c>
      <c r="G55" s="8" cm="1">
        <f t="array" ref="G55">_xlfn.IFS(U55=0,0,U55&gt;0,(LOG(0.01*U55/10^-AI55)))</f>
        <v>5.5137878273455563</v>
      </c>
      <c r="H55" s="8" cm="1">
        <f t="array" ref="H55">_xlfn.IFS(V55=0,0,V55&gt;0,(LOG(0.01*V55/10^-AJ55)))</f>
        <v>5.2937878273455556</v>
      </c>
      <c r="I55" s="8" cm="1">
        <f t="array" ref="I55">_xlfn.IFS(W55=0,0,W55&gt;0,(LOG(0.01*W55/10^-AK55)))</f>
        <v>5.2937878273455556</v>
      </c>
      <c r="J55" s="8" cm="1">
        <f t="array" ref="J55">_xlfn.IFS(X55=0,0,X55&gt;0,(LOG(0.01*X55/10^-AL55)))</f>
        <v>5.3764907251724825</v>
      </c>
      <c r="K55" s="8" cm="1">
        <f t="array" ref="K55">_xlfn.IFS(Y55=0,0,Y55&gt;0,(LOG(0.01*Y55/10^-AM55)))</f>
        <v>5.5403705451175638</v>
      </c>
      <c r="L55" s="8" cm="1">
        <f t="array" ref="L55">_xlfn.IFS(Z55=0,0,Z55&gt;0,(LOG(0.01*Z55/10^-AN55)))</f>
        <v>5.5403705451175638</v>
      </c>
      <c r="M55" s="8" cm="1">
        <f t="array" ref="M55">_xlfn.IFS(AA55=0,0,AA55&gt;0,(LOG(0.01*AA55/10^-AO55)))</f>
        <v>5.4231278535996994</v>
      </c>
      <c r="N55" s="8" cm="1">
        <f t="array" ref="N55">_xlfn.IFS(AB55=0,0,AB55&gt;0,(LOG(0.01*AB55/10^-AP55)))</f>
        <v>5.3412583487190757</v>
      </c>
      <c r="O55" s="8" cm="1">
        <f t="array" ref="O55">_xlfn.IFS(AC55=0,0,AC55&gt;0,(LOG(0.01*AC55/10^-AQ55)))</f>
        <v>5.3412583487190757</v>
      </c>
      <c r="P55" s="8" cm="1">
        <f t="array" ref="P55">_xlfn.IFS(AD55=0,0,AD55&gt;0,(LOG(0.01*AD55/10^-AR55)))</f>
        <v>5.4461799739838872</v>
      </c>
      <c r="Q55" s="8" cm="1">
        <f t="array" ref="Q55">_xlfn.IFS(AE55=0,0,AE55&gt;0,(LOG(0.01*AE55/10^-AS55)))</f>
        <v>0</v>
      </c>
      <c r="R55" s="8" cm="1">
        <f t="array" ref="R55">_xlfn.IFS(AF55=0,0,AF55&gt;0,(LOG(0.01*AF55/10^-AT55)))</f>
        <v>0</v>
      </c>
      <c r="S55" s="8" cm="1">
        <f t="array" ref="S55">_xlfn.IFS(AG55=0,0,AG55&gt;0,(LOG(0.01*AG55/10^-AU55)))</f>
        <v>0</v>
      </c>
      <c r="T55" s="16">
        <v>14</v>
      </c>
      <c r="U55" s="17">
        <v>9.1999999999999993</v>
      </c>
      <c r="V55" s="17">
        <v>9.1999999999999993</v>
      </c>
      <c r="W55" s="17">
        <v>9.1999999999999993</v>
      </c>
      <c r="X55" s="17">
        <v>7.7</v>
      </c>
      <c r="Y55" s="17">
        <v>12.6</v>
      </c>
      <c r="Z55" s="17">
        <v>12.6</v>
      </c>
      <c r="AA55" s="17">
        <v>9.4</v>
      </c>
      <c r="AB55" s="17">
        <v>7.1</v>
      </c>
      <c r="AC55" s="17">
        <v>7.1</v>
      </c>
      <c r="AD55" s="17">
        <v>6.4</v>
      </c>
      <c r="AH55" s="14">
        <v>6.34</v>
      </c>
      <c r="AI55" s="15">
        <v>6.55</v>
      </c>
      <c r="AJ55" s="15">
        <v>6.33</v>
      </c>
      <c r="AK55" s="15">
        <v>6.33</v>
      </c>
      <c r="AL55" s="15">
        <v>6.49</v>
      </c>
      <c r="AM55" s="15">
        <v>6.44</v>
      </c>
      <c r="AN55" s="15">
        <v>6.44</v>
      </c>
      <c r="AO55" s="15">
        <v>6.45</v>
      </c>
      <c r="AP55" s="15">
        <v>6.49</v>
      </c>
      <c r="AQ55" s="15">
        <v>6.49</v>
      </c>
      <c r="AR55" s="15">
        <v>6.64</v>
      </c>
      <c r="AW55" s="186" t="str">
        <f>IF(VLOOKUP($A55,'I-Ligands'!$A:$G,3,FALSE)="","",VLOOKUP($A55,'I-Ligands'!$A:$G,3,FALSE))</f>
        <v>Adenosine</v>
      </c>
      <c r="AX55" s="187" t="str">
        <f>IF(VLOOKUP($A55,'I-Ligands'!$A:$G,4,FALSE)="","",VLOOKUP($A55,'I-Ligands'!$A:$G,4,FALSE))</f>
        <v>Adenosine</v>
      </c>
      <c r="AY55" s="98">
        <v>2.72</v>
      </c>
      <c r="AZ55" s="99">
        <v>1.91</v>
      </c>
      <c r="BA55" s="99">
        <v>0.82</v>
      </c>
      <c r="BB55" s="99">
        <v>0.82</v>
      </c>
      <c r="BC55" s="99">
        <v>2.27</v>
      </c>
      <c r="BD55" s="99">
        <v>1.41</v>
      </c>
      <c r="BE55" s="99">
        <v>1.41</v>
      </c>
      <c r="BF55" s="99">
        <v>1.98</v>
      </c>
      <c r="BG55" s="99">
        <v>4.62</v>
      </c>
      <c r="BH55" s="99">
        <v>4.62</v>
      </c>
      <c r="BI55" s="99">
        <v>3.25</v>
      </c>
      <c r="BJ55" s="99">
        <v>4.3600000000000003</v>
      </c>
      <c r="BK55" s="99">
        <v>3.01</v>
      </c>
      <c r="BL55" s="99">
        <v>4.6500000000000004</v>
      </c>
      <c r="BM55" s="98">
        <f t="shared" si="14"/>
        <v>5.1470588235294112</v>
      </c>
      <c r="BN55" s="99">
        <f t="shared" si="15"/>
        <v>4.8167539267015709</v>
      </c>
      <c r="BO55" s="99">
        <f t="shared" si="16"/>
        <v>11.219512195121951</v>
      </c>
      <c r="BP55" s="99">
        <f t="shared" si="17"/>
        <v>11.219512195121951</v>
      </c>
      <c r="BQ55" s="99">
        <f t="shared" si="18"/>
        <v>3.392070484581498</v>
      </c>
      <c r="BR55" s="99">
        <f t="shared" si="19"/>
        <v>8.9361702127659584</v>
      </c>
      <c r="BS55" s="99">
        <f t="shared" si="20"/>
        <v>8.9361702127659584</v>
      </c>
      <c r="BT55" s="99">
        <f t="shared" si="21"/>
        <v>4.7474747474747474</v>
      </c>
      <c r="BU55" s="99">
        <f t="shared" si="22"/>
        <v>1.5367965367965366</v>
      </c>
      <c r="BV55" s="99">
        <f t="shared" si="23"/>
        <v>1.5367965367965366</v>
      </c>
      <c r="BW55" s="99">
        <f t="shared" si="24"/>
        <v>1.9692307692307693</v>
      </c>
      <c r="BX55" s="99">
        <f t="shared" si="25"/>
        <v>0</v>
      </c>
      <c r="BY55" s="99">
        <f t="shared" si="26"/>
        <v>0</v>
      </c>
      <c r="BZ55" s="99">
        <f t="shared" si="27"/>
        <v>0</v>
      </c>
      <c r="CA55" s="18" t="e">
        <f>VLOOKUP(A55,'Bouvier-GEMTA'!A:C,4,FALSE)</f>
        <v>#REF!</v>
      </c>
      <c r="CB55" s="18">
        <f>VLOOKUP(A55,'Martemyanov-FreeGβγ-Nluc'!A:BG,4,FALSE)</f>
        <v>2844</v>
      </c>
    </row>
    <row r="56" spans="1:80" ht="18">
      <c r="A56" s="12" t="s">
        <v>135</v>
      </c>
      <c r="B56" s="13" t="s">
        <v>2622</v>
      </c>
      <c r="C56" s="9" t="str">
        <f>IF(VLOOKUP($A56,'I-Ligands'!$A:$G,5,FALSE)="","",VLOOKUP($A56,'I-Ligands'!$A:$G,5,FALSE))</f>
        <v>Guide to Pharmacology</v>
      </c>
      <c r="D56" s="9">
        <f>IF(VLOOKUP($A56,'I-Ligands'!$A:$G,6,FALSE)="","",VLOOKUP($A56,'I-Ligands'!$A:$G,6,FALSE))</f>
        <v>1204</v>
      </c>
      <c r="E56" s="9" t="str">
        <f>IF(VLOOKUP($A56,'I-Ligands'!$A:$G,7,FALSE)="","",VLOOKUP($A56,'I-Ligands'!$A:$G,7,FALSE))</f>
        <v>Phys</v>
      </c>
      <c r="F56" s="7" cm="1">
        <f t="array" ref="F56">_xlfn.IFS(T56=0,0,T56&gt;0,(LOG(0.01*T56/10^-AH56)))</f>
        <v>6.8202283530550947</v>
      </c>
      <c r="G56" s="8" cm="1">
        <f t="array" ref="G56">_xlfn.IFS(U56=0,0,U56&gt;0,(LOG(0.01*U56/10^-AI56)))</f>
        <v>6.8399066250361127</v>
      </c>
      <c r="H56" s="8" cm="1">
        <f t="array" ref="H56">_xlfn.IFS(V56=0,0,V56&gt;0,(LOG(0.01*V56/10^-AJ56)))</f>
        <v>7.3624384599156061</v>
      </c>
      <c r="I56" s="8" cm="1">
        <f t="array" ref="I56">_xlfn.IFS(W56=0,0,W56&gt;0,(LOG(0.01*W56/10^-AK56)))</f>
        <v>7.3624384599156061</v>
      </c>
      <c r="J56" s="8" cm="1">
        <f t="array" ref="J56">_xlfn.IFS(X56=0,0,X56&gt;0,(LOG(0.01*X56/10^-AL56)))</f>
        <v>7.1722883443830572</v>
      </c>
      <c r="K56" s="8" cm="1">
        <f t="array" ref="K56">_xlfn.IFS(Y56=0,0,Y56&gt;0,(LOG(0.01*Y56/10^-AM56)))</f>
        <v>6.8113616938342734</v>
      </c>
      <c r="L56" s="8" cm="1">
        <f t="array" ref="L56">_xlfn.IFS(Z56=0,0,Z56&gt;0,(LOG(0.01*Z56/10^-AN56)))</f>
        <v>6.8113616938342734</v>
      </c>
      <c r="M56" s="8" cm="1">
        <f t="array" ref="M56">_xlfn.IFS(AA56=0,0,AA56&gt;0,(LOG(0.01*AA56/10^-AO56)))</f>
        <v>6.9573898263387308</v>
      </c>
      <c r="N56" s="8" cm="1">
        <f t="array" ref="N56">_xlfn.IFS(AB56=0,0,AB56&gt;0,(LOG(0.01*AB56/10^-AP56)))</f>
        <v>7.182288344383057</v>
      </c>
      <c r="O56" s="8" cm="1">
        <f t="array" ref="O56">_xlfn.IFS(AC56=0,0,AC56&gt;0,(LOG(0.01*AC56/10^-AQ56)))</f>
        <v>7.182288344383057</v>
      </c>
      <c r="P56" s="8" cm="1">
        <f t="array" ref="P56">_xlfn.IFS(AD56=0,0,AD56&gt;0,(LOG(0.01*AD56/10^-AR56)))</f>
        <v>6.9144984512435688</v>
      </c>
      <c r="Q56" s="8" cm="1">
        <f t="array" ref="Q56">_xlfn.IFS(AE56=0,0,AE56&gt;0,(LOG(0.01*AE56/10^-AS56)))</f>
        <v>6.8034810853944112</v>
      </c>
      <c r="R56" s="8" cm="1">
        <f t="array" ref="R56">_xlfn.IFS(AF56=0,0,AF56&gt;0,(LOG(0.01*AF56/10^-AT56)))</f>
        <v>5.9585664955938444</v>
      </c>
      <c r="S56" s="8" cm="1">
        <f t="array" ref="S56">_xlfn.IFS(AG56=0,0,AG56&gt;0,(LOG(0.01*AG56/10^-AU56)))</f>
        <v>5.2733012287035503</v>
      </c>
      <c r="T56" s="16">
        <v>35.5</v>
      </c>
      <c r="U56" s="17">
        <v>36.299999999999997</v>
      </c>
      <c r="V56" s="17">
        <v>21.5</v>
      </c>
      <c r="W56" s="17">
        <v>21.5</v>
      </c>
      <c r="X56" s="17">
        <v>14.2</v>
      </c>
      <c r="Y56" s="17">
        <v>31</v>
      </c>
      <c r="Z56" s="17">
        <v>31</v>
      </c>
      <c r="AA56" s="17">
        <v>24.4</v>
      </c>
      <c r="AB56" s="17">
        <v>14.2</v>
      </c>
      <c r="AC56" s="17">
        <v>14.2</v>
      </c>
      <c r="AD56" s="17">
        <v>8.6</v>
      </c>
      <c r="AE56" s="17">
        <v>36.6</v>
      </c>
      <c r="AF56" s="17">
        <v>30.1</v>
      </c>
      <c r="AG56" s="17">
        <v>19.2</v>
      </c>
      <c r="AH56" s="14">
        <v>7.27</v>
      </c>
      <c r="AI56" s="15">
        <v>7.28</v>
      </c>
      <c r="AJ56" s="15">
        <v>8.0299999999999994</v>
      </c>
      <c r="AK56" s="15">
        <v>8.0299999999999994</v>
      </c>
      <c r="AL56" s="15">
        <v>8.02</v>
      </c>
      <c r="AM56" s="15">
        <v>7.32</v>
      </c>
      <c r="AN56" s="15">
        <v>7.32</v>
      </c>
      <c r="AO56" s="15">
        <v>7.57</v>
      </c>
      <c r="AP56" s="15">
        <v>8.0299999999999994</v>
      </c>
      <c r="AQ56" s="15">
        <v>8.0299999999999994</v>
      </c>
      <c r="AR56" s="15">
        <v>7.98</v>
      </c>
      <c r="AS56" s="15">
        <v>7.24</v>
      </c>
      <c r="AT56" s="15">
        <v>6.48</v>
      </c>
      <c r="AU56" s="15">
        <v>5.99</v>
      </c>
      <c r="AW56" s="186" t="str">
        <f>IF(VLOOKUP($A56,'I-Ligands'!$A:$G,3,FALSE)="","",VLOOKUP($A56,'I-Ligands'!$A:$G,3,FALSE))</f>
        <v>Histamine</v>
      </c>
      <c r="AX56" s="187" t="str">
        <f>IF(VLOOKUP($A56,'I-Ligands'!$A:$G,4,FALSE)="","",VLOOKUP($A56,'I-Ligands'!$A:$G,4,FALSE))</f>
        <v>Histamine Dihydrochloride</v>
      </c>
      <c r="AY56" s="98">
        <v>6.43</v>
      </c>
      <c r="AZ56" s="99">
        <v>5.48</v>
      </c>
      <c r="BA56" s="99">
        <v>7.02</v>
      </c>
      <c r="BB56" s="99">
        <v>7.02</v>
      </c>
      <c r="BC56" s="99">
        <v>8.4499999999999993</v>
      </c>
      <c r="BD56" s="99">
        <v>6.9</v>
      </c>
      <c r="BE56" s="99">
        <v>6.9</v>
      </c>
      <c r="BF56" s="99">
        <v>6.63</v>
      </c>
      <c r="BG56" s="99">
        <v>9.18</v>
      </c>
      <c r="BH56" s="99">
        <v>9.18</v>
      </c>
      <c r="BI56" s="99">
        <v>5.92</v>
      </c>
      <c r="BJ56" s="99">
        <v>6.26</v>
      </c>
      <c r="BK56" s="99">
        <v>5.55</v>
      </c>
      <c r="BL56" s="99">
        <v>6.46</v>
      </c>
      <c r="BM56" s="98">
        <f t="shared" si="14"/>
        <v>5.5209953343701406</v>
      </c>
      <c r="BN56" s="99">
        <f t="shared" si="15"/>
        <v>6.6240875912408752</v>
      </c>
      <c r="BO56" s="99">
        <f t="shared" si="16"/>
        <v>3.0626780626780628</v>
      </c>
      <c r="BP56" s="99">
        <f t="shared" si="17"/>
        <v>3.0626780626780628</v>
      </c>
      <c r="BQ56" s="99">
        <f t="shared" si="18"/>
        <v>1.6804733727810652</v>
      </c>
      <c r="BR56" s="99">
        <f t="shared" si="19"/>
        <v>4.4927536231884053</v>
      </c>
      <c r="BS56" s="99">
        <f t="shared" si="20"/>
        <v>4.4927536231884053</v>
      </c>
      <c r="BT56" s="99">
        <f t="shared" si="21"/>
        <v>3.6802413273001506</v>
      </c>
      <c r="BU56" s="99">
        <f t="shared" si="22"/>
        <v>1.5468409586056644</v>
      </c>
      <c r="BV56" s="99">
        <f t="shared" si="23"/>
        <v>1.5468409586056644</v>
      </c>
      <c r="BW56" s="99">
        <f t="shared" si="24"/>
        <v>1.4527027027027026</v>
      </c>
      <c r="BX56" s="99">
        <f t="shared" si="25"/>
        <v>5.8466453674121412</v>
      </c>
      <c r="BY56" s="99">
        <f t="shared" si="26"/>
        <v>5.423423423423424</v>
      </c>
      <c r="BZ56" s="99">
        <f t="shared" si="27"/>
        <v>2.9721362229102168</v>
      </c>
      <c r="CA56" s="18" t="e">
        <f>VLOOKUP(A56,'Bouvier-GEMTA'!A:C,4,FALSE)</f>
        <v>#REF!</v>
      </c>
      <c r="CB56" s="18">
        <f>VLOOKUP(A56,'Martemyanov-FreeGβγ-Nluc'!A:BG,4,FALSE)</f>
        <v>1204</v>
      </c>
    </row>
    <row r="57" spans="1:80" ht="18">
      <c r="A57" s="12" t="s">
        <v>31</v>
      </c>
      <c r="B57" s="13" t="s">
        <v>2583</v>
      </c>
      <c r="C57" s="9" t="str">
        <f>IF(VLOOKUP($A57,'I-Ligands'!$A:$G,5,FALSE)="","",VLOOKUP($A57,'I-Ligands'!$A:$G,5,FALSE))</f>
        <v>Guide to Pharmacology</v>
      </c>
      <c r="D57" s="9">
        <f>IF(VLOOKUP($A57,'I-Ligands'!$A:$G,6,FALSE)="","",VLOOKUP($A57,'I-Ligands'!$A:$G,6,FALSE))</f>
        <v>2844</v>
      </c>
      <c r="E57" s="9" t="str">
        <f>IF(VLOOKUP($A57,'I-Ligands'!$A:$G,7,FALSE)="","",VLOOKUP($A57,'I-Ligands'!$A:$G,7,FALSE))</f>
        <v>Phys</v>
      </c>
      <c r="F57" s="7" cm="1">
        <f t="array" ref="F57">_xlfn.IFS(T57=0,0,T57&gt;0,(LOG(0.01*T57/10^-AH57)))</f>
        <v>4.4635389083702179</v>
      </c>
      <c r="G57" s="8" cm="1">
        <f t="array" ref="G57">_xlfn.IFS(U57=0,0,U57&gt;0,(LOG(0.01*U57/10^-AI57)))</f>
        <v>4.2793900066449133</v>
      </c>
      <c r="H57" s="8" cm="1">
        <f t="array" ref="H57">_xlfn.IFS(V57=0,0,V57&gt;0,(LOG(0.01*V57/10^-AJ57)))</f>
        <v>5.875329835010767</v>
      </c>
      <c r="I57" s="8" cm="1">
        <f t="array" ref="I57">_xlfn.IFS(W57=0,0,W57&gt;0,(LOG(0.01*W57/10^-AK57)))</f>
        <v>5.875329835010767</v>
      </c>
      <c r="J57" s="8" cm="1">
        <f t="array" ref="J57">_xlfn.IFS(X57=0,0,X57&gt;0,(LOG(0.01*X57/10^-AL57)))</f>
        <v>5.3820978579357179</v>
      </c>
      <c r="K57" s="8" cm="1">
        <f t="array" ref="K57">_xlfn.IFS(Y57=0,0,Y57&gt;0,(LOG(0.01*Y57/10^-AM57)))</f>
        <v>6.7678867046136748</v>
      </c>
      <c r="L57" s="8" cm="1">
        <f t="array" ref="L57">_xlfn.IFS(Z57=0,0,Z57&gt;0,(LOG(0.01*Z57/10^-AN57)))</f>
        <v>6.7678867046136748</v>
      </c>
      <c r="M57" s="8" cm="1">
        <f t="array" ref="M57">_xlfn.IFS(AA57=0,0,AA57&gt;0,(LOG(0.01*AA57/10^-AO57)))</f>
        <v>6.6548438480476992</v>
      </c>
      <c r="N57" s="8" cm="1">
        <f t="array" ref="N57">_xlfn.IFS(AB57=0,0,AB57&gt;0,(LOG(0.01*AB57/10^-AP57)))</f>
        <v>5.0118416065364997</v>
      </c>
      <c r="O57" s="8" cm="1">
        <f t="array" ref="O57">_xlfn.IFS(AC57=0,0,AC57&gt;0,(LOG(0.01*AC57/10^-AQ57)))</f>
        <v>5.0118416065364997</v>
      </c>
      <c r="P57" s="8" cm="1">
        <f t="array" ref="P57">_xlfn.IFS(AD57=0,0,AD57&gt;0,(LOG(0.01*AD57/10^-AR57)))</f>
        <v>5.4121825181113632</v>
      </c>
      <c r="Q57" s="8" cm="1">
        <f t="array" ref="Q57">_xlfn.IFS(AE57=0,0,AE57&gt;0,(LOG(0.01*AE57/10^-AS57)))</f>
        <v>5.6329692908744065</v>
      </c>
      <c r="R57" s="8" cm="1">
        <f t="array" ref="R57">_xlfn.IFS(AF57=0,0,AF57&gt;0,(LOG(0.01*AF57/10^-AT57)))</f>
        <v>5.0636119798921451</v>
      </c>
      <c r="S57" s="8" cm="1">
        <f t="array" ref="S57">_xlfn.IFS(AG57=0,0,AG57&gt;0,(LOG(0.01*AG57/10^-AU57)))</f>
        <v>0</v>
      </c>
      <c r="T57" s="16">
        <v>13.6</v>
      </c>
      <c r="U57" s="17">
        <v>8.9</v>
      </c>
      <c r="V57" s="17">
        <v>6.1</v>
      </c>
      <c r="W57" s="17">
        <v>6.1</v>
      </c>
      <c r="X57" s="17">
        <v>4.7</v>
      </c>
      <c r="Y57" s="17">
        <v>16.899999999999999</v>
      </c>
      <c r="Z57" s="17">
        <v>16.899999999999999</v>
      </c>
      <c r="AA57" s="17">
        <v>16.399999999999999</v>
      </c>
      <c r="AB57" s="17">
        <v>18.7</v>
      </c>
      <c r="AC57" s="17">
        <v>18.7</v>
      </c>
      <c r="AD57" s="17">
        <v>22.5</v>
      </c>
      <c r="AE57" s="17">
        <v>27.1</v>
      </c>
      <c r="AF57" s="17">
        <v>23.1</v>
      </c>
      <c r="AH57" s="14">
        <v>5.33</v>
      </c>
      <c r="AI57" s="15">
        <v>5.33</v>
      </c>
      <c r="AJ57" s="15">
        <v>7.09</v>
      </c>
      <c r="AK57" s="15">
        <v>7.09</v>
      </c>
      <c r="AL57" s="15">
        <v>6.71</v>
      </c>
      <c r="AM57" s="15">
        <v>7.54</v>
      </c>
      <c r="AN57" s="15">
        <v>7.54</v>
      </c>
      <c r="AO57" s="15">
        <v>7.44</v>
      </c>
      <c r="AP57" s="15">
        <v>5.74</v>
      </c>
      <c r="AQ57" s="15">
        <v>5.74</v>
      </c>
      <c r="AR57" s="15">
        <v>6.06</v>
      </c>
      <c r="AS57" s="15">
        <v>6.2</v>
      </c>
      <c r="AT57" s="15">
        <v>5.7</v>
      </c>
      <c r="AW57" s="186" t="str">
        <f>IF(VLOOKUP($A57,'I-Ligands'!$A:$G,3,FALSE)="","",VLOOKUP($A57,'I-Ligands'!$A:$G,3,FALSE))</f>
        <v>Adenosine</v>
      </c>
      <c r="AX57" s="187" t="str">
        <f>IF(VLOOKUP($A57,'I-Ligands'!$A:$G,4,FALSE)="","",VLOOKUP($A57,'I-Ligands'!$A:$G,4,FALSE))</f>
        <v>Adenosine</v>
      </c>
      <c r="AY57" s="98">
        <v>5.6</v>
      </c>
      <c r="AZ57" s="99">
        <v>5.14</v>
      </c>
      <c r="BA57" s="99">
        <v>9.93</v>
      </c>
      <c r="BB57" s="99">
        <v>9.93</v>
      </c>
      <c r="BC57" s="99">
        <v>7.01</v>
      </c>
      <c r="BD57" s="99">
        <v>10.85</v>
      </c>
      <c r="BE57" s="99">
        <v>10.85</v>
      </c>
      <c r="BF57" s="99">
        <v>7.89</v>
      </c>
      <c r="BG57" s="99">
        <v>11.38</v>
      </c>
      <c r="BH57" s="99">
        <v>11.38</v>
      </c>
      <c r="BI57" s="99">
        <v>9.23</v>
      </c>
      <c r="BJ57" s="99">
        <v>4.8600000000000003</v>
      </c>
      <c r="BK57" s="99">
        <v>3.42</v>
      </c>
      <c r="BL57" s="99">
        <v>3.99</v>
      </c>
      <c r="BM57" s="98">
        <f t="shared" si="14"/>
        <v>2.4285714285714288</v>
      </c>
      <c r="BN57" s="99">
        <f t="shared" si="15"/>
        <v>1.7315175097276267</v>
      </c>
      <c r="BO57" s="99">
        <f t="shared" si="16"/>
        <v>0.61430010070493457</v>
      </c>
      <c r="BP57" s="99">
        <f t="shared" si="17"/>
        <v>0.61430010070493457</v>
      </c>
      <c r="BQ57" s="99">
        <f t="shared" si="18"/>
        <v>0.67047075606276751</v>
      </c>
      <c r="BR57" s="99">
        <f t="shared" si="19"/>
        <v>1.5576036866359446</v>
      </c>
      <c r="BS57" s="99">
        <f t="shared" si="20"/>
        <v>1.5576036866359446</v>
      </c>
      <c r="BT57" s="99">
        <f t="shared" si="21"/>
        <v>2.0785804816223066</v>
      </c>
      <c r="BU57" s="99">
        <f t="shared" si="22"/>
        <v>1.6432337434094901</v>
      </c>
      <c r="BV57" s="99">
        <f t="shared" si="23"/>
        <v>1.6432337434094901</v>
      </c>
      <c r="BW57" s="99">
        <f t="shared" si="24"/>
        <v>2.4377031419284938</v>
      </c>
      <c r="BX57" s="99">
        <f t="shared" si="25"/>
        <v>5.576131687242798</v>
      </c>
      <c r="BY57" s="99">
        <f t="shared" si="26"/>
        <v>6.7543859649122808</v>
      </c>
      <c r="BZ57" s="99">
        <f t="shared" si="27"/>
        <v>0</v>
      </c>
      <c r="CA57" s="18" t="e">
        <f>VLOOKUP(A57,'Bouvier-GEMTA'!A:C,4,FALSE)</f>
        <v>#REF!</v>
      </c>
      <c r="CB57" s="18">
        <f>VLOOKUP(A57,'Martemyanov-FreeGβγ-Nluc'!A:BG,4,FALSE)</f>
        <v>2844</v>
      </c>
    </row>
    <row r="58" spans="1:80">
      <c r="A58" s="12" t="s">
        <v>45</v>
      </c>
      <c r="B58" s="13" t="s">
        <v>46</v>
      </c>
      <c r="C58" s="9" t="str">
        <f>IF(VLOOKUP($A58,'I-Ligands'!$A:$G,5,FALSE)="","",VLOOKUP($A58,'I-Ligands'!$A:$G,5,FALSE))</f>
        <v>Guide to Pharmacology</v>
      </c>
      <c r="D58" s="9">
        <f>IF(VLOOKUP($A58,'I-Ligands'!$A:$G,6,FALSE)="","",VLOOKUP($A58,'I-Ligands'!$A:$G,6,FALSE))</f>
        <v>605</v>
      </c>
      <c r="E58" s="9" t="str">
        <f>IF(VLOOKUP($A58,'I-Ligands'!$A:$G,7,FALSE)="","",VLOOKUP($A58,'I-Ligands'!$A:$G,7,FALSE))</f>
        <v>Phys</v>
      </c>
      <c r="F58" s="7" cm="1">
        <f t="array" ref="F58">_xlfn.IFS(T58=0,0,T58&gt;0,(LOG(0.01*T58/10^-AH58)))</f>
        <v>0</v>
      </c>
      <c r="G58" s="8" cm="1">
        <f t="array" ref="G58">_xlfn.IFS(U58=0,0,U58&gt;0,(LOG(0.01*U58/10^-AI58)))</f>
        <v>0</v>
      </c>
      <c r="H58" s="8" cm="1">
        <f t="array" ref="H58">_xlfn.IFS(V58=0,0,V58&gt;0,(LOG(0.01*V58/10^-AJ58)))</f>
        <v>7.3105450102066118</v>
      </c>
      <c r="I58" s="8" cm="1">
        <f t="array" ref="I58">_xlfn.IFS(W58=0,0,W58&gt;0,(LOG(0.01*W58/10^-AK58)))</f>
        <v>7.3105450102066118</v>
      </c>
      <c r="J58" s="8" cm="1">
        <f t="array" ref="J58">_xlfn.IFS(X58=0,0,X58&gt;0,(LOG(0.01*X58/10^-AL58)))</f>
        <v>7.260897842756548</v>
      </c>
      <c r="K58" s="8" cm="1">
        <f t="array" ref="K58">_xlfn.IFS(Y58=0,0,Y58&gt;0,(LOG(0.01*Y58/10^-AM58)))</f>
        <v>6.1846914308175984</v>
      </c>
      <c r="L58" s="8" cm="1">
        <f t="array" ref="L58">_xlfn.IFS(Z58=0,0,Z58&gt;0,(LOG(0.01*Z58/10^-AN58)))</f>
        <v>6.1846914308175984</v>
      </c>
      <c r="M58" s="8" cm="1">
        <f t="array" ref="M58">_xlfn.IFS(AA58=0,0,AA58&gt;0,(LOG(0.01*AA58/10^-AO58)))</f>
        <v>5.8425089127062364</v>
      </c>
      <c r="N58" s="8" cm="1">
        <f t="array" ref="N58">_xlfn.IFS(AB58=0,0,AB58&gt;0,(LOG(0.01*AB58/10^-AP58)))</f>
        <v>6.2130899869919443</v>
      </c>
      <c r="O58" s="8" cm="1">
        <f t="array" ref="O58">_xlfn.IFS(AC58=0,0,AC58&gt;0,(LOG(0.01*AC58/10^-AQ58)))</f>
        <v>6.2130899869919443</v>
      </c>
      <c r="P58" s="8" cm="1">
        <f t="array" ref="P58">_xlfn.IFS(AD58=0,0,AD58&gt;0,(LOG(0.01*AD58/10^-AR58)))</f>
        <v>6.5060033436347995</v>
      </c>
      <c r="Q58" s="8" cm="1">
        <f t="array" ref="Q58">_xlfn.IFS(AE58=0,0,AE58&gt;0,(LOG(0.01*AE58/10^-AS58)))</f>
        <v>0</v>
      </c>
      <c r="R58" s="8" cm="1">
        <f t="array" ref="R58">_xlfn.IFS(AF58=0,0,AF58&gt;0,(LOG(0.01*AF58/10^-AT58)))</f>
        <v>5.3929133566428558</v>
      </c>
      <c r="S58" s="8" cm="1">
        <f t="array" ref="S58">_xlfn.IFS(AG58=0,0,AG58&gt;0,(LOG(0.01*AG58/10^-AU58)))</f>
        <v>0</v>
      </c>
      <c r="V58" s="17">
        <v>32.4</v>
      </c>
      <c r="W58" s="17">
        <v>32.4</v>
      </c>
      <c r="X58" s="17">
        <v>28.9</v>
      </c>
      <c r="Y58" s="17">
        <v>15.3</v>
      </c>
      <c r="Z58" s="17">
        <v>15.3</v>
      </c>
      <c r="AA58" s="17">
        <v>6.8</v>
      </c>
      <c r="AB58" s="17">
        <v>8</v>
      </c>
      <c r="AC58" s="17">
        <v>8</v>
      </c>
      <c r="AD58" s="17">
        <v>5.2</v>
      </c>
      <c r="AF58" s="17">
        <v>6.5</v>
      </c>
      <c r="AJ58" s="15">
        <v>7.8</v>
      </c>
      <c r="AK58" s="15">
        <v>7.8</v>
      </c>
      <c r="AL58" s="15">
        <v>7.8</v>
      </c>
      <c r="AM58" s="15">
        <v>7</v>
      </c>
      <c r="AN58" s="15">
        <v>7</v>
      </c>
      <c r="AO58" s="15">
        <v>7.01</v>
      </c>
      <c r="AP58" s="15">
        <v>7.31</v>
      </c>
      <c r="AQ58" s="15">
        <v>7.31</v>
      </c>
      <c r="AR58" s="15">
        <v>7.79</v>
      </c>
      <c r="AT58" s="15">
        <v>6.58</v>
      </c>
      <c r="AW58" s="186" t="str">
        <f>IF(VLOOKUP($A58,'I-Ligands'!$A:$G,3,FALSE)="","",VLOOKUP($A58,'I-Ligands'!$A:$G,3,FALSE))</f>
        <v>Apelin</v>
      </c>
      <c r="AX58" s="187" t="str">
        <f>IF(VLOOKUP($A58,'I-Ligands'!$A:$G,4,FALSE)="","",VLOOKUP($A58,'I-Ligands'!$A:$G,4,FALSE))</f>
        <v>QRPRLSHKGPMPF</v>
      </c>
      <c r="AY58" s="98">
        <v>3.3</v>
      </c>
      <c r="AZ58" s="99">
        <v>0.91</v>
      </c>
      <c r="BA58" s="99">
        <v>1.33</v>
      </c>
      <c r="BB58" s="99">
        <v>1.33</v>
      </c>
      <c r="BC58" s="99">
        <v>2.94</v>
      </c>
      <c r="BD58" s="99">
        <v>1.54</v>
      </c>
      <c r="BE58" s="99">
        <v>1.54</v>
      </c>
      <c r="BF58" s="99">
        <v>4.07</v>
      </c>
      <c r="BG58" s="99">
        <v>4.42</v>
      </c>
      <c r="BH58" s="99">
        <v>4.42</v>
      </c>
      <c r="BI58" s="99">
        <v>4.63</v>
      </c>
      <c r="BJ58" s="99">
        <v>2.0499999999999998</v>
      </c>
      <c r="BK58" s="99">
        <v>1.31</v>
      </c>
      <c r="BL58" s="99">
        <v>2.75</v>
      </c>
      <c r="BM58" s="98">
        <f t="shared" si="14"/>
        <v>0</v>
      </c>
      <c r="BN58" s="99">
        <f t="shared" si="15"/>
        <v>0</v>
      </c>
      <c r="BO58" s="99">
        <f t="shared" si="16"/>
        <v>24.360902255639097</v>
      </c>
      <c r="BP58" s="99">
        <f t="shared" si="17"/>
        <v>24.360902255639097</v>
      </c>
      <c r="BQ58" s="99">
        <f t="shared" si="18"/>
        <v>9.8299319727891152</v>
      </c>
      <c r="BR58" s="99">
        <f t="shared" si="19"/>
        <v>9.9350649350649345</v>
      </c>
      <c r="BS58" s="99">
        <f t="shared" si="20"/>
        <v>9.9350649350649345</v>
      </c>
      <c r="BT58" s="99">
        <f t="shared" si="21"/>
        <v>1.6707616707616706</v>
      </c>
      <c r="BU58" s="99">
        <f t="shared" si="22"/>
        <v>1.8099547511312217</v>
      </c>
      <c r="BV58" s="99">
        <f t="shared" si="23"/>
        <v>1.8099547511312217</v>
      </c>
      <c r="BW58" s="99">
        <f t="shared" si="24"/>
        <v>1.1231101511879051</v>
      </c>
      <c r="BX58" s="99">
        <f t="shared" si="25"/>
        <v>0</v>
      </c>
      <c r="BY58" s="99">
        <f t="shared" si="26"/>
        <v>4.9618320610687023</v>
      </c>
      <c r="BZ58" s="99">
        <f t="shared" si="27"/>
        <v>0</v>
      </c>
      <c r="CA58" s="18" t="e">
        <f>VLOOKUP(A58,'Bouvier-GEMTA'!A:C,4,FALSE)</f>
        <v>#REF!</v>
      </c>
      <c r="CB58" s="18">
        <f>VLOOKUP(A58,'Martemyanov-FreeGβγ-Nluc'!A:BG,4,FALSE)</f>
        <v>3556</v>
      </c>
    </row>
    <row r="59" spans="1:80" ht="18">
      <c r="A59" s="12" t="s">
        <v>20</v>
      </c>
      <c r="B59" s="13" t="s">
        <v>2577</v>
      </c>
      <c r="C59" s="9" t="str">
        <f>IF(VLOOKUP($A59,'I-Ligands'!$A:$G,5,FALSE)="","",VLOOKUP($A59,'I-Ligands'!$A:$G,5,FALSE))</f>
        <v>Guide to Pharmacology</v>
      </c>
      <c r="D59" s="9">
        <f>IF(VLOOKUP($A59,'I-Ligands'!$A:$G,6,FALSE)="","",VLOOKUP($A59,'I-Ligands'!$A:$G,6,FALSE))</f>
        <v>5</v>
      </c>
      <c r="E59" s="9" t="str">
        <f>IF(VLOOKUP($A59,'I-Ligands'!$A:$G,7,FALSE)="","",VLOOKUP($A59,'I-Ligands'!$A:$G,7,FALSE))</f>
        <v>Phys</v>
      </c>
      <c r="F59" s="7" cm="1">
        <f t="array" ref="F59">_xlfn.IFS(T59=0,0,T59&gt;0,(LOG(0.01*T59/10^-AH59)))</f>
        <v>5.2638037209559574</v>
      </c>
      <c r="G59" s="8" cm="1">
        <f t="array" ref="G59">_xlfn.IFS(U59=0,0,U59&gt;0,(LOG(0.01*U59/10^-AI59)))</f>
        <v>5.2671047983648078</v>
      </c>
      <c r="H59" s="8" cm="1">
        <f t="array" ref="H59">_xlfn.IFS(V59=0,0,V59&gt;0,(LOG(0.01*V59/10^-AJ59)))</f>
        <v>6.8079732663618078</v>
      </c>
      <c r="I59" s="8" cm="1">
        <f t="array" ref="I59">_xlfn.IFS(W59=0,0,W59&gt;0,(LOG(0.01*W59/10^-AK59)))</f>
        <v>6.8079732663618078</v>
      </c>
      <c r="J59" s="8" cm="1">
        <f t="array" ref="J59">_xlfn.IFS(X59=0,0,X59&gt;0,(LOG(0.01*X59/10^-AL59)))</f>
        <v>7.2763598306747479</v>
      </c>
      <c r="K59" s="8" cm="1">
        <f t="array" ref="K59">_xlfn.IFS(Y59=0,0,Y59&gt;0,(LOG(0.01*Y59/10^-AM59)))</f>
        <v>6.2163358609287513</v>
      </c>
      <c r="L59" s="8" cm="1">
        <f t="array" ref="L59">_xlfn.IFS(Z59=0,0,Z59&gt;0,(LOG(0.01*Z59/10^-AN59)))</f>
        <v>6.2163358609287513</v>
      </c>
      <c r="M59" s="8" cm="1">
        <f t="array" ref="M59">_xlfn.IFS(AA59=0,0,AA59&gt;0,(LOG(0.01*AA59/10^-AO59)))</f>
        <v>7.0098790864012379</v>
      </c>
      <c r="N59" s="8" cm="1">
        <f t="array" ref="N59">_xlfn.IFS(AB59=0,0,AB59&gt;0,(LOG(0.01*AB59/10^-AP59)))</f>
        <v>7.17</v>
      </c>
      <c r="O59" s="8" cm="1">
        <f t="array" ref="O59">_xlfn.IFS(AC59=0,0,AC59&gt;0,(LOG(0.01*AC59/10^-AQ59)))</f>
        <v>7.17</v>
      </c>
      <c r="P59" s="8" cm="1">
        <f t="array" ref="P59">_xlfn.IFS(AD59=0,0,AD59&gt;0,(LOG(0.01*AD59/10^-AR59)))</f>
        <v>7.49</v>
      </c>
      <c r="Q59" s="8" cm="1">
        <f t="array" ref="Q59">_xlfn.IFS(AE59=0,0,AE59&gt;0,(LOG(0.01*AE59/10^-AS59)))</f>
        <v>6.3563529744506386</v>
      </c>
      <c r="R59" s="8" cm="1">
        <f t="array" ref="R59">_xlfn.IFS(AF59=0,0,AF59&gt;0,(LOG(0.01*AF59/10^-AT59)))</f>
        <v>5.6010299956639811</v>
      </c>
      <c r="S59" s="8" cm="1">
        <f t="array" ref="S59">_xlfn.IFS(AG59=0,0,AG59&gt;0,(LOG(0.01*AG59/10^-AU59)))</f>
        <v>5.6688530764097074</v>
      </c>
      <c r="T59" s="16">
        <v>12.7</v>
      </c>
      <c r="U59" s="17">
        <v>13.4</v>
      </c>
      <c r="V59" s="17">
        <v>17.7</v>
      </c>
      <c r="W59" s="17">
        <v>17.7</v>
      </c>
      <c r="X59" s="17">
        <v>12.2</v>
      </c>
      <c r="Y59" s="17">
        <v>21.2</v>
      </c>
      <c r="Z59" s="17">
        <v>21.2</v>
      </c>
      <c r="AA59" s="17">
        <v>13.8</v>
      </c>
      <c r="AB59" s="17">
        <v>10</v>
      </c>
      <c r="AC59" s="17">
        <v>10</v>
      </c>
      <c r="AD59" s="17">
        <v>10</v>
      </c>
      <c r="AE59" s="17">
        <v>22.2</v>
      </c>
      <c r="AF59" s="17">
        <v>20</v>
      </c>
      <c r="AG59" s="17">
        <v>19.899999999999999</v>
      </c>
      <c r="AH59" s="14">
        <v>6.16</v>
      </c>
      <c r="AI59" s="15">
        <v>6.14</v>
      </c>
      <c r="AJ59" s="15">
        <v>7.56</v>
      </c>
      <c r="AK59" s="15">
        <v>7.56</v>
      </c>
      <c r="AL59" s="15">
        <v>8.19</v>
      </c>
      <c r="AM59" s="15">
        <v>6.89</v>
      </c>
      <c r="AN59" s="15">
        <v>6.89</v>
      </c>
      <c r="AO59" s="15">
        <v>7.87</v>
      </c>
      <c r="AP59" s="15">
        <v>8.17</v>
      </c>
      <c r="AQ59" s="15">
        <v>8.17</v>
      </c>
      <c r="AR59" s="15">
        <v>8.49</v>
      </c>
      <c r="AS59" s="15">
        <v>7.01</v>
      </c>
      <c r="AT59" s="15">
        <v>6.3</v>
      </c>
      <c r="AU59" s="15">
        <v>6.37</v>
      </c>
      <c r="AW59" s="186" t="str">
        <f>IF(VLOOKUP($A59,'I-Ligands'!$A:$G,3,FALSE)="","",VLOOKUP($A59,'I-Ligands'!$A:$G,3,FALSE))</f>
        <v>Serotonin</v>
      </c>
      <c r="AX59" s="187" t="str">
        <f>IF(VLOOKUP($A59,'I-Ligands'!$A:$G,4,FALSE)="","",VLOOKUP($A59,'I-Ligands'!$A:$G,4,FALSE))</f>
        <v>5-Hydroxytryptamine Hydrochloride</v>
      </c>
      <c r="AY59" s="98">
        <v>0.81</v>
      </c>
      <c r="AZ59" s="99">
        <v>1.1100000000000001</v>
      </c>
      <c r="BA59" s="99">
        <v>2.5</v>
      </c>
      <c r="BB59" s="99">
        <v>2.5</v>
      </c>
      <c r="BC59" s="99">
        <v>4.88</v>
      </c>
      <c r="BD59" s="99">
        <v>2.76</v>
      </c>
      <c r="BE59" s="99">
        <v>2.76</v>
      </c>
      <c r="BF59" s="99">
        <v>4.09</v>
      </c>
      <c r="BG59" s="99">
        <v>4.91</v>
      </c>
      <c r="BH59" s="99">
        <v>4.91</v>
      </c>
      <c r="BI59" s="99">
        <v>3.63</v>
      </c>
      <c r="BJ59" s="99">
        <v>1.02</v>
      </c>
      <c r="BK59" s="99">
        <v>2.56</v>
      </c>
      <c r="BL59" s="99">
        <v>2.25</v>
      </c>
      <c r="BM59" s="98">
        <f t="shared" si="14"/>
        <v>15.679012345679011</v>
      </c>
      <c r="BN59" s="99">
        <f t="shared" si="15"/>
        <v>12.072072072072071</v>
      </c>
      <c r="BO59" s="99">
        <f t="shared" si="16"/>
        <v>7.08</v>
      </c>
      <c r="BP59" s="99">
        <f t="shared" si="17"/>
        <v>7.08</v>
      </c>
      <c r="BQ59" s="99">
        <f t="shared" si="18"/>
        <v>2.5</v>
      </c>
      <c r="BR59" s="99">
        <f t="shared" si="19"/>
        <v>7.6811594202898554</v>
      </c>
      <c r="BS59" s="99">
        <f t="shared" si="20"/>
        <v>7.6811594202898554</v>
      </c>
      <c r="BT59" s="99">
        <f t="shared" si="21"/>
        <v>3.3740831295843523</v>
      </c>
      <c r="BU59" s="99">
        <f t="shared" si="22"/>
        <v>2.0366598778004072</v>
      </c>
      <c r="BV59" s="99">
        <f t="shared" si="23"/>
        <v>2.0366598778004072</v>
      </c>
      <c r="BW59" s="99">
        <f t="shared" si="24"/>
        <v>2.7548209366391188</v>
      </c>
      <c r="BX59" s="99">
        <f t="shared" si="25"/>
        <v>21.764705882352938</v>
      </c>
      <c r="BY59" s="99">
        <f t="shared" si="26"/>
        <v>7.8125</v>
      </c>
      <c r="BZ59" s="99">
        <f t="shared" si="27"/>
        <v>8.8444444444444432</v>
      </c>
      <c r="CA59" s="18" t="e">
        <f>VLOOKUP(A59,'Bouvier-GEMTA'!A:C,4,FALSE)</f>
        <v>#REF!</v>
      </c>
      <c r="CB59" s="18">
        <f>VLOOKUP(A59,'Martemyanov-FreeGβγ-Nluc'!A:BG,4,FALSE)</f>
        <v>5</v>
      </c>
    </row>
    <row r="60" spans="1:80" ht="18">
      <c r="A60" s="12" t="s">
        <v>16</v>
      </c>
      <c r="B60" s="13" t="s">
        <v>2573</v>
      </c>
      <c r="C60" s="9" t="str">
        <f>IF(VLOOKUP($A60,'I-Ligands'!$A:$G,5,FALSE)="","",VLOOKUP($A60,'I-Ligands'!$A:$G,5,FALSE))</f>
        <v>Guide to Pharmacology</v>
      </c>
      <c r="D60" s="9">
        <f>IF(VLOOKUP($A60,'I-Ligands'!$A:$G,6,FALSE)="","",VLOOKUP($A60,'I-Ligands'!$A:$G,6,FALSE))</f>
        <v>5</v>
      </c>
      <c r="E60" s="9" t="str">
        <f>IF(VLOOKUP($A60,'I-Ligands'!$A:$G,7,FALSE)="","",VLOOKUP($A60,'I-Ligands'!$A:$G,7,FALSE))</f>
        <v>Phys</v>
      </c>
      <c r="F60" s="7" cm="1">
        <f t="array" ref="F60">_xlfn.IFS(T60=0,0,T60&gt;0,(LOG(0.01*T60/10^-AH60)))</f>
        <v>0</v>
      </c>
      <c r="G60" s="8" cm="1">
        <f t="array" ref="G60">_xlfn.IFS(U60=0,0,U60&gt;0,(LOG(0.01*U60/10^-AI60)))</f>
        <v>0</v>
      </c>
      <c r="H60" s="8" cm="1">
        <f t="array" ref="H60">_xlfn.IFS(V60=0,0,V60&gt;0,(LOG(0.01*V60/10^-AJ60)))</f>
        <v>6.705336037465063</v>
      </c>
      <c r="I60" s="8" cm="1">
        <f t="array" ref="I60">_xlfn.IFS(W60=0,0,W60&gt;0,(LOG(0.01*W60/10^-AK60)))</f>
        <v>6.705336037465063</v>
      </c>
      <c r="J60" s="8" cm="1">
        <f t="array" ref="J60">_xlfn.IFS(X60=0,0,X60&gt;0,(LOG(0.01*X60/10^-AL60)))</f>
        <v>7.0771047983648083</v>
      </c>
      <c r="K60" s="8" cm="1">
        <f t="array" ref="K60">_xlfn.IFS(Y60=0,0,Y60&gt;0,(LOG(0.01*Y60/10^-AM60)))</f>
        <v>6.2830784434834204</v>
      </c>
      <c r="L60" s="8" cm="1">
        <f t="array" ref="L60">_xlfn.IFS(Z60=0,0,Z60&gt;0,(LOG(0.01*Z60/10^-AN60)))</f>
        <v>6.2830784434834204</v>
      </c>
      <c r="M60" s="8" cm="1">
        <f t="array" ref="M60">_xlfn.IFS(AA60=0,0,AA60&gt;0,(LOG(0.01*AA60/10^-AO60)))</f>
        <v>6.457033339298782</v>
      </c>
      <c r="N60" s="8" cm="1">
        <f t="array" ref="N60">_xlfn.IFS(AB60=0,0,AB60&gt;0,(LOG(0.01*AB60/10^-AP60)))</f>
        <v>5.8993405494535818</v>
      </c>
      <c r="O60" s="8" cm="1">
        <f t="array" ref="O60">_xlfn.IFS(AC60=0,0,AC60&gt;0,(LOG(0.01*AC60/10^-AQ60)))</f>
        <v>5.8993405494535818</v>
      </c>
      <c r="P60" s="8" cm="1">
        <f t="array" ref="P60">_xlfn.IFS(AD60=0,0,AD60&gt;0,(LOG(0.01*AD60/10^-AR60)))</f>
        <v>6.4655469613925307</v>
      </c>
      <c r="Q60" s="8" cm="1">
        <f t="array" ref="Q60">_xlfn.IFS(AE60=0,0,AE60&gt;0,(LOG(0.01*AE60/10^-AS60)))</f>
        <v>0</v>
      </c>
      <c r="R60" s="8" cm="1">
        <f t="array" ref="R60">_xlfn.IFS(AF60=0,0,AF60&gt;0,(LOG(0.01*AF60/10^-AT60)))</f>
        <v>5.8434279935629387</v>
      </c>
      <c r="S60" s="8" cm="1">
        <f t="array" ref="S60">_xlfn.IFS(AG60=0,0,AG60&gt;0,(LOG(0.01*AG60/10^-AU60)))</f>
        <v>0</v>
      </c>
      <c r="V60" s="17">
        <v>14.3</v>
      </c>
      <c r="W60" s="17">
        <v>14.3</v>
      </c>
      <c r="X60" s="17">
        <v>13.4</v>
      </c>
      <c r="Y60" s="17">
        <v>11.3</v>
      </c>
      <c r="Z60" s="17">
        <v>11.3</v>
      </c>
      <c r="AA60" s="17">
        <v>10.4</v>
      </c>
      <c r="AB60" s="17">
        <v>6.3</v>
      </c>
      <c r="AC60" s="17">
        <v>6.3</v>
      </c>
      <c r="AD60" s="17">
        <v>11.9</v>
      </c>
      <c r="AF60" s="17">
        <v>5.8</v>
      </c>
      <c r="AJ60" s="15">
        <v>7.55</v>
      </c>
      <c r="AK60" s="15">
        <v>7.55</v>
      </c>
      <c r="AL60" s="15">
        <v>7.95</v>
      </c>
      <c r="AM60" s="15">
        <v>7.23</v>
      </c>
      <c r="AN60" s="15">
        <v>7.23</v>
      </c>
      <c r="AO60" s="15">
        <v>7.44</v>
      </c>
      <c r="AP60" s="15">
        <v>7.1</v>
      </c>
      <c r="AQ60" s="15">
        <v>7.1</v>
      </c>
      <c r="AR60" s="15">
        <v>7.39</v>
      </c>
      <c r="AT60" s="15">
        <v>7.08</v>
      </c>
      <c r="AW60" s="186" t="str">
        <f>IF(VLOOKUP($A60,'I-Ligands'!$A:$G,3,FALSE)="","",VLOOKUP($A60,'I-Ligands'!$A:$G,3,FALSE))</f>
        <v>Serotonin</v>
      </c>
      <c r="AX60" s="187" t="str">
        <f>IF(VLOOKUP($A60,'I-Ligands'!$A:$G,4,FALSE)="","",VLOOKUP($A60,'I-Ligands'!$A:$G,4,FALSE))</f>
        <v>5-Hydroxytryptamine Hydrochloride</v>
      </c>
      <c r="AY60" s="98">
        <v>4</v>
      </c>
      <c r="AZ60" s="99">
        <v>3.34</v>
      </c>
      <c r="BA60" s="99">
        <v>2.1800000000000002</v>
      </c>
      <c r="BB60" s="99">
        <v>2.1800000000000002</v>
      </c>
      <c r="BC60" s="99">
        <v>2.97</v>
      </c>
      <c r="BD60" s="99">
        <v>1.51</v>
      </c>
      <c r="BE60" s="99">
        <v>1.51</v>
      </c>
      <c r="BF60" s="99">
        <v>1.63</v>
      </c>
      <c r="BG60" s="99">
        <v>2.79</v>
      </c>
      <c r="BH60" s="99">
        <v>2.79</v>
      </c>
      <c r="BI60" s="99">
        <v>1.82</v>
      </c>
      <c r="BJ60" s="99">
        <v>4.66</v>
      </c>
      <c r="BK60" s="99">
        <v>0.3</v>
      </c>
      <c r="BL60" s="99">
        <v>2.65</v>
      </c>
      <c r="BM60" s="98">
        <f t="shared" si="14"/>
        <v>0</v>
      </c>
      <c r="BN60" s="99">
        <f t="shared" si="15"/>
        <v>0</v>
      </c>
      <c r="BO60" s="99">
        <f t="shared" si="16"/>
        <v>6.5596330275229358</v>
      </c>
      <c r="BP60" s="99">
        <f t="shared" si="17"/>
        <v>6.5596330275229358</v>
      </c>
      <c r="BQ60" s="99">
        <f t="shared" si="18"/>
        <v>4.5117845117845112</v>
      </c>
      <c r="BR60" s="99">
        <f t="shared" si="19"/>
        <v>7.483443708609272</v>
      </c>
      <c r="BS60" s="99">
        <f t="shared" si="20"/>
        <v>7.483443708609272</v>
      </c>
      <c r="BT60" s="99">
        <f t="shared" si="21"/>
        <v>6.3803680981595097</v>
      </c>
      <c r="BU60" s="99">
        <f t="shared" si="22"/>
        <v>2.258064516129032</v>
      </c>
      <c r="BV60" s="99">
        <f t="shared" si="23"/>
        <v>2.258064516129032</v>
      </c>
      <c r="BW60" s="99">
        <f t="shared" si="24"/>
        <v>6.5384615384615383</v>
      </c>
      <c r="BX60" s="99">
        <f t="shared" si="25"/>
        <v>0</v>
      </c>
      <c r="BY60" s="99">
        <f t="shared" si="26"/>
        <v>19.333333333333332</v>
      </c>
      <c r="BZ60" s="99">
        <f t="shared" si="27"/>
        <v>0</v>
      </c>
      <c r="CA60" s="18" t="e">
        <f>VLOOKUP(A60,'Bouvier-GEMTA'!A:C,4,FALSE)</f>
        <v>#REF!</v>
      </c>
      <c r="CB60" s="18">
        <f>VLOOKUP(A60,'Martemyanov-FreeGβγ-Nluc'!A:BG,4,FALSE)</f>
        <v>5</v>
      </c>
    </row>
    <row r="61" spans="1:80" ht="18">
      <c r="A61" s="12" t="s">
        <v>161</v>
      </c>
      <c r="B61" s="13" t="s">
        <v>2635</v>
      </c>
      <c r="C61" s="9" t="str">
        <f>IF(VLOOKUP($A61,'I-Ligands'!$A:$G,5,FALSE)="","",VLOOKUP($A61,'I-Ligands'!$A:$G,5,FALSE))</f>
        <v>Guide to Pharmacology</v>
      </c>
      <c r="D61" s="9">
        <f>IF(VLOOKUP($A61,'I-Ligands'!$A:$G,6,FALSE)="","",VLOOKUP($A61,'I-Ligands'!$A:$G,6,FALSE))</f>
        <v>1320</v>
      </c>
      <c r="E61" s="9" t="str">
        <f>IF(VLOOKUP($A61,'I-Ligands'!$A:$G,7,FALSE)="","",VLOOKUP($A61,'I-Ligands'!$A:$G,7,FALSE))</f>
        <v>Phys</v>
      </c>
      <c r="F61" s="7" cm="1">
        <f t="array" ref="F61">_xlfn.IFS(T61=0,0,T61&gt;0,(LOG(0.01*T61/10^-AH61)))</f>
        <v>6.4348178230095376</v>
      </c>
      <c r="G61" s="8" cm="1">
        <f t="array" ref="G61">_xlfn.IFS(U61=0,0,U61&gt;0,(LOG(0.01*U61/10^-AI61)))</f>
        <v>6.7079732663618064</v>
      </c>
      <c r="H61" s="8" cm="1">
        <f t="array" ref="H61">_xlfn.IFS(V61=0,0,V61&gt;0,(LOG(0.01*V61/10^-AJ61)))</f>
        <v>6.2844579892269197</v>
      </c>
      <c r="I61" s="8" cm="1">
        <f t="array" ref="I61">_xlfn.IFS(W61=0,0,W61&gt;0,(LOG(0.01*W61/10^-AK61)))</f>
        <v>6.2844579892269197</v>
      </c>
      <c r="J61" s="8" cm="1">
        <f t="array" ref="J61">_xlfn.IFS(X61=0,0,X61&gt;0,(LOG(0.01*X61/10^-AL61)))</f>
        <v>6.6653092817258646</v>
      </c>
      <c r="K61" s="8" cm="1">
        <f t="array" ref="K61">_xlfn.IFS(Y61=0,0,Y61&gt;0,(LOG(0.01*Y61/10^-AM61)))</f>
        <v>5.5767717342662451</v>
      </c>
      <c r="L61" s="8" cm="1">
        <f t="array" ref="L61">_xlfn.IFS(Z61=0,0,Z61&gt;0,(LOG(0.01*Z61/10^-AN61)))</f>
        <v>5.5767717342662451</v>
      </c>
      <c r="M61" s="8" cm="1">
        <f t="array" ref="M61">_xlfn.IFS(AA61=0,0,AA61&gt;0,(LOG(0.01*AA61/10^-AO61)))</f>
        <v>6.6203337684950077</v>
      </c>
      <c r="N61" s="8" cm="1">
        <f t="array" ref="N61">_xlfn.IFS(AB61=0,0,AB61&gt;0,(LOG(0.01*AB61/10^-AP61)))</f>
        <v>6.6872099696478697</v>
      </c>
      <c r="O61" s="8" cm="1">
        <f t="array" ref="O61">_xlfn.IFS(AC61=0,0,AC61&gt;0,(LOG(0.01*AC61/10^-AQ61)))</f>
        <v>6.6872099696478697</v>
      </c>
      <c r="P61" s="8" cm="1">
        <f t="array" ref="P61">_xlfn.IFS(AD61=0,0,AD61&gt;0,(LOG(0.01*AD61/10^-AR61)))</f>
        <v>6.9871717284030144</v>
      </c>
      <c r="Q61" s="8" cm="1">
        <f t="array" ref="Q61">_xlfn.IFS(AE61=0,0,AE61&gt;0,(LOG(0.01*AE61/10^-AS61)))</f>
        <v>0</v>
      </c>
      <c r="R61" s="8" cm="1">
        <f t="array" ref="R61">_xlfn.IFS(AF61=0,0,AF61&gt;0,(LOG(0.01*AF61/10^-AT61)))</f>
        <v>0</v>
      </c>
      <c r="S61" s="8" cm="1">
        <f t="array" ref="S61">_xlfn.IFS(AG61=0,0,AG61&gt;0,(LOG(0.01*AG61/10^-AU61)))</f>
        <v>0</v>
      </c>
      <c r="T61" s="16">
        <v>18.399999999999999</v>
      </c>
      <c r="U61" s="17">
        <v>17.7</v>
      </c>
      <c r="V61" s="17">
        <v>11.6</v>
      </c>
      <c r="W61" s="17">
        <v>11.6</v>
      </c>
      <c r="X61" s="17">
        <v>16.8</v>
      </c>
      <c r="Y61" s="17">
        <v>9.6999999999999993</v>
      </c>
      <c r="Z61" s="17">
        <v>9.6999999999999993</v>
      </c>
      <c r="AA61" s="17">
        <v>13.5</v>
      </c>
      <c r="AB61" s="17">
        <v>12.8</v>
      </c>
      <c r="AC61" s="17">
        <v>12.8</v>
      </c>
      <c r="AD61" s="17">
        <v>18.5</v>
      </c>
      <c r="AH61" s="14">
        <v>7.17</v>
      </c>
      <c r="AI61" s="15">
        <v>7.46</v>
      </c>
      <c r="AJ61" s="15">
        <v>7.22</v>
      </c>
      <c r="AK61" s="15">
        <v>7.22</v>
      </c>
      <c r="AL61" s="15">
        <v>7.44</v>
      </c>
      <c r="AM61" s="15">
        <v>6.59</v>
      </c>
      <c r="AN61" s="15">
        <v>6.59</v>
      </c>
      <c r="AO61" s="15">
        <v>7.49</v>
      </c>
      <c r="AP61" s="15">
        <v>7.58</v>
      </c>
      <c r="AQ61" s="15">
        <v>7.58</v>
      </c>
      <c r="AR61" s="15">
        <v>7.72</v>
      </c>
      <c r="AW61" s="186" t="str">
        <f>IF(VLOOKUP($A61,'I-Ligands'!$A:$G,3,FALSE)="","",VLOOKUP($A61,'I-Ligands'!$A:$G,3,FALSE))</f>
        <v>α-MSH</v>
      </c>
      <c r="AX61" s="187" t="str">
        <f>IF(VLOOKUP($A61,'I-Ligands'!$A:$G,4,FALSE)="","",VLOOKUP($A61,'I-Ligands'!$A:$G,4,FALSE))</f>
        <v>Ac-SYSMEHFRWGKPV-NH2</v>
      </c>
      <c r="AY61" s="98">
        <v>4.72</v>
      </c>
      <c r="AZ61" s="99">
        <v>4.7300000000000004</v>
      </c>
      <c r="BA61" s="99">
        <v>3.29</v>
      </c>
      <c r="BB61" s="99">
        <v>3.29</v>
      </c>
      <c r="BC61" s="99">
        <v>2.68</v>
      </c>
      <c r="BD61" s="99">
        <v>3.14</v>
      </c>
      <c r="BE61" s="99">
        <v>3.14</v>
      </c>
      <c r="BF61" s="99">
        <v>3.01</v>
      </c>
      <c r="BG61" s="99">
        <v>5.62</v>
      </c>
      <c r="BH61" s="99">
        <v>5.62</v>
      </c>
      <c r="BI61" s="99">
        <v>5.32</v>
      </c>
      <c r="BJ61" s="99">
        <v>1.69</v>
      </c>
      <c r="BK61" s="99">
        <v>2.08</v>
      </c>
      <c r="BL61" s="99">
        <v>2.12</v>
      </c>
      <c r="BM61" s="98">
        <f t="shared" si="14"/>
        <v>3.8983050847457625</v>
      </c>
      <c r="BN61" s="99">
        <f t="shared" si="15"/>
        <v>3.7420718816067646</v>
      </c>
      <c r="BO61" s="99">
        <f t="shared" si="16"/>
        <v>3.525835866261398</v>
      </c>
      <c r="BP61" s="99">
        <f t="shared" si="17"/>
        <v>3.525835866261398</v>
      </c>
      <c r="BQ61" s="99">
        <f t="shared" si="18"/>
        <v>6.2686567164179108</v>
      </c>
      <c r="BR61" s="99">
        <f t="shared" si="19"/>
        <v>3.0891719745222925</v>
      </c>
      <c r="BS61" s="99">
        <f t="shared" si="20"/>
        <v>3.0891719745222925</v>
      </c>
      <c r="BT61" s="99">
        <f t="shared" si="21"/>
        <v>4.4850498338870439</v>
      </c>
      <c r="BU61" s="99">
        <f t="shared" si="22"/>
        <v>2.2775800711743774</v>
      </c>
      <c r="BV61" s="99">
        <f t="shared" si="23"/>
        <v>2.2775800711743774</v>
      </c>
      <c r="BW61" s="99">
        <f t="shared" si="24"/>
        <v>3.477443609022556</v>
      </c>
      <c r="BX61" s="99">
        <f t="shared" si="25"/>
        <v>0</v>
      </c>
      <c r="BY61" s="99">
        <f t="shared" si="26"/>
        <v>0</v>
      </c>
      <c r="BZ61" s="99">
        <f t="shared" si="27"/>
        <v>0</v>
      </c>
      <c r="CA61" s="18" t="e">
        <f>VLOOKUP(A61,'Bouvier-GEMTA'!A:C,4,FALSE)</f>
        <v>#REF!</v>
      </c>
      <c r="CB61" s="18">
        <f>VLOOKUP(A61,'Martemyanov-FreeGβγ-Nluc'!A:BG,4,FALSE)</f>
        <v>1320</v>
      </c>
    </row>
    <row r="62" spans="1:80" ht="18">
      <c r="A62" s="12" t="s">
        <v>29</v>
      </c>
      <c r="B62" s="13" t="s">
        <v>2590</v>
      </c>
      <c r="C62" s="9" t="str">
        <f>IF(VLOOKUP($A62,'I-Ligands'!$A:$G,5,FALSE)="","",VLOOKUP($A62,'I-Ligands'!$A:$G,5,FALSE))</f>
        <v>Guide to Pharmacology</v>
      </c>
      <c r="D62" s="9">
        <f>IF(VLOOKUP($A62,'I-Ligands'!$A:$G,6,FALSE)="","",VLOOKUP($A62,'I-Ligands'!$A:$G,6,FALSE))</f>
        <v>294</v>
      </c>
      <c r="E62" s="9" t="str">
        <f>IF(VLOOKUP($A62,'I-Ligands'!$A:$G,7,FALSE)="","",VLOOKUP($A62,'I-Ligands'!$A:$G,7,FALSE))</f>
        <v>Phys</v>
      </c>
      <c r="F62" s="7" cm="1">
        <f t="array" ref="F62">_xlfn.IFS(T62=0,0,T62&gt;0,(LOG(0.01*T62/10^-AH62)))</f>
        <v>5.110248018334163</v>
      </c>
      <c r="G62" s="8" cm="1">
        <f t="array" ref="G62">_xlfn.IFS(U62=0,0,U62&gt;0,(LOG(0.01*U62/10^-AI62)))</f>
        <v>4.6431278535996992</v>
      </c>
      <c r="H62" s="8" cm="1">
        <f t="array" ref="H62">_xlfn.IFS(V62=0,0,V62&gt;0,(LOG(0.01*V62/10^-AJ62)))</f>
        <v>7.3177747053878228</v>
      </c>
      <c r="I62" s="8" cm="1">
        <f t="array" ref="I62">_xlfn.IFS(W62=0,0,W62&gt;0,(LOG(0.01*W62/10^-AK62)))</f>
        <v>7.3177747053878228</v>
      </c>
      <c r="J62" s="8" cm="1">
        <f t="array" ref="J62">_xlfn.IFS(X62=0,0,X62&gt;0,(LOG(0.01*X62/10^-AL62)))</f>
        <v>7.5298279937757195</v>
      </c>
      <c r="K62" s="8" cm="1">
        <f t="array" ref="K62">_xlfn.IFS(Y62=0,0,Y62&gt;0,(LOG(0.01*Y62/10^-AM62)))</f>
        <v>7.0451878449276606</v>
      </c>
      <c r="L62" s="8" cm="1">
        <f t="array" ref="L62">_xlfn.IFS(Z62=0,0,Z62&gt;0,(LOG(0.01*Z62/10^-AN62)))</f>
        <v>7.0451878449276606</v>
      </c>
      <c r="M62" s="8" cm="1">
        <f t="array" ref="M62">_xlfn.IFS(AA62=0,0,AA62&gt;0,(LOG(0.01*AA62/10^-AO62)))</f>
        <v>6.256352974450639</v>
      </c>
      <c r="N62" s="8" cm="1">
        <f t="array" ref="N62">_xlfn.IFS(AB62=0,0,AB62&gt;0,(LOG(0.01*AB62/10^-AP62)))</f>
        <v>5.9838929889859074</v>
      </c>
      <c r="O62" s="8" cm="1">
        <f t="array" ref="O62">_xlfn.IFS(AC62=0,0,AC62&gt;0,(LOG(0.01*AC62/10^-AQ62)))</f>
        <v>5.9838929889859074</v>
      </c>
      <c r="P62" s="8" cm="1">
        <f t="array" ref="P62">_xlfn.IFS(AD62=0,0,AD62&gt;0,(LOG(0.01*AD62/10^-AR62)))</f>
        <v>6.0477505628203891</v>
      </c>
      <c r="Q62" s="8" cm="1">
        <f t="array" ref="Q62">_xlfn.IFS(AE62=0,0,AE62&gt;0,(LOG(0.01*AE62/10^-AS62)))</f>
        <v>5.3048337166199389</v>
      </c>
      <c r="R62" s="8" cm="1">
        <f t="array" ref="R62">_xlfn.IFS(AF62=0,0,AF62&gt;0,(LOG(0.01*AF62/10^-AT62)))</f>
        <v>5.0778867046136735</v>
      </c>
      <c r="S62" s="8" cm="1">
        <f t="array" ref="S62">_xlfn.IFS(AG62=0,0,AG62&gt;0,(LOG(0.01*AG62/10^-AU62)))</f>
        <v>4.8927853703164503</v>
      </c>
      <c r="T62" s="16">
        <v>22.4</v>
      </c>
      <c r="U62" s="17">
        <v>9.4</v>
      </c>
      <c r="V62" s="17">
        <v>35.299999999999997</v>
      </c>
      <c r="W62" s="17">
        <v>35.299999999999997</v>
      </c>
      <c r="X62" s="17">
        <v>33.1</v>
      </c>
      <c r="Y62" s="17">
        <v>37.6</v>
      </c>
      <c r="Z62" s="17">
        <v>37.6</v>
      </c>
      <c r="AA62" s="17">
        <v>22.2</v>
      </c>
      <c r="AB62" s="17">
        <v>29.1</v>
      </c>
      <c r="AC62" s="17">
        <v>29.1</v>
      </c>
      <c r="AD62" s="17">
        <v>27.4</v>
      </c>
      <c r="AE62" s="17">
        <v>25.4</v>
      </c>
      <c r="AF62" s="17">
        <v>16.899999999999999</v>
      </c>
      <c r="AG62" s="17">
        <v>12.1</v>
      </c>
      <c r="AH62" s="14">
        <v>5.76</v>
      </c>
      <c r="AI62" s="15">
        <v>5.67</v>
      </c>
      <c r="AJ62" s="15">
        <v>7.77</v>
      </c>
      <c r="AK62" s="15">
        <v>7.77</v>
      </c>
      <c r="AL62" s="15">
        <v>8.01</v>
      </c>
      <c r="AM62" s="15">
        <v>7.47</v>
      </c>
      <c r="AN62" s="15">
        <v>7.47</v>
      </c>
      <c r="AO62" s="15">
        <v>6.91</v>
      </c>
      <c r="AP62" s="15">
        <v>6.52</v>
      </c>
      <c r="AQ62" s="15">
        <v>6.52</v>
      </c>
      <c r="AR62" s="15">
        <v>6.61</v>
      </c>
      <c r="AS62" s="15">
        <v>5.9</v>
      </c>
      <c r="AT62" s="15">
        <v>5.85</v>
      </c>
      <c r="AU62" s="15">
        <v>5.81</v>
      </c>
      <c r="AW62" s="186" t="str">
        <f>IF(VLOOKUP($A62,'I-Ligands'!$A:$G,3,FALSE)="","",VLOOKUP($A62,'I-Ligands'!$A:$G,3,FALSE))</f>
        <v>Acetylcholine</v>
      </c>
      <c r="AX62" s="187" t="str">
        <f>IF(VLOOKUP($A62,'I-Ligands'!$A:$G,4,FALSE)="","",VLOOKUP($A62,'I-Ligands'!$A:$G,4,FALSE))</f>
        <v>Acetylcholine Chloride</v>
      </c>
      <c r="AY62" s="98">
        <v>4.24</v>
      </c>
      <c r="AZ62" s="99">
        <v>7.19</v>
      </c>
      <c r="BA62" s="99">
        <v>4.34</v>
      </c>
      <c r="BB62" s="99">
        <v>4.34</v>
      </c>
      <c r="BC62" s="99">
        <v>3.98</v>
      </c>
      <c r="BD62" s="99">
        <v>5.23</v>
      </c>
      <c r="BE62" s="99">
        <v>5.23</v>
      </c>
      <c r="BF62" s="99">
        <v>3.8</v>
      </c>
      <c r="BG62" s="99">
        <v>11.33</v>
      </c>
      <c r="BH62" s="99">
        <v>11.33</v>
      </c>
      <c r="BI62" s="99">
        <v>10.24</v>
      </c>
      <c r="BJ62" s="99">
        <v>4.88</v>
      </c>
      <c r="BK62" s="99">
        <v>5.08</v>
      </c>
      <c r="BL62" s="99">
        <v>5.19</v>
      </c>
      <c r="BM62" s="98">
        <f t="shared" si="14"/>
        <v>5.283018867924528</v>
      </c>
      <c r="BN62" s="99">
        <f t="shared" si="15"/>
        <v>1.3073713490959666</v>
      </c>
      <c r="BO62" s="99">
        <f t="shared" si="16"/>
        <v>8.1336405529953915</v>
      </c>
      <c r="BP62" s="99">
        <f t="shared" si="17"/>
        <v>8.1336405529953915</v>
      </c>
      <c r="BQ62" s="99">
        <f t="shared" si="18"/>
        <v>8.316582914572864</v>
      </c>
      <c r="BR62" s="99">
        <f t="shared" si="19"/>
        <v>7.1892925430210326</v>
      </c>
      <c r="BS62" s="99">
        <f t="shared" si="20"/>
        <v>7.1892925430210326</v>
      </c>
      <c r="BT62" s="99">
        <f t="shared" si="21"/>
        <v>5.8421052631578947</v>
      </c>
      <c r="BU62" s="99">
        <f t="shared" si="22"/>
        <v>2.5684024713150926</v>
      </c>
      <c r="BV62" s="99">
        <f t="shared" si="23"/>
        <v>2.5684024713150926</v>
      </c>
      <c r="BW62" s="99">
        <f t="shared" si="24"/>
        <v>2.67578125</v>
      </c>
      <c r="BX62" s="99">
        <f t="shared" si="25"/>
        <v>5.2049180327868854</v>
      </c>
      <c r="BY62" s="99">
        <f t="shared" si="26"/>
        <v>3.326771653543307</v>
      </c>
      <c r="BZ62" s="99">
        <f t="shared" si="27"/>
        <v>2.3314065510597302</v>
      </c>
      <c r="CA62" s="18" t="e">
        <f>VLOOKUP(A62,'Bouvier-GEMTA'!A:C,4,FALSE)</f>
        <v>#REF!</v>
      </c>
      <c r="CB62" s="18">
        <f>VLOOKUP(A62,'Martemyanov-FreeGβγ-Nluc'!A:BG,4,FALSE)</f>
        <v>294</v>
      </c>
    </row>
    <row r="63" spans="1:80" ht="18">
      <c r="A63" s="12" t="s">
        <v>32</v>
      </c>
      <c r="B63" s="13" t="s">
        <v>2585</v>
      </c>
      <c r="C63" s="9" t="str">
        <f>IF(VLOOKUP($A63,'I-Ligands'!$A:$G,5,FALSE)="","",VLOOKUP($A63,'I-Ligands'!$A:$G,5,FALSE))</f>
        <v>Guide to Pharmacology</v>
      </c>
      <c r="D63" s="9">
        <f>IF(VLOOKUP($A63,'I-Ligands'!$A:$G,6,FALSE)="","",VLOOKUP($A63,'I-Ligands'!$A:$G,6,FALSE))</f>
        <v>2844</v>
      </c>
      <c r="E63" s="9" t="str">
        <f>IF(VLOOKUP($A63,'I-Ligands'!$A:$G,7,FALSE)="","",VLOOKUP($A63,'I-Ligands'!$A:$G,7,FALSE))</f>
        <v>Phys</v>
      </c>
      <c r="F63" s="7" cm="1">
        <f t="array" ref="F63">_xlfn.IFS(T63=0,0,T63&gt;0,(LOG(0.01*T63/10^-AH63)))</f>
        <v>5.307819095073274</v>
      </c>
      <c r="G63" s="8" cm="1">
        <f t="array" ref="G63">_xlfn.IFS(U63=0,0,U63&gt;0,(LOG(0.01*U63/10^-AI63)))</f>
        <v>5.0385507165004446</v>
      </c>
      <c r="H63" s="8" cm="1">
        <f t="array" ref="H63">_xlfn.IFS(V63=0,0,V63&gt;0,(LOG(0.01*V63/10^-AJ63)))</f>
        <v>5.1985507165004448</v>
      </c>
      <c r="I63" s="8" cm="1">
        <f t="array" ref="I63">_xlfn.IFS(W63=0,0,W63&gt;0,(LOG(0.01*W63/10^-AK63)))</f>
        <v>5.1985507165004448</v>
      </c>
      <c r="J63" s="8" cm="1">
        <f t="array" ref="J63">_xlfn.IFS(X63=0,0,X63&gt;0,(LOG(0.01*X63/10^-AL63)))</f>
        <v>5.3027603890268376</v>
      </c>
      <c r="K63" s="8" cm="1">
        <f t="array" ref="K63">_xlfn.IFS(Y63=0,0,Y63&gt;0,(LOG(0.01*Y63/10^-AM63)))</f>
        <v>5.4411380837040362</v>
      </c>
      <c r="L63" s="8" cm="1">
        <f t="array" ref="L63">_xlfn.IFS(Z63=0,0,Z63&gt;0,(LOG(0.01*Z63/10^-AN63)))</f>
        <v>5.4411380837040362</v>
      </c>
      <c r="M63" s="8" cm="1">
        <f t="array" ref="M63">_xlfn.IFS(AA63=0,0,AA63&gt;0,(LOG(0.01*AA63/10^-AO63)))</f>
        <v>4.9638672203691545</v>
      </c>
      <c r="N63" s="8" cm="1">
        <f t="array" ref="N63">_xlfn.IFS(AB63=0,0,AB63&gt;0,(LOG(0.01*AB63/10^-AP63)))</f>
        <v>4.712182518111363</v>
      </c>
      <c r="O63" s="8" cm="1">
        <f t="array" ref="O63">_xlfn.IFS(AC63=0,0,AC63&gt;0,(LOG(0.01*AC63/10^-AQ63)))</f>
        <v>4.712182518111363</v>
      </c>
      <c r="P63" s="8" cm="1">
        <f t="array" ref="P63">_xlfn.IFS(AD63=0,0,AD63&gt;0,(LOG(0.01*AD63/10^-AR63)))</f>
        <v>5.307750562820388</v>
      </c>
      <c r="Q63" s="8" cm="1">
        <f t="array" ref="Q63">_xlfn.IFS(AE63=0,0,AE63&gt;0,(LOG(0.01*AE63/10^-AS63)))</f>
        <v>3.3289700043360186</v>
      </c>
      <c r="R63" s="8" cm="1">
        <f t="array" ref="R63">_xlfn.IFS(AF63=0,0,AF63&gt;0,(LOG(0.01*AF63/10^-AT63)))</f>
        <v>4.0413971243204516</v>
      </c>
      <c r="S63" s="8" cm="1">
        <f t="array" ref="S63">_xlfn.IFS(AG63=0,0,AG63&gt;0,(LOG(0.01*AG63/10^-AU63)))</f>
        <v>4.358063334962762</v>
      </c>
      <c r="T63" s="16">
        <v>34.5</v>
      </c>
      <c r="U63" s="17">
        <v>30.8</v>
      </c>
      <c r="V63" s="17">
        <v>30.8</v>
      </c>
      <c r="W63" s="17">
        <v>30.8</v>
      </c>
      <c r="X63" s="17">
        <v>31.1</v>
      </c>
      <c r="Y63" s="17">
        <v>33.200000000000003</v>
      </c>
      <c r="Z63" s="17">
        <v>33.200000000000003</v>
      </c>
      <c r="AA63" s="17">
        <v>20.6</v>
      </c>
      <c r="AB63" s="17">
        <v>22.5</v>
      </c>
      <c r="AC63" s="17">
        <v>22.5</v>
      </c>
      <c r="AD63" s="17">
        <v>27.4</v>
      </c>
      <c r="AE63" s="17">
        <v>5</v>
      </c>
      <c r="AF63" s="17">
        <v>15.9</v>
      </c>
      <c r="AG63" s="17">
        <v>20.8</v>
      </c>
      <c r="AH63" s="14">
        <v>5.77</v>
      </c>
      <c r="AI63" s="15">
        <v>5.55</v>
      </c>
      <c r="AJ63" s="15">
        <v>5.71</v>
      </c>
      <c r="AK63" s="15">
        <v>5.71</v>
      </c>
      <c r="AL63" s="15">
        <v>5.81</v>
      </c>
      <c r="AM63" s="15">
        <v>5.92</v>
      </c>
      <c r="AN63" s="15">
        <v>5.92</v>
      </c>
      <c r="AO63" s="15">
        <v>5.65</v>
      </c>
      <c r="AP63" s="15">
        <v>5.36</v>
      </c>
      <c r="AQ63" s="15">
        <v>5.36</v>
      </c>
      <c r="AR63" s="15">
        <v>5.87</v>
      </c>
      <c r="AS63" s="15">
        <v>4.63</v>
      </c>
      <c r="AT63" s="15">
        <v>4.84</v>
      </c>
      <c r="AU63" s="15">
        <v>5.04</v>
      </c>
      <c r="AW63" s="186" t="str">
        <f>IF(VLOOKUP($A63,'I-Ligands'!$A:$G,3,FALSE)="","",VLOOKUP($A63,'I-Ligands'!$A:$G,3,FALSE))</f>
        <v>Adenosine</v>
      </c>
      <c r="AX63" s="187" t="str">
        <f>IF(VLOOKUP($A63,'I-Ligands'!$A:$G,4,FALSE)="","",VLOOKUP($A63,'I-Ligands'!$A:$G,4,FALSE))</f>
        <v>Adenosine</v>
      </c>
      <c r="AY63" s="98">
        <v>8.36</v>
      </c>
      <c r="AZ63" s="99">
        <v>8.84</v>
      </c>
      <c r="BA63" s="99">
        <v>5.66</v>
      </c>
      <c r="BB63" s="99">
        <v>5.66</v>
      </c>
      <c r="BC63" s="99">
        <v>5.86</v>
      </c>
      <c r="BD63" s="99">
        <v>4.5999999999999996</v>
      </c>
      <c r="BE63" s="99">
        <v>4.5999999999999996</v>
      </c>
      <c r="BF63" s="99">
        <v>4.54</v>
      </c>
      <c r="BG63" s="99">
        <v>8.0299999999999994</v>
      </c>
      <c r="BH63" s="99">
        <v>8.0299999999999994</v>
      </c>
      <c r="BI63" s="99">
        <v>9.1300000000000008</v>
      </c>
      <c r="BJ63" s="99">
        <v>5.21</v>
      </c>
      <c r="BK63" s="99">
        <v>5.99</v>
      </c>
      <c r="BL63" s="99">
        <v>6.38</v>
      </c>
      <c r="BM63" s="98">
        <f t="shared" si="14"/>
        <v>4.1267942583732058</v>
      </c>
      <c r="BN63" s="99">
        <f t="shared" si="15"/>
        <v>3.4841628959276019</v>
      </c>
      <c r="BO63" s="99">
        <f t="shared" si="16"/>
        <v>5.4416961130742045</v>
      </c>
      <c r="BP63" s="99">
        <f t="shared" si="17"/>
        <v>5.4416961130742045</v>
      </c>
      <c r="BQ63" s="99">
        <f t="shared" si="18"/>
        <v>5.3071672354948802</v>
      </c>
      <c r="BR63" s="99">
        <f t="shared" si="19"/>
        <v>7.2173913043478271</v>
      </c>
      <c r="BS63" s="99">
        <f t="shared" si="20"/>
        <v>7.2173913043478271</v>
      </c>
      <c r="BT63" s="99">
        <f t="shared" si="21"/>
        <v>4.537444933920705</v>
      </c>
      <c r="BU63" s="99">
        <f t="shared" si="22"/>
        <v>2.8019925280199254</v>
      </c>
      <c r="BV63" s="99">
        <f t="shared" si="23"/>
        <v>2.8019925280199254</v>
      </c>
      <c r="BW63" s="99">
        <f t="shared" si="24"/>
        <v>3.0010952902519161</v>
      </c>
      <c r="BX63" s="99">
        <f t="shared" si="25"/>
        <v>0.95969289827255277</v>
      </c>
      <c r="BY63" s="99">
        <f t="shared" si="26"/>
        <v>2.654424040066778</v>
      </c>
      <c r="BZ63" s="99">
        <f t="shared" si="27"/>
        <v>3.2601880877742948</v>
      </c>
      <c r="CA63" s="18" t="e">
        <f>VLOOKUP(A63,'Bouvier-GEMTA'!A:C,4,FALSE)</f>
        <v>#REF!</v>
      </c>
      <c r="CB63" s="18">
        <f>VLOOKUP(A63,'Martemyanov-FreeGβγ-Nluc'!A:BG,4,FALSE)</f>
        <v>2844</v>
      </c>
    </row>
    <row r="64" spans="1:80">
      <c r="A64" s="12" t="s">
        <v>227</v>
      </c>
      <c r="B64" s="13" t="s">
        <v>2548</v>
      </c>
      <c r="C64" s="9" t="str">
        <f>IF(VLOOKUP($A64,'I-Ligands'!$A:$G,5,FALSE)="","",VLOOKUP($A64,'I-Ligands'!$A:$G,5,FALSE))</f>
        <v>Guide to Pharmacology</v>
      </c>
      <c r="D64" s="9">
        <f>IF(VLOOKUP($A64,'I-Ligands'!$A:$G,6,FALSE)="","",VLOOKUP($A64,'I-Ligands'!$A:$G,6,FALSE))</f>
        <v>2174</v>
      </c>
      <c r="E64" s="9" t="str">
        <f>IF(VLOOKUP($A64,'I-Ligands'!$A:$G,7,FALSE)="","",VLOOKUP($A64,'I-Ligands'!$A:$G,7,FALSE))</f>
        <v>Phys</v>
      </c>
      <c r="F64" s="7" cm="1">
        <f t="array" ref="F64">_xlfn.IFS(T64=0,0,T64&gt;0,(LOG(0.01*T64/10^-AH64)))</f>
        <v>7.3643922736851115</v>
      </c>
      <c r="G64" s="8" cm="1">
        <f t="array" ref="G64">_xlfn.IFS(U64=0,0,U64&gt;0,(LOG(0.01*U64/10^-AI64)))</f>
        <v>7.3131960574204893</v>
      </c>
      <c r="H64" s="8" cm="1">
        <f t="array" ref="H64">_xlfn.IFS(V64=0,0,V64&gt;0,(LOG(0.01*V64/10^-AJ64)))</f>
        <v>6.9195129442179173</v>
      </c>
      <c r="I64" s="8" cm="1">
        <f t="array" ref="I64">_xlfn.IFS(W64=0,0,W64&gt;0,(LOG(0.01*W64/10^-AK64)))</f>
        <v>6.9195129442179173</v>
      </c>
      <c r="J64" s="8" cm="1">
        <f t="array" ref="J64">_xlfn.IFS(X64=0,0,X64&gt;0,(LOG(0.01*X64/10^-AL64)))</f>
        <v>0</v>
      </c>
      <c r="K64" s="8" cm="1">
        <f t="array" ref="K64">_xlfn.IFS(Y64=0,0,Y64&gt;0,(LOG(0.01*Y64/10^-AM64)))</f>
        <v>0</v>
      </c>
      <c r="L64" s="8" cm="1">
        <f t="array" ref="L64">_xlfn.IFS(Z64=0,0,Z64&gt;0,(LOG(0.01*Z64/10^-AN64)))</f>
        <v>0</v>
      </c>
      <c r="M64" s="8" cm="1">
        <f t="array" ref="M64">_xlfn.IFS(AA64=0,0,AA64&gt;0,(LOG(0.01*AA64/10^-AO64)))</f>
        <v>0</v>
      </c>
      <c r="N64" s="8" cm="1">
        <f t="array" ref="N64">_xlfn.IFS(AB64=0,0,AB64&gt;0,(LOG(0.01*AB64/10^-AP64)))</f>
        <v>8.0109090820652185</v>
      </c>
      <c r="O64" s="8" cm="1">
        <f t="array" ref="O64">_xlfn.IFS(AC64=0,0,AC64&gt;0,(LOG(0.01*AC64/10^-AQ64)))</f>
        <v>8.0109090820652185</v>
      </c>
      <c r="P64" s="8" cm="1">
        <f t="array" ref="P64">_xlfn.IFS(AD64=0,0,AD64&gt;0,(LOG(0.01*AD64/10^-AR64)))</f>
        <v>7.1375207208364637</v>
      </c>
      <c r="Q64" s="8" cm="1">
        <f t="array" ref="Q64">_xlfn.IFS(AE64=0,0,AE64&gt;0,(LOG(0.01*AE64/10^-AS64)))</f>
        <v>0</v>
      </c>
      <c r="R64" s="8" cm="1">
        <f t="array" ref="R64">_xlfn.IFS(AF64=0,0,AF64&gt;0,(LOG(0.01*AF64/10^-AT64)))</f>
        <v>0</v>
      </c>
      <c r="S64" s="8" cm="1">
        <f t="array" ref="S64">_xlfn.IFS(AG64=0,0,AG64&gt;0,(LOG(0.01*AG64/10^-AU64)))</f>
        <v>0</v>
      </c>
      <c r="T64" s="16">
        <v>22.1</v>
      </c>
      <c r="U64" s="17">
        <v>20.100000000000001</v>
      </c>
      <c r="V64" s="17">
        <v>18.600000000000001</v>
      </c>
      <c r="W64" s="17">
        <v>18.600000000000001</v>
      </c>
      <c r="AB64" s="17">
        <v>27.6</v>
      </c>
      <c r="AC64" s="17">
        <v>27.6</v>
      </c>
      <c r="AD64" s="17">
        <v>15.4</v>
      </c>
      <c r="AH64" s="14">
        <v>8.02</v>
      </c>
      <c r="AI64" s="15">
        <v>8.01</v>
      </c>
      <c r="AJ64" s="15">
        <v>7.65</v>
      </c>
      <c r="AK64" s="15">
        <v>7.65</v>
      </c>
      <c r="AP64" s="15">
        <v>8.57</v>
      </c>
      <c r="AQ64" s="15">
        <v>8.57</v>
      </c>
      <c r="AR64" s="15">
        <v>7.95</v>
      </c>
      <c r="AW64" s="186" t="str">
        <f>IF(VLOOKUP($A64,'I-Ligands'!$A:$G,3,FALSE)="","",VLOOKUP($A64,'I-Ligands'!$A:$G,3,FALSE))</f>
        <v>Oxytocin</v>
      </c>
      <c r="AX64" s="187" t="str">
        <f>IF(VLOOKUP($A64,'I-Ligands'!$A:$G,4,FALSE)="","",VLOOKUP($A64,'I-Ligands'!$A:$G,4,FALSE))</f>
        <v>CYIQNCPLG-NH2</v>
      </c>
      <c r="AY64" s="98">
        <v>5.52</v>
      </c>
      <c r="AZ64" s="99">
        <v>3.37</v>
      </c>
      <c r="BA64" s="99">
        <v>5.96</v>
      </c>
      <c r="BB64" s="99">
        <v>5.96</v>
      </c>
      <c r="BC64" s="99">
        <v>5.98</v>
      </c>
      <c r="BD64" s="99">
        <v>7.2</v>
      </c>
      <c r="BE64" s="99">
        <v>7.2</v>
      </c>
      <c r="BF64" s="99">
        <v>5.7</v>
      </c>
      <c r="BG64" s="99">
        <v>9.6300000000000008</v>
      </c>
      <c r="BH64" s="99">
        <v>9.6300000000000008</v>
      </c>
      <c r="BI64" s="99">
        <v>6.57</v>
      </c>
      <c r="BJ64" s="99">
        <v>8.06</v>
      </c>
      <c r="BK64" s="99">
        <v>4.63</v>
      </c>
      <c r="BL64" s="99">
        <v>7.36</v>
      </c>
      <c r="BM64" s="98">
        <f t="shared" si="14"/>
        <v>4.0036231884057978</v>
      </c>
      <c r="BN64" s="99">
        <f t="shared" si="15"/>
        <v>5.9643916913946589</v>
      </c>
      <c r="BO64" s="99">
        <f t="shared" si="16"/>
        <v>3.1208053691275168</v>
      </c>
      <c r="BP64" s="99">
        <f t="shared" si="17"/>
        <v>3.1208053691275168</v>
      </c>
      <c r="BQ64" s="99">
        <f t="shared" si="18"/>
        <v>0</v>
      </c>
      <c r="BR64" s="99">
        <f t="shared" si="19"/>
        <v>0</v>
      </c>
      <c r="BS64" s="99">
        <f t="shared" si="20"/>
        <v>0</v>
      </c>
      <c r="BT64" s="99">
        <f t="shared" si="21"/>
        <v>0</v>
      </c>
      <c r="BU64" s="99">
        <f t="shared" si="22"/>
        <v>2.866043613707165</v>
      </c>
      <c r="BV64" s="99">
        <f t="shared" si="23"/>
        <v>2.866043613707165</v>
      </c>
      <c r="BW64" s="99">
        <f t="shared" si="24"/>
        <v>2.3439878234398783</v>
      </c>
      <c r="BX64" s="99">
        <f t="shared" si="25"/>
        <v>0</v>
      </c>
      <c r="BY64" s="99">
        <f t="shared" si="26"/>
        <v>0</v>
      </c>
      <c r="BZ64" s="99">
        <f t="shared" si="27"/>
        <v>0</v>
      </c>
      <c r="CA64" s="18" t="e">
        <f>VLOOKUP(A64,'Bouvier-GEMTA'!A:C,4,FALSE)</f>
        <v>#REF!</v>
      </c>
      <c r="CB64" s="18">
        <f>VLOOKUP(A64,'Martemyanov-FreeGβγ-Nluc'!A:BG,4,FALSE)</f>
        <v>2174</v>
      </c>
    </row>
    <row r="65" spans="1:80" ht="18">
      <c r="A65" s="12" t="s">
        <v>22</v>
      </c>
      <c r="B65" s="13" t="s">
        <v>2579</v>
      </c>
      <c r="C65" s="9" t="str">
        <f>IF(VLOOKUP($A65,'I-Ligands'!$A:$G,5,FALSE)="","",VLOOKUP($A65,'I-Ligands'!$A:$G,5,FALSE))</f>
        <v>Guide to Pharmacology</v>
      </c>
      <c r="D65" s="9">
        <f>IF(VLOOKUP($A65,'I-Ligands'!$A:$G,6,FALSE)="","",VLOOKUP($A65,'I-Ligands'!$A:$G,6,FALSE))</f>
        <v>5</v>
      </c>
      <c r="E65" s="9" t="str">
        <f>IF(VLOOKUP($A65,'I-Ligands'!$A:$G,7,FALSE)="","",VLOOKUP($A65,'I-Ligands'!$A:$G,7,FALSE))</f>
        <v>Phys</v>
      </c>
      <c r="F65" s="7" cm="1">
        <f t="array" ref="F65">_xlfn.IFS(T65=0,0,T65&gt;0,(LOG(0.01*T65/10^-AH65)))</f>
        <v>6.0879732663618071</v>
      </c>
      <c r="G65" s="8" cm="1">
        <f t="array" ref="G65">_xlfn.IFS(U65=0,0,U65&gt;0,(LOG(0.01*U65/10^-AI65)))</f>
        <v>5.9386570869544233</v>
      </c>
      <c r="H65" s="8" cm="1">
        <f t="array" ref="H65">_xlfn.IFS(V65=0,0,V65&gt;0,(LOG(0.01*V65/10^-AJ65)))</f>
        <v>7.6133228601204568</v>
      </c>
      <c r="I65" s="8" cm="1">
        <f t="array" ref="I65">_xlfn.IFS(W65=0,0,W65&gt;0,(LOG(0.01*W65/10^-AK65)))</f>
        <v>7.6133228601204568</v>
      </c>
      <c r="J65" s="8" cm="1">
        <f t="array" ref="J65">_xlfn.IFS(X65=0,0,X65&gt;0,(LOG(0.01*X65/10^-AL65)))</f>
        <v>7.2132492903979015</v>
      </c>
      <c r="K65" s="8" cm="1">
        <f t="array" ref="K65">_xlfn.IFS(Y65=0,0,Y65&gt;0,(LOG(0.01*Y65/10^-AM65)))</f>
        <v>7.630697840353613</v>
      </c>
      <c r="L65" s="8" cm="1">
        <f t="array" ref="L65">_xlfn.IFS(Z65=0,0,Z65&gt;0,(LOG(0.01*Z65/10^-AN65)))</f>
        <v>7.630697840353613</v>
      </c>
      <c r="M65" s="8" cm="1">
        <f t="array" ref="M65">_xlfn.IFS(AA65=0,0,AA65&gt;0,(LOG(0.01*AA65/10^-AO65)))</f>
        <v>7.7103626894942456</v>
      </c>
      <c r="N65" s="8" cm="1">
        <f t="array" ref="N65">_xlfn.IFS(AB65=0,0,AB65&gt;0,(LOG(0.01*AB65/10^-AP65)))</f>
        <v>7.3642758696007897</v>
      </c>
      <c r="O65" s="8" cm="1">
        <f t="array" ref="O65">_xlfn.IFS(AC65=0,0,AC65&gt;0,(LOG(0.01*AC65/10^-AQ65)))</f>
        <v>7.3642758696007897</v>
      </c>
      <c r="P65" s="8" cm="1">
        <f t="array" ref="P65">_xlfn.IFS(AD65=0,0,AD65&gt;0,(LOG(0.01*AD65/10^-AR65)))</f>
        <v>7.5032125137753436</v>
      </c>
      <c r="Q65" s="8" cm="1">
        <f t="array" ref="Q65">_xlfn.IFS(AE65=0,0,AE65&gt;0,(LOG(0.01*AE65/10^-AS65)))</f>
        <v>7.5795129442179174</v>
      </c>
      <c r="R65" s="8" cm="1">
        <f t="array" ref="R65">_xlfn.IFS(AF65=0,0,AF65&gt;0,(LOG(0.01*AF65/10^-AT65)))</f>
        <v>7.1100713879850748</v>
      </c>
      <c r="S65" s="8" cm="1">
        <f t="array" ref="S65">_xlfn.IFS(AG65=0,0,AG65&gt;0,(LOG(0.01*AG65/10^-AU65)))</f>
        <v>7.0887536009528294</v>
      </c>
      <c r="T65" s="16">
        <v>17.7</v>
      </c>
      <c r="U65" s="17">
        <v>15.8</v>
      </c>
      <c r="V65" s="17">
        <v>7.3</v>
      </c>
      <c r="W65" s="17">
        <v>7.3</v>
      </c>
      <c r="X65" s="17">
        <v>4.2</v>
      </c>
      <c r="Y65" s="17">
        <v>11.5</v>
      </c>
      <c r="Z65" s="17">
        <v>11.5</v>
      </c>
      <c r="AA65" s="17">
        <v>5.5</v>
      </c>
      <c r="AB65" s="17">
        <v>5.3</v>
      </c>
      <c r="AC65" s="17">
        <v>5.3</v>
      </c>
      <c r="AD65" s="17">
        <v>4.5</v>
      </c>
      <c r="AE65" s="17">
        <v>18.600000000000001</v>
      </c>
      <c r="AF65" s="17">
        <v>18.2</v>
      </c>
      <c r="AG65" s="17">
        <v>19</v>
      </c>
      <c r="AH65" s="14">
        <v>6.84</v>
      </c>
      <c r="AI65" s="15">
        <v>6.74</v>
      </c>
      <c r="AJ65" s="15">
        <v>8.75</v>
      </c>
      <c r="AK65" s="15">
        <v>8.75</v>
      </c>
      <c r="AL65" s="15">
        <v>8.59</v>
      </c>
      <c r="AM65" s="15">
        <v>8.57</v>
      </c>
      <c r="AN65" s="15">
        <v>8.57</v>
      </c>
      <c r="AO65" s="15">
        <v>8.9700000000000006</v>
      </c>
      <c r="AP65" s="15">
        <v>8.64</v>
      </c>
      <c r="AQ65" s="15">
        <v>8.64</v>
      </c>
      <c r="AR65" s="15">
        <v>8.85</v>
      </c>
      <c r="AS65" s="15">
        <v>8.31</v>
      </c>
      <c r="AT65" s="15">
        <v>7.85</v>
      </c>
      <c r="AU65" s="15">
        <v>7.81</v>
      </c>
      <c r="AW65" s="186" t="str">
        <f>IF(VLOOKUP($A65,'I-Ligands'!$A:$G,3,FALSE)="","",VLOOKUP($A65,'I-Ligands'!$A:$G,3,FALSE))</f>
        <v>Serotonin</v>
      </c>
      <c r="AX65" s="187" t="str">
        <f>IF(VLOOKUP($A65,'I-Ligands'!$A:$G,4,FALSE)="","",VLOOKUP($A65,'I-Ligands'!$A:$G,4,FALSE))</f>
        <v>5-Hydroxytryptamine Hydrochloride</v>
      </c>
      <c r="AY65" s="98">
        <v>1.18</v>
      </c>
      <c r="AZ65" s="99">
        <v>1.18</v>
      </c>
      <c r="BA65" s="99">
        <v>1.97</v>
      </c>
      <c r="BB65" s="99">
        <v>1.97</v>
      </c>
      <c r="BC65" s="99">
        <v>3.17</v>
      </c>
      <c r="BD65" s="99">
        <v>1.48</v>
      </c>
      <c r="BE65" s="99">
        <v>1.48</v>
      </c>
      <c r="BF65" s="99">
        <v>1.84</v>
      </c>
      <c r="BG65" s="99">
        <v>1.78</v>
      </c>
      <c r="BH65" s="99">
        <v>1.78</v>
      </c>
      <c r="BI65" s="99">
        <v>2.0299999999999998</v>
      </c>
      <c r="BJ65" s="99">
        <v>1.96</v>
      </c>
      <c r="BK65" s="99">
        <v>1.28</v>
      </c>
      <c r="BL65" s="99">
        <v>1.45</v>
      </c>
      <c r="BM65" s="98">
        <f t="shared" si="14"/>
        <v>15</v>
      </c>
      <c r="BN65" s="99">
        <f t="shared" si="15"/>
        <v>13.389830508474578</v>
      </c>
      <c r="BO65" s="99">
        <f t="shared" si="16"/>
        <v>3.7055837563451774</v>
      </c>
      <c r="BP65" s="99">
        <f t="shared" si="17"/>
        <v>3.7055837563451774</v>
      </c>
      <c r="BQ65" s="99">
        <f t="shared" si="18"/>
        <v>1.3249211356466877</v>
      </c>
      <c r="BR65" s="99">
        <f t="shared" si="19"/>
        <v>7.7702702702702702</v>
      </c>
      <c r="BS65" s="99">
        <f t="shared" si="20"/>
        <v>7.7702702702702702</v>
      </c>
      <c r="BT65" s="99">
        <f t="shared" si="21"/>
        <v>2.9891304347826084</v>
      </c>
      <c r="BU65" s="99">
        <f t="shared" si="22"/>
        <v>2.9775280898876404</v>
      </c>
      <c r="BV65" s="99">
        <f t="shared" si="23"/>
        <v>2.9775280898876404</v>
      </c>
      <c r="BW65" s="99">
        <f t="shared" si="24"/>
        <v>2.2167487684729066</v>
      </c>
      <c r="BX65" s="99">
        <f t="shared" si="25"/>
        <v>9.4897959183673475</v>
      </c>
      <c r="BY65" s="99">
        <f t="shared" si="26"/>
        <v>14.21875</v>
      </c>
      <c r="BZ65" s="99">
        <f t="shared" si="27"/>
        <v>13.103448275862069</v>
      </c>
      <c r="CA65" s="18" t="e">
        <f>VLOOKUP(A65,'Bouvier-GEMTA'!A:C,4,FALSE)</f>
        <v>#REF!</v>
      </c>
      <c r="CB65" s="18">
        <f>VLOOKUP(A65,'Martemyanov-FreeGβγ-Nluc'!A:BG,4,FALSE)</f>
        <v>5</v>
      </c>
    </row>
    <row r="66" spans="1:80" ht="18">
      <c r="A66" s="12" t="s">
        <v>230</v>
      </c>
      <c r="B66" s="13" t="s">
        <v>2671</v>
      </c>
      <c r="C66" s="9" t="str">
        <f>IF(VLOOKUP($A66,'I-Ligands'!$A:$G,5,FALSE)="","",VLOOKUP($A66,'I-Ligands'!$A:$G,5,FALSE))</f>
        <v>Guide to Pharmacology</v>
      </c>
      <c r="D66" s="9">
        <f>IF(VLOOKUP($A66,'I-Ligands'!$A:$G,6,FALSE)="","",VLOOKUP($A66,'I-Ligands'!$A:$G,6,FALSE))</f>
        <v>2168</v>
      </c>
      <c r="E66" s="9" t="str">
        <f>IF(VLOOKUP($A66,'I-Ligands'!$A:$G,7,FALSE)="","",VLOOKUP($A66,'I-Ligands'!$A:$G,7,FALSE))</f>
        <v>Phys</v>
      </c>
      <c r="F66" s="7" cm="1">
        <f t="array" ref="F66">_xlfn.IFS(T66=0,0,T66&gt;0,(LOG(0.01*T66/10^-AH66)))</f>
        <v>10.725481676490197</v>
      </c>
      <c r="G66" s="8" cm="1">
        <f t="array" ref="G66">_xlfn.IFS(U66=0,0,U66&gt;0,(LOG(0.01*U66/10^-AI66)))</f>
        <v>10.652145076373834</v>
      </c>
      <c r="H66" s="8" cm="1">
        <f t="array" ref="H66">_xlfn.IFS(V66=0,0,V66&gt;0,(LOG(0.01*V66/10^-AJ66)))</f>
        <v>0</v>
      </c>
      <c r="I66" s="8" cm="1">
        <f t="array" ref="I66">_xlfn.IFS(W66=0,0,W66&gt;0,(LOG(0.01*W66/10^-AK66)))</f>
        <v>0</v>
      </c>
      <c r="J66" s="8" cm="1">
        <f t="array" ref="J66">_xlfn.IFS(X66=0,0,X66&gt;0,(LOG(0.01*X66/10^-AL66)))</f>
        <v>0</v>
      </c>
      <c r="K66" s="8" cm="1">
        <f t="array" ref="K66">_xlfn.IFS(Y66=0,0,Y66&gt;0,(LOG(0.01*Y66/10^-AM66)))</f>
        <v>0</v>
      </c>
      <c r="L66" s="8" cm="1">
        <f t="array" ref="L66">_xlfn.IFS(Z66=0,0,Z66&gt;0,(LOG(0.01*Z66/10^-AN66)))</f>
        <v>0</v>
      </c>
      <c r="M66" s="8" cm="1">
        <f t="array" ref="M66">_xlfn.IFS(AA66=0,0,AA66&gt;0,(LOG(0.01*AA66/10^-AO66)))</f>
        <v>0</v>
      </c>
      <c r="N66" s="8" cm="1">
        <f t="array" ref="N66">_xlfn.IFS(AB66=0,0,AB66&gt;0,(LOG(0.01*AB66/10^-AP66)))</f>
        <v>8.4948337166199384</v>
      </c>
      <c r="O66" s="8" cm="1">
        <f t="array" ref="O66">_xlfn.IFS(AC66=0,0,AC66&gt;0,(LOG(0.01*AC66/10^-AQ66)))</f>
        <v>8.4948337166199384</v>
      </c>
      <c r="P66" s="8" cm="1">
        <f t="array" ref="P66">_xlfn.IFS(AD66=0,0,AD66&gt;0,(LOG(0.01*AD66/10^-AR66)))</f>
        <v>0</v>
      </c>
      <c r="Q66" s="8" cm="1">
        <f t="array" ref="Q66">_xlfn.IFS(AE66=0,0,AE66&gt;0,(LOG(0.01*AE66/10^-AS66)))</f>
        <v>0</v>
      </c>
      <c r="R66" s="8" cm="1">
        <f t="array" ref="R66">_xlfn.IFS(AF66=0,0,AF66&gt;0,(LOG(0.01*AF66/10^-AT66)))</f>
        <v>0</v>
      </c>
      <c r="S66" s="8" cm="1">
        <f t="array" ref="S66">_xlfn.IFS(AG66=0,0,AG66&gt;0,(LOG(0.01*AG66/10^-AU66)))</f>
        <v>0</v>
      </c>
      <c r="T66" s="16">
        <v>49.6</v>
      </c>
      <c r="U66" s="17">
        <v>48.1</v>
      </c>
      <c r="AB66" s="17">
        <v>25.4</v>
      </c>
      <c r="AC66" s="17">
        <v>25.4</v>
      </c>
      <c r="AH66" s="14">
        <v>11.03</v>
      </c>
      <c r="AI66" s="15">
        <v>10.97</v>
      </c>
      <c r="AP66" s="15">
        <v>9.09</v>
      </c>
      <c r="AQ66" s="15">
        <v>9.09</v>
      </c>
      <c r="AW66" s="186" t="str">
        <f>IF(VLOOKUP($A66,'I-Ligands'!$A:$G,3,FALSE)="","",VLOOKUP($A66,'I-Ligands'!$A:$G,3,FALSE))</f>
        <v>Vasopressin</v>
      </c>
      <c r="AX66" s="187" t="str">
        <f>IF(VLOOKUP($A66,'I-Ligands'!$A:$G,4,FALSE)="","",VLOOKUP($A66,'I-Ligands'!$A:$G,4,FALSE))</f>
        <v>CYFQNCPRG-NH2</v>
      </c>
      <c r="AY66" s="98">
        <v>5.83</v>
      </c>
      <c r="AZ66" s="99">
        <v>4.96</v>
      </c>
      <c r="BA66" s="99">
        <v>5.52</v>
      </c>
      <c r="BB66" s="99">
        <v>5.52</v>
      </c>
      <c r="BC66" s="99">
        <v>7.23</v>
      </c>
      <c r="BD66" s="99">
        <v>5.13</v>
      </c>
      <c r="BE66" s="99">
        <v>5.13</v>
      </c>
      <c r="BF66" s="99">
        <v>5.0599999999999996</v>
      </c>
      <c r="BG66" s="99">
        <v>7.83</v>
      </c>
      <c r="BH66" s="99">
        <v>7.83</v>
      </c>
      <c r="BI66" s="99">
        <v>7.46</v>
      </c>
      <c r="BJ66" s="99">
        <v>5.75</v>
      </c>
      <c r="BK66" s="99">
        <v>4.1500000000000004</v>
      </c>
      <c r="BL66" s="99">
        <v>5.59</v>
      </c>
      <c r="BM66" s="98">
        <f t="shared" ref="BM66:BM97" si="28">IF(T66="",0,IFERROR(T66/AY66,""))</f>
        <v>8.5077186963979425</v>
      </c>
      <c r="BN66" s="99">
        <f t="shared" ref="BN66:BN97" si="29">IF(U66="",0,IFERROR(U66/AZ66,""))</f>
        <v>9.69758064516129</v>
      </c>
      <c r="BO66" s="99">
        <f t="shared" ref="BO66:BO97" si="30">IF(V66="",0,IFERROR(V66/BA66,""))</f>
        <v>0</v>
      </c>
      <c r="BP66" s="99">
        <f t="shared" ref="BP66:BP97" si="31">IF(W66="",0,IFERROR(W66/BB66,""))</f>
        <v>0</v>
      </c>
      <c r="BQ66" s="99">
        <f t="shared" ref="BQ66:BQ97" si="32">IF(X66="",0,IFERROR(X66/BC66,""))</f>
        <v>0</v>
      </c>
      <c r="BR66" s="99">
        <f t="shared" ref="BR66:BR97" si="33">IF(Y66="",0,IFERROR(Y66/BD66,""))</f>
        <v>0</v>
      </c>
      <c r="BS66" s="99">
        <f t="shared" ref="BS66:BS97" si="34">IF(Z66="",0,IFERROR(Z66/BE66,""))</f>
        <v>0</v>
      </c>
      <c r="BT66" s="99">
        <f t="shared" ref="BT66:BT97" si="35">IF(AA66="",0,IFERROR(AA66/BF66,""))</f>
        <v>0</v>
      </c>
      <c r="BU66" s="99">
        <f t="shared" ref="BU66:BU97" si="36">IF(AB66="",0,IFERROR(AB66/BG66,""))</f>
        <v>3.2439335887611747</v>
      </c>
      <c r="BV66" s="99">
        <f t="shared" ref="BV66:BV97" si="37">IF(AC66="",0,IFERROR(AC66/BH66,""))</f>
        <v>3.2439335887611747</v>
      </c>
      <c r="BW66" s="99">
        <f t="shared" ref="BW66:BW97" si="38">IF(AD66="",0,IFERROR(AD66/BI66,""))</f>
        <v>0</v>
      </c>
      <c r="BX66" s="99">
        <f t="shared" ref="BX66:BX97" si="39">IF(AE66="",0,IFERROR(AE66/BJ66,""))</f>
        <v>0</v>
      </c>
      <c r="BY66" s="99">
        <f t="shared" ref="BY66:BY97" si="40">IF(AF66="",0,IFERROR(AF66/BK66,""))</f>
        <v>0</v>
      </c>
      <c r="BZ66" s="99">
        <f t="shared" ref="BZ66:BZ97" si="41">IF(AG66="",0,IFERROR(AG66/BL66,""))</f>
        <v>0</v>
      </c>
      <c r="CA66" s="18" t="e">
        <f>VLOOKUP(A66,'Bouvier-GEMTA'!A:C,4,FALSE)</f>
        <v>#REF!</v>
      </c>
      <c r="CB66" s="18">
        <f>VLOOKUP(A66,'Martemyanov-FreeGβγ-Nluc'!A:BG,4,FALSE)</f>
        <v>2168</v>
      </c>
    </row>
    <row r="67" spans="1:80">
      <c r="A67" s="12" t="s">
        <v>184</v>
      </c>
      <c r="B67" s="13" t="s">
        <v>185</v>
      </c>
      <c r="C67" s="9" t="str">
        <f>IF(VLOOKUP($A67,'I-Ligands'!$A:$G,5,FALSE)="","",VLOOKUP($A67,'I-Ligands'!$A:$G,5,FALSE))</f>
        <v>Guide to Pharmacology</v>
      </c>
      <c r="D67" s="9">
        <f>IF(VLOOKUP($A67,'I-Ligands'!$A:$G,6,FALSE)="","",VLOOKUP($A67,'I-Ligands'!$A:$G,6,FALSE))</f>
        <v>1681</v>
      </c>
      <c r="E67" s="9" t="str">
        <f>IF(VLOOKUP($A67,'I-Ligands'!$A:$G,7,FALSE)="","",VLOOKUP($A67,'I-Ligands'!$A:$G,7,FALSE))</f>
        <v>Phys</v>
      </c>
      <c r="F67" s="7" cm="1">
        <f t="array" ref="F67">_xlfn.IFS(T67=0,0,T67&gt;0,(LOG(0.01*T67/10^-AH67)))</f>
        <v>0</v>
      </c>
      <c r="G67" s="8" cm="1">
        <f t="array" ref="G67">_xlfn.IFS(U67=0,0,U67&gt;0,(LOG(0.01*U67/10^-AI67)))</f>
        <v>0</v>
      </c>
      <c r="H67" s="8" cm="1">
        <f t="array" ref="H67">_xlfn.IFS(V67=0,0,V67&gt;0,(LOG(0.01*V67/10^-AJ67)))</f>
        <v>8.6910814921229687</v>
      </c>
      <c r="I67" s="8" cm="1">
        <f t="array" ref="I67">_xlfn.IFS(W67=0,0,W67&gt;0,(LOG(0.01*W67/10^-AK67)))</f>
        <v>8.6910814921229687</v>
      </c>
      <c r="J67" s="8" cm="1">
        <f t="array" ref="J67">_xlfn.IFS(X67=0,0,X67&gt;0,(LOG(0.01*X67/10^-AL67)))</f>
        <v>9.2518126855372618</v>
      </c>
      <c r="K67" s="8" cm="1">
        <f t="array" ref="K67">_xlfn.IFS(Y67=0,0,Y67&gt;0,(LOG(0.01*Y67/10^-AM67)))</f>
        <v>8.3922463410033235</v>
      </c>
      <c r="L67" s="8" cm="1">
        <f t="array" ref="L67">_xlfn.IFS(Z67=0,0,Z67&gt;0,(LOG(0.01*Z67/10^-AN67)))</f>
        <v>8.3922463410033235</v>
      </c>
      <c r="M67" s="8" cm="1">
        <f t="array" ref="M67">_xlfn.IFS(AA67=0,0,AA67&gt;0,(LOG(0.01*AA67/10^-AO67)))</f>
        <v>8.6201996982030824</v>
      </c>
      <c r="N67" s="8" cm="1">
        <f t="array" ref="N67">_xlfn.IFS(AB67=0,0,AB67&gt;0,(LOG(0.01*AB67/10^-AP67)))</f>
        <v>6.8668258760318501</v>
      </c>
      <c r="O67" s="8" cm="1">
        <f t="array" ref="O67">_xlfn.IFS(AC67=0,0,AC67&gt;0,(LOG(0.01*AC67/10^-AQ67)))</f>
        <v>6.8668258760318501</v>
      </c>
      <c r="P67" s="8" cm="1">
        <f t="array" ref="P67">_xlfn.IFS(AD67=0,0,AD67&gt;0,(LOG(0.01*AD67/10^-AR67)))</f>
        <v>8.5231987739686232</v>
      </c>
      <c r="Q67" s="8" cm="1">
        <f t="array" ref="Q67">_xlfn.IFS(AE67=0,0,AE67&gt;0,(LOG(0.01*AE67/10^-AS67)))</f>
        <v>6.6604489213782738</v>
      </c>
      <c r="R67" s="8" cm="1">
        <f t="array" ref="R67">_xlfn.IFS(AF67=0,0,AF67&gt;0,(LOG(0.01*AF67/10^-AT67)))</f>
        <v>7.3683105537896019</v>
      </c>
      <c r="S67" s="8" cm="1">
        <f t="array" ref="S67">_xlfn.IFS(AG67=0,0,AG67&gt;0,(LOG(0.01*AG67/10^-AU67)))</f>
        <v>6.9579732663618072</v>
      </c>
      <c r="V67" s="17">
        <v>49.1</v>
      </c>
      <c r="W67" s="17">
        <v>49.1</v>
      </c>
      <c r="X67" s="17">
        <v>45.9</v>
      </c>
      <c r="Y67" s="17">
        <v>44.9</v>
      </c>
      <c r="Z67" s="17">
        <v>44.9</v>
      </c>
      <c r="AA67" s="17">
        <v>33.9</v>
      </c>
      <c r="AB67" s="17">
        <v>16.100000000000001</v>
      </c>
      <c r="AC67" s="17">
        <v>16.100000000000001</v>
      </c>
      <c r="AD67" s="17">
        <v>38.299999999999997</v>
      </c>
      <c r="AE67" s="17">
        <v>17</v>
      </c>
      <c r="AF67" s="17">
        <v>31.5</v>
      </c>
      <c r="AG67" s="17">
        <v>17.7</v>
      </c>
      <c r="AJ67" s="15">
        <v>9</v>
      </c>
      <c r="AK67" s="15">
        <v>9</v>
      </c>
      <c r="AL67" s="15">
        <v>9.59</v>
      </c>
      <c r="AM67" s="15">
        <v>8.74</v>
      </c>
      <c r="AN67" s="15">
        <v>8.74</v>
      </c>
      <c r="AO67" s="15">
        <v>9.09</v>
      </c>
      <c r="AP67" s="15">
        <v>7.66</v>
      </c>
      <c r="AQ67" s="15">
        <v>7.66</v>
      </c>
      <c r="AR67" s="15">
        <v>8.94</v>
      </c>
      <c r="AS67" s="15">
        <v>7.43</v>
      </c>
      <c r="AT67" s="15">
        <v>7.87</v>
      </c>
      <c r="AU67" s="15">
        <v>7.71</v>
      </c>
      <c r="AW67" s="186" t="str">
        <f>IF(VLOOKUP($A67,'I-Ligands'!$A:$G,3,FALSE)="","",VLOOKUP($A67,'I-Ligands'!$A:$G,3,FALSE))</f>
        <v>Nociceptin</v>
      </c>
      <c r="AX67" s="187" t="str">
        <f>IF(VLOOKUP($A67,'I-Ligands'!$A:$G,4,FALSE)="","",VLOOKUP($A67,'I-Ligands'!$A:$G,4,FALSE))</f>
        <v>FGGFTGARKSARKLANQ</v>
      </c>
      <c r="AY67" s="98">
        <v>3.28</v>
      </c>
      <c r="AZ67" s="99">
        <v>2.96</v>
      </c>
      <c r="BA67" s="99">
        <v>3.83</v>
      </c>
      <c r="BB67" s="99">
        <v>3.83</v>
      </c>
      <c r="BC67" s="99">
        <v>4.4400000000000004</v>
      </c>
      <c r="BD67" s="99">
        <v>3.56</v>
      </c>
      <c r="BE67" s="99">
        <v>3.56</v>
      </c>
      <c r="BF67" s="99">
        <v>2.0499999999999998</v>
      </c>
      <c r="BG67" s="99">
        <v>4.7</v>
      </c>
      <c r="BH67" s="99">
        <v>4.7</v>
      </c>
      <c r="BI67" s="99">
        <v>6.83</v>
      </c>
      <c r="BJ67" s="99">
        <v>2.68</v>
      </c>
      <c r="BK67" s="99">
        <v>3.76</v>
      </c>
      <c r="BL67" s="99">
        <v>4.45</v>
      </c>
      <c r="BM67" s="98">
        <f t="shared" si="28"/>
        <v>0</v>
      </c>
      <c r="BN67" s="99">
        <f t="shared" si="29"/>
        <v>0</v>
      </c>
      <c r="BO67" s="99">
        <f t="shared" si="30"/>
        <v>12.819843342036554</v>
      </c>
      <c r="BP67" s="99">
        <f t="shared" si="31"/>
        <v>12.819843342036554</v>
      </c>
      <c r="BQ67" s="99">
        <f t="shared" si="32"/>
        <v>10.337837837837837</v>
      </c>
      <c r="BR67" s="99">
        <f t="shared" si="33"/>
        <v>12.612359550561797</v>
      </c>
      <c r="BS67" s="99">
        <f t="shared" si="34"/>
        <v>12.612359550561797</v>
      </c>
      <c r="BT67" s="99">
        <f t="shared" si="35"/>
        <v>16.536585365853661</v>
      </c>
      <c r="BU67" s="99">
        <f t="shared" si="36"/>
        <v>3.4255319148936172</v>
      </c>
      <c r="BV67" s="99">
        <f t="shared" si="37"/>
        <v>3.4255319148936172</v>
      </c>
      <c r="BW67" s="99">
        <f t="shared" si="38"/>
        <v>5.6076134699853579</v>
      </c>
      <c r="BX67" s="99">
        <f t="shared" si="39"/>
        <v>6.3432835820895521</v>
      </c>
      <c r="BY67" s="99">
        <f t="shared" si="40"/>
        <v>8.3776595744680851</v>
      </c>
      <c r="BZ67" s="99">
        <f t="shared" si="41"/>
        <v>3.97752808988764</v>
      </c>
      <c r="CA67" s="18" t="e">
        <f>VLOOKUP(A67,'Bouvier-GEMTA'!A:C,4,FALSE)</f>
        <v>#REF!</v>
      </c>
      <c r="CB67" s="18">
        <f>VLOOKUP(A67,'Martemyanov-FreeGβγ-Nluc'!A:BG,4,FALSE)</f>
        <v>1681</v>
      </c>
    </row>
    <row r="68" spans="1:80" ht="18">
      <c r="A68" s="12" t="s">
        <v>26</v>
      </c>
      <c r="B68" s="13" t="s">
        <v>2587</v>
      </c>
      <c r="C68" s="9" t="str">
        <f>IF(VLOOKUP($A68,'I-Ligands'!$A:$G,5,FALSE)="","",VLOOKUP($A68,'I-Ligands'!$A:$G,5,FALSE))</f>
        <v>Guide to Pharmacology</v>
      </c>
      <c r="D68" s="9">
        <f>IF(VLOOKUP($A68,'I-Ligands'!$A:$G,6,FALSE)="","",VLOOKUP($A68,'I-Ligands'!$A:$G,6,FALSE))</f>
        <v>294</v>
      </c>
      <c r="E68" s="9" t="str">
        <f>IF(VLOOKUP($A68,'I-Ligands'!$A:$G,7,FALSE)="","",VLOOKUP($A68,'I-Ligands'!$A:$G,7,FALSE))</f>
        <v>Phys</v>
      </c>
      <c r="F68" s="7" cm="1">
        <f t="array" ref="F68">_xlfn.IFS(T68=0,0,T68&gt;0,(LOG(0.01*T68/10^-AH68)))</f>
        <v>6.2209857441537402</v>
      </c>
      <c r="G68" s="8" cm="1">
        <f t="array" ref="G68">_xlfn.IFS(U68=0,0,U68&gt;0,(LOG(0.01*U68/10^-AI68)))</f>
        <v>6.0919651027673618</v>
      </c>
      <c r="H68" s="8" cm="1">
        <f t="array" ref="H68">_xlfn.IFS(V68=0,0,V68&gt;0,(LOG(0.01*V68/10^-AJ68)))</f>
        <v>6.9146419755561261</v>
      </c>
      <c r="I68" s="8" cm="1">
        <f t="array" ref="I68">_xlfn.IFS(W68=0,0,W68&gt;0,(LOG(0.01*W68/10^-AK68)))</f>
        <v>6.9146419755561261</v>
      </c>
      <c r="J68" s="8" cm="1">
        <f t="array" ref="J68">_xlfn.IFS(X68=0,0,X68&gt;0,(LOG(0.01*X68/10^-AL68)))</f>
        <v>7.1887905067631159</v>
      </c>
      <c r="K68" s="8" cm="1">
        <f t="array" ref="K68">_xlfn.IFS(Y68=0,0,Y68&gt;0,(LOG(0.01*Y68/10^-AM68)))</f>
        <v>6.2994864892685873</v>
      </c>
      <c r="L68" s="8" cm="1">
        <f t="array" ref="L68">_xlfn.IFS(Z68=0,0,Z68&gt;0,(LOG(0.01*Z68/10^-AN68)))</f>
        <v>6.2994864892685873</v>
      </c>
      <c r="M68" s="8" cm="1">
        <f t="array" ref="M68">_xlfn.IFS(AA68=0,0,AA68&gt;0,(LOG(0.01*AA68/10^-AO68)))</f>
        <v>6.4456711883244298</v>
      </c>
      <c r="N68" s="8" cm="1">
        <f t="array" ref="N68">_xlfn.IFS(AB68=0,0,AB68&gt;0,(LOG(0.01*AB68/10^-AP68)))</f>
        <v>7.5177109650189129</v>
      </c>
      <c r="O68" s="8" cm="1">
        <f t="array" ref="O68">_xlfn.IFS(AC68=0,0,AC68&gt;0,(LOG(0.01*AC68/10^-AQ68)))</f>
        <v>7.5177109650189129</v>
      </c>
      <c r="P68" s="8" cm="1">
        <f t="array" ref="P68">_xlfn.IFS(AD68=0,0,AD68&gt;0,(LOG(0.01*AD68/10^-AR68)))</f>
        <v>7.339076098792777</v>
      </c>
      <c r="Q68" s="8" cm="1">
        <f t="array" ref="Q68">_xlfn.IFS(AE68=0,0,AE68&gt;0,(LOG(0.01*AE68/10^-AS68)))</f>
        <v>6.0948611407378115</v>
      </c>
      <c r="R68" s="8" cm="1">
        <f t="array" ref="R68">_xlfn.IFS(AF68=0,0,AF68&gt;0,(LOG(0.01*AF68/10^-AT68)))</f>
        <v>5.5024645202421221</v>
      </c>
      <c r="S68" s="8" cm="1">
        <f t="array" ref="S68">_xlfn.IFS(AG68=0,0,AG68&gt;0,(LOG(0.01*AG68/10^-AU68)))</f>
        <v>4.9515792439465818</v>
      </c>
      <c r="T68" s="16">
        <v>52.6</v>
      </c>
      <c r="U68" s="17">
        <v>49.2</v>
      </c>
      <c r="V68" s="17">
        <v>46.2</v>
      </c>
      <c r="W68" s="17">
        <v>46.2</v>
      </c>
      <c r="X68" s="17">
        <v>39.700000000000003</v>
      </c>
      <c r="Y68" s="17">
        <v>43.6</v>
      </c>
      <c r="Z68" s="17">
        <v>43.6</v>
      </c>
      <c r="AA68" s="17">
        <v>29.9</v>
      </c>
      <c r="AB68" s="17">
        <v>38.700000000000003</v>
      </c>
      <c r="AC68" s="17">
        <v>38.700000000000003</v>
      </c>
      <c r="AD68" s="17">
        <v>34.6</v>
      </c>
      <c r="AE68" s="17">
        <v>47.3</v>
      </c>
      <c r="AF68" s="17">
        <v>43.9</v>
      </c>
      <c r="AG68" s="17">
        <v>34.799999999999997</v>
      </c>
      <c r="AH68" s="14">
        <v>6.5</v>
      </c>
      <c r="AI68" s="15">
        <v>6.4</v>
      </c>
      <c r="AJ68" s="15">
        <v>7.25</v>
      </c>
      <c r="AK68" s="15">
        <v>7.25</v>
      </c>
      <c r="AL68" s="15">
        <v>7.59</v>
      </c>
      <c r="AM68" s="15">
        <v>6.66</v>
      </c>
      <c r="AN68" s="15">
        <v>6.66</v>
      </c>
      <c r="AO68" s="15">
        <v>6.97</v>
      </c>
      <c r="AP68" s="15">
        <v>7.93</v>
      </c>
      <c r="AQ68" s="15">
        <v>7.93</v>
      </c>
      <c r="AR68" s="15">
        <v>7.8</v>
      </c>
      <c r="AS68" s="15">
        <v>6.42</v>
      </c>
      <c r="AT68" s="15">
        <v>5.86</v>
      </c>
      <c r="AU68" s="15">
        <v>5.41</v>
      </c>
      <c r="AW68" s="186" t="str">
        <f>IF(VLOOKUP($A68,'I-Ligands'!$A:$G,3,FALSE)="","",VLOOKUP($A68,'I-Ligands'!$A:$G,3,FALSE))</f>
        <v>Acetylcholine</v>
      </c>
      <c r="AX68" s="187" t="str">
        <f>IF(VLOOKUP($A68,'I-Ligands'!$A:$G,4,FALSE)="","",VLOOKUP($A68,'I-Ligands'!$A:$G,4,FALSE))</f>
        <v>Acetylcholine Chloride</v>
      </c>
      <c r="AY68" s="98">
        <v>7.89</v>
      </c>
      <c r="AZ68" s="99">
        <v>7.02</v>
      </c>
      <c r="BA68" s="99">
        <v>9.27</v>
      </c>
      <c r="BB68" s="99">
        <v>9.27</v>
      </c>
      <c r="BC68" s="99">
        <v>9.56</v>
      </c>
      <c r="BD68" s="99">
        <v>7.81</v>
      </c>
      <c r="BE68" s="99">
        <v>7.81</v>
      </c>
      <c r="BF68" s="99">
        <v>7.99</v>
      </c>
      <c r="BG68" s="99">
        <v>10.19</v>
      </c>
      <c r="BH68" s="99">
        <v>10.19</v>
      </c>
      <c r="BI68" s="99">
        <v>10.11</v>
      </c>
      <c r="BJ68" s="99">
        <v>9.5299999999999994</v>
      </c>
      <c r="BK68" s="99">
        <v>9.25</v>
      </c>
      <c r="BL68" s="99">
        <v>8.6</v>
      </c>
      <c r="BM68" s="98">
        <f t="shared" si="28"/>
        <v>6.666666666666667</v>
      </c>
      <c r="BN68" s="99">
        <f t="shared" si="29"/>
        <v>7.0085470085470094</v>
      </c>
      <c r="BO68" s="99">
        <f t="shared" si="30"/>
        <v>4.983818770226538</v>
      </c>
      <c r="BP68" s="99">
        <f t="shared" si="31"/>
        <v>4.983818770226538</v>
      </c>
      <c r="BQ68" s="99">
        <f t="shared" si="32"/>
        <v>4.1527196652719667</v>
      </c>
      <c r="BR68" s="99">
        <f t="shared" si="33"/>
        <v>5.5825864276568504</v>
      </c>
      <c r="BS68" s="99">
        <f t="shared" si="34"/>
        <v>5.5825864276568504</v>
      </c>
      <c r="BT68" s="99">
        <f t="shared" si="35"/>
        <v>3.7421777221526904</v>
      </c>
      <c r="BU68" s="99">
        <f t="shared" si="36"/>
        <v>3.7978410206084403</v>
      </c>
      <c r="BV68" s="99">
        <f t="shared" si="37"/>
        <v>3.7978410206084403</v>
      </c>
      <c r="BW68" s="99">
        <f t="shared" si="38"/>
        <v>3.4223541048466868</v>
      </c>
      <c r="BX68" s="99">
        <f t="shared" si="39"/>
        <v>4.963273871983211</v>
      </c>
      <c r="BY68" s="99">
        <f t="shared" si="40"/>
        <v>4.7459459459459454</v>
      </c>
      <c r="BZ68" s="99">
        <f t="shared" si="41"/>
        <v>4.0465116279069768</v>
      </c>
      <c r="CA68" s="18" t="e">
        <f>VLOOKUP(A68,'Bouvier-GEMTA'!A:C,4,FALSE)</f>
        <v>#REF!</v>
      </c>
      <c r="CB68" s="18">
        <f>VLOOKUP(A68,'Martemyanov-FreeGβγ-Nluc'!A:BG,4,FALSE)</f>
        <v>294</v>
      </c>
    </row>
    <row r="69" spans="1:80" ht="18">
      <c r="A69" s="12" t="s">
        <v>111</v>
      </c>
      <c r="B69" s="13" t="s">
        <v>2613</v>
      </c>
      <c r="C69" s="9" t="str">
        <f>IF(VLOOKUP($A69,'I-Ligands'!$A:$G,5,FALSE)="","",VLOOKUP($A69,'I-Ligands'!$A:$G,5,FALSE))</f>
        <v>Guide to Pharmacology</v>
      </c>
      <c r="D69" s="9">
        <f>IF(VLOOKUP($A69,'I-Ligands'!$A:$G,6,FALSE)="","",VLOOKUP($A69,'I-Ligands'!$A:$G,6,FALSE))</f>
        <v>940</v>
      </c>
      <c r="E69" s="9" t="str">
        <f>IF(VLOOKUP($A69,'I-Ligands'!$A:$G,7,FALSE)="","",VLOOKUP($A69,'I-Ligands'!$A:$G,7,FALSE))</f>
        <v>Phys</v>
      </c>
      <c r="F69" s="7" cm="1">
        <f t="array" ref="F69">_xlfn.IFS(T69=0,0,T69&gt;0,(LOG(0.01*T69/10^-AH69)))</f>
        <v>5.9579732663618072</v>
      </c>
      <c r="G69" s="8" cm="1">
        <f t="array" ref="G69">_xlfn.IFS(U69=0,0,U69&gt;0,(LOG(0.01*U69/10^-AI69)))</f>
        <v>5.8953360374650625</v>
      </c>
      <c r="H69" s="8" cm="1">
        <f t="array" ref="H69">_xlfn.IFS(V69=0,0,V69&gt;0,(LOG(0.01*V69/10^-AJ69)))</f>
        <v>5.4444826721501691</v>
      </c>
      <c r="I69" s="8" cm="1">
        <f t="array" ref="I69">_xlfn.IFS(W69=0,0,W69&gt;0,(LOG(0.01*W69/10^-AK69)))</f>
        <v>5.4444826721501691</v>
      </c>
      <c r="J69" s="8" cm="1">
        <f t="array" ref="J69">_xlfn.IFS(X69=0,0,X69&gt;0,(LOG(0.01*X69/10^-AL69)))</f>
        <v>5.2669048513364727</v>
      </c>
      <c r="K69" s="8" cm="1">
        <f t="array" ref="K69">_xlfn.IFS(Y69=0,0,Y69&gt;0,(LOG(0.01*Y69/10^-AM69)))</f>
        <v>5.4793837776852108</v>
      </c>
      <c r="L69" s="8" cm="1">
        <f t="array" ref="L69">_xlfn.IFS(Z69=0,0,Z69&gt;0,(LOG(0.01*Z69/10^-AN69)))</f>
        <v>5.4793837776852108</v>
      </c>
      <c r="M69" s="8" cm="1">
        <f t="array" ref="M69">_xlfn.IFS(AA69=0,0,AA69&gt;0,(LOG(0.01*AA69/10^-AO69)))</f>
        <v>5.0377236052888481</v>
      </c>
      <c r="N69" s="8" cm="1">
        <f t="array" ref="N69">_xlfn.IFS(AB69=0,0,AB69&gt;0,(LOG(0.01*AB69/10^-AP69)))</f>
        <v>5.7655469613925314</v>
      </c>
      <c r="O69" s="8" cm="1">
        <f t="array" ref="O69">_xlfn.IFS(AC69=0,0,AC69&gt;0,(LOG(0.01*AC69/10^-AQ69)))</f>
        <v>5.7655469613925314</v>
      </c>
      <c r="P69" s="8" cm="1">
        <f t="array" ref="P69">_xlfn.IFS(AD69=0,0,AD69&gt;0,(LOG(0.01*AD69/10^-AR69)))</f>
        <v>5.8773173347481764</v>
      </c>
      <c r="Q69" s="8" cm="1">
        <f t="array" ref="Q69">_xlfn.IFS(AE69=0,0,AE69&gt;0,(LOG(0.01*AE69/10^-AS69)))</f>
        <v>0</v>
      </c>
      <c r="R69" s="8" cm="1">
        <f t="array" ref="R69">_xlfn.IFS(AF69=0,0,AF69&gt;0,(LOG(0.01*AF69/10^-AT69)))</f>
        <v>5.3332125137753437</v>
      </c>
      <c r="S69" s="8" cm="1">
        <f t="array" ref="S69">_xlfn.IFS(AG69=0,0,AG69&gt;0,(LOG(0.01*AG69/10^-AU69)))</f>
        <v>5.3493405494535819</v>
      </c>
      <c r="T69" s="16">
        <v>17.7</v>
      </c>
      <c r="U69" s="17">
        <v>14.3</v>
      </c>
      <c r="V69" s="17">
        <v>8.8000000000000007</v>
      </c>
      <c r="W69" s="17">
        <v>8.8000000000000007</v>
      </c>
      <c r="X69" s="17">
        <v>11.4</v>
      </c>
      <c r="Y69" s="17">
        <v>10.7</v>
      </c>
      <c r="Z69" s="17">
        <v>10.7</v>
      </c>
      <c r="AA69" s="17">
        <v>9.5</v>
      </c>
      <c r="AB69" s="17">
        <v>11.9</v>
      </c>
      <c r="AC69" s="17">
        <v>11.9</v>
      </c>
      <c r="AD69" s="17">
        <v>14.7</v>
      </c>
      <c r="AF69" s="17">
        <v>4.5</v>
      </c>
      <c r="AG69" s="17">
        <v>6.3</v>
      </c>
      <c r="AH69" s="14">
        <v>6.71</v>
      </c>
      <c r="AI69" s="15">
        <v>6.74</v>
      </c>
      <c r="AJ69" s="15">
        <v>6.5</v>
      </c>
      <c r="AK69" s="15">
        <v>6.5</v>
      </c>
      <c r="AL69" s="15">
        <v>6.21</v>
      </c>
      <c r="AM69" s="15">
        <v>6.45</v>
      </c>
      <c r="AN69" s="15">
        <v>6.45</v>
      </c>
      <c r="AO69" s="15">
        <v>6.06</v>
      </c>
      <c r="AP69" s="15">
        <v>6.69</v>
      </c>
      <c r="AQ69" s="15">
        <v>6.69</v>
      </c>
      <c r="AR69" s="15">
        <v>6.71</v>
      </c>
      <c r="AT69" s="15">
        <v>6.68</v>
      </c>
      <c r="AU69" s="15">
        <v>6.55</v>
      </c>
      <c r="AW69" s="186" t="str">
        <f>IF(VLOOKUP($A69,'I-Ligands'!$A:$G,3,FALSE)="","",VLOOKUP($A69,'I-Ligands'!$A:$G,3,FALSE))</f>
        <v>Dopamine</v>
      </c>
      <c r="AX69" s="187" t="str">
        <f>IF(VLOOKUP($A69,'I-Ligands'!$A:$G,4,FALSE)="","",VLOOKUP($A69,'I-Ligands'!$A:$G,4,FALSE))</f>
        <v>3,4-Dihydroxyphenethylamine Hydrochloride</v>
      </c>
      <c r="AY69" s="98">
        <v>4.09</v>
      </c>
      <c r="AZ69" s="99">
        <v>3.32</v>
      </c>
      <c r="BA69" s="99">
        <v>4.13</v>
      </c>
      <c r="BB69" s="99">
        <v>4.13</v>
      </c>
      <c r="BC69" s="99">
        <v>3.68</v>
      </c>
      <c r="BD69" s="99">
        <v>3.59</v>
      </c>
      <c r="BE69" s="99">
        <v>3.59</v>
      </c>
      <c r="BF69" s="99">
        <v>3.02</v>
      </c>
      <c r="BG69" s="99">
        <v>3.08</v>
      </c>
      <c r="BH69" s="99">
        <v>3.08</v>
      </c>
      <c r="BI69" s="99">
        <v>4.71</v>
      </c>
      <c r="BJ69" s="99">
        <v>3.94</v>
      </c>
      <c r="BK69" s="99">
        <v>4.07</v>
      </c>
      <c r="BL69" s="99">
        <v>4.7</v>
      </c>
      <c r="BM69" s="98">
        <f t="shared" si="28"/>
        <v>4.3276283618581903</v>
      </c>
      <c r="BN69" s="99">
        <f t="shared" si="29"/>
        <v>4.3072289156626509</v>
      </c>
      <c r="BO69" s="99">
        <f t="shared" si="30"/>
        <v>2.1307506053268765</v>
      </c>
      <c r="BP69" s="99">
        <f t="shared" si="31"/>
        <v>2.1307506053268765</v>
      </c>
      <c r="BQ69" s="99">
        <f t="shared" si="32"/>
        <v>3.0978260869565215</v>
      </c>
      <c r="BR69" s="99">
        <f t="shared" si="33"/>
        <v>2.98050139275766</v>
      </c>
      <c r="BS69" s="99">
        <f t="shared" si="34"/>
        <v>2.98050139275766</v>
      </c>
      <c r="BT69" s="99">
        <f t="shared" si="35"/>
        <v>3.1456953642384105</v>
      </c>
      <c r="BU69" s="99">
        <f t="shared" si="36"/>
        <v>3.8636363636363638</v>
      </c>
      <c r="BV69" s="99">
        <f t="shared" si="37"/>
        <v>3.8636363636363638</v>
      </c>
      <c r="BW69" s="99">
        <f t="shared" si="38"/>
        <v>3.1210191082802545</v>
      </c>
      <c r="BX69" s="99">
        <f t="shared" si="39"/>
        <v>0</v>
      </c>
      <c r="BY69" s="99">
        <f t="shared" si="40"/>
        <v>1.1056511056511056</v>
      </c>
      <c r="BZ69" s="99">
        <f t="shared" si="41"/>
        <v>1.3404255319148934</v>
      </c>
      <c r="CA69" s="18" t="e">
        <f>VLOOKUP(A69,'Bouvier-GEMTA'!A:C,4,FALSE)</f>
        <v>#REF!</v>
      </c>
      <c r="CB69" s="18">
        <f>VLOOKUP(A69,'Martemyanov-FreeGβγ-Nluc'!A:BG,4,FALSE)</f>
        <v>940</v>
      </c>
    </row>
    <row r="70" spans="1:80" ht="18">
      <c r="A70" s="12" t="s">
        <v>27</v>
      </c>
      <c r="B70" s="13" t="s">
        <v>2588</v>
      </c>
      <c r="C70" s="9" t="str">
        <f>IF(VLOOKUP($A70,'I-Ligands'!$A:$G,5,FALSE)="","",VLOOKUP($A70,'I-Ligands'!$A:$G,5,FALSE))</f>
        <v>Guide to Pharmacology</v>
      </c>
      <c r="D70" s="9">
        <f>IF(VLOOKUP($A70,'I-Ligands'!$A:$G,6,FALSE)="","",VLOOKUP($A70,'I-Ligands'!$A:$G,6,FALSE))</f>
        <v>294</v>
      </c>
      <c r="E70" s="9" t="str">
        <f>IF(VLOOKUP($A70,'I-Ligands'!$A:$G,7,FALSE)="","",VLOOKUP($A70,'I-Ligands'!$A:$G,7,FALSE))</f>
        <v>Phys</v>
      </c>
      <c r="F70" s="7" cm="1">
        <f t="array" ref="F70">_xlfn.IFS(T70=0,0,T70&gt;0,(LOG(0.01*T70/10^-AH70)))</f>
        <v>4.6614005407815444</v>
      </c>
      <c r="G70" s="8" cm="1">
        <f t="array" ref="G70">_xlfn.IFS(U70=0,0,U70&gt;0,(LOG(0.01*U70/10^-AI70)))</f>
        <v>4.5283796034387382</v>
      </c>
      <c r="H70" s="8" cm="1">
        <f t="array" ref="H70">_xlfn.IFS(V70=0,0,V70&gt;0,(LOG(0.01*V70/10^-AJ70)))</f>
        <v>7.3014741105040999</v>
      </c>
      <c r="I70" s="8" cm="1">
        <f t="array" ref="I70">_xlfn.IFS(W70=0,0,W70&gt;0,(LOG(0.01*W70/10^-AK70)))</f>
        <v>7.3014741105040999</v>
      </c>
      <c r="J70" s="8" cm="1">
        <f t="array" ref="J70">_xlfn.IFS(X70=0,0,X70&gt;0,(LOG(0.01*X70/10^-AL70)))</f>
        <v>7.4826682161121942</v>
      </c>
      <c r="K70" s="8" cm="1">
        <f t="array" ref="K70">_xlfn.IFS(Y70=0,0,Y70&gt;0,(LOG(0.01*Y70/10^-AM70)))</f>
        <v>6.8543925503754277</v>
      </c>
      <c r="L70" s="8" cm="1">
        <f t="array" ref="L70">_xlfn.IFS(Z70=0,0,Z70&gt;0,(LOG(0.01*Z70/10^-AN70)))</f>
        <v>6.8543925503754277</v>
      </c>
      <c r="M70" s="8" cm="1">
        <f t="array" ref="M70">_xlfn.IFS(AA70=0,0,AA70&gt;0,(LOG(0.01*AA70/10^-AO70)))</f>
        <v>5.9099557484897591</v>
      </c>
      <c r="N70" s="8" cm="1">
        <f t="array" ref="N70">_xlfn.IFS(AB70=0,0,AB70&gt;0,(LOG(0.01*AB70/10^-AP70)))</f>
        <v>5.7470263661590613</v>
      </c>
      <c r="O70" s="8" cm="1">
        <f t="array" ref="O70">_xlfn.IFS(AC70=0,0,AC70&gt;0,(LOG(0.01*AC70/10^-AQ70)))</f>
        <v>5.7470263661590613</v>
      </c>
      <c r="P70" s="8" cm="1">
        <f t="array" ref="P70">_xlfn.IFS(AD70=0,0,AD70&gt;0,(LOG(0.01*AD70/10^-AR70)))</f>
        <v>5.6537464668115653</v>
      </c>
      <c r="Q70" s="8" cm="1">
        <f t="array" ref="Q70">_xlfn.IFS(AE70=0,0,AE70&gt;0,(LOG(0.01*AE70/10^-AS70)))</f>
        <v>4.8016039268698307</v>
      </c>
      <c r="R70" s="8" cm="1">
        <f t="array" ref="R70">_xlfn.IFS(AF70=0,0,AF70&gt;0,(LOG(0.01*AF70/10^-AT70)))</f>
        <v>4.6304441148401185</v>
      </c>
      <c r="S70" s="8" cm="1">
        <f t="array" ref="S70">_xlfn.IFS(AG70=0,0,AG70&gt;0,(LOG(0.01*AG70/10^-AU70)))</f>
        <v>4.4386570869544233</v>
      </c>
      <c r="T70" s="16">
        <v>25.2</v>
      </c>
      <c r="U70" s="17">
        <v>21.3</v>
      </c>
      <c r="V70" s="17">
        <v>43.8</v>
      </c>
      <c r="W70" s="17">
        <v>43.8</v>
      </c>
      <c r="X70" s="17">
        <v>35.700000000000003</v>
      </c>
      <c r="Y70" s="17">
        <v>39.299999999999997</v>
      </c>
      <c r="Z70" s="17">
        <v>39.299999999999997</v>
      </c>
      <c r="AA70" s="17">
        <v>26.3</v>
      </c>
      <c r="AB70" s="17">
        <v>36.9</v>
      </c>
      <c r="AC70" s="17">
        <v>36.9</v>
      </c>
      <c r="AD70" s="17">
        <v>33.4</v>
      </c>
      <c r="AE70" s="17">
        <v>26.4</v>
      </c>
      <c r="AF70" s="17">
        <v>21.9</v>
      </c>
      <c r="AG70" s="17">
        <v>15.8</v>
      </c>
      <c r="AH70" s="14">
        <v>5.26</v>
      </c>
      <c r="AI70" s="15">
        <v>5.2</v>
      </c>
      <c r="AJ70" s="15">
        <v>7.66</v>
      </c>
      <c r="AK70" s="15">
        <v>7.66</v>
      </c>
      <c r="AL70" s="15">
        <v>7.93</v>
      </c>
      <c r="AM70" s="15">
        <v>7.26</v>
      </c>
      <c r="AN70" s="15">
        <v>7.26</v>
      </c>
      <c r="AO70" s="15">
        <v>6.49</v>
      </c>
      <c r="AP70" s="15">
        <v>6.18</v>
      </c>
      <c r="AQ70" s="15">
        <v>6.18</v>
      </c>
      <c r="AR70" s="15">
        <v>6.13</v>
      </c>
      <c r="AS70" s="15">
        <v>5.38</v>
      </c>
      <c r="AT70" s="15">
        <v>5.29</v>
      </c>
      <c r="AU70" s="15">
        <v>5.24</v>
      </c>
      <c r="AW70" s="186" t="str">
        <f>IF(VLOOKUP($A70,'I-Ligands'!$A:$G,3,FALSE)="","",VLOOKUP($A70,'I-Ligands'!$A:$G,3,FALSE))</f>
        <v>Acetylcholine</v>
      </c>
      <c r="AX70" s="187" t="str">
        <f>IF(VLOOKUP($A70,'I-Ligands'!$A:$G,4,FALSE)="","",VLOOKUP($A70,'I-Ligands'!$A:$G,4,FALSE))</f>
        <v>Acetylcholine Chloride</v>
      </c>
      <c r="AY70" s="98">
        <v>8.27</v>
      </c>
      <c r="AZ70" s="99">
        <v>12.16</v>
      </c>
      <c r="BA70" s="99">
        <v>10.7</v>
      </c>
      <c r="BB70" s="99">
        <v>10.7</v>
      </c>
      <c r="BC70" s="99">
        <v>10.85</v>
      </c>
      <c r="BD70" s="99">
        <v>9.01</v>
      </c>
      <c r="BE70" s="99">
        <v>9.01</v>
      </c>
      <c r="BF70" s="99">
        <v>11.9</v>
      </c>
      <c r="BG70" s="99">
        <v>9.42</v>
      </c>
      <c r="BH70" s="99">
        <v>9.42</v>
      </c>
      <c r="BI70" s="99">
        <v>13.13</v>
      </c>
      <c r="BJ70" s="99">
        <v>8.36</v>
      </c>
      <c r="BK70" s="99">
        <v>10.050000000000001</v>
      </c>
      <c r="BL70" s="99">
        <v>11.36</v>
      </c>
      <c r="BM70" s="98">
        <f t="shared" si="28"/>
        <v>3.0471584038694077</v>
      </c>
      <c r="BN70" s="99">
        <f t="shared" si="29"/>
        <v>1.7516447368421053</v>
      </c>
      <c r="BO70" s="99">
        <f t="shared" si="30"/>
        <v>4.0934579439252339</v>
      </c>
      <c r="BP70" s="99">
        <f t="shared" si="31"/>
        <v>4.0934579439252339</v>
      </c>
      <c r="BQ70" s="99">
        <f t="shared" si="32"/>
        <v>3.2903225806451615</v>
      </c>
      <c r="BR70" s="99">
        <f t="shared" si="33"/>
        <v>4.3618201997780242</v>
      </c>
      <c r="BS70" s="99">
        <f t="shared" si="34"/>
        <v>4.3618201997780242</v>
      </c>
      <c r="BT70" s="99">
        <f t="shared" si="35"/>
        <v>2.2100840336134455</v>
      </c>
      <c r="BU70" s="99">
        <f t="shared" si="36"/>
        <v>3.9171974522292992</v>
      </c>
      <c r="BV70" s="99">
        <f t="shared" si="37"/>
        <v>3.9171974522292992</v>
      </c>
      <c r="BW70" s="99">
        <f t="shared" si="38"/>
        <v>2.5437928408225434</v>
      </c>
      <c r="BX70" s="99">
        <f t="shared" si="39"/>
        <v>3.1578947368421053</v>
      </c>
      <c r="BY70" s="99">
        <f t="shared" si="40"/>
        <v>2.1791044776119399</v>
      </c>
      <c r="BZ70" s="99">
        <f t="shared" si="41"/>
        <v>1.3908450704225352</v>
      </c>
      <c r="CA70" s="18" t="e">
        <f>VLOOKUP(A70,'Bouvier-GEMTA'!A:C,4,FALSE)</f>
        <v>#REF!</v>
      </c>
      <c r="CB70" s="18">
        <f>VLOOKUP(A70,'Martemyanov-FreeGβγ-Nluc'!A:BG,4,FALSE)</f>
        <v>294</v>
      </c>
    </row>
    <row r="71" spans="1:80" ht="18">
      <c r="A71" s="12" t="s">
        <v>205</v>
      </c>
      <c r="B71" s="13" t="s">
        <v>2662</v>
      </c>
      <c r="C71" s="9" t="str">
        <f>IF(VLOOKUP($A71,'I-Ligands'!$A:$G,5,FALSE)="","",VLOOKUP($A71,'I-Ligands'!$A:$G,5,FALSE))</f>
        <v>Guide to Pharmacology</v>
      </c>
      <c r="D71" s="9">
        <f>IF(VLOOKUP($A71,'I-Ligands'!$A:$G,6,FALSE)="","",VLOOKUP($A71,'I-Ligands'!$A:$G,6,FALSE))</f>
        <v>1883</v>
      </c>
      <c r="E71" s="9" t="str">
        <f>IF(VLOOKUP($A71,'I-Ligands'!$A:$G,7,FALSE)="","",VLOOKUP($A71,'I-Ligands'!$A:$G,7,FALSE))</f>
        <v>Phys</v>
      </c>
      <c r="F71" s="7" cm="1">
        <f t="array" ref="F71">_xlfn.IFS(T71=0,0,T71&gt;0,(LOG(0.01*T71/10^-AH71)))</f>
        <v>7.9017088318086888</v>
      </c>
      <c r="G71" s="8" cm="1">
        <f t="array" ref="G71">_xlfn.IFS(U71=0,0,U71&gt;0,(LOG(0.01*U71/10^-AI71)))</f>
        <v>7.7737464668115654</v>
      </c>
      <c r="H71" s="8" cm="1">
        <f t="array" ref="H71">_xlfn.IFS(V71=0,0,V71&gt;0,(LOG(0.01*V71/10^-AJ71)))</f>
        <v>9.2241765418779629</v>
      </c>
      <c r="I71" s="8" cm="1">
        <f t="array" ref="I71">_xlfn.IFS(W71=0,0,W71&gt;0,(LOG(0.01*W71/10^-AK71)))</f>
        <v>9.2241765418779629</v>
      </c>
      <c r="J71" s="8" cm="1">
        <f t="array" ref="J71">_xlfn.IFS(X71=0,0,X71&gt;0,(LOG(0.01*X71/10^-AL71)))</f>
        <v>8.9548972160331353</v>
      </c>
      <c r="K71" s="8" cm="1">
        <f t="array" ref="K71">_xlfn.IFS(Y71=0,0,Y71&gt;0,(LOG(0.01*Y71/10^-AM71)))</f>
        <v>9.1442820958356688</v>
      </c>
      <c r="L71" s="8" cm="1">
        <f t="array" ref="L71">_xlfn.IFS(Z71=0,0,Z71&gt;0,(LOG(0.01*Z71/10^-AN71)))</f>
        <v>9.1442820958356688</v>
      </c>
      <c r="M71" s="8" cm="1">
        <f t="array" ref="M71">_xlfn.IFS(AA71=0,0,AA71&gt;0,(LOG(0.01*AA71/10^-AO71)))</f>
        <v>8.8599584794248347</v>
      </c>
      <c r="N71" s="8" cm="1">
        <f t="array" ref="N71">_xlfn.IFS(AB71=0,0,AB71&gt;0,(LOG(0.01*AB71/10^-AP71)))</f>
        <v>7.4838153659804316</v>
      </c>
      <c r="O71" s="8" cm="1">
        <f t="array" ref="O71">_xlfn.IFS(AC71=0,0,AC71&gt;0,(LOG(0.01*AC71/10^-AQ71)))</f>
        <v>7.4838153659804316</v>
      </c>
      <c r="P71" s="8" cm="1">
        <f t="array" ref="P71">_xlfn.IFS(AD71=0,0,AD71&gt;0,(LOG(0.01*AD71/10^-AR71)))</f>
        <v>8.3576299008713395</v>
      </c>
      <c r="Q71" s="8" cm="1">
        <f t="array" ref="Q71">_xlfn.IFS(AE71=0,0,AE71&gt;0,(LOG(0.01*AE71/10^-AS71)))</f>
        <v>7.2029961103921547</v>
      </c>
      <c r="R71" s="8" cm="1">
        <f t="array" ref="R71">_xlfn.IFS(AF71=0,0,AF71&gt;0,(LOG(0.01*AF71/10^-AT71)))</f>
        <v>9.7214437690131739</v>
      </c>
      <c r="S71" s="8" cm="1">
        <f t="array" ref="S71">_xlfn.IFS(AG71=0,0,AG71&gt;0,(LOG(0.01*AG71/10^-AU71)))</f>
        <v>8.4953124509616735</v>
      </c>
      <c r="T71" s="16">
        <v>37.299999999999997</v>
      </c>
      <c r="U71" s="17">
        <v>33.4</v>
      </c>
      <c r="V71" s="17">
        <v>45.1</v>
      </c>
      <c r="W71" s="17">
        <v>45.1</v>
      </c>
      <c r="X71" s="17">
        <v>41.2</v>
      </c>
      <c r="Y71" s="17">
        <v>42.1</v>
      </c>
      <c r="Z71" s="17">
        <v>42.1</v>
      </c>
      <c r="AA71" s="17">
        <v>30.9</v>
      </c>
      <c r="AB71" s="17">
        <v>24.2</v>
      </c>
      <c r="AC71" s="17">
        <v>24.2</v>
      </c>
      <c r="AD71" s="17">
        <v>33.700000000000003</v>
      </c>
      <c r="AE71" s="17">
        <v>17.100000000000001</v>
      </c>
      <c r="AF71" s="17">
        <v>42.8</v>
      </c>
      <c r="AG71" s="17">
        <v>42.2</v>
      </c>
      <c r="AH71" s="14">
        <v>8.33</v>
      </c>
      <c r="AI71" s="15">
        <v>8.25</v>
      </c>
      <c r="AJ71" s="15">
        <v>9.57</v>
      </c>
      <c r="AK71" s="15">
        <v>9.57</v>
      </c>
      <c r="AL71" s="15">
        <v>9.34</v>
      </c>
      <c r="AM71" s="15">
        <v>9.52</v>
      </c>
      <c r="AN71" s="15">
        <v>9.52</v>
      </c>
      <c r="AO71" s="15">
        <v>9.3699999999999992</v>
      </c>
      <c r="AP71" s="15">
        <v>8.1</v>
      </c>
      <c r="AQ71" s="15">
        <v>8.1</v>
      </c>
      <c r="AR71" s="15">
        <v>8.83</v>
      </c>
      <c r="AS71" s="15">
        <v>7.97</v>
      </c>
      <c r="AT71" s="15">
        <v>10.09</v>
      </c>
      <c r="AU71" s="15">
        <v>8.8699999999999992</v>
      </c>
      <c r="AW71" s="186" t="str">
        <f>IF(VLOOKUP($A71,'I-Ligands'!$A:$G,3,FALSE)="","",VLOOKUP($A71,'I-Ligands'!$A:$G,3,FALSE))</f>
        <v>Prostaglandin E2</v>
      </c>
      <c r="AX71" s="187" t="str">
        <f>IF(VLOOKUP($A71,'I-Ligands'!$A:$G,4,FALSE)="","",VLOOKUP($A71,'I-Ligands'!$A:$G,4,FALSE))</f>
        <v>Prostaglandin E2</v>
      </c>
      <c r="AY71" s="98">
        <v>4.8</v>
      </c>
      <c r="AZ71" s="99">
        <v>5.05</v>
      </c>
      <c r="BA71" s="99">
        <v>4.26</v>
      </c>
      <c r="BB71" s="99">
        <v>4.26</v>
      </c>
      <c r="BC71" s="99">
        <v>3.57</v>
      </c>
      <c r="BD71" s="99">
        <v>4.3</v>
      </c>
      <c r="BE71" s="99">
        <v>4.3</v>
      </c>
      <c r="BF71" s="99">
        <v>2.62</v>
      </c>
      <c r="BG71" s="99">
        <v>6.16</v>
      </c>
      <c r="BH71" s="99">
        <v>6.16</v>
      </c>
      <c r="BI71" s="99">
        <v>6.76</v>
      </c>
      <c r="BJ71" s="99">
        <v>3.45</v>
      </c>
      <c r="BK71" s="99">
        <v>3.07</v>
      </c>
      <c r="BL71" s="99">
        <v>1.87</v>
      </c>
      <c r="BM71" s="98">
        <f t="shared" si="28"/>
        <v>7.770833333333333</v>
      </c>
      <c r="BN71" s="99">
        <f t="shared" si="29"/>
        <v>6.6138613861386135</v>
      </c>
      <c r="BO71" s="99">
        <f t="shared" si="30"/>
        <v>10.586854460093898</v>
      </c>
      <c r="BP71" s="99">
        <f t="shared" si="31"/>
        <v>10.586854460093898</v>
      </c>
      <c r="BQ71" s="99">
        <f t="shared" si="32"/>
        <v>11.540616246498601</v>
      </c>
      <c r="BR71" s="99">
        <f t="shared" si="33"/>
        <v>9.7906976744186061</v>
      </c>
      <c r="BS71" s="99">
        <f t="shared" si="34"/>
        <v>9.7906976744186061</v>
      </c>
      <c r="BT71" s="99">
        <f t="shared" si="35"/>
        <v>11.793893129770991</v>
      </c>
      <c r="BU71" s="99">
        <f t="shared" si="36"/>
        <v>3.9285714285714284</v>
      </c>
      <c r="BV71" s="99">
        <f t="shared" si="37"/>
        <v>3.9285714285714284</v>
      </c>
      <c r="BW71" s="99">
        <f t="shared" si="38"/>
        <v>4.9852071005917162</v>
      </c>
      <c r="BX71" s="99">
        <f t="shared" si="39"/>
        <v>4.9565217391304346</v>
      </c>
      <c r="BY71" s="99">
        <f t="shared" si="40"/>
        <v>13.941368078175895</v>
      </c>
      <c r="BZ71" s="99">
        <f t="shared" si="41"/>
        <v>22.566844919786096</v>
      </c>
      <c r="CA71" s="18" t="e">
        <f>VLOOKUP(A71,'Bouvier-GEMTA'!A:C,4,FALSE)</f>
        <v>#REF!</v>
      </c>
      <c r="CB71" s="18">
        <f>VLOOKUP(A71,'Martemyanov-FreeGβγ-Nluc'!A:BG,4,FALSE)</f>
        <v>1883</v>
      </c>
    </row>
    <row r="72" spans="1:80" ht="18">
      <c r="A72" s="12" t="s">
        <v>38</v>
      </c>
      <c r="B72" s="13" t="s">
        <v>2596</v>
      </c>
      <c r="C72" s="9" t="str">
        <f>IF(VLOOKUP($A72,'I-Ligands'!$A:$G,5,FALSE)="","",VLOOKUP($A72,'I-Ligands'!$A:$G,5,FALSE))</f>
        <v>Guide to Pharmacology</v>
      </c>
      <c r="D72" s="9">
        <f>IF(VLOOKUP($A72,'I-Ligands'!$A:$G,6,FALSE)="","",VLOOKUP($A72,'I-Ligands'!$A:$G,6,FALSE))</f>
        <v>505</v>
      </c>
      <c r="E72" s="9" t="str">
        <f>IF(VLOOKUP($A72,'I-Ligands'!$A:$G,7,FALSE)="","",VLOOKUP($A72,'I-Ligands'!$A:$G,7,FALSE))</f>
        <v>Phys</v>
      </c>
      <c r="F72" s="7" cm="1">
        <f t="array" ref="F72">_xlfn.IFS(T72=0,0,T72&gt;0,(LOG(0.01*T72/10^-AH72)))</f>
        <v>6.0524797690644494</v>
      </c>
      <c r="G72" s="8" cm="1">
        <f t="array" ref="G72">_xlfn.IFS(U72=0,0,U72&gt;0,(LOG(0.01*U72/10^-AI72)))</f>
        <v>5.7066651902615311</v>
      </c>
      <c r="H72" s="8" cm="1">
        <f t="array" ref="H72">_xlfn.IFS(V72=0,0,V72&gt;0,(LOG(0.01*V72/10^-AJ72)))</f>
        <v>7.7174917998372274</v>
      </c>
      <c r="I72" s="8" cm="1">
        <f t="array" ref="I72">_xlfn.IFS(W72=0,0,W72&gt;0,(LOG(0.01*W72/10^-AK72)))</f>
        <v>7.7174917998372274</v>
      </c>
      <c r="J72" s="8" cm="1">
        <f t="array" ref="J72">_xlfn.IFS(X72=0,0,X72&gt;0,(LOG(0.01*X72/10^-AL72)))</f>
        <v>7.9092025223311033</v>
      </c>
      <c r="K72" s="8" cm="1">
        <f t="array" ref="K72">_xlfn.IFS(Y72=0,0,Y72&gt;0,(LOG(0.01*Y72/10^-AM72)))</f>
        <v>7.6646660642520894</v>
      </c>
      <c r="L72" s="8" cm="1">
        <f t="array" ref="L72">_xlfn.IFS(Z72=0,0,Z72&gt;0,(LOG(0.01*Z72/10^-AN72)))</f>
        <v>7.6646660642520894</v>
      </c>
      <c r="M72" s="8" cm="1">
        <f t="array" ref="M72">_xlfn.IFS(AA72=0,0,AA72&gt;0,(LOG(0.01*AA72/10^-AO72)))</f>
        <v>7.4038153659804316</v>
      </c>
      <c r="N72" s="8" cm="1">
        <f t="array" ref="N72">_xlfn.IFS(AB72=0,0,AB72&gt;0,(LOG(0.01*AB72/10^-AP72)))</f>
        <v>6.2799557484897583</v>
      </c>
      <c r="O72" s="8" cm="1">
        <f t="array" ref="O72">_xlfn.IFS(AC72=0,0,AC72&gt;0,(LOG(0.01*AC72/10^-AQ72)))</f>
        <v>6.2799557484897583</v>
      </c>
      <c r="P72" s="8" cm="1">
        <f t="array" ref="P72">_xlfn.IFS(AD72=0,0,AD72&gt;0,(LOG(0.01*AD72/10^-AR72)))</f>
        <v>6.6963660331290438</v>
      </c>
      <c r="Q72" s="8" cm="1">
        <f t="array" ref="Q72">_xlfn.IFS(AE72=0,0,AE72&gt;0,(LOG(0.01*AE72/10^-AS72)))</f>
        <v>5.9673898263387297</v>
      </c>
      <c r="R72" s="8" cm="1">
        <f t="array" ref="R72">_xlfn.IFS(AF72=0,0,AF72&gt;0,(LOG(0.01*AF72/10^-AT72)))</f>
        <v>7.2286392099680734</v>
      </c>
      <c r="S72" s="8" cm="1">
        <f t="array" ref="S72">_xlfn.IFS(AG72=0,0,AG72&gt;0,(LOG(0.01*AG72/10^-AU72)))</f>
        <v>6.7576299008713399</v>
      </c>
      <c r="T72" s="16">
        <v>27.7</v>
      </c>
      <c r="U72" s="17">
        <v>19.8</v>
      </c>
      <c r="V72" s="17">
        <v>37.799999999999997</v>
      </c>
      <c r="W72" s="17">
        <v>37.799999999999997</v>
      </c>
      <c r="X72" s="17">
        <v>32.299999999999997</v>
      </c>
      <c r="Y72" s="17">
        <v>36.700000000000003</v>
      </c>
      <c r="Z72" s="17">
        <v>36.700000000000003</v>
      </c>
      <c r="AA72" s="17">
        <v>24.2</v>
      </c>
      <c r="AB72" s="17">
        <v>26.3</v>
      </c>
      <c r="AC72" s="17">
        <v>26.3</v>
      </c>
      <c r="AD72" s="17">
        <v>28.6</v>
      </c>
      <c r="AE72" s="17">
        <v>24.4</v>
      </c>
      <c r="AF72" s="17">
        <v>37.9</v>
      </c>
      <c r="AG72" s="17">
        <v>33.700000000000003</v>
      </c>
      <c r="AH72" s="14">
        <v>6.61</v>
      </c>
      <c r="AI72" s="15">
        <v>6.41</v>
      </c>
      <c r="AJ72" s="15">
        <v>8.14</v>
      </c>
      <c r="AK72" s="15">
        <v>8.14</v>
      </c>
      <c r="AL72" s="15">
        <v>8.4</v>
      </c>
      <c r="AM72" s="15">
        <v>8.1</v>
      </c>
      <c r="AN72" s="15">
        <v>8.1</v>
      </c>
      <c r="AO72" s="15">
        <v>8.02</v>
      </c>
      <c r="AP72" s="15">
        <v>6.86</v>
      </c>
      <c r="AQ72" s="15">
        <v>6.86</v>
      </c>
      <c r="AR72" s="15">
        <v>7.24</v>
      </c>
      <c r="AS72" s="15">
        <v>6.58</v>
      </c>
      <c r="AT72" s="15">
        <v>7.65</v>
      </c>
      <c r="AU72" s="15">
        <v>7.23</v>
      </c>
      <c r="AW72" s="186" t="str">
        <f>IF(VLOOKUP($A72,'I-Ligands'!$A:$G,3,FALSE)="","",VLOOKUP($A72,'I-Ligands'!$A:$G,3,FALSE))</f>
        <v>Norepinephrine</v>
      </c>
      <c r="AX72" s="187" t="str">
        <f>IF(VLOOKUP($A72,'I-Ligands'!$A:$G,4,FALSE)="","",VLOOKUP($A72,'I-Ligands'!$A:$G,4,FALSE))</f>
        <v>L-(−)-Norepinephrine (+)-bitartrate salt monohydrate</v>
      </c>
      <c r="AY72" s="98">
        <v>6.04</v>
      </c>
      <c r="AZ72" s="99">
        <v>8.52</v>
      </c>
      <c r="BA72" s="99">
        <v>7.28</v>
      </c>
      <c r="BB72" s="99">
        <v>7.28</v>
      </c>
      <c r="BC72" s="99">
        <v>7.07</v>
      </c>
      <c r="BD72" s="99">
        <v>3.56</v>
      </c>
      <c r="BE72" s="99">
        <v>3.56</v>
      </c>
      <c r="BF72" s="99">
        <v>5.3</v>
      </c>
      <c r="BG72" s="99">
        <v>6.16</v>
      </c>
      <c r="BH72" s="99">
        <v>6.16</v>
      </c>
      <c r="BI72" s="99">
        <v>8.06</v>
      </c>
      <c r="BJ72" s="99">
        <v>9.43</v>
      </c>
      <c r="BK72" s="99">
        <v>9.3800000000000008</v>
      </c>
      <c r="BL72" s="99">
        <v>6.72</v>
      </c>
      <c r="BM72" s="98">
        <f t="shared" si="28"/>
        <v>4.5860927152317883</v>
      </c>
      <c r="BN72" s="99">
        <f t="shared" si="29"/>
        <v>2.323943661971831</v>
      </c>
      <c r="BO72" s="99">
        <f t="shared" si="30"/>
        <v>5.1923076923076916</v>
      </c>
      <c r="BP72" s="99">
        <f t="shared" si="31"/>
        <v>5.1923076923076916</v>
      </c>
      <c r="BQ72" s="99">
        <f t="shared" si="32"/>
        <v>4.5685997171145676</v>
      </c>
      <c r="BR72" s="99">
        <f t="shared" si="33"/>
        <v>10.308988764044944</v>
      </c>
      <c r="BS72" s="99">
        <f t="shared" si="34"/>
        <v>10.308988764044944</v>
      </c>
      <c r="BT72" s="99">
        <f t="shared" si="35"/>
        <v>4.5660377358490569</v>
      </c>
      <c r="BU72" s="99">
        <f t="shared" si="36"/>
        <v>4.2694805194805197</v>
      </c>
      <c r="BV72" s="99">
        <f t="shared" si="37"/>
        <v>4.2694805194805197</v>
      </c>
      <c r="BW72" s="99">
        <f t="shared" si="38"/>
        <v>3.5483870967741935</v>
      </c>
      <c r="BX72" s="99">
        <f t="shared" si="39"/>
        <v>2.5874867444326615</v>
      </c>
      <c r="BY72" s="99">
        <f t="shared" si="40"/>
        <v>4.0405117270788908</v>
      </c>
      <c r="BZ72" s="99">
        <f t="shared" si="41"/>
        <v>5.0148809523809526</v>
      </c>
      <c r="CA72" s="18" t="e">
        <f>VLOOKUP(A72,'Bouvier-GEMTA'!A:C,4,FALSE)</f>
        <v>#REF!</v>
      </c>
      <c r="CB72" s="18">
        <f>VLOOKUP(A72,'Martemyanov-FreeGβγ-Nluc'!A:BG,4,FALSE)</f>
        <v>509</v>
      </c>
    </row>
    <row r="73" spans="1:80" ht="18">
      <c r="A73" s="12" t="s">
        <v>106</v>
      </c>
      <c r="B73" s="13" t="s">
        <v>2609</v>
      </c>
      <c r="C73" s="9" t="str">
        <f>IF(VLOOKUP($A73,'I-Ligands'!$A:$G,5,FALSE)="","",VLOOKUP($A73,'I-Ligands'!$A:$G,5,FALSE))</f>
        <v>Guide to Pharmacology</v>
      </c>
      <c r="D73" s="9">
        <f>IF(VLOOKUP($A73,'I-Ligands'!$A:$G,6,FALSE)="","",VLOOKUP($A73,'I-Ligands'!$A:$G,6,FALSE))</f>
        <v>940</v>
      </c>
      <c r="E73" s="9" t="str">
        <f>IF(VLOOKUP($A73,'I-Ligands'!$A:$G,7,FALSE)="","",VLOOKUP($A73,'I-Ligands'!$A:$G,7,FALSE))</f>
        <v>Phys</v>
      </c>
      <c r="F73" s="7" cm="1">
        <f t="array" ref="F73">_xlfn.IFS(T73=0,0,T73&gt;0,(LOG(0.01*T73/10^-AH73)))</f>
        <v>5.0299557484897583</v>
      </c>
      <c r="G73" s="8" cm="1">
        <f t="array" ref="G73">_xlfn.IFS(U73=0,0,U73&gt;0,(LOG(0.01*U73/10^-AI73)))</f>
        <v>4.8782399653118498</v>
      </c>
      <c r="H73" s="8" cm="1">
        <f t="array" ref="H73">_xlfn.IFS(V73=0,0,V73&gt;0,(LOG(0.01*V73/10^-AJ73)))</f>
        <v>0</v>
      </c>
      <c r="I73" s="8" cm="1">
        <f t="array" ref="I73">_xlfn.IFS(W73=0,0,W73&gt;0,(LOG(0.01*W73/10^-AK73)))</f>
        <v>0</v>
      </c>
      <c r="J73" s="8" cm="1">
        <f t="array" ref="J73">_xlfn.IFS(X73=0,0,X73&gt;0,(LOG(0.01*X73/10^-AL73)))</f>
        <v>4.47058971029925</v>
      </c>
      <c r="K73" s="8" cm="1">
        <f t="array" ref="K73">_xlfn.IFS(Y73=0,0,Y73&gt;0,(LOG(0.01*Y73/10^-AM73)))</f>
        <v>0</v>
      </c>
      <c r="L73" s="8" cm="1">
        <f t="array" ref="L73">_xlfn.IFS(Z73=0,0,Z73&gt;0,(LOG(0.01*Z73/10^-AN73)))</f>
        <v>0</v>
      </c>
      <c r="M73" s="8" cm="1">
        <f t="array" ref="M73">_xlfn.IFS(AA73=0,0,AA73&gt;0,(LOG(0.01*AA73/10^-AO73)))</f>
        <v>4.749218022670183</v>
      </c>
      <c r="N73" s="8" cm="1">
        <f t="array" ref="N73">_xlfn.IFS(AB73=0,0,AB73&gt;0,(LOG(0.01*AB73/10^-AP73)))</f>
        <v>4.7044537511509317</v>
      </c>
      <c r="O73" s="8" cm="1">
        <f t="array" ref="O73">_xlfn.IFS(AC73=0,0,AC73&gt;0,(LOG(0.01*AC73/10^-AQ73)))</f>
        <v>4.7044537511509317</v>
      </c>
      <c r="P73" s="8" cm="1">
        <f t="array" ref="P73">_xlfn.IFS(AD73=0,0,AD73&gt;0,(LOG(0.01*AD73/10^-AR73)))</f>
        <v>4.9764618041732449</v>
      </c>
      <c r="Q73" s="8" cm="1">
        <f t="array" ref="Q73">_xlfn.IFS(AE73=0,0,AE73&gt;0,(LOG(0.01*AE73/10^-AS73)))</f>
        <v>0</v>
      </c>
      <c r="R73" s="8" cm="1">
        <f t="array" ref="R73">_xlfn.IFS(AF73=0,0,AF73&gt;0,(LOG(0.01*AF73/10^-AT73)))</f>
        <v>0</v>
      </c>
      <c r="S73" s="8" cm="1">
        <f t="array" ref="S73">_xlfn.IFS(AG73=0,0,AG73&gt;0,(LOG(0.01*AG73/10^-AU73)))</f>
        <v>0</v>
      </c>
      <c r="T73" s="16">
        <v>26.3</v>
      </c>
      <c r="U73" s="17">
        <v>25.6</v>
      </c>
      <c r="X73" s="17">
        <v>12.9</v>
      </c>
      <c r="AA73" s="17">
        <v>11.2</v>
      </c>
      <c r="AB73" s="17">
        <v>21.6</v>
      </c>
      <c r="AC73" s="17">
        <v>21.6</v>
      </c>
      <c r="AD73" s="17">
        <v>18.899999999999999</v>
      </c>
      <c r="AH73" s="14">
        <v>5.61</v>
      </c>
      <c r="AI73" s="15">
        <v>5.47</v>
      </c>
      <c r="AL73" s="15">
        <v>5.36</v>
      </c>
      <c r="AO73" s="15">
        <v>5.7</v>
      </c>
      <c r="AP73" s="15">
        <v>5.37</v>
      </c>
      <c r="AQ73" s="15">
        <v>5.37</v>
      </c>
      <c r="AR73" s="15">
        <v>5.7</v>
      </c>
      <c r="AW73" s="186" t="str">
        <f>IF(VLOOKUP($A73,'I-Ligands'!$A:$G,3,FALSE)="","",VLOOKUP($A73,'I-Ligands'!$A:$G,3,FALSE))</f>
        <v>Dopamine</v>
      </c>
      <c r="AX73" s="187" t="str">
        <f>IF(VLOOKUP($A73,'I-Ligands'!$A:$G,4,FALSE)="","",VLOOKUP($A73,'I-Ligands'!$A:$G,4,FALSE))</f>
        <v>3,4-Dihydroxyphenethylamine Hydrochloride</v>
      </c>
      <c r="AY73" s="98">
        <v>2.97</v>
      </c>
      <c r="AZ73" s="99">
        <v>3.49</v>
      </c>
      <c r="BA73" s="99">
        <v>2.97</v>
      </c>
      <c r="BB73" s="99">
        <v>2.97</v>
      </c>
      <c r="BC73" s="99">
        <v>4.1900000000000004</v>
      </c>
      <c r="BD73" s="99">
        <v>5.19</v>
      </c>
      <c r="BE73" s="99">
        <v>5.19</v>
      </c>
      <c r="BF73" s="99">
        <v>4.47</v>
      </c>
      <c r="BG73" s="99">
        <v>4.8</v>
      </c>
      <c r="BH73" s="99">
        <v>4.8</v>
      </c>
      <c r="BI73" s="99">
        <v>4.79</v>
      </c>
      <c r="BJ73" s="99">
        <v>4.2300000000000004</v>
      </c>
      <c r="BK73" s="99">
        <v>4.1399999999999997</v>
      </c>
      <c r="BL73" s="99">
        <v>4.1900000000000004</v>
      </c>
      <c r="BM73" s="98">
        <f t="shared" si="28"/>
        <v>8.8552188552188547</v>
      </c>
      <c r="BN73" s="99">
        <f t="shared" si="29"/>
        <v>7.3352435530085955</v>
      </c>
      <c r="BO73" s="99">
        <f t="shared" si="30"/>
        <v>0</v>
      </c>
      <c r="BP73" s="99">
        <f t="shared" si="31"/>
        <v>0</v>
      </c>
      <c r="BQ73" s="99">
        <f t="shared" si="32"/>
        <v>3.078758949880668</v>
      </c>
      <c r="BR73" s="99">
        <f t="shared" si="33"/>
        <v>0</v>
      </c>
      <c r="BS73" s="99">
        <f t="shared" si="34"/>
        <v>0</v>
      </c>
      <c r="BT73" s="99">
        <f t="shared" si="35"/>
        <v>2.505592841163311</v>
      </c>
      <c r="BU73" s="99">
        <f t="shared" si="36"/>
        <v>4.5000000000000009</v>
      </c>
      <c r="BV73" s="99">
        <f t="shared" si="37"/>
        <v>4.5000000000000009</v>
      </c>
      <c r="BW73" s="99">
        <f t="shared" si="38"/>
        <v>3.9457202505219202</v>
      </c>
      <c r="BX73" s="99">
        <f t="shared" si="39"/>
        <v>0</v>
      </c>
      <c r="BY73" s="99">
        <f t="shared" si="40"/>
        <v>0</v>
      </c>
      <c r="BZ73" s="99">
        <f t="shared" si="41"/>
        <v>0</v>
      </c>
      <c r="CA73" s="18" t="e">
        <f>VLOOKUP(A73,'Bouvier-GEMTA'!A:C,4,FALSE)</f>
        <v>#REF!</v>
      </c>
      <c r="CB73" s="18">
        <f>VLOOKUP(A73,'Martemyanov-FreeGβγ-Nluc'!A:BG,4,FALSE)</f>
        <v>940</v>
      </c>
    </row>
    <row r="74" spans="1:80" ht="18">
      <c r="A74" s="12" t="s">
        <v>37</v>
      </c>
      <c r="B74" s="13" t="s">
        <v>2595</v>
      </c>
      <c r="C74" s="9" t="str">
        <f>IF(VLOOKUP($A74,'I-Ligands'!$A:$G,5,FALSE)="","",VLOOKUP($A74,'I-Ligands'!$A:$G,5,FALSE))</f>
        <v>Guide to Pharmacology</v>
      </c>
      <c r="D74" s="9">
        <f>IF(VLOOKUP($A74,'I-Ligands'!$A:$G,6,FALSE)="","",VLOOKUP($A74,'I-Ligands'!$A:$G,6,FALSE))</f>
        <v>505</v>
      </c>
      <c r="E74" s="9" t="str">
        <f>IF(VLOOKUP($A74,'I-Ligands'!$A:$G,7,FALSE)="","",VLOOKUP($A74,'I-Ligands'!$A:$G,7,FALSE))</f>
        <v>Phys</v>
      </c>
      <c r="F74" s="7" cm="1">
        <f t="array" ref="F74">_xlfn.IFS(T74=0,0,T74&gt;0,(LOG(0.01*T74/10^-AH74)))</f>
        <v>5.1284564936046051</v>
      </c>
      <c r="G74" s="8" cm="1">
        <f t="array" ref="G74">_xlfn.IFS(U74=0,0,U74&gt;0,(LOG(0.01*U74/10^-AI74)))</f>
        <v>4.7671717284030146</v>
      </c>
      <c r="H74" s="8" cm="1">
        <f t="array" ref="H74">_xlfn.IFS(V74=0,0,V74&gt;0,(LOG(0.01*V74/10^-AJ74)))</f>
        <v>7.6870003411208998</v>
      </c>
      <c r="I74" s="8" cm="1">
        <f t="array" ref="I74">_xlfn.IFS(W74=0,0,W74&gt;0,(LOG(0.01*W74/10^-AK74)))</f>
        <v>7.6870003411208998</v>
      </c>
      <c r="J74" s="8" cm="1">
        <f t="array" ref="J74">_xlfn.IFS(X74=0,0,X74&gt;0,(LOG(0.01*X74/10^-AL74)))</f>
        <v>8.0043312243675313</v>
      </c>
      <c r="K74" s="8" cm="1">
        <f t="array" ref="K74">_xlfn.IFS(Y74=0,0,Y74&gt;0,(LOG(0.01*Y74/10^-AM74)))</f>
        <v>7.3221767573958685</v>
      </c>
      <c r="L74" s="8" cm="1">
        <f t="array" ref="L74">_xlfn.IFS(Z74=0,0,Z74&gt;0,(LOG(0.01*Z74/10^-AN74)))</f>
        <v>7.3221767573958685</v>
      </c>
      <c r="M74" s="8" cm="1">
        <f t="array" ref="M74">_xlfn.IFS(AA74=0,0,AA74&gt;0,(LOG(0.01*AA74/10^-AO74)))</f>
        <v>7.9638929889859078</v>
      </c>
      <c r="N74" s="8" cm="1">
        <f t="array" ref="N74">_xlfn.IFS(AB74=0,0,AB74&gt;0,(LOG(0.01*AB74/10^-AP74)))</f>
        <v>5.5918833609788754</v>
      </c>
      <c r="O74" s="8" cm="1">
        <f t="array" ref="O74">_xlfn.IFS(AC74=0,0,AC74&gt;0,(LOG(0.01*AC74/10^-AQ74)))</f>
        <v>5.5918833609788754</v>
      </c>
      <c r="P74" s="8" cm="1">
        <f t="array" ref="P74">_xlfn.IFS(AD74=0,0,AD74&gt;0,(LOG(0.01*AD74/10^-AR74)))</f>
        <v>5.6493924877592319</v>
      </c>
      <c r="Q74" s="8" cm="1">
        <f t="array" ref="Q74">_xlfn.IFS(AE74=0,0,AE74&gt;0,(LOG(0.01*AE74/10^-AS74)))</f>
        <v>5.924897216033135</v>
      </c>
      <c r="R74" s="8" cm="1">
        <f t="array" ref="R74">_xlfn.IFS(AF74=0,0,AF74&gt;0,(LOG(0.01*AF74/10^-AT74)))</f>
        <v>6.0442260530844711</v>
      </c>
      <c r="S74" s="8" cm="1">
        <f t="array" ref="S74">_xlfn.IFS(AG74=0,0,AG74&gt;0,(LOG(0.01*AG74/10^-AU74)))</f>
        <v>5.9554607295085011</v>
      </c>
      <c r="T74" s="16">
        <v>21.8</v>
      </c>
      <c r="U74" s="17">
        <v>18.5</v>
      </c>
      <c r="V74" s="17">
        <v>41.4</v>
      </c>
      <c r="W74" s="17">
        <v>41.4</v>
      </c>
      <c r="X74" s="17">
        <v>38.4</v>
      </c>
      <c r="Y74" s="17">
        <v>39.1</v>
      </c>
      <c r="Z74" s="17">
        <v>39.1</v>
      </c>
      <c r="AA74" s="17">
        <v>29.1</v>
      </c>
      <c r="AB74" s="17">
        <v>32.5</v>
      </c>
      <c r="AC74" s="17">
        <v>32.5</v>
      </c>
      <c r="AD74" s="17">
        <v>28.8</v>
      </c>
      <c r="AE74" s="17">
        <v>41.2</v>
      </c>
      <c r="AF74" s="17">
        <v>40.200000000000003</v>
      </c>
      <c r="AG74" s="17">
        <v>38.5</v>
      </c>
      <c r="AH74" s="14">
        <v>5.79</v>
      </c>
      <c r="AI74" s="15">
        <v>5.5</v>
      </c>
      <c r="AJ74" s="15">
        <v>8.07</v>
      </c>
      <c r="AK74" s="15">
        <v>8.07</v>
      </c>
      <c r="AL74" s="15">
        <v>8.42</v>
      </c>
      <c r="AM74" s="15">
        <v>7.73</v>
      </c>
      <c r="AN74" s="15">
        <v>7.73</v>
      </c>
      <c r="AO74" s="15">
        <v>8.5</v>
      </c>
      <c r="AP74" s="15">
        <v>6.08</v>
      </c>
      <c r="AQ74" s="15">
        <v>6.08</v>
      </c>
      <c r="AR74" s="15">
        <v>6.19</v>
      </c>
      <c r="AS74" s="15">
        <v>6.31</v>
      </c>
      <c r="AT74" s="15">
        <v>6.44</v>
      </c>
      <c r="AU74" s="15">
        <v>6.37</v>
      </c>
      <c r="AW74" s="186" t="str">
        <f>IF(VLOOKUP($A74,'I-Ligands'!$A:$G,3,FALSE)="","",VLOOKUP($A74,'I-Ligands'!$A:$G,3,FALSE))</f>
        <v>Norepinephrine</v>
      </c>
      <c r="AX74" s="187" t="str">
        <f>IF(VLOOKUP($A74,'I-Ligands'!$A:$G,4,FALSE)="","",VLOOKUP($A74,'I-Ligands'!$A:$G,4,FALSE))</f>
        <v>L-(−)-Norepinephrine (+)-bitartrate salt monohydrate</v>
      </c>
      <c r="AY74" s="98">
        <v>8.57</v>
      </c>
      <c r="AZ74" s="99">
        <v>8.16</v>
      </c>
      <c r="BA74" s="99">
        <v>6.95</v>
      </c>
      <c r="BB74" s="99">
        <v>6.95</v>
      </c>
      <c r="BC74" s="99">
        <v>5.2</v>
      </c>
      <c r="BD74" s="99">
        <v>5.8</v>
      </c>
      <c r="BE74" s="99">
        <v>5.8</v>
      </c>
      <c r="BF74" s="99">
        <v>4.0199999999999996</v>
      </c>
      <c r="BG74" s="99">
        <v>6.93</v>
      </c>
      <c r="BH74" s="99">
        <v>6.93</v>
      </c>
      <c r="BI74" s="99">
        <v>8.4700000000000006</v>
      </c>
      <c r="BJ74" s="99">
        <v>5.64</v>
      </c>
      <c r="BK74" s="99">
        <v>6.71</v>
      </c>
      <c r="BL74" s="99">
        <v>5.66</v>
      </c>
      <c r="BM74" s="98">
        <f t="shared" si="28"/>
        <v>2.5437572928821468</v>
      </c>
      <c r="BN74" s="99">
        <f t="shared" si="29"/>
        <v>2.267156862745098</v>
      </c>
      <c r="BO74" s="99">
        <f t="shared" si="30"/>
        <v>5.9568345323741001</v>
      </c>
      <c r="BP74" s="99">
        <f t="shared" si="31"/>
        <v>5.9568345323741001</v>
      </c>
      <c r="BQ74" s="99">
        <f t="shared" si="32"/>
        <v>7.3846153846153841</v>
      </c>
      <c r="BR74" s="99">
        <f t="shared" si="33"/>
        <v>6.7413793103448283</v>
      </c>
      <c r="BS74" s="99">
        <f t="shared" si="34"/>
        <v>6.7413793103448283</v>
      </c>
      <c r="BT74" s="99">
        <f t="shared" si="35"/>
        <v>7.2388059701492544</v>
      </c>
      <c r="BU74" s="99">
        <f t="shared" si="36"/>
        <v>4.6897546897546896</v>
      </c>
      <c r="BV74" s="99">
        <f t="shared" si="37"/>
        <v>4.6897546897546896</v>
      </c>
      <c r="BW74" s="99">
        <f t="shared" si="38"/>
        <v>3.4002361275088546</v>
      </c>
      <c r="BX74" s="99">
        <f t="shared" si="39"/>
        <v>7.3049645390070932</v>
      </c>
      <c r="BY74" s="99">
        <f t="shared" si="40"/>
        <v>5.991058122205664</v>
      </c>
      <c r="BZ74" s="99">
        <f t="shared" si="41"/>
        <v>6.8021201413427557</v>
      </c>
      <c r="CA74" s="18" t="e">
        <f>VLOOKUP(A74,'Bouvier-GEMTA'!A:C,4,FALSE)</f>
        <v>#REF!</v>
      </c>
      <c r="CB74" s="18">
        <f>VLOOKUP(A74,'Martemyanov-FreeGβγ-Nluc'!A:BG,4,FALSE)</f>
        <v>509</v>
      </c>
    </row>
    <row r="75" spans="1:80" ht="18">
      <c r="A75" s="12" t="s">
        <v>34</v>
      </c>
      <c r="B75" s="13" t="s">
        <v>2592</v>
      </c>
      <c r="C75" s="9" t="str">
        <f>IF(VLOOKUP($A75,'I-Ligands'!$A:$G,5,FALSE)="","",VLOOKUP($A75,'I-Ligands'!$A:$G,5,FALSE))</f>
        <v>Guide to Pharmacology</v>
      </c>
      <c r="D75" s="9">
        <f>IF(VLOOKUP($A75,'I-Ligands'!$A:$G,6,FALSE)="","",VLOOKUP($A75,'I-Ligands'!$A:$G,6,FALSE))</f>
        <v>505</v>
      </c>
      <c r="E75" s="9" t="str">
        <f>IF(VLOOKUP($A75,'I-Ligands'!$A:$G,7,FALSE)="","",VLOOKUP($A75,'I-Ligands'!$A:$G,7,FALSE))</f>
        <v>Phys</v>
      </c>
      <c r="F75" s="7" cm="1">
        <f t="array" ref="F75">_xlfn.IFS(T75=0,0,T75&gt;0,(LOG(0.01*T75/10^-AH75)))</f>
        <v>8.138201724066997</v>
      </c>
      <c r="G75" s="8" cm="1">
        <f t="array" ref="G75">_xlfn.IFS(U75=0,0,U75&gt;0,(LOG(0.01*U75/10^-AI75)))</f>
        <v>8.0174917998372255</v>
      </c>
      <c r="H75" s="8" cm="1">
        <f t="array" ref="H75">_xlfn.IFS(V75=0,0,V75&gt;0,(LOG(0.01*V75/10^-AJ75)))</f>
        <v>6.7242820958356679</v>
      </c>
      <c r="I75" s="8" cm="1">
        <f t="array" ref="I75">_xlfn.IFS(W75=0,0,W75&gt;0,(LOG(0.01*W75/10^-AK75)))</f>
        <v>6.7242820958356679</v>
      </c>
      <c r="J75" s="8" cm="1">
        <f t="array" ref="J75">_xlfn.IFS(X75=0,0,X75&gt;0,(LOG(0.01*X75/10^-AL75)))</f>
        <v>6.7674550232146693</v>
      </c>
      <c r="K75" s="8" cm="1">
        <f t="array" ref="K75">_xlfn.IFS(Y75=0,0,Y75&gt;0,(LOG(0.01*Y75/10^-AM75)))</f>
        <v>6.296587304671756</v>
      </c>
      <c r="L75" s="8" cm="1">
        <f t="array" ref="L75">_xlfn.IFS(Z75=0,0,Z75&gt;0,(LOG(0.01*Z75/10^-AN75)))</f>
        <v>6.296587304671756</v>
      </c>
      <c r="M75" s="8" cm="1">
        <f t="array" ref="M75">_xlfn.IFS(AA75=0,0,AA75&gt;0,(LOG(0.01*AA75/10^-AO75)))</f>
        <v>6.3029692908744064</v>
      </c>
      <c r="N75" s="8" cm="1">
        <f t="array" ref="N75">_xlfn.IFS(AB75=0,0,AB75&gt;0,(LOG(0.01*AB75/10^-AP75)))</f>
        <v>7.9928254269591799</v>
      </c>
      <c r="O75" s="8" cm="1">
        <f t="array" ref="O75">_xlfn.IFS(AC75=0,0,AC75&gt;0,(LOG(0.01*AC75/10^-AQ75)))</f>
        <v>7.9928254269591799</v>
      </c>
      <c r="P75" s="8" cm="1">
        <f t="array" ref="P75">_xlfn.IFS(AD75=0,0,AD75&gt;0,(LOG(0.01*AD75/10^-AR75)))</f>
        <v>8.1614426285023054</v>
      </c>
      <c r="Q75" s="8" cm="1">
        <f t="array" ref="Q75">_xlfn.IFS(AE75=0,0,AE75&gt;0,(LOG(0.01*AE75/10^-AS75)))</f>
        <v>6.3359500516564013</v>
      </c>
      <c r="R75" s="8" cm="1">
        <f t="array" ref="R75">_xlfn.IFS(AF75=0,0,AF75&gt;0,(LOG(0.01*AF75/10^-AT75)))</f>
        <v>6.2087905067631164</v>
      </c>
      <c r="S75" s="8" cm="1">
        <f t="array" ref="S75">_xlfn.IFS(AG75=0,0,AG75&gt;0,(LOG(0.01*AG75/10^-AU75)))</f>
        <v>7.20384182187607</v>
      </c>
      <c r="T75" s="16">
        <v>37</v>
      </c>
      <c r="U75" s="17">
        <v>37.799999999999997</v>
      </c>
      <c r="V75" s="17">
        <v>42.1</v>
      </c>
      <c r="W75" s="17">
        <v>42.1</v>
      </c>
      <c r="X75" s="17">
        <v>40.5</v>
      </c>
      <c r="Y75" s="17">
        <v>38.6</v>
      </c>
      <c r="Z75" s="17">
        <v>38.6</v>
      </c>
      <c r="AA75" s="17">
        <v>27.1</v>
      </c>
      <c r="AB75" s="17">
        <v>34.9</v>
      </c>
      <c r="AC75" s="17">
        <v>34.9</v>
      </c>
      <c r="AD75" s="17">
        <v>30.3</v>
      </c>
      <c r="AE75" s="17">
        <v>41.3</v>
      </c>
      <c r="AF75" s="17">
        <v>39.700000000000003</v>
      </c>
      <c r="AG75" s="17">
        <v>41.1</v>
      </c>
      <c r="AH75" s="14">
        <v>8.57</v>
      </c>
      <c r="AI75" s="15">
        <v>8.44</v>
      </c>
      <c r="AJ75" s="15">
        <v>7.1</v>
      </c>
      <c r="AK75" s="15">
        <v>7.1</v>
      </c>
      <c r="AL75" s="15">
        <v>7.16</v>
      </c>
      <c r="AM75" s="15">
        <v>6.71</v>
      </c>
      <c r="AN75" s="15">
        <v>6.71</v>
      </c>
      <c r="AO75" s="15">
        <v>6.87</v>
      </c>
      <c r="AP75" s="15">
        <v>8.4499999999999993</v>
      </c>
      <c r="AQ75" s="15">
        <v>8.4499999999999993</v>
      </c>
      <c r="AR75" s="15">
        <v>8.68</v>
      </c>
      <c r="AS75" s="15">
        <v>6.72</v>
      </c>
      <c r="AT75" s="15">
        <v>6.61</v>
      </c>
      <c r="AU75" s="15">
        <v>7.59</v>
      </c>
      <c r="AW75" s="186" t="str">
        <f>IF(VLOOKUP($A75,'I-Ligands'!$A:$G,3,FALSE)="","",VLOOKUP($A75,'I-Ligands'!$A:$G,3,FALSE))</f>
        <v>Norepinephrine</v>
      </c>
      <c r="AX75" s="187" t="str">
        <f>IF(VLOOKUP($A75,'I-Ligands'!$A:$G,4,FALSE)="","",VLOOKUP($A75,'I-Ligands'!$A:$G,4,FALSE))</f>
        <v>L-(−)-Norepinephrine (+)-bitartrate salt monohydrate</v>
      </c>
      <c r="AY75" s="98">
        <v>5.07</v>
      </c>
      <c r="AZ75" s="99">
        <v>4.2300000000000004</v>
      </c>
      <c r="BA75" s="99">
        <v>3.47</v>
      </c>
      <c r="BB75" s="99">
        <v>3.47</v>
      </c>
      <c r="BC75" s="99">
        <v>3.8</v>
      </c>
      <c r="BD75" s="99">
        <v>4.05</v>
      </c>
      <c r="BE75" s="99">
        <v>4.05</v>
      </c>
      <c r="BF75" s="99">
        <v>2.86</v>
      </c>
      <c r="BG75" s="99">
        <v>6.74</v>
      </c>
      <c r="BH75" s="99">
        <v>6.74</v>
      </c>
      <c r="BI75" s="99">
        <v>5.82</v>
      </c>
      <c r="BJ75" s="99">
        <v>4.8499999999999996</v>
      </c>
      <c r="BK75" s="99">
        <v>5.23</v>
      </c>
      <c r="BL75" s="99">
        <v>4.62</v>
      </c>
      <c r="BM75" s="98">
        <f t="shared" si="28"/>
        <v>7.2978303747534516</v>
      </c>
      <c r="BN75" s="99">
        <f t="shared" si="29"/>
        <v>8.9361702127659566</v>
      </c>
      <c r="BO75" s="99">
        <f t="shared" si="30"/>
        <v>12.132564841498558</v>
      </c>
      <c r="BP75" s="99">
        <f t="shared" si="31"/>
        <v>12.132564841498558</v>
      </c>
      <c r="BQ75" s="99">
        <f t="shared" si="32"/>
        <v>10.657894736842106</v>
      </c>
      <c r="BR75" s="99">
        <f t="shared" si="33"/>
        <v>9.5308641975308657</v>
      </c>
      <c r="BS75" s="99">
        <f t="shared" si="34"/>
        <v>9.5308641975308657</v>
      </c>
      <c r="BT75" s="99">
        <f t="shared" si="35"/>
        <v>9.4755244755244767</v>
      </c>
      <c r="BU75" s="99">
        <f t="shared" si="36"/>
        <v>5.1780415430267057</v>
      </c>
      <c r="BV75" s="99">
        <f t="shared" si="37"/>
        <v>5.1780415430267057</v>
      </c>
      <c r="BW75" s="99">
        <f t="shared" si="38"/>
        <v>5.2061855670103094</v>
      </c>
      <c r="BX75" s="99">
        <f t="shared" si="39"/>
        <v>8.5154639175257731</v>
      </c>
      <c r="BY75" s="99">
        <f t="shared" si="40"/>
        <v>7.5908221797323137</v>
      </c>
      <c r="BZ75" s="99">
        <f t="shared" si="41"/>
        <v>8.896103896103897</v>
      </c>
      <c r="CA75" s="18" t="e">
        <f>VLOOKUP(A75,'Bouvier-GEMTA'!A:C,4,FALSE)</f>
        <v>#REF!</v>
      </c>
      <c r="CB75" s="18">
        <f>VLOOKUP(A75,'Martemyanov-FreeGβγ-Nluc'!A:BG,4,FALSE)</f>
        <v>509</v>
      </c>
    </row>
    <row r="76" spans="1:80" ht="18">
      <c r="A76" s="12" t="s">
        <v>14</v>
      </c>
      <c r="B76" s="13" t="s">
        <v>2572</v>
      </c>
      <c r="C76" s="9" t="str">
        <f>IF(VLOOKUP($A76,'I-Ligands'!$A:$G,5,FALSE)="","",VLOOKUP($A76,'I-Ligands'!$A:$G,5,FALSE))</f>
        <v>Guide to Pharmacology</v>
      </c>
      <c r="D76" s="9">
        <f>IF(VLOOKUP($A76,'I-Ligands'!$A:$G,6,FALSE)="","",VLOOKUP($A76,'I-Ligands'!$A:$G,6,FALSE))</f>
        <v>5</v>
      </c>
      <c r="E76" s="9" t="str">
        <f>IF(VLOOKUP($A76,'I-Ligands'!$A:$G,7,FALSE)="","",VLOOKUP($A76,'I-Ligands'!$A:$G,7,FALSE))</f>
        <v>Phys</v>
      </c>
      <c r="F76" s="7" cm="1">
        <f t="array" ref="F76">_xlfn.IFS(T76=0,0,T76&gt;0,(LOG(0.01*T76/10^-AH76)))</f>
        <v>4.9905897102992496</v>
      </c>
      <c r="G76" s="8" cm="1">
        <f t="array" ref="G76">_xlfn.IFS(U76=0,0,U76&gt;0,(LOG(0.01*U76/10^-AI76)))</f>
        <v>4.9334237554869507</v>
      </c>
      <c r="H76" s="8" cm="1">
        <f t="array" ref="H76">_xlfn.IFS(V76=0,0,V76&gt;0,(LOG(0.01*V76/10^-AJ76)))</f>
        <v>5.7338153659804307</v>
      </c>
      <c r="I76" s="8" cm="1">
        <f t="array" ref="I76">_xlfn.IFS(W76=0,0,W76&gt;0,(LOG(0.01*W76/10^-AK76)))</f>
        <v>5.7338153659804307</v>
      </c>
      <c r="J76" s="8" cm="1">
        <f t="array" ref="J76">_xlfn.IFS(X76=0,0,X76&gt;0,(LOG(0.01*X76/10^-AL76)))</f>
        <v>6.2588530764097072</v>
      </c>
      <c r="K76" s="8" cm="1">
        <f t="array" ref="K76">_xlfn.IFS(Y76=0,0,Y76&gt;0,(LOG(0.01*Y76/10^-AM76)))</f>
        <v>5.883815365980432</v>
      </c>
      <c r="L76" s="8" cm="1">
        <f t="array" ref="L76">_xlfn.IFS(Z76=0,0,Z76&gt;0,(LOG(0.01*Z76/10^-AN76)))</f>
        <v>5.883815365980432</v>
      </c>
      <c r="M76" s="8" cm="1">
        <f t="array" ref="M76">_xlfn.IFS(AA76=0,0,AA76&gt;0,(LOG(0.01*AA76/10^-AO76)))</f>
        <v>5.3039433523068382</v>
      </c>
      <c r="N76" s="8" cm="1">
        <f t="array" ref="N76">_xlfn.IFS(AB76=0,0,AB76&gt;0,(LOG(0.01*AB76/10^-AP76)))</f>
        <v>5.4063358609287526</v>
      </c>
      <c r="O76" s="8" cm="1">
        <f t="array" ref="O76">_xlfn.IFS(AC76=0,0,AC76&gt;0,(LOG(0.01*AC76/10^-AQ76)))</f>
        <v>5.4063358609287526</v>
      </c>
      <c r="P76" s="8" cm="1">
        <f t="array" ref="P76">_xlfn.IFS(AD76=0,0,AD76&gt;0,(LOG(0.01*AD76/10^-AR76)))</f>
        <v>6.3622560713564775</v>
      </c>
      <c r="Q76" s="8" cm="1">
        <f t="array" ref="Q76">_xlfn.IFS(AE76=0,0,AE76&gt;0,(LOG(0.01*AE76/10^-AS76)))</f>
        <v>5.093186268412274</v>
      </c>
      <c r="R76" s="8" cm="1">
        <f t="array" ref="R76">_xlfn.IFS(AF76=0,0,AF76&gt;0,(LOG(0.01*AF76/10^-AT76)))</f>
        <v>5.0413680022349752</v>
      </c>
      <c r="S76" s="8" cm="1">
        <f t="array" ref="S76">_xlfn.IFS(AG76=0,0,AG76&gt;0,(LOG(0.01*AG76/10^-AU76)))</f>
        <v>4.8944579892269191</v>
      </c>
      <c r="T76" s="16">
        <v>12.9</v>
      </c>
      <c r="U76" s="17">
        <v>10.8</v>
      </c>
      <c r="V76" s="17">
        <v>24.2</v>
      </c>
      <c r="W76" s="17">
        <v>24.2</v>
      </c>
      <c r="X76" s="17">
        <v>19.899999999999999</v>
      </c>
      <c r="Y76" s="17">
        <v>24.2</v>
      </c>
      <c r="Z76" s="17">
        <v>24.2</v>
      </c>
      <c r="AA76" s="17">
        <v>13</v>
      </c>
      <c r="AB76" s="17">
        <v>21.2</v>
      </c>
      <c r="AC76" s="17">
        <v>21.2</v>
      </c>
      <c r="AD76" s="17">
        <v>19.600000000000001</v>
      </c>
      <c r="AE76" s="17">
        <v>14.9</v>
      </c>
      <c r="AF76" s="17">
        <v>14.5</v>
      </c>
      <c r="AG76" s="17">
        <v>11.6</v>
      </c>
      <c r="AH76" s="14">
        <v>5.88</v>
      </c>
      <c r="AI76" s="15">
        <v>5.9</v>
      </c>
      <c r="AJ76" s="15">
        <v>6.35</v>
      </c>
      <c r="AK76" s="15">
        <v>6.35</v>
      </c>
      <c r="AL76" s="15">
        <v>6.96</v>
      </c>
      <c r="AM76" s="15">
        <v>6.5</v>
      </c>
      <c r="AN76" s="15">
        <v>6.5</v>
      </c>
      <c r="AO76" s="15">
        <v>6.19</v>
      </c>
      <c r="AP76" s="15">
        <v>6.08</v>
      </c>
      <c r="AQ76" s="15">
        <v>6.08</v>
      </c>
      <c r="AR76" s="15">
        <v>7.07</v>
      </c>
      <c r="AS76" s="15">
        <v>5.92</v>
      </c>
      <c r="AT76" s="15">
        <v>5.88</v>
      </c>
      <c r="AU76" s="15">
        <v>5.83</v>
      </c>
      <c r="AW76" s="186" t="str">
        <f>IF(VLOOKUP($A76,'I-Ligands'!$A:$G,3,FALSE)="","",VLOOKUP($A76,'I-Ligands'!$A:$G,3,FALSE))</f>
        <v>Serotonin</v>
      </c>
      <c r="AX76" s="187" t="str">
        <f>IF(VLOOKUP($A76,'I-Ligands'!$A:$G,4,FALSE)="","",VLOOKUP($A76,'I-Ligands'!$A:$G,4,FALSE))</f>
        <v>5-Hydroxytryptamine Hydrochloride</v>
      </c>
      <c r="AY76" s="98">
        <v>6.18</v>
      </c>
      <c r="AZ76" s="99">
        <v>5.13</v>
      </c>
      <c r="BA76" s="99">
        <v>3.01</v>
      </c>
      <c r="BB76" s="99">
        <v>3.01</v>
      </c>
      <c r="BC76" s="99">
        <v>4.25</v>
      </c>
      <c r="BD76" s="99">
        <v>7.11</v>
      </c>
      <c r="BE76" s="99">
        <v>7.11</v>
      </c>
      <c r="BF76" s="99">
        <v>3.62</v>
      </c>
      <c r="BG76" s="99">
        <v>3.99</v>
      </c>
      <c r="BH76" s="99">
        <v>3.99</v>
      </c>
      <c r="BI76" s="99">
        <v>3.58</v>
      </c>
      <c r="BJ76" s="99">
        <v>4.91</v>
      </c>
      <c r="BK76" s="99">
        <v>3.55</v>
      </c>
      <c r="BL76" s="99">
        <v>3.43</v>
      </c>
      <c r="BM76" s="98">
        <f t="shared" si="28"/>
        <v>2.087378640776699</v>
      </c>
      <c r="BN76" s="99">
        <f t="shared" si="29"/>
        <v>2.1052631578947372</v>
      </c>
      <c r="BO76" s="99">
        <f t="shared" si="30"/>
        <v>8.0398671096345513</v>
      </c>
      <c r="BP76" s="99">
        <f t="shared" si="31"/>
        <v>8.0398671096345513</v>
      </c>
      <c r="BQ76" s="99">
        <f t="shared" si="32"/>
        <v>4.6823529411764699</v>
      </c>
      <c r="BR76" s="99">
        <f t="shared" si="33"/>
        <v>3.4036568213783402</v>
      </c>
      <c r="BS76" s="99">
        <f t="shared" si="34"/>
        <v>3.4036568213783402</v>
      </c>
      <c r="BT76" s="99">
        <f t="shared" si="35"/>
        <v>3.5911602209944751</v>
      </c>
      <c r="BU76" s="99">
        <f t="shared" si="36"/>
        <v>5.3132832080200494</v>
      </c>
      <c r="BV76" s="99">
        <f t="shared" si="37"/>
        <v>5.3132832080200494</v>
      </c>
      <c r="BW76" s="99">
        <f t="shared" si="38"/>
        <v>5.4748603351955314</v>
      </c>
      <c r="BX76" s="99">
        <f t="shared" si="39"/>
        <v>3.0346232179226069</v>
      </c>
      <c r="BY76" s="99">
        <f t="shared" si="40"/>
        <v>4.084507042253521</v>
      </c>
      <c r="BZ76" s="99">
        <f t="shared" si="41"/>
        <v>3.3819241982507284</v>
      </c>
      <c r="CA76" s="18" t="e">
        <f>VLOOKUP(A76,'Bouvier-GEMTA'!A:C,4,FALSE)</f>
        <v>#REF!</v>
      </c>
      <c r="CB76" s="18">
        <f>VLOOKUP(A76,'Martemyanov-FreeGβγ-Nluc'!A:BG,4,FALSE)</f>
        <v>5</v>
      </c>
    </row>
    <row r="77" spans="1:80" ht="18">
      <c r="A77" s="12" t="s">
        <v>112</v>
      </c>
      <c r="B77" s="13" t="s">
        <v>2614</v>
      </c>
      <c r="C77" s="9" t="str">
        <f>IF(VLOOKUP($A77,'I-Ligands'!$A:$G,5,FALSE)="","",VLOOKUP($A77,'I-Ligands'!$A:$G,5,FALSE))</f>
        <v>Guide to Pharmacology</v>
      </c>
      <c r="D77" s="9">
        <f>IF(VLOOKUP($A77,'I-Ligands'!$A:$G,6,FALSE)="","",VLOOKUP($A77,'I-Ligands'!$A:$G,6,FALSE))</f>
        <v>989</v>
      </c>
      <c r="E77" s="9" t="str">
        <f>IF(VLOOKUP($A77,'I-Ligands'!$A:$G,7,FALSE)="","",VLOOKUP($A77,'I-Ligands'!$A:$G,7,FALSE))</f>
        <v>Phys</v>
      </c>
      <c r="F77" s="7" cm="1">
        <f t="array" ref="F77">_xlfn.IFS(T77=0,0,T77&gt;0,(LOG(0.01*T77/10^-AH77)))</f>
        <v>9.5212412373755875</v>
      </c>
      <c r="G77" s="8" cm="1">
        <f t="array" ref="G77">_xlfn.IFS(U77=0,0,U77&gt;0,(LOG(0.01*U77/10^-AI77)))</f>
        <v>9.3274529528899564</v>
      </c>
      <c r="H77" s="8" cm="1">
        <f t="array" ref="H77">_xlfn.IFS(V77=0,0,V77&gt;0,(LOG(0.01*V77/10^-AJ77)))</f>
        <v>10.107606952720493</v>
      </c>
      <c r="I77" s="8" cm="1">
        <f t="array" ref="I77">_xlfn.IFS(W77=0,0,W77&gt;0,(LOG(0.01*W77/10^-AK77)))</f>
        <v>10.107606952720493</v>
      </c>
      <c r="J77" s="8" cm="1">
        <f t="array" ref="J77">_xlfn.IFS(X77=0,0,X77&gt;0,(LOG(0.01*X77/10^-AL77)))</f>
        <v>10.006098202012833</v>
      </c>
      <c r="K77" s="8" cm="1">
        <f t="array" ref="K77">_xlfn.IFS(Y77=0,0,Y77&gt;0,(LOG(0.01*Y77/10^-AM77)))</f>
        <v>9.5355809910179534</v>
      </c>
      <c r="L77" s="8" cm="1">
        <f t="array" ref="L77">_xlfn.IFS(Z77=0,0,Z77&gt;0,(LOG(0.01*Z77/10^-AN77)))</f>
        <v>9.5355809910179534</v>
      </c>
      <c r="M77" s="8" cm="1">
        <f t="array" ref="M77">_xlfn.IFS(AA77=0,0,AA77&gt;0,(LOG(0.01*AA77/10^-AO77)))</f>
        <v>9.7978190950732742</v>
      </c>
      <c r="N77" s="8" cm="1">
        <f t="array" ref="N77">_xlfn.IFS(AB77=0,0,AB77&gt;0,(LOG(0.01*AB77/10^-AP77)))</f>
        <v>10.0070003411209</v>
      </c>
      <c r="O77" s="8" cm="1">
        <f t="array" ref="O77">_xlfn.IFS(AC77=0,0,AC77&gt;0,(LOG(0.01*AC77/10^-AQ77)))</f>
        <v>10.0070003411209</v>
      </c>
      <c r="P77" s="8" cm="1">
        <f t="array" ref="P77">_xlfn.IFS(AD77=0,0,AD77&gt;0,(LOG(0.01*AD77/10^-AR77)))</f>
        <v>10.12940959910272</v>
      </c>
      <c r="Q77" s="8" cm="1">
        <f t="array" ref="Q77">_xlfn.IFS(AE77=0,0,AE77&gt;0,(LOG(0.01*AE77/10^-AS77)))</f>
        <v>9.4993088591236212</v>
      </c>
      <c r="R77" s="8" cm="1">
        <f t="array" ref="R77">_xlfn.IFS(AF77=0,0,AF77&gt;0,(LOG(0.01*AF77/10^-AT77)))</f>
        <v>10.099837725867248</v>
      </c>
      <c r="S77" s="8" cm="1">
        <f t="array" ref="S77">_xlfn.IFS(AG77=0,0,AG77&gt;0,(LOG(0.01*AG77/10^-AU77)))</f>
        <v>9.6203355134145632</v>
      </c>
      <c r="T77" s="16">
        <v>48</v>
      </c>
      <c r="U77" s="17">
        <v>46.5</v>
      </c>
      <c r="V77" s="17">
        <v>47.6</v>
      </c>
      <c r="W77" s="17">
        <v>47.6</v>
      </c>
      <c r="X77" s="17">
        <v>45.3</v>
      </c>
      <c r="Y77" s="17">
        <v>46.3</v>
      </c>
      <c r="Z77" s="17">
        <v>46.3</v>
      </c>
      <c r="AA77" s="17">
        <v>34.5</v>
      </c>
      <c r="AB77" s="17">
        <v>41.4</v>
      </c>
      <c r="AC77" s="17">
        <v>41.4</v>
      </c>
      <c r="AD77" s="17">
        <v>42.6</v>
      </c>
      <c r="AE77" s="17">
        <v>48.9</v>
      </c>
      <c r="AF77" s="17">
        <v>50.1</v>
      </c>
      <c r="AG77" s="17">
        <v>47.9</v>
      </c>
      <c r="AH77" s="14">
        <v>9.84</v>
      </c>
      <c r="AI77" s="15">
        <v>9.66</v>
      </c>
      <c r="AJ77" s="15">
        <v>10.43</v>
      </c>
      <c r="AK77" s="15">
        <v>10.43</v>
      </c>
      <c r="AL77" s="15">
        <v>10.35</v>
      </c>
      <c r="AM77" s="15">
        <v>9.8699999999999992</v>
      </c>
      <c r="AN77" s="15">
        <v>9.8699999999999992</v>
      </c>
      <c r="AO77" s="15">
        <v>10.26</v>
      </c>
      <c r="AP77" s="15">
        <v>10.39</v>
      </c>
      <c r="AQ77" s="15">
        <v>10.39</v>
      </c>
      <c r="AR77" s="15">
        <v>10.5</v>
      </c>
      <c r="AS77" s="15">
        <v>9.81</v>
      </c>
      <c r="AT77" s="15">
        <v>10.4</v>
      </c>
      <c r="AU77" s="15">
        <v>9.94</v>
      </c>
      <c r="AW77" s="186" t="str">
        <f>IF(VLOOKUP($A77,'I-Ligands'!$A:$G,3,FALSE)="","",VLOOKUP($A77,'I-Ligands'!$A:$G,3,FALSE))</f>
        <v>Endothelin-1</v>
      </c>
      <c r="AX77" s="187" t="str">
        <f>IF(VLOOKUP($A77,'I-Ligands'!$A:$G,4,FALSE)="","",VLOOKUP($A77,'I-Ligands'!$A:$G,4,FALSE))</f>
        <v>CSCSSLMDKECVYFCHLDIIW</v>
      </c>
      <c r="AY77" s="98">
        <v>3.82</v>
      </c>
      <c r="AZ77" s="99">
        <v>4.6500000000000004</v>
      </c>
      <c r="BA77" s="99">
        <v>3.83</v>
      </c>
      <c r="BB77" s="99">
        <v>3.83</v>
      </c>
      <c r="BC77" s="99">
        <v>3.61</v>
      </c>
      <c r="BD77" s="99">
        <v>3.93</v>
      </c>
      <c r="BE77" s="99">
        <v>3.93</v>
      </c>
      <c r="BF77" s="99">
        <v>3.22</v>
      </c>
      <c r="BG77" s="99">
        <v>7.69</v>
      </c>
      <c r="BH77" s="99">
        <v>7.69</v>
      </c>
      <c r="BI77" s="99">
        <v>6.65</v>
      </c>
      <c r="BJ77" s="99">
        <v>3.14</v>
      </c>
      <c r="BK77" s="99">
        <v>3.03</v>
      </c>
      <c r="BL77" s="99">
        <v>4.33</v>
      </c>
      <c r="BM77" s="98">
        <f t="shared" si="28"/>
        <v>12.565445026178011</v>
      </c>
      <c r="BN77" s="99">
        <f t="shared" si="29"/>
        <v>10</v>
      </c>
      <c r="BO77" s="99">
        <f t="shared" si="30"/>
        <v>12.428198433420366</v>
      </c>
      <c r="BP77" s="99">
        <f t="shared" si="31"/>
        <v>12.428198433420366</v>
      </c>
      <c r="BQ77" s="99">
        <f t="shared" si="32"/>
        <v>12.548476454293628</v>
      </c>
      <c r="BR77" s="99">
        <f t="shared" si="33"/>
        <v>11.781170483460558</v>
      </c>
      <c r="BS77" s="99">
        <f t="shared" si="34"/>
        <v>11.781170483460558</v>
      </c>
      <c r="BT77" s="99">
        <f t="shared" si="35"/>
        <v>10.714285714285714</v>
      </c>
      <c r="BU77" s="99">
        <f t="shared" si="36"/>
        <v>5.3836150845253572</v>
      </c>
      <c r="BV77" s="99">
        <f t="shared" si="37"/>
        <v>5.3836150845253572</v>
      </c>
      <c r="BW77" s="99">
        <f t="shared" si="38"/>
        <v>6.4060150375939848</v>
      </c>
      <c r="BX77" s="99">
        <f t="shared" si="39"/>
        <v>15.573248407643311</v>
      </c>
      <c r="BY77" s="99">
        <f t="shared" si="40"/>
        <v>16.534653465346537</v>
      </c>
      <c r="BZ77" s="99">
        <f t="shared" si="41"/>
        <v>11.062355658198614</v>
      </c>
      <c r="CA77" s="18" t="e">
        <f>VLOOKUP(A77,'Bouvier-GEMTA'!A:C,4,FALSE)</f>
        <v>#REF!</v>
      </c>
      <c r="CB77" s="18">
        <f>VLOOKUP(A77,'Martemyanov-FreeGβγ-Nluc'!A:BG,4,FALSE)</f>
        <v>990</v>
      </c>
    </row>
    <row r="78" spans="1:80" ht="18">
      <c r="A78" s="12" t="s">
        <v>40</v>
      </c>
      <c r="B78" s="13" t="s">
        <v>2598</v>
      </c>
      <c r="C78" s="9" t="str">
        <f>IF(VLOOKUP($A78,'I-Ligands'!$A:$G,5,FALSE)="","",VLOOKUP($A78,'I-Ligands'!$A:$G,5,FALSE))</f>
        <v>Guide to Pharmacology</v>
      </c>
      <c r="D78" s="9">
        <f>IF(VLOOKUP($A78,'I-Ligands'!$A:$G,6,FALSE)="","",VLOOKUP($A78,'I-Ligands'!$A:$G,6,FALSE))</f>
        <v>536</v>
      </c>
      <c r="E78" s="9" t="str">
        <f>IF(VLOOKUP($A78,'I-Ligands'!$A:$G,7,FALSE)="","",VLOOKUP($A78,'I-Ligands'!$A:$G,7,FALSE))</f>
        <v>Surr</v>
      </c>
      <c r="F78" s="7" cm="1">
        <f t="array" ref="F78">_xlfn.IFS(T78=0,0,T78&gt;0,(LOG(0.01*T78/10^-AH78)))</f>
        <v>7.6563413502057935</v>
      </c>
      <c r="G78" s="8" cm="1">
        <f t="array" ref="G78">_xlfn.IFS(U78=0,0,U78&gt;0,(LOG(0.01*U78/10^-AI78)))</f>
        <v>7.4528254269591807</v>
      </c>
      <c r="H78" s="8" cm="1">
        <f t="array" ref="H78">_xlfn.IFS(V78=0,0,V78&gt;0,(LOG(0.01*V78/10^-AJ78)))</f>
        <v>6.3522883443830578</v>
      </c>
      <c r="I78" s="8" cm="1">
        <f t="array" ref="I78">_xlfn.IFS(W78=0,0,W78&gt;0,(LOG(0.01*W78/10^-AK78)))</f>
        <v>6.3522883443830578</v>
      </c>
      <c r="J78" s="8" cm="1">
        <f t="array" ref="J78">_xlfn.IFS(X78=0,0,X78&gt;0,(LOG(0.01*X78/10^-AL78)))</f>
        <v>6.339879086401238</v>
      </c>
      <c r="K78" s="8" cm="1">
        <f t="array" ref="K78">_xlfn.IFS(Y78=0,0,Y78&gt;0,(LOG(0.01*Y78/10^-AM78)))</f>
        <v>6.1153058652647703</v>
      </c>
      <c r="L78" s="8" cm="1">
        <f t="array" ref="L78">_xlfn.IFS(Z78=0,0,Z78&gt;0,(LOG(0.01*Z78/10^-AN78)))</f>
        <v>6.1153058652647703</v>
      </c>
      <c r="M78" s="8" cm="1">
        <f t="array" ref="M78">_xlfn.IFS(AA78=0,0,AA78&gt;0,(LOG(0.01*AA78/10^-AO78)))</f>
        <v>6.0123937598229693</v>
      </c>
      <c r="N78" s="8" cm="1">
        <f t="array" ref="N78">_xlfn.IFS(AB78=0,0,AB78&gt;0,(LOG(0.01*AB78/10^-AP78)))</f>
        <v>6.7931205211758181</v>
      </c>
      <c r="O78" s="8" cm="1">
        <f t="array" ref="O78">_xlfn.IFS(AC78=0,0,AC78&gt;0,(LOG(0.01*AC78/10^-AQ78)))</f>
        <v>6.7931205211758181</v>
      </c>
      <c r="P78" s="8" cm="1">
        <f t="array" ref="P78">_xlfn.IFS(AD78=0,0,AD78&gt;0,(LOG(0.01*AD78/10^-AR78)))</f>
        <v>7.8096870826184048</v>
      </c>
      <c r="Q78" s="8" cm="1">
        <f t="array" ref="Q78">_xlfn.IFS(AE78=0,0,AE78&gt;0,(LOG(0.01*AE78/10^-AS78)))</f>
        <v>0</v>
      </c>
      <c r="R78" s="8" cm="1">
        <f t="array" ref="R78">_xlfn.IFS(AF78=0,0,AF78&gt;0,(LOG(0.01*AF78/10^-AT78)))</f>
        <v>0</v>
      </c>
      <c r="S78" s="8" cm="1">
        <f t="array" ref="S78">_xlfn.IFS(AG78=0,0,AG78&gt;0,(LOG(0.01*AG78/10^-AU78)))</f>
        <v>5.9823916894982547</v>
      </c>
      <c r="T78" s="16">
        <v>37.700000000000003</v>
      </c>
      <c r="U78" s="17">
        <v>34.9</v>
      </c>
      <c r="V78" s="17">
        <v>14.2</v>
      </c>
      <c r="W78" s="17">
        <v>14.2</v>
      </c>
      <c r="X78" s="17">
        <v>13.8</v>
      </c>
      <c r="Y78" s="17">
        <v>10.6</v>
      </c>
      <c r="Z78" s="17">
        <v>10.6</v>
      </c>
      <c r="AA78" s="17">
        <v>5.4</v>
      </c>
      <c r="AB78" s="17">
        <v>25.3</v>
      </c>
      <c r="AC78" s="17">
        <v>25.3</v>
      </c>
      <c r="AD78" s="17">
        <v>31.6</v>
      </c>
      <c r="AG78" s="17">
        <v>6.2</v>
      </c>
      <c r="AH78" s="14">
        <v>8.08</v>
      </c>
      <c r="AI78" s="15">
        <v>7.91</v>
      </c>
      <c r="AJ78" s="15">
        <v>7.2</v>
      </c>
      <c r="AK78" s="15">
        <v>7.2</v>
      </c>
      <c r="AL78" s="15">
        <v>7.2</v>
      </c>
      <c r="AM78" s="15">
        <v>7.09</v>
      </c>
      <c r="AN78" s="15">
        <v>7.09</v>
      </c>
      <c r="AO78" s="15">
        <v>7.28</v>
      </c>
      <c r="AP78" s="15">
        <v>7.39</v>
      </c>
      <c r="AQ78" s="15">
        <v>7.39</v>
      </c>
      <c r="AR78" s="15">
        <v>8.31</v>
      </c>
      <c r="AU78" s="15">
        <v>7.19</v>
      </c>
      <c r="AW78" s="186" t="str">
        <f>IF(VLOOKUP($A78,'I-Ligands'!$A:$G,3,FALSE)="","",VLOOKUP($A78,'I-Ligands'!$A:$G,3,FALSE))</f>
        <v>Isoproterenol</v>
      </c>
      <c r="AX78" s="187" t="str">
        <f>IF(VLOOKUP($A78,'I-Ligands'!$A:$G,4,FALSE)="","",VLOOKUP($A78,'I-Ligands'!$A:$G,4,FALSE))</f>
        <v>(−)-Isoproterenol hydrochloride</v>
      </c>
      <c r="AY78" s="98">
        <v>4.0199999999999996</v>
      </c>
      <c r="AZ78" s="99">
        <v>4.74</v>
      </c>
      <c r="BA78" s="99">
        <v>3.26</v>
      </c>
      <c r="BB78" s="99">
        <v>3.26</v>
      </c>
      <c r="BC78" s="99">
        <v>3.15</v>
      </c>
      <c r="BD78" s="99">
        <v>2.64</v>
      </c>
      <c r="BE78" s="99">
        <v>2.64</v>
      </c>
      <c r="BF78" s="99">
        <v>1.18</v>
      </c>
      <c r="BG78" s="99">
        <v>4.4000000000000004</v>
      </c>
      <c r="BH78" s="99">
        <v>4.4000000000000004</v>
      </c>
      <c r="BI78" s="99">
        <v>2.2000000000000002</v>
      </c>
      <c r="BJ78" s="99">
        <v>3.69</v>
      </c>
      <c r="BK78" s="99">
        <v>3.86</v>
      </c>
      <c r="BL78" s="99">
        <v>4.4800000000000004</v>
      </c>
      <c r="BM78" s="98">
        <f t="shared" si="28"/>
        <v>9.3781094527363198</v>
      </c>
      <c r="BN78" s="99">
        <f t="shared" si="29"/>
        <v>7.3628691983122359</v>
      </c>
      <c r="BO78" s="99">
        <f t="shared" si="30"/>
        <v>4.3558282208588954</v>
      </c>
      <c r="BP78" s="99">
        <f t="shared" si="31"/>
        <v>4.3558282208588954</v>
      </c>
      <c r="BQ78" s="99">
        <f t="shared" si="32"/>
        <v>4.3809523809523814</v>
      </c>
      <c r="BR78" s="99">
        <f t="shared" si="33"/>
        <v>4.0151515151515147</v>
      </c>
      <c r="BS78" s="99">
        <f t="shared" si="34"/>
        <v>4.0151515151515147</v>
      </c>
      <c r="BT78" s="99">
        <f t="shared" si="35"/>
        <v>4.5762711864406782</v>
      </c>
      <c r="BU78" s="99">
        <f t="shared" si="36"/>
        <v>5.75</v>
      </c>
      <c r="BV78" s="99">
        <f t="shared" si="37"/>
        <v>5.75</v>
      </c>
      <c r="BW78" s="99">
        <f t="shared" si="38"/>
        <v>14.363636363636363</v>
      </c>
      <c r="BX78" s="99">
        <f t="shared" si="39"/>
        <v>0</v>
      </c>
      <c r="BY78" s="99">
        <f t="shared" si="40"/>
        <v>0</v>
      </c>
      <c r="BZ78" s="99">
        <f t="shared" si="41"/>
        <v>1.3839285714285714</v>
      </c>
      <c r="CA78" s="18" t="e">
        <f>VLOOKUP(A78,'Bouvier-GEMTA'!A:C,4,FALSE)</f>
        <v>#REF!</v>
      </c>
      <c r="CB78" s="18">
        <f>VLOOKUP(A78,'Martemyanov-FreeGβγ-Nluc'!A:BG,4,FALSE)</f>
        <v>509</v>
      </c>
    </row>
    <row r="79" spans="1:80" ht="18">
      <c r="A79" s="12" t="s">
        <v>203</v>
      </c>
      <c r="B79" s="13" t="s">
        <v>2660</v>
      </c>
      <c r="C79" s="9" t="str">
        <f>IF(VLOOKUP($A79,'I-Ligands'!$A:$G,5,FALSE)="","",VLOOKUP($A79,'I-Ligands'!$A:$G,5,FALSE))</f>
        <v>Guide to Pharmacology</v>
      </c>
      <c r="D79" s="9">
        <f>IF(VLOOKUP($A79,'I-Ligands'!$A:$G,6,FALSE)="","",VLOOKUP($A79,'I-Ligands'!$A:$G,6,FALSE))</f>
        <v>1883</v>
      </c>
      <c r="E79" s="9" t="str">
        <f>IF(VLOOKUP($A79,'I-Ligands'!$A:$G,7,FALSE)="","",VLOOKUP($A79,'I-Ligands'!$A:$G,7,FALSE))</f>
        <v>Phys</v>
      </c>
      <c r="F79" s="7" cm="1">
        <f t="array" ref="F79">_xlfn.IFS(T79=0,0,T79&gt;0,(LOG(0.01*T79/10^-AH79)))</f>
        <v>7.9615792439465816</v>
      </c>
      <c r="G79" s="8" cm="1">
        <f t="array" ref="G79">_xlfn.IFS(U79=0,0,U79&gt;0,(LOG(0.01*U79/10^-AI79)))</f>
        <v>7.8476299008713397</v>
      </c>
      <c r="H79" s="8" cm="1">
        <f t="array" ref="H79">_xlfn.IFS(V79=0,0,V79&gt;0,(LOG(0.01*V79/10^-AJ79)))</f>
        <v>7.423815365980432</v>
      </c>
      <c r="I79" s="8" cm="1">
        <f t="array" ref="I79">_xlfn.IFS(W79=0,0,W79&gt;0,(LOG(0.01*W79/10^-AK79)))</f>
        <v>7.423815365980432</v>
      </c>
      <c r="J79" s="8" cm="1">
        <f t="array" ref="J79">_xlfn.IFS(X79=0,0,X79&gt;0,(LOG(0.01*X79/10^-AL79)))</f>
        <v>6.8791812460476249</v>
      </c>
      <c r="K79" s="8" cm="1">
        <f t="array" ref="K79">_xlfn.IFS(Y79=0,0,Y79&gt;0,(LOG(0.01*Y79/10^-AM79)))</f>
        <v>6.8406978403536138</v>
      </c>
      <c r="L79" s="8" cm="1">
        <f t="array" ref="L79">_xlfn.IFS(Z79=0,0,Z79&gt;0,(LOG(0.01*Z79/10^-AN79)))</f>
        <v>6.8406978403536138</v>
      </c>
      <c r="M79" s="8" cm="1">
        <f t="array" ref="M79">_xlfn.IFS(AA79=0,0,AA79&gt;0,(LOG(0.01*AA79/10^-AO79)))</f>
        <v>6.6444826721501693</v>
      </c>
      <c r="N79" s="8" cm="1">
        <f t="array" ref="N79">_xlfn.IFS(AB79=0,0,AB79&gt;0,(LOG(0.01*AB79/10^-AP79)))</f>
        <v>8.5210646070264993</v>
      </c>
      <c r="O79" s="8" cm="1">
        <f t="array" ref="O79">_xlfn.IFS(AC79=0,0,AC79&gt;0,(LOG(0.01*AC79/10^-AQ79)))</f>
        <v>8.5210646070264993</v>
      </c>
      <c r="P79" s="8" cm="1">
        <f t="array" ref="P79">_xlfn.IFS(AD79=0,0,AD79&gt;0,(LOG(0.01*AD79/10^-AR79)))</f>
        <v>8.1163392773898462</v>
      </c>
      <c r="Q79" s="8" cm="1">
        <f t="array" ref="Q79">_xlfn.IFS(AE79=0,0,AE79&gt;0,(LOG(0.01*AE79/10^-AS79)))</f>
        <v>6.8386001717619189</v>
      </c>
      <c r="R79" s="8" cm="1">
        <f t="array" ref="R79">_xlfn.IFS(AF79=0,0,AF79&gt;0,(LOG(0.01*AF79/10^-AT79)))</f>
        <v>7.9699066250361135</v>
      </c>
      <c r="S79" s="8" cm="1">
        <f t="array" ref="S79">_xlfn.IFS(AG79=0,0,AG79&gt;0,(LOG(0.01*AG79/10^-AU79)))</f>
        <v>7.4777505628203889</v>
      </c>
      <c r="T79" s="16">
        <v>34.799999999999997</v>
      </c>
      <c r="U79" s="17">
        <v>33.700000000000003</v>
      </c>
      <c r="V79" s="17">
        <v>24.2</v>
      </c>
      <c r="W79" s="17">
        <v>24.2</v>
      </c>
      <c r="X79" s="17">
        <v>12</v>
      </c>
      <c r="Y79" s="17">
        <v>11.5</v>
      </c>
      <c r="Z79" s="17">
        <v>11.5</v>
      </c>
      <c r="AA79" s="17">
        <v>8.8000000000000007</v>
      </c>
      <c r="AB79" s="17">
        <v>39</v>
      </c>
      <c r="AC79" s="17">
        <v>39</v>
      </c>
      <c r="AD79" s="17">
        <v>33.6</v>
      </c>
      <c r="AE79" s="17">
        <v>10.199999999999999</v>
      </c>
      <c r="AF79" s="17">
        <v>36.299999999999997</v>
      </c>
      <c r="AG79" s="17">
        <v>27.4</v>
      </c>
      <c r="AH79" s="14">
        <v>8.42</v>
      </c>
      <c r="AI79" s="15">
        <v>8.32</v>
      </c>
      <c r="AJ79" s="15">
        <v>8.0399999999999991</v>
      </c>
      <c r="AK79" s="15">
        <v>8.0399999999999991</v>
      </c>
      <c r="AL79" s="15">
        <v>7.8</v>
      </c>
      <c r="AM79" s="15">
        <v>7.78</v>
      </c>
      <c r="AN79" s="15">
        <v>7.78</v>
      </c>
      <c r="AO79" s="15">
        <v>7.7</v>
      </c>
      <c r="AP79" s="15">
        <v>8.93</v>
      </c>
      <c r="AQ79" s="15">
        <v>8.93</v>
      </c>
      <c r="AR79" s="15">
        <v>8.59</v>
      </c>
      <c r="AS79" s="15">
        <v>7.83</v>
      </c>
      <c r="AT79" s="15">
        <v>8.41</v>
      </c>
      <c r="AU79" s="15">
        <v>8.0399999999999991</v>
      </c>
      <c r="AW79" s="186" t="str">
        <f>IF(VLOOKUP($A79,'I-Ligands'!$A:$G,3,FALSE)="","",VLOOKUP($A79,'I-Ligands'!$A:$G,3,FALSE))</f>
        <v>Prostaglandin E2</v>
      </c>
      <c r="AX79" s="187" t="str">
        <f>IF(VLOOKUP($A79,'I-Ligands'!$A:$G,4,FALSE)="","",VLOOKUP($A79,'I-Ligands'!$A:$G,4,FALSE))</f>
        <v>Prostaglandin E2</v>
      </c>
      <c r="AY79" s="98">
        <v>7.9</v>
      </c>
      <c r="AZ79" s="99">
        <v>4.8899999999999997</v>
      </c>
      <c r="BA79" s="99">
        <v>5.91</v>
      </c>
      <c r="BB79" s="99">
        <v>5.91</v>
      </c>
      <c r="BC79" s="99">
        <v>5.05</v>
      </c>
      <c r="BD79" s="99">
        <v>5.25</v>
      </c>
      <c r="BE79" s="99">
        <v>5.25</v>
      </c>
      <c r="BF79" s="99">
        <v>7.67</v>
      </c>
      <c r="BG79" s="99">
        <v>6.4</v>
      </c>
      <c r="BH79" s="99">
        <v>6.4</v>
      </c>
      <c r="BI79" s="99">
        <v>6.27</v>
      </c>
      <c r="BJ79" s="99">
        <v>5.48</v>
      </c>
      <c r="BK79" s="99">
        <v>3.07</v>
      </c>
      <c r="BL79" s="99">
        <v>5.04</v>
      </c>
      <c r="BM79" s="98">
        <f t="shared" si="28"/>
        <v>4.40506329113924</v>
      </c>
      <c r="BN79" s="99">
        <f t="shared" si="29"/>
        <v>6.8916155419222918</v>
      </c>
      <c r="BO79" s="99">
        <f t="shared" si="30"/>
        <v>4.0947546531302876</v>
      </c>
      <c r="BP79" s="99">
        <f t="shared" si="31"/>
        <v>4.0947546531302876</v>
      </c>
      <c r="BQ79" s="99">
        <f t="shared" si="32"/>
        <v>2.3762376237623761</v>
      </c>
      <c r="BR79" s="99">
        <f t="shared" si="33"/>
        <v>2.1904761904761907</v>
      </c>
      <c r="BS79" s="99">
        <f t="shared" si="34"/>
        <v>2.1904761904761907</v>
      </c>
      <c r="BT79" s="99">
        <f t="shared" si="35"/>
        <v>1.1473272490221644</v>
      </c>
      <c r="BU79" s="99">
        <f t="shared" si="36"/>
        <v>6.09375</v>
      </c>
      <c r="BV79" s="99">
        <f t="shared" si="37"/>
        <v>6.09375</v>
      </c>
      <c r="BW79" s="99">
        <f t="shared" si="38"/>
        <v>5.3588516746411488</v>
      </c>
      <c r="BX79" s="99">
        <f t="shared" si="39"/>
        <v>1.8613138686131385</v>
      </c>
      <c r="BY79" s="99">
        <f t="shared" si="40"/>
        <v>11.824104234527686</v>
      </c>
      <c r="BZ79" s="99">
        <f t="shared" si="41"/>
        <v>5.4365079365079358</v>
      </c>
      <c r="CA79" s="18" t="e">
        <f>VLOOKUP(A79,'Bouvier-GEMTA'!A:C,4,FALSE)</f>
        <v>#REF!</v>
      </c>
      <c r="CB79" s="18">
        <f>VLOOKUP(A79,'Martemyanov-FreeGβγ-Nluc'!A:BG,4,FALSE)</f>
        <v>1883</v>
      </c>
    </row>
    <row r="80" spans="1:80" ht="18">
      <c r="A80" s="12" t="s">
        <v>54</v>
      </c>
      <c r="B80" s="13" t="s">
        <v>2603</v>
      </c>
      <c r="C80" s="9" t="str">
        <f>IF(VLOOKUP($A80,'I-Ligands'!$A:$G,5,FALSE)="","",VLOOKUP($A80,'I-Ligands'!$A:$G,5,FALSE))</f>
        <v>Guide to Pharmacology</v>
      </c>
      <c r="D80" s="9">
        <f>IF(VLOOKUP($A80,'I-Ligands'!$A:$G,6,FALSE)="","",VLOOKUP($A80,'I-Ligands'!$A:$G,6,FALSE))</f>
        <v>650</v>
      </c>
      <c r="E80" s="9" t="str">
        <f>IF(VLOOKUP($A80,'I-Ligands'!$A:$G,7,FALSE)="","",VLOOKUP($A80,'I-Ligands'!$A:$G,7,FALSE))</f>
        <v>Phys</v>
      </c>
      <c r="F80" s="7" cm="1">
        <f t="array" ref="F80">_xlfn.IFS(T80=0,0,T80&gt;0,(LOG(0.01*T80/10^-AH80)))</f>
        <v>7.9699584794248368</v>
      </c>
      <c r="G80" s="8" cm="1">
        <f t="array" ref="G80">_xlfn.IFS(U80=0,0,U80&gt;0,(LOG(0.01*U80/10^-AI80)))</f>
        <v>7.6516197059632312</v>
      </c>
      <c r="H80" s="8" cm="1">
        <f t="array" ref="H80">_xlfn.IFS(V80=0,0,V80&gt;0,(LOG(0.01*V80/10^-AJ80)))</f>
        <v>9.5342260530844705</v>
      </c>
      <c r="I80" s="8" cm="1">
        <f t="array" ref="I80">_xlfn.IFS(W80=0,0,W80&gt;0,(LOG(0.01*W80/10^-AK80)))</f>
        <v>9.5342260530844705</v>
      </c>
      <c r="J80" s="8" cm="1">
        <f t="array" ref="J80">_xlfn.IFS(X80=0,0,X80&gt;0,(LOG(0.01*X80/10^-AL80)))</f>
        <v>9.8356711883244294</v>
      </c>
      <c r="K80" s="8" cm="1">
        <f t="array" ref="K80">_xlfn.IFS(Y80=0,0,Y80&gt;0,(LOG(0.01*Y80/10^-AM80)))</f>
        <v>9.0831987739686237</v>
      </c>
      <c r="L80" s="8" cm="1">
        <f t="array" ref="L80">_xlfn.IFS(Z80=0,0,Z80&gt;0,(LOG(0.01*Z80/10^-AN80)))</f>
        <v>9.0831987739686237</v>
      </c>
      <c r="M80" s="8" cm="1">
        <f t="array" ref="M80">_xlfn.IFS(AA80=0,0,AA80&gt;0,(LOG(0.01*AA80/10^-AO80)))</f>
        <v>8.1226969532596662</v>
      </c>
      <c r="N80" s="8" cm="1">
        <f t="array" ref="N80">_xlfn.IFS(AB80=0,0,AB80&gt;0,(LOG(0.01*AB80/10^-AP80)))</f>
        <v>9.8085507165004469</v>
      </c>
      <c r="O80" s="8" cm="1">
        <f t="array" ref="O80">_xlfn.IFS(AC80=0,0,AC80&gt;0,(LOG(0.01*AC80/10^-AQ80)))</f>
        <v>9.8085507165004469</v>
      </c>
      <c r="P80" s="8" cm="1">
        <f t="array" ref="P80">_xlfn.IFS(AD80=0,0,AD80&gt;0,(LOG(0.01*AD80/10^-AR80)))</f>
        <v>9.7683473304121602</v>
      </c>
      <c r="Q80" s="8" cm="1">
        <f t="array" ref="Q80">_xlfn.IFS(AE80=0,0,AE80&gt;0,(LOG(0.01*AE80/10^-AS80)))</f>
        <v>9.636340367375043</v>
      </c>
      <c r="R80" s="8" cm="1">
        <f t="array" ref="R80">_xlfn.IFS(AF80=0,0,AF80&gt;0,(LOG(0.01*AF80/10^-AT80)))</f>
        <v>8.9385260335771957</v>
      </c>
      <c r="S80" s="8" cm="1">
        <f t="array" ref="S80">_xlfn.IFS(AG80=0,0,AG80&gt;0,(LOG(0.01*AG80/10^-AU80)))</f>
        <v>9.1365873046717567</v>
      </c>
      <c r="T80" s="16">
        <v>30.9</v>
      </c>
      <c r="U80" s="17">
        <v>25.8</v>
      </c>
      <c r="V80" s="17">
        <v>40.200000000000003</v>
      </c>
      <c r="W80" s="17">
        <v>40.200000000000003</v>
      </c>
      <c r="X80" s="17">
        <v>29.9</v>
      </c>
      <c r="Y80" s="17">
        <v>38.299999999999997</v>
      </c>
      <c r="Z80" s="17">
        <v>38.299999999999997</v>
      </c>
      <c r="AA80" s="17">
        <v>24.7</v>
      </c>
      <c r="AB80" s="17">
        <v>30.8</v>
      </c>
      <c r="AC80" s="17">
        <v>30.8</v>
      </c>
      <c r="AD80" s="17">
        <v>29.4</v>
      </c>
      <c r="AE80" s="17">
        <v>42.3</v>
      </c>
      <c r="AF80" s="17">
        <v>40.6</v>
      </c>
      <c r="AG80" s="17">
        <v>38.6</v>
      </c>
      <c r="AH80" s="14">
        <v>8.48</v>
      </c>
      <c r="AI80" s="15">
        <v>8.24</v>
      </c>
      <c r="AJ80" s="15">
        <v>9.93</v>
      </c>
      <c r="AK80" s="15">
        <v>9.93</v>
      </c>
      <c r="AL80" s="15">
        <v>10.36</v>
      </c>
      <c r="AM80" s="15">
        <v>9.5</v>
      </c>
      <c r="AN80" s="15">
        <v>9.5</v>
      </c>
      <c r="AO80" s="15">
        <v>8.73</v>
      </c>
      <c r="AP80" s="15">
        <v>10.32</v>
      </c>
      <c r="AQ80" s="15">
        <v>10.32</v>
      </c>
      <c r="AR80" s="15">
        <v>10.3</v>
      </c>
      <c r="AS80" s="15">
        <v>10.01</v>
      </c>
      <c r="AT80" s="15">
        <v>9.33</v>
      </c>
      <c r="AU80" s="15">
        <v>9.5500000000000007</v>
      </c>
      <c r="AW80" s="186" t="str">
        <f>IF(VLOOKUP($A80,'I-Ligands'!$A:$G,3,FALSE)="","",VLOOKUP($A80,'I-Ligands'!$A:$G,3,FALSE))</f>
        <v>Lysyl-Bradykinin</v>
      </c>
      <c r="AX80" s="187" t="str">
        <f>IF(VLOOKUP($A80,'I-Ligands'!$A:$G,4,FALSE)="","",VLOOKUP($A80,'I-Ligands'!$A:$G,4,FALSE))</f>
        <v>KRPPGFSPFR</v>
      </c>
      <c r="AY80" s="98">
        <v>4.0199999999999996</v>
      </c>
      <c r="AZ80" s="99">
        <v>4.8899999999999997</v>
      </c>
      <c r="BA80" s="99">
        <v>4.9400000000000004</v>
      </c>
      <c r="BB80" s="99">
        <v>4.9400000000000004</v>
      </c>
      <c r="BC80" s="99">
        <v>4.97</v>
      </c>
      <c r="BD80" s="99">
        <v>4.76</v>
      </c>
      <c r="BE80" s="99">
        <v>4.76</v>
      </c>
      <c r="BF80" s="99">
        <v>2.75</v>
      </c>
      <c r="BG80" s="99">
        <v>4.8</v>
      </c>
      <c r="BH80" s="99">
        <v>4.8</v>
      </c>
      <c r="BI80" s="99">
        <v>4.74</v>
      </c>
      <c r="BJ80" s="99">
        <v>2.9</v>
      </c>
      <c r="BK80" s="99">
        <v>2.44</v>
      </c>
      <c r="BL80" s="99">
        <v>3.12</v>
      </c>
      <c r="BM80" s="98">
        <f t="shared" si="28"/>
        <v>7.6865671641791051</v>
      </c>
      <c r="BN80" s="99">
        <f t="shared" si="29"/>
        <v>5.2760736196319025</v>
      </c>
      <c r="BO80" s="99">
        <f t="shared" si="30"/>
        <v>8.1376518218623488</v>
      </c>
      <c r="BP80" s="99">
        <f t="shared" si="31"/>
        <v>8.1376518218623488</v>
      </c>
      <c r="BQ80" s="99">
        <f t="shared" si="32"/>
        <v>6.0160965794768613</v>
      </c>
      <c r="BR80" s="99">
        <f t="shared" si="33"/>
        <v>8.0462184873949578</v>
      </c>
      <c r="BS80" s="99">
        <f t="shared" si="34"/>
        <v>8.0462184873949578</v>
      </c>
      <c r="BT80" s="99">
        <f t="shared" si="35"/>
        <v>8.9818181818181824</v>
      </c>
      <c r="BU80" s="99">
        <f t="shared" si="36"/>
        <v>6.416666666666667</v>
      </c>
      <c r="BV80" s="99">
        <f t="shared" si="37"/>
        <v>6.416666666666667</v>
      </c>
      <c r="BW80" s="99">
        <f t="shared" si="38"/>
        <v>6.2025316455696196</v>
      </c>
      <c r="BX80" s="99">
        <f t="shared" si="39"/>
        <v>14.586206896551724</v>
      </c>
      <c r="BY80" s="99">
        <f t="shared" si="40"/>
        <v>16.639344262295083</v>
      </c>
      <c r="BZ80" s="99">
        <f t="shared" si="41"/>
        <v>12.371794871794872</v>
      </c>
      <c r="CA80" s="18" t="e">
        <f>VLOOKUP(A80,'Bouvier-GEMTA'!A:C,4,FALSE)</f>
        <v>#REF!</v>
      </c>
      <c r="CB80" s="18">
        <f>VLOOKUP(A80,'Martemyanov-FreeGβγ-Nluc'!A:BG,4,FALSE)</f>
        <v>649</v>
      </c>
    </row>
    <row r="81" spans="1:80" ht="18">
      <c r="A81" s="12" t="s">
        <v>21</v>
      </c>
      <c r="B81" s="13" t="s">
        <v>2578</v>
      </c>
      <c r="C81" s="9" t="str">
        <f>IF(VLOOKUP($A81,'I-Ligands'!$A:$G,5,FALSE)="","",VLOOKUP($A81,'I-Ligands'!$A:$G,5,FALSE))</f>
        <v>Guide to Pharmacology</v>
      </c>
      <c r="D81" s="9">
        <f>IF(VLOOKUP($A81,'I-Ligands'!$A:$G,6,FALSE)="","",VLOOKUP($A81,'I-Ligands'!$A:$G,6,FALSE))</f>
        <v>5</v>
      </c>
      <c r="E81" s="9" t="str">
        <f>IF(VLOOKUP($A81,'I-Ligands'!$A:$G,7,FALSE)="","",VLOOKUP($A81,'I-Ligands'!$A:$G,7,FALSE))</f>
        <v>Phys</v>
      </c>
      <c r="F81" s="7" cm="1">
        <f t="array" ref="F81">_xlfn.IFS(T81=0,0,T81&gt;0,(LOG(0.01*T81/10^-AH81)))</f>
        <v>5.9334279935629386</v>
      </c>
      <c r="G81" s="8" cm="1">
        <f t="array" ref="G81">_xlfn.IFS(U81=0,0,U81&gt;0,(LOG(0.01*U81/10^-AI81)))</f>
        <v>5.9571580313422201</v>
      </c>
      <c r="H81" s="8" cm="1">
        <f t="array" ref="H81">_xlfn.IFS(V81=0,0,V81&gt;0,(LOG(0.01*V81/10^-AJ81)))</f>
        <v>6.766359830674749</v>
      </c>
      <c r="I81" s="8" cm="1">
        <f t="array" ref="I81">_xlfn.IFS(W81=0,0,W81&gt;0,(LOG(0.01*W81/10^-AK81)))</f>
        <v>6.766359830674749</v>
      </c>
      <c r="J81" s="8" cm="1">
        <f t="array" ref="J81">_xlfn.IFS(X81=0,0,X81&gt;0,(LOG(0.01*X81/10^-AL81)))</f>
        <v>6.9213680022349751</v>
      </c>
      <c r="K81" s="8" cm="1">
        <f t="array" ref="K81">_xlfn.IFS(Y81=0,0,Y81&gt;0,(LOG(0.01*Y81/10^-AM81)))</f>
        <v>6.5069048513364738</v>
      </c>
      <c r="L81" s="8" cm="1">
        <f t="array" ref="L81">_xlfn.IFS(Z81=0,0,Z81&gt;0,(LOG(0.01*Z81/10^-AN81)))</f>
        <v>6.5069048513364738</v>
      </c>
      <c r="M81" s="8" cm="1">
        <f t="array" ref="M81">_xlfn.IFS(AA81=0,0,AA81&gt;0,(LOG(0.01*AA81/10^-AO81)))</f>
        <v>7.4434216851622361</v>
      </c>
      <c r="N81" s="8" cm="1">
        <f t="array" ref="N81">_xlfn.IFS(AB81=0,0,AB81&gt;0,(LOG(0.01*AB81/10^-AP81)))</f>
        <v>7.6330784434834209</v>
      </c>
      <c r="O81" s="8" cm="1">
        <f t="array" ref="O81">_xlfn.IFS(AC81=0,0,AC81&gt;0,(LOG(0.01*AC81/10^-AQ81)))</f>
        <v>7.6330784434834209</v>
      </c>
      <c r="P81" s="8" cm="1">
        <f t="array" ref="P81">_xlfn.IFS(AD81=0,0,AD81&gt;0,(LOG(0.01*AD81/10^-AR81)))</f>
        <v>7.5744579892269188</v>
      </c>
      <c r="Q81" s="8" cm="1">
        <f t="array" ref="Q81">_xlfn.IFS(AE81=0,0,AE81&gt;0,(LOG(0.01*AE81/10^-AS81)))</f>
        <v>6.1540680443502769</v>
      </c>
      <c r="R81" s="8" cm="1">
        <f t="array" ref="R81">_xlfn.IFS(AF81=0,0,AF81&gt;0,(LOG(0.01*AF81/10^-AT81)))</f>
        <v>5.8110299956639828</v>
      </c>
      <c r="S81" s="8" cm="1">
        <f t="array" ref="S81">_xlfn.IFS(AG81=0,0,AG81&gt;0,(LOG(0.01*AG81/10^-AU81)))</f>
        <v>5.9632492903979006</v>
      </c>
      <c r="T81" s="16">
        <v>5.8</v>
      </c>
      <c r="U81" s="17">
        <v>2.8</v>
      </c>
      <c r="V81" s="17">
        <v>12.2</v>
      </c>
      <c r="W81" s="17">
        <v>12.2</v>
      </c>
      <c r="X81" s="17">
        <v>14.5</v>
      </c>
      <c r="Y81" s="17">
        <v>11.4</v>
      </c>
      <c r="Z81" s="17">
        <v>11.4</v>
      </c>
      <c r="AA81" s="17">
        <v>12.4</v>
      </c>
      <c r="AB81" s="17">
        <v>11.3</v>
      </c>
      <c r="AC81" s="17">
        <v>11.3</v>
      </c>
      <c r="AD81" s="17">
        <v>11.6</v>
      </c>
      <c r="AE81" s="17">
        <v>3.5</v>
      </c>
      <c r="AF81" s="17">
        <v>2</v>
      </c>
      <c r="AG81" s="17">
        <v>4.2</v>
      </c>
      <c r="AH81" s="14">
        <v>7.17</v>
      </c>
      <c r="AI81" s="15">
        <v>7.51</v>
      </c>
      <c r="AJ81" s="15">
        <v>7.68</v>
      </c>
      <c r="AK81" s="15">
        <v>7.68</v>
      </c>
      <c r="AL81" s="15">
        <v>7.76</v>
      </c>
      <c r="AM81" s="15">
        <v>7.45</v>
      </c>
      <c r="AN81" s="15">
        <v>7.45</v>
      </c>
      <c r="AO81" s="15">
        <v>8.35</v>
      </c>
      <c r="AP81" s="15">
        <v>8.58</v>
      </c>
      <c r="AQ81" s="15">
        <v>8.58</v>
      </c>
      <c r="AR81" s="15">
        <v>8.51</v>
      </c>
      <c r="AS81" s="15">
        <v>7.61</v>
      </c>
      <c r="AT81" s="15">
        <v>7.51</v>
      </c>
      <c r="AU81" s="15">
        <v>7.34</v>
      </c>
      <c r="AW81" s="186" t="str">
        <f>IF(VLOOKUP($A81,'I-Ligands'!$A:$G,3,FALSE)="","",VLOOKUP($A81,'I-Ligands'!$A:$G,3,FALSE))</f>
        <v>Serotonin</v>
      </c>
      <c r="AX81" s="187" t="str">
        <f>IF(VLOOKUP($A81,'I-Ligands'!$A:$G,4,FALSE)="","",VLOOKUP($A81,'I-Ligands'!$A:$G,4,FALSE))</f>
        <v>5-Hydroxytryptamine Hydrochloride</v>
      </c>
      <c r="AY81" s="98">
        <v>0.61</v>
      </c>
      <c r="AZ81" s="99">
        <v>2.61</v>
      </c>
      <c r="BA81" s="99">
        <v>1.22</v>
      </c>
      <c r="BB81" s="99">
        <v>1.22</v>
      </c>
      <c r="BC81" s="99">
        <v>1.63</v>
      </c>
      <c r="BD81" s="99">
        <v>0.6</v>
      </c>
      <c r="BE81" s="99">
        <v>0.6</v>
      </c>
      <c r="BF81" s="99">
        <v>0.94</v>
      </c>
      <c r="BG81" s="99">
        <v>1.69</v>
      </c>
      <c r="BH81" s="99">
        <v>1.69</v>
      </c>
      <c r="BI81" s="99">
        <v>0.47</v>
      </c>
      <c r="BJ81" s="99">
        <v>1.23</v>
      </c>
      <c r="BK81" s="99">
        <v>2.35</v>
      </c>
      <c r="BL81" s="99">
        <v>1.1499999999999999</v>
      </c>
      <c r="BM81" s="98">
        <f t="shared" si="28"/>
        <v>9.5081967213114762</v>
      </c>
      <c r="BN81" s="99">
        <f t="shared" si="29"/>
        <v>1.0727969348659003</v>
      </c>
      <c r="BO81" s="99">
        <f t="shared" si="30"/>
        <v>10</v>
      </c>
      <c r="BP81" s="99">
        <f t="shared" si="31"/>
        <v>10</v>
      </c>
      <c r="BQ81" s="99">
        <f t="shared" si="32"/>
        <v>8.8957055214723937</v>
      </c>
      <c r="BR81" s="99">
        <f t="shared" si="33"/>
        <v>19</v>
      </c>
      <c r="BS81" s="99">
        <f t="shared" si="34"/>
        <v>19</v>
      </c>
      <c r="BT81" s="99">
        <f t="shared" si="35"/>
        <v>13.191489361702128</v>
      </c>
      <c r="BU81" s="99">
        <f t="shared" si="36"/>
        <v>6.6863905325443795</v>
      </c>
      <c r="BV81" s="99">
        <f t="shared" si="37"/>
        <v>6.6863905325443795</v>
      </c>
      <c r="BW81" s="99">
        <f t="shared" si="38"/>
        <v>24.680851063829788</v>
      </c>
      <c r="BX81" s="99">
        <f t="shared" si="39"/>
        <v>2.845528455284553</v>
      </c>
      <c r="BY81" s="99">
        <f t="shared" si="40"/>
        <v>0.85106382978723405</v>
      </c>
      <c r="BZ81" s="99">
        <f t="shared" si="41"/>
        <v>3.6521739130434785</v>
      </c>
      <c r="CA81" s="18" t="e">
        <f>VLOOKUP(A81,'Bouvier-GEMTA'!A:C,4,FALSE)</f>
        <v>#REF!</v>
      </c>
      <c r="CB81" s="18">
        <f>VLOOKUP(A81,'Martemyanov-FreeGβγ-Nluc'!A:BG,4,FALSE)</f>
        <v>5</v>
      </c>
    </row>
    <row r="82" spans="1:80" ht="18">
      <c r="A82" s="12" t="s">
        <v>228</v>
      </c>
      <c r="B82" s="13" t="s">
        <v>2669</v>
      </c>
      <c r="C82" s="9" t="str">
        <f>IF(VLOOKUP($A82,'I-Ligands'!$A:$G,5,FALSE)="","",VLOOKUP($A82,'I-Ligands'!$A:$G,5,FALSE))</f>
        <v>Guide to Pharmacology</v>
      </c>
      <c r="D82" s="9">
        <f>IF(VLOOKUP($A82,'I-Ligands'!$A:$G,6,FALSE)="","",VLOOKUP($A82,'I-Ligands'!$A:$G,6,FALSE))</f>
        <v>2168</v>
      </c>
      <c r="E82" s="9" t="str">
        <f>IF(VLOOKUP($A82,'I-Ligands'!$A:$G,7,FALSE)="","",VLOOKUP($A82,'I-Ligands'!$A:$G,7,FALSE))</f>
        <v>Phys</v>
      </c>
      <c r="F82" s="7" cm="1">
        <f t="array" ref="F82">_xlfn.IFS(T82=0,0,T82&gt;0,(LOG(0.01*T82/10^-AH82)))</f>
        <v>9.5453050461411095</v>
      </c>
      <c r="G82" s="8" cm="1">
        <f t="array" ref="G82">_xlfn.IFS(U82=0,0,U82&gt;0,(LOG(0.01*U82/10^-AI82)))</f>
        <v>9.4609249756756224</v>
      </c>
      <c r="H82" s="8" cm="1">
        <f t="array" ref="H82">_xlfn.IFS(V82=0,0,V82&gt;0,(LOG(0.01*V82/10^-AJ82)))</f>
        <v>8.7668676203541107</v>
      </c>
      <c r="I82" s="8" cm="1">
        <f t="array" ref="I82">_xlfn.IFS(W82=0,0,W82&gt;0,(LOG(0.01*W82/10^-AK82)))</f>
        <v>8.7668676203541107</v>
      </c>
      <c r="J82" s="8" cm="1">
        <f t="array" ref="J82">_xlfn.IFS(X82=0,0,X82&gt;0,(LOG(0.01*X82/10^-AL82)))</f>
        <v>8.7093924877592315</v>
      </c>
      <c r="K82" s="8" cm="1">
        <f t="array" ref="K82">_xlfn.IFS(Y82=0,0,Y82&gt;0,(LOG(0.01*Y82/10^-AM82)))</f>
        <v>7.6437878273455562</v>
      </c>
      <c r="L82" s="8" cm="1">
        <f t="array" ref="L82">_xlfn.IFS(Z82=0,0,Z82&gt;0,(LOG(0.01*Z82/10^-AN82)))</f>
        <v>7.6437878273455562</v>
      </c>
      <c r="M82" s="8" cm="1">
        <f t="array" ref="M82">_xlfn.IFS(AA82=0,0,AA82&gt;0,(LOG(0.01*AA82/10^-AO82)))</f>
        <v>7.7334216851622362</v>
      </c>
      <c r="N82" s="8" cm="1">
        <f t="array" ref="N82">_xlfn.IFS(AB82=0,0,AB82&gt;0,(LOG(0.01*AB82/10^-AP82)))</f>
        <v>10.124026106056135</v>
      </c>
      <c r="O82" s="8" cm="1">
        <f t="array" ref="O82">_xlfn.IFS(AC82=0,0,AC82&gt;0,(LOG(0.01*AC82/10^-AQ82)))</f>
        <v>10.124026106056135</v>
      </c>
      <c r="P82" s="8" cm="1">
        <f t="array" ref="P82">_xlfn.IFS(AD82=0,0,AD82&gt;0,(LOG(0.01*AD82/10^-AR82)))</f>
        <v>8.8687063199050815</v>
      </c>
      <c r="Q82" s="8" cm="1">
        <f t="array" ref="Q82">_xlfn.IFS(AE82=0,0,AE82&gt;0,(LOG(0.01*AE82/10^-AS82)))</f>
        <v>7.3908135922807912</v>
      </c>
      <c r="R82" s="8" cm="1">
        <f t="array" ref="R82">_xlfn.IFS(AF82=0,0,AF82&gt;0,(LOG(0.01*AF82/10^-AT82)))</f>
        <v>7.5669048513364725</v>
      </c>
      <c r="S82" s="8" cm="1">
        <f t="array" ref="S82">_xlfn.IFS(AG82=0,0,AG82&gt;0,(LOG(0.01*AG82/10^-AU82)))</f>
        <v>0</v>
      </c>
      <c r="T82" s="16">
        <v>40.299999999999997</v>
      </c>
      <c r="U82" s="17">
        <v>38.1</v>
      </c>
      <c r="V82" s="17">
        <v>29.3</v>
      </c>
      <c r="W82" s="17">
        <v>29.3</v>
      </c>
      <c r="X82" s="17">
        <v>28.8</v>
      </c>
      <c r="Y82" s="17">
        <v>9.1999999999999993</v>
      </c>
      <c r="Z82" s="17">
        <v>9.1999999999999993</v>
      </c>
      <c r="AA82" s="17">
        <v>12.4</v>
      </c>
      <c r="AB82" s="17">
        <v>34.200000000000003</v>
      </c>
      <c r="AC82" s="17">
        <v>34.200000000000003</v>
      </c>
      <c r="AD82" s="17">
        <v>28.1</v>
      </c>
      <c r="AE82" s="17">
        <v>7.6</v>
      </c>
      <c r="AF82" s="17">
        <v>11.4</v>
      </c>
      <c r="AH82" s="14">
        <v>9.94</v>
      </c>
      <c r="AI82" s="15">
        <v>9.8800000000000008</v>
      </c>
      <c r="AJ82" s="15">
        <v>9.3000000000000007</v>
      </c>
      <c r="AK82" s="15">
        <v>9.3000000000000007</v>
      </c>
      <c r="AL82" s="15">
        <v>9.25</v>
      </c>
      <c r="AM82" s="15">
        <v>8.68</v>
      </c>
      <c r="AN82" s="15">
        <v>8.68</v>
      </c>
      <c r="AO82" s="15">
        <v>8.64</v>
      </c>
      <c r="AP82" s="15">
        <v>10.59</v>
      </c>
      <c r="AQ82" s="15">
        <v>10.59</v>
      </c>
      <c r="AR82" s="15">
        <v>9.42</v>
      </c>
      <c r="AS82" s="15">
        <v>8.51</v>
      </c>
      <c r="AT82" s="15">
        <v>8.51</v>
      </c>
      <c r="AW82" s="186" t="str">
        <f>IF(VLOOKUP($A82,'I-Ligands'!$A:$G,3,FALSE)="","",VLOOKUP($A82,'I-Ligands'!$A:$G,3,FALSE))</f>
        <v>Vasopressin</v>
      </c>
      <c r="AX82" s="187" t="str">
        <f>IF(VLOOKUP($A82,'I-Ligands'!$A:$G,4,FALSE)="","",VLOOKUP($A82,'I-Ligands'!$A:$G,4,FALSE))</f>
        <v>CYFQNCPRG-NH2</v>
      </c>
      <c r="AY82" s="98">
        <v>3.39</v>
      </c>
      <c r="AZ82" s="99">
        <v>3.91</v>
      </c>
      <c r="BA82" s="99">
        <v>6.02</v>
      </c>
      <c r="BB82" s="99">
        <v>6.02</v>
      </c>
      <c r="BC82" s="99">
        <v>6.42</v>
      </c>
      <c r="BD82" s="99">
        <v>4.71</v>
      </c>
      <c r="BE82" s="99">
        <v>4.71</v>
      </c>
      <c r="BF82" s="99">
        <v>3.66</v>
      </c>
      <c r="BG82" s="99">
        <v>4.55</v>
      </c>
      <c r="BH82" s="99">
        <v>4.55</v>
      </c>
      <c r="BI82" s="99">
        <v>4.5599999999999996</v>
      </c>
      <c r="BJ82" s="99">
        <v>2.31</v>
      </c>
      <c r="BK82" s="99">
        <v>3.91</v>
      </c>
      <c r="BL82" s="99">
        <v>4.9000000000000004</v>
      </c>
      <c r="BM82" s="98">
        <f t="shared" si="28"/>
        <v>11.887905604719762</v>
      </c>
      <c r="BN82" s="99">
        <f t="shared" si="29"/>
        <v>9.7442455242966748</v>
      </c>
      <c r="BO82" s="99">
        <f t="shared" si="30"/>
        <v>4.8671096345514959</v>
      </c>
      <c r="BP82" s="99">
        <f t="shared" si="31"/>
        <v>4.8671096345514959</v>
      </c>
      <c r="BQ82" s="99">
        <f t="shared" si="32"/>
        <v>4.4859813084112155</v>
      </c>
      <c r="BR82" s="99">
        <f t="shared" si="33"/>
        <v>1.9532908704883225</v>
      </c>
      <c r="BS82" s="99">
        <f t="shared" si="34"/>
        <v>1.9532908704883225</v>
      </c>
      <c r="BT82" s="99">
        <f t="shared" si="35"/>
        <v>3.3879781420765025</v>
      </c>
      <c r="BU82" s="99">
        <f t="shared" si="36"/>
        <v>7.5164835164835173</v>
      </c>
      <c r="BV82" s="99">
        <f t="shared" si="37"/>
        <v>7.5164835164835173</v>
      </c>
      <c r="BW82" s="99">
        <f t="shared" si="38"/>
        <v>6.162280701754387</v>
      </c>
      <c r="BX82" s="99">
        <f t="shared" si="39"/>
        <v>3.2900432900432897</v>
      </c>
      <c r="BY82" s="99">
        <f t="shared" si="40"/>
        <v>2.9156010230179028</v>
      </c>
      <c r="BZ82" s="99">
        <f t="shared" si="41"/>
        <v>0</v>
      </c>
      <c r="CA82" s="18" t="e">
        <f>VLOOKUP(A82,'Bouvier-GEMTA'!A:C,4,FALSE)</f>
        <v>#REF!</v>
      </c>
      <c r="CB82" s="18">
        <f>VLOOKUP(A82,'Martemyanov-FreeGβγ-Nluc'!A:BG,4,FALSE)</f>
        <v>2168</v>
      </c>
    </row>
    <row r="83" spans="1:80" ht="18">
      <c r="A83" s="12" t="s">
        <v>80</v>
      </c>
      <c r="B83" s="13" t="s">
        <v>2604</v>
      </c>
      <c r="C83" s="9" t="str">
        <f>IF(VLOOKUP($A83,'I-Ligands'!$A:$G,5,FALSE)="","",VLOOKUP($A83,'I-Ligands'!$A:$G,5,FALSE))</f>
        <v>Guide to Pharmacology</v>
      </c>
      <c r="D83" s="9">
        <f>IF(VLOOKUP($A83,'I-Ligands'!$A:$G,6,FALSE)="","",VLOOKUP($A83,'I-Ligands'!$A:$G,6,FALSE))</f>
        <v>864</v>
      </c>
      <c r="E83" s="9" t="str">
        <f>IF(VLOOKUP($A83,'I-Ligands'!$A:$G,7,FALSE)="","",VLOOKUP($A83,'I-Ligands'!$A:$G,7,FALSE))</f>
        <v>Phys</v>
      </c>
      <c r="F83" s="7" cm="1">
        <f t="array" ref="F83">_xlfn.IFS(T83=0,0,T83&gt;0,(LOG(0.01*T83/10^-AH83)))</f>
        <v>10.17559889969818</v>
      </c>
      <c r="G83" s="8" cm="1">
        <f t="array" ref="G83">_xlfn.IFS(U83=0,0,U83&gt;0,(LOG(0.01*U83/10^-AI83)))</f>
        <v>10.160782275666389</v>
      </c>
      <c r="H83" s="8" cm="1">
        <f t="array" ref="H83">_xlfn.IFS(V83=0,0,V83&gt;0,(LOG(0.01*V83/10^-AJ83)))</f>
        <v>10.563490543093943</v>
      </c>
      <c r="I83" s="8" cm="1">
        <f t="array" ref="I83">_xlfn.IFS(W83=0,0,W83&gt;0,(LOG(0.01*W83/10^-AK83)))</f>
        <v>10.563490543093943</v>
      </c>
      <c r="J83" s="8" cm="1">
        <f t="array" ref="J83">_xlfn.IFS(X83=0,0,X83&gt;0,(LOG(0.01*X83/10^-AL83)))</f>
        <v>10.661172842715084</v>
      </c>
      <c r="K83" s="8" cm="1">
        <f t="array" ref="K83">_xlfn.IFS(Y83=0,0,Y83&gt;0,(LOG(0.01*Y83/10^-AM83)))</f>
        <v>9.903947130751515</v>
      </c>
      <c r="L83" s="8" cm="1">
        <f t="array" ref="L83">_xlfn.IFS(Z83=0,0,Z83&gt;0,(LOG(0.01*Z83/10^-AN83)))</f>
        <v>9.903947130751515</v>
      </c>
      <c r="M83" s="8" cm="1">
        <f t="array" ref="M83">_xlfn.IFS(AA83=0,0,AA83&gt;0,(LOG(0.01*AA83/10^-AO83)))</f>
        <v>9.3614789170422554</v>
      </c>
      <c r="N83" s="8" cm="1">
        <f t="array" ref="N83">_xlfn.IFS(AB83=0,0,AB83&gt;0,(LOG(0.01*AB83/10^-AP83)))</f>
        <v>10.503941998634089</v>
      </c>
      <c r="O83" s="8" cm="1">
        <f t="array" ref="O83">_xlfn.IFS(AC83=0,0,AC83&gt;0,(LOG(0.01*AC83/10^-AQ83)))</f>
        <v>10.503941998634089</v>
      </c>
      <c r="P83" s="8" cm="1">
        <f t="array" ref="P83">_xlfn.IFS(AD83=0,0,AD83&gt;0,(LOG(0.01*AD83/10^-AR83)))</f>
        <v>10.768360010980931</v>
      </c>
      <c r="Q83" s="8" cm="1">
        <f t="array" ref="Q83">_xlfn.IFS(AE83=0,0,AE83&gt;0,(LOG(0.01*AE83/10^-AS83)))</f>
        <v>9.9832913781186612</v>
      </c>
      <c r="R83" s="8" cm="1">
        <f t="array" ref="R83">_xlfn.IFS(AF83=0,0,AF83&gt;0,(LOG(0.01*AF83/10^-AT83)))</f>
        <v>10.110159303405959</v>
      </c>
      <c r="S83" s="8" cm="1">
        <f t="array" ref="S83">_xlfn.IFS(AG83=0,0,AG83&gt;0,(LOG(0.01*AG83/10^-AU83)))</f>
        <v>9.7203355134145628</v>
      </c>
      <c r="T83" s="16">
        <v>54.4</v>
      </c>
      <c r="U83" s="17">
        <v>53.8</v>
      </c>
      <c r="V83" s="17">
        <v>51.7</v>
      </c>
      <c r="W83" s="17">
        <v>51.7</v>
      </c>
      <c r="X83" s="17">
        <v>46.9</v>
      </c>
      <c r="Y83" s="17">
        <v>48.3</v>
      </c>
      <c r="Z83" s="17">
        <v>48.3</v>
      </c>
      <c r="AA83" s="17">
        <v>34</v>
      </c>
      <c r="AB83" s="17">
        <v>47.2</v>
      </c>
      <c r="AC83" s="17">
        <v>47.2</v>
      </c>
      <c r="AD83" s="17">
        <v>44.5</v>
      </c>
      <c r="AE83" s="17">
        <v>50.5</v>
      </c>
      <c r="AF83" s="17">
        <v>52.5</v>
      </c>
      <c r="AG83" s="17">
        <v>47.9</v>
      </c>
      <c r="AH83" s="14">
        <v>10.44</v>
      </c>
      <c r="AI83" s="15">
        <v>10.43</v>
      </c>
      <c r="AJ83" s="15">
        <v>10.85</v>
      </c>
      <c r="AK83" s="15">
        <v>10.85</v>
      </c>
      <c r="AL83" s="15">
        <v>10.99</v>
      </c>
      <c r="AM83" s="15">
        <v>10.220000000000001</v>
      </c>
      <c r="AN83" s="15">
        <v>10.220000000000001</v>
      </c>
      <c r="AO83" s="15">
        <v>9.83</v>
      </c>
      <c r="AP83" s="15">
        <v>10.83</v>
      </c>
      <c r="AQ83" s="15">
        <v>10.83</v>
      </c>
      <c r="AR83" s="15">
        <v>11.12</v>
      </c>
      <c r="AS83" s="15">
        <v>10.28</v>
      </c>
      <c r="AT83" s="15">
        <v>10.39</v>
      </c>
      <c r="AU83" s="15">
        <v>10.039999999999999</v>
      </c>
      <c r="AW83" s="186" t="str">
        <f>IF(VLOOKUP($A83,'I-Ligands'!$A:$G,3,FALSE)="","",VLOOKUP($A83,'I-Ligands'!$A:$G,3,FALSE))</f>
        <v>CCK-Octapeptide</v>
      </c>
      <c r="AX83" s="187" t="str">
        <f>IF(VLOOKUP($A83,'I-Ligands'!$A:$G,4,FALSE)="","",VLOOKUP($A83,'I-Ligands'!$A:$G,4,FALSE))</f>
        <v>DY(SO3H)MGWMDF-NH2</v>
      </c>
      <c r="AY83" s="98">
        <v>3.84</v>
      </c>
      <c r="AZ83" s="99">
        <v>4.43</v>
      </c>
      <c r="BA83" s="99">
        <v>2.63</v>
      </c>
      <c r="BB83" s="99">
        <v>2.63</v>
      </c>
      <c r="BC83" s="99">
        <v>4.72</v>
      </c>
      <c r="BD83" s="99">
        <v>2.93</v>
      </c>
      <c r="BE83" s="99">
        <v>2.93</v>
      </c>
      <c r="BF83" s="99">
        <v>3.32</v>
      </c>
      <c r="BG83" s="99">
        <v>5.39</v>
      </c>
      <c r="BH83" s="99">
        <v>5.39</v>
      </c>
      <c r="BI83" s="99">
        <v>7.02</v>
      </c>
      <c r="BJ83" s="99">
        <v>3.04</v>
      </c>
      <c r="BK83" s="99">
        <v>9.75</v>
      </c>
      <c r="BL83" s="99">
        <v>10.6</v>
      </c>
      <c r="BM83" s="98">
        <f t="shared" si="28"/>
        <v>14.166666666666666</v>
      </c>
      <c r="BN83" s="99">
        <f t="shared" si="29"/>
        <v>12.144469525959368</v>
      </c>
      <c r="BO83" s="99">
        <f t="shared" si="30"/>
        <v>19.657794676806084</v>
      </c>
      <c r="BP83" s="99">
        <f t="shared" si="31"/>
        <v>19.657794676806084</v>
      </c>
      <c r="BQ83" s="99">
        <f t="shared" si="32"/>
        <v>9.9364406779661021</v>
      </c>
      <c r="BR83" s="99">
        <f t="shared" si="33"/>
        <v>16.484641638225256</v>
      </c>
      <c r="BS83" s="99">
        <f t="shared" si="34"/>
        <v>16.484641638225256</v>
      </c>
      <c r="BT83" s="99">
        <f t="shared" si="35"/>
        <v>10.240963855421688</v>
      </c>
      <c r="BU83" s="99">
        <f t="shared" si="36"/>
        <v>8.7569573283859015</v>
      </c>
      <c r="BV83" s="99">
        <f t="shared" si="37"/>
        <v>8.7569573283859015</v>
      </c>
      <c r="BW83" s="99">
        <f t="shared" si="38"/>
        <v>6.3390313390313393</v>
      </c>
      <c r="BX83" s="99">
        <f t="shared" si="39"/>
        <v>16.611842105263158</v>
      </c>
      <c r="BY83" s="99">
        <f t="shared" si="40"/>
        <v>5.384615384615385</v>
      </c>
      <c r="BZ83" s="99">
        <f t="shared" si="41"/>
        <v>4.5188679245283021</v>
      </c>
      <c r="CA83" s="18" t="e">
        <f>VLOOKUP(A83,'Bouvier-GEMTA'!A:C,4,FALSE)</f>
        <v>#REF!</v>
      </c>
      <c r="CB83" s="18">
        <f>VLOOKUP(A83,'Martemyanov-FreeGβγ-Nluc'!A:BG,4,FALSE)</f>
        <v>864</v>
      </c>
    </row>
    <row r="84" spans="1:80" ht="18">
      <c r="A84" s="12" t="s">
        <v>28</v>
      </c>
      <c r="B84" s="13" t="s">
        <v>2589</v>
      </c>
      <c r="C84" s="9" t="str">
        <f>IF(VLOOKUP($A84,'I-Ligands'!$A:$G,5,FALSE)="","",VLOOKUP($A84,'I-Ligands'!$A:$G,5,FALSE))</f>
        <v>Guide to Pharmacology</v>
      </c>
      <c r="D84" s="9">
        <f>IF(VLOOKUP($A84,'I-Ligands'!$A:$G,6,FALSE)="","",VLOOKUP($A84,'I-Ligands'!$A:$G,6,FALSE))</f>
        <v>294</v>
      </c>
      <c r="E84" s="9" t="str">
        <f>IF(VLOOKUP($A84,'I-Ligands'!$A:$G,7,FALSE)="","",VLOOKUP($A84,'I-Ligands'!$A:$G,7,FALSE))</f>
        <v>Phys</v>
      </c>
      <c r="F84" s="7" cm="1">
        <f t="array" ref="F84">_xlfn.IFS(T84=0,0,T84&gt;0,(LOG(0.01*T84/10^-AH84)))</f>
        <v>6.7476069527204947</v>
      </c>
      <c r="G84" s="8" cm="1">
        <f t="array" ref="G84">_xlfn.IFS(U84=0,0,U84&gt;0,(LOG(0.01*U84/10^-AI84)))</f>
        <v>6.7285183790401142</v>
      </c>
      <c r="H84" s="8" cm="1">
        <f t="array" ref="H84">_xlfn.IFS(V84=0,0,V84&gt;0,(LOG(0.01*V84/10^-AJ84)))</f>
        <v>7.7154837468149129</v>
      </c>
      <c r="I84" s="8" cm="1">
        <f t="array" ref="I84">_xlfn.IFS(W84=0,0,W84&gt;0,(LOG(0.01*W84/10^-AK84)))</f>
        <v>7.7154837468149129</v>
      </c>
      <c r="J84" s="8" cm="1">
        <f t="array" ref="J84">_xlfn.IFS(X84=0,0,X84&gt;0,(LOG(0.01*X84/10^-AL84)))</f>
        <v>7.9024442335063219</v>
      </c>
      <c r="K84" s="8" cm="1">
        <f t="array" ref="K84">_xlfn.IFS(Y84=0,0,Y84&gt;0,(LOG(0.01*Y84/10^-AM84)))</f>
        <v>7.0263403673750444</v>
      </c>
      <c r="L84" s="8" cm="1">
        <f t="array" ref="L84">_xlfn.IFS(Z84=0,0,Z84&gt;0,(LOG(0.01*Z84/10^-AN84)))</f>
        <v>7.0263403673750444</v>
      </c>
      <c r="M84" s="8" cm="1">
        <f t="array" ref="M84">_xlfn.IFS(AA84=0,0,AA84&gt;0,(LOG(0.01*AA84/10^-AO84)))</f>
        <v>7.1256711883244304</v>
      </c>
      <c r="N84" s="8" cm="1">
        <f t="array" ref="N84">_xlfn.IFS(AB84=0,0,AB84&gt;0,(LOG(0.01*AB84/10^-AP84)))</f>
        <v>8.1148448600085121</v>
      </c>
      <c r="O84" s="8" cm="1">
        <f t="array" ref="O84">_xlfn.IFS(AC84=0,0,AC84&gt;0,(LOG(0.01*AC84/10^-AQ84)))</f>
        <v>8.1148448600085121</v>
      </c>
      <c r="P84" s="8" cm="1">
        <f t="array" ref="P84">_xlfn.IFS(AD84=0,0,AD84&gt;0,(LOG(0.01*AD84/10^-AR84)))</f>
        <v>7.9638929889859078</v>
      </c>
      <c r="Q84" s="8" cm="1">
        <f t="array" ref="Q84">_xlfn.IFS(AE84=0,0,AE84&gt;0,(LOG(0.01*AE84/10^-AS84)))</f>
        <v>7.3564037262230704</v>
      </c>
      <c r="R84" s="8" cm="1">
        <f t="array" ref="R84">_xlfn.IFS(AF84=0,0,AF84&gt;0,(LOG(0.01*AF84/10^-AT84)))</f>
        <v>6.7203075231319378</v>
      </c>
      <c r="S84" s="8" cm="1">
        <f t="array" ref="S84">_xlfn.IFS(AG84=0,0,AG84&gt;0,(LOG(0.01*AG84/10^-AU84)))</f>
        <v>6.1242260530844703</v>
      </c>
      <c r="T84" s="16">
        <v>47.6</v>
      </c>
      <c r="U84" s="17">
        <v>47.7</v>
      </c>
      <c r="V84" s="17">
        <v>43.2</v>
      </c>
      <c r="W84" s="17">
        <v>43.2</v>
      </c>
      <c r="X84" s="17">
        <v>33.299999999999997</v>
      </c>
      <c r="Y84" s="17">
        <v>42.3</v>
      </c>
      <c r="Z84" s="17">
        <v>42.3</v>
      </c>
      <c r="AA84" s="17">
        <v>29.9</v>
      </c>
      <c r="AB84" s="17">
        <v>28.5</v>
      </c>
      <c r="AC84" s="17">
        <v>28.5</v>
      </c>
      <c r="AD84" s="17">
        <v>29.1</v>
      </c>
      <c r="AE84" s="17">
        <v>44.3</v>
      </c>
      <c r="AF84" s="17">
        <v>44.7</v>
      </c>
      <c r="AG84" s="17">
        <v>40.200000000000003</v>
      </c>
      <c r="AH84" s="14">
        <v>7.07</v>
      </c>
      <c r="AI84" s="15">
        <v>7.05</v>
      </c>
      <c r="AJ84" s="15">
        <v>8.08</v>
      </c>
      <c r="AK84" s="15">
        <v>8.08</v>
      </c>
      <c r="AL84" s="15">
        <v>8.3800000000000008</v>
      </c>
      <c r="AM84" s="15">
        <v>7.4</v>
      </c>
      <c r="AN84" s="15">
        <v>7.4</v>
      </c>
      <c r="AO84" s="15">
        <v>7.65</v>
      </c>
      <c r="AP84" s="15">
        <v>8.66</v>
      </c>
      <c r="AQ84" s="15">
        <v>8.66</v>
      </c>
      <c r="AR84" s="15">
        <v>8.5</v>
      </c>
      <c r="AS84" s="15">
        <v>7.71</v>
      </c>
      <c r="AT84" s="15">
        <v>7.07</v>
      </c>
      <c r="AU84" s="15">
        <v>6.52</v>
      </c>
      <c r="AW84" s="186" t="str">
        <f>IF(VLOOKUP($A84,'I-Ligands'!$A:$G,3,FALSE)="","",VLOOKUP($A84,'I-Ligands'!$A:$G,3,FALSE))</f>
        <v>Acetylcholine</v>
      </c>
      <c r="AX84" s="187" t="str">
        <f>IF(VLOOKUP($A84,'I-Ligands'!$A:$G,4,FALSE)="","",VLOOKUP($A84,'I-Ligands'!$A:$G,4,FALSE))</f>
        <v>Acetylcholine Chloride</v>
      </c>
      <c r="AY84" s="98">
        <v>2.76</v>
      </c>
      <c r="AZ84" s="99">
        <v>2.35</v>
      </c>
      <c r="BA84" s="99">
        <v>3.91</v>
      </c>
      <c r="BB84" s="99">
        <v>3.91</v>
      </c>
      <c r="BC84" s="99">
        <v>3.41</v>
      </c>
      <c r="BD84" s="99">
        <v>3.47</v>
      </c>
      <c r="BE84" s="99">
        <v>3.47</v>
      </c>
      <c r="BF84" s="99">
        <v>4.5</v>
      </c>
      <c r="BG84" s="99">
        <v>2.99</v>
      </c>
      <c r="BH84" s="99">
        <v>2.99</v>
      </c>
      <c r="BI84" s="99">
        <v>3.62</v>
      </c>
      <c r="BJ84" s="99">
        <v>3.41</v>
      </c>
      <c r="BK84" s="99">
        <v>1.98</v>
      </c>
      <c r="BL84" s="99">
        <v>4.49</v>
      </c>
      <c r="BM84" s="98">
        <f t="shared" si="28"/>
        <v>17.246376811594203</v>
      </c>
      <c r="BN84" s="99">
        <f t="shared" si="29"/>
        <v>20.297872340425531</v>
      </c>
      <c r="BO84" s="99">
        <f t="shared" si="30"/>
        <v>11.048593350383632</v>
      </c>
      <c r="BP84" s="99">
        <f t="shared" si="31"/>
        <v>11.048593350383632</v>
      </c>
      <c r="BQ84" s="99">
        <f t="shared" si="32"/>
        <v>9.7653958944281509</v>
      </c>
      <c r="BR84" s="99">
        <f t="shared" si="33"/>
        <v>12.190201729106628</v>
      </c>
      <c r="BS84" s="99">
        <f t="shared" si="34"/>
        <v>12.190201729106628</v>
      </c>
      <c r="BT84" s="99">
        <f t="shared" si="35"/>
        <v>6.6444444444444439</v>
      </c>
      <c r="BU84" s="99">
        <f t="shared" si="36"/>
        <v>9.5317725752508355</v>
      </c>
      <c r="BV84" s="99">
        <f t="shared" si="37"/>
        <v>9.5317725752508355</v>
      </c>
      <c r="BW84" s="99">
        <f t="shared" si="38"/>
        <v>8.0386740331491708</v>
      </c>
      <c r="BX84" s="99">
        <f t="shared" si="39"/>
        <v>12.991202346041055</v>
      </c>
      <c r="BY84" s="99">
        <f t="shared" si="40"/>
        <v>22.575757575757578</v>
      </c>
      <c r="BZ84" s="99">
        <f t="shared" si="41"/>
        <v>8.9532293986636979</v>
      </c>
      <c r="CA84" s="18" t="e">
        <f>VLOOKUP(A84,'Bouvier-GEMTA'!A:C,4,FALSE)</f>
        <v>#REF!</v>
      </c>
      <c r="CB84" s="18">
        <f>VLOOKUP(A84,'Martemyanov-FreeGβγ-Nluc'!A:BG,4,FALSE)</f>
        <v>294</v>
      </c>
    </row>
    <row r="85" spans="1:80" ht="18">
      <c r="A85" s="12" t="s">
        <v>187</v>
      </c>
      <c r="B85" s="13" t="s">
        <v>2648</v>
      </c>
      <c r="C85" s="9" t="str">
        <f>IF(VLOOKUP($A85,'I-Ligands'!$A:$G,5,FALSE)="","",VLOOKUP($A85,'I-Ligands'!$A:$G,5,FALSE))</f>
        <v>Guide to Pharmacology</v>
      </c>
      <c r="D85" s="9">
        <f>IF(VLOOKUP($A85,'I-Ligands'!$A:$G,6,FALSE)="","",VLOOKUP($A85,'I-Ligands'!$A:$G,6,FALSE))</f>
        <v>1697</v>
      </c>
      <c r="E85" s="9" t="str">
        <f>IF(VLOOKUP($A85,'I-Ligands'!$A:$G,7,FALSE)="","",VLOOKUP($A85,'I-Ligands'!$A:$G,7,FALSE))</f>
        <v>Phys</v>
      </c>
      <c r="F85" s="7" cm="1">
        <f t="array" ref="F85">_xlfn.IFS(T85=0,0,T85&gt;0,(LOG(0.01*T85/10^-AH85)))</f>
        <v>6.5900069429571522</v>
      </c>
      <c r="G85" s="8" cm="1">
        <f t="array" ref="G85">_xlfn.IFS(U85=0,0,U85&gt;0,(LOG(0.01*U85/10^-AI85)))</f>
        <v>6.6177505628203894</v>
      </c>
      <c r="H85" s="8" cm="1">
        <f t="array" ref="H85">_xlfn.IFS(V85=0,0,V85&gt;0,(LOG(0.01*V85/10^-AJ85)))</f>
        <v>7.0911013836490575</v>
      </c>
      <c r="I85" s="8" cm="1">
        <f t="array" ref="I85">_xlfn.IFS(W85=0,0,W85&gt;0,(LOG(0.01*W85/10^-AK85)))</f>
        <v>7.0911013836490575</v>
      </c>
      <c r="J85" s="8" cm="1">
        <f t="array" ref="J85">_xlfn.IFS(X85=0,0,X85&gt;0,(LOG(0.01*X85/10^-AL85)))</f>
        <v>7.3702283530550954</v>
      </c>
      <c r="K85" s="8" cm="1">
        <f t="array" ref="K85">_xlfn.IFS(Y85=0,0,Y85&gt;0,(LOG(0.01*Y85/10^-AM85)))</f>
        <v>6.8871383754771882</v>
      </c>
      <c r="L85" s="8" cm="1">
        <f t="array" ref="L85">_xlfn.IFS(Z85=0,0,Z85&gt;0,(LOG(0.01*Z85/10^-AN85)))</f>
        <v>6.8871383754771882</v>
      </c>
      <c r="M85" s="8" cm="1">
        <f t="array" ref="M85">_xlfn.IFS(AA85=0,0,AA85&gt;0,(LOG(0.01*AA85/10^-AO85)))</f>
        <v>7.108063334962762</v>
      </c>
      <c r="N85" s="8" cm="1">
        <f t="array" ref="N85">_xlfn.IFS(AB85=0,0,AB85&gt;0,(LOG(0.01*AB85/10^-AP85)))</f>
        <v>7.8463403673750438</v>
      </c>
      <c r="O85" s="8" cm="1">
        <f t="array" ref="O85">_xlfn.IFS(AC85=0,0,AC85&gt;0,(LOG(0.01*AC85/10^-AQ85)))</f>
        <v>7.8463403673750438</v>
      </c>
      <c r="P85" s="8" cm="1">
        <f t="array" ref="P85">_xlfn.IFS(AD85=0,0,AD85&gt;0,(LOG(0.01*AD85/10^-AR85)))</f>
        <v>7.8465970956264615</v>
      </c>
      <c r="Q85" s="8" cm="1">
        <f t="array" ref="Q85">_xlfn.IFS(AE85=0,0,AE85&gt;0,(LOG(0.01*AE85/10^-AS85)))</f>
        <v>6.4783012913197453</v>
      </c>
      <c r="R85" s="8" cm="1">
        <f t="array" ref="R85">_xlfn.IFS(AF85=0,0,AF85&gt;0,(LOG(0.01*AF85/10^-AT85)))</f>
        <v>6.7269296480732157</v>
      </c>
      <c r="S85" s="8" cm="1">
        <f t="array" ref="S85">_xlfn.IFS(AG85=0,0,AG85&gt;0,(LOG(0.01*AG85/10^-AU85)))</f>
        <v>7.3653050461411098</v>
      </c>
      <c r="T85" s="16">
        <v>30.2</v>
      </c>
      <c r="U85" s="17">
        <v>27.4</v>
      </c>
      <c r="V85" s="17">
        <v>36.4</v>
      </c>
      <c r="W85" s="17">
        <v>36.4</v>
      </c>
      <c r="X85" s="17">
        <v>35.5</v>
      </c>
      <c r="Y85" s="17">
        <v>30.7</v>
      </c>
      <c r="Z85" s="17">
        <v>30.7</v>
      </c>
      <c r="AA85" s="17">
        <v>20.8</v>
      </c>
      <c r="AB85" s="17">
        <v>42.3</v>
      </c>
      <c r="AC85" s="17">
        <v>42.3</v>
      </c>
      <c r="AD85" s="17">
        <v>39.5</v>
      </c>
      <c r="AE85" s="17">
        <v>26.2</v>
      </c>
      <c r="AF85" s="17">
        <v>31.4</v>
      </c>
      <c r="AG85" s="17">
        <v>40.299999999999997</v>
      </c>
      <c r="AH85" s="14">
        <v>7.11</v>
      </c>
      <c r="AI85" s="15">
        <v>7.18</v>
      </c>
      <c r="AJ85" s="15">
        <v>7.53</v>
      </c>
      <c r="AK85" s="15">
        <v>7.53</v>
      </c>
      <c r="AL85" s="15">
        <v>7.82</v>
      </c>
      <c r="AM85" s="15">
        <v>7.4</v>
      </c>
      <c r="AN85" s="15">
        <v>7.4</v>
      </c>
      <c r="AO85" s="15">
        <v>7.79</v>
      </c>
      <c r="AP85" s="15">
        <v>8.2200000000000006</v>
      </c>
      <c r="AQ85" s="15">
        <v>8.2200000000000006</v>
      </c>
      <c r="AR85" s="15">
        <v>8.25</v>
      </c>
      <c r="AS85" s="15">
        <v>7.06</v>
      </c>
      <c r="AT85" s="15">
        <v>7.23</v>
      </c>
      <c r="AU85" s="15">
        <v>7.76</v>
      </c>
      <c r="AW85" s="186" t="str">
        <f>IF(VLOOKUP($A85,'I-Ligands'!$A:$G,3,FALSE)="","",VLOOKUP($A85,'I-Ligands'!$A:$G,3,FALSE))</f>
        <v>Orexin-A</v>
      </c>
      <c r="AX85" s="187" t="str">
        <f>IF(VLOOKUP($A85,'I-Ligands'!$A:$G,4,FALSE)="","",VLOOKUP($A85,'I-Ligands'!$A:$G,4,FALSE))</f>
        <v>Pyr-PLPDCCRQKTCSCRLYELLHGAGNHAAGILTL-NH2</v>
      </c>
      <c r="AY85" s="98">
        <v>3.32</v>
      </c>
      <c r="AZ85" s="99">
        <v>5</v>
      </c>
      <c r="BA85" s="99">
        <v>4.12</v>
      </c>
      <c r="BB85" s="99">
        <v>4.12</v>
      </c>
      <c r="BC85" s="99">
        <v>3.42</v>
      </c>
      <c r="BD85" s="99">
        <v>3.55</v>
      </c>
      <c r="BE85" s="99">
        <v>3.55</v>
      </c>
      <c r="BF85" s="99">
        <v>3.83</v>
      </c>
      <c r="BG85" s="99">
        <v>2.82</v>
      </c>
      <c r="BH85" s="99">
        <v>2.82</v>
      </c>
      <c r="BI85" s="99">
        <v>2.46</v>
      </c>
      <c r="BJ85" s="99">
        <v>2.93</v>
      </c>
      <c r="BK85" s="99">
        <v>1.66</v>
      </c>
      <c r="BL85" s="99">
        <v>4.63</v>
      </c>
      <c r="BM85" s="98">
        <f t="shared" si="28"/>
        <v>9.0963855421686741</v>
      </c>
      <c r="BN85" s="99">
        <f t="shared" si="29"/>
        <v>5.4799999999999995</v>
      </c>
      <c r="BO85" s="99">
        <f t="shared" si="30"/>
        <v>8.8349514563106784</v>
      </c>
      <c r="BP85" s="99">
        <f t="shared" si="31"/>
        <v>8.8349514563106784</v>
      </c>
      <c r="BQ85" s="99">
        <f t="shared" si="32"/>
        <v>10.380116959064328</v>
      </c>
      <c r="BR85" s="99">
        <f t="shared" si="33"/>
        <v>8.647887323943662</v>
      </c>
      <c r="BS85" s="99">
        <f t="shared" si="34"/>
        <v>8.647887323943662</v>
      </c>
      <c r="BT85" s="99">
        <f t="shared" si="35"/>
        <v>5.4308093994778073</v>
      </c>
      <c r="BU85" s="99">
        <f t="shared" si="36"/>
        <v>15</v>
      </c>
      <c r="BV85" s="99">
        <f t="shared" si="37"/>
        <v>15</v>
      </c>
      <c r="BW85" s="99">
        <f t="shared" si="38"/>
        <v>16.056910569105693</v>
      </c>
      <c r="BX85" s="99">
        <f t="shared" si="39"/>
        <v>8.9419795221842993</v>
      </c>
      <c r="BY85" s="99">
        <f t="shared" si="40"/>
        <v>18.91566265060241</v>
      </c>
      <c r="BZ85" s="99">
        <f t="shared" si="41"/>
        <v>8.7041036717062639</v>
      </c>
      <c r="CA85" s="18" t="e">
        <f>VLOOKUP(A85,'Bouvier-GEMTA'!A:C,4,FALSE)</f>
        <v>#REF!</v>
      </c>
      <c r="CB85" s="18">
        <f>VLOOKUP(A85,'Martemyanov-FreeGβγ-Nluc'!A:BG,4,FALSE)</f>
        <v>1699</v>
      </c>
    </row>
    <row r="86" spans="1:80">
      <c r="A86" s="12" t="s">
        <v>198</v>
      </c>
      <c r="B86" s="13" t="s">
        <v>2544</v>
      </c>
      <c r="C86" s="9" t="str">
        <f>IF(VLOOKUP($A86,'I-Ligands'!$A:$G,5,FALSE)="","",VLOOKUP($A86,'I-Ligands'!$A:$G,5,FALSE))</f>
        <v>Guide to Pharmacology</v>
      </c>
      <c r="D86" s="9">
        <f>IF(VLOOKUP($A86,'I-Ligands'!$A:$G,6,FALSE)="","",VLOOKUP($A86,'I-Ligands'!$A:$G,6,FALSE))</f>
        <v>4448</v>
      </c>
      <c r="E86" s="9" t="str">
        <f>IF(VLOOKUP($A86,'I-Ligands'!$A:$G,7,FALSE)="","",VLOOKUP($A86,'I-Ligands'!$A:$G,7,FALSE))</f>
        <v>Phys</v>
      </c>
      <c r="F86" s="7" cm="1">
        <f t="array" ref="F86">_xlfn.IFS(T86=0,0,T86&gt;0,(LOG(0.01*T86/10^-AH86)))</f>
        <v>7.9652941200427714</v>
      </c>
      <c r="G86" s="8" cm="1">
        <f t="array" ref="G86">_xlfn.IFS(U86=0,0,U86&gt;0,(LOG(0.01*U86/10^-AI86)))</f>
        <v>7.7632176000679403</v>
      </c>
      <c r="H86" s="8" cm="1">
        <f t="array" ref="H86">_xlfn.IFS(V86=0,0,V86&gt;0,(LOG(0.01*V86/10^-AJ86)))</f>
        <v>0</v>
      </c>
      <c r="I86" s="8" cm="1">
        <f t="array" ref="I86">_xlfn.IFS(W86=0,0,W86&gt;0,(LOG(0.01*W86/10^-AK86)))</f>
        <v>0</v>
      </c>
      <c r="J86" s="8" cm="1">
        <f t="array" ref="J86">_xlfn.IFS(X86=0,0,X86&gt;0,(LOG(0.01*X86/10^-AL86)))</f>
        <v>0</v>
      </c>
      <c r="K86" s="8" cm="1">
        <f t="array" ref="K86">_xlfn.IFS(Y86=0,0,Y86&gt;0,(LOG(0.01*Y86/10^-AM86)))</f>
        <v>0</v>
      </c>
      <c r="L86" s="8" cm="1">
        <f t="array" ref="L86">_xlfn.IFS(Z86=0,0,Z86&gt;0,(LOG(0.01*Z86/10^-AN86)))</f>
        <v>0</v>
      </c>
      <c r="M86" s="8" cm="1">
        <f t="array" ref="M86">_xlfn.IFS(AA86=0,0,AA86&gt;0,(LOG(0.01*AA86/10^-AO86)))</f>
        <v>0</v>
      </c>
      <c r="N86" s="8" cm="1">
        <f t="array" ref="N86">_xlfn.IFS(AB86=0,0,AB86&gt;0,(LOG(0.01*AB86/10^-AP86)))</f>
        <v>7.0673173347481768</v>
      </c>
      <c r="O86" s="8" cm="1">
        <f t="array" ref="O86">_xlfn.IFS(AC86=0,0,AC86&gt;0,(LOG(0.01*AC86/10^-AQ86)))</f>
        <v>7.0673173347481768</v>
      </c>
      <c r="P86" s="8" cm="1">
        <f t="array" ref="P86">_xlfn.IFS(AD86=0,0,AD86&gt;0,(LOG(0.01*AD86/10^-AR86)))</f>
        <v>6.9730784434834208</v>
      </c>
      <c r="Q86" s="8" cm="1">
        <f t="array" ref="Q86">_xlfn.IFS(AE86=0,0,AE86&gt;0,(LOG(0.01*AE86/10^-AS86)))</f>
        <v>0</v>
      </c>
      <c r="R86" s="8" cm="1">
        <f t="array" ref="R86">_xlfn.IFS(AF86=0,0,AF86&gt;0,(LOG(0.01*AF86/10^-AT86)))</f>
        <v>0</v>
      </c>
      <c r="S86" s="8" cm="1">
        <f t="array" ref="S86">_xlfn.IFS(AG86=0,0,AG86&gt;0,(LOG(0.01*AG86/10^-AU86)))</f>
        <v>0</v>
      </c>
      <c r="T86" s="16">
        <v>34.299999999999997</v>
      </c>
      <c r="U86" s="17">
        <v>32.6</v>
      </c>
      <c r="AB86" s="17">
        <v>14.7</v>
      </c>
      <c r="AC86" s="17">
        <v>14.7</v>
      </c>
      <c r="AD86" s="17">
        <v>11.3</v>
      </c>
      <c r="AH86" s="14">
        <v>8.43</v>
      </c>
      <c r="AI86" s="15">
        <v>8.25</v>
      </c>
      <c r="AP86" s="15">
        <v>7.9</v>
      </c>
      <c r="AQ86" s="15">
        <v>7.9</v>
      </c>
      <c r="AR86" s="15">
        <v>7.92</v>
      </c>
      <c r="AW86" s="186" t="str">
        <f>IF(VLOOKUP($A86,'I-Ligands'!$A:$G,3,FALSE)="","",VLOOKUP($A86,'I-Ligands'!$A:$G,3,FALSE))</f>
        <v>Parathyroid Hormone</v>
      </c>
      <c r="AX86" s="187" t="str">
        <f>IF(VLOOKUP($A86,'I-Ligands'!$A:$G,4,FALSE)="","",VLOOKUP($A86,'I-Ligands'!$A:$G,4,FALSE))</f>
        <v>SVSEIQLMHNLGKHLNSMERVEWLRKKLQDVHNF</v>
      </c>
      <c r="AY86" s="98">
        <v>3.8</v>
      </c>
      <c r="AZ86" s="99">
        <v>2.68</v>
      </c>
      <c r="BA86" s="99">
        <v>2.75</v>
      </c>
      <c r="BB86" s="99">
        <v>2.75</v>
      </c>
      <c r="BC86" s="99">
        <v>2.88</v>
      </c>
      <c r="BD86" s="99">
        <v>2.63</v>
      </c>
      <c r="BE86" s="99">
        <v>2.63</v>
      </c>
      <c r="BF86" s="99">
        <v>1.86</v>
      </c>
      <c r="BG86" s="99">
        <v>5.72</v>
      </c>
      <c r="BH86" s="99">
        <v>5.72</v>
      </c>
      <c r="BI86" s="99">
        <v>6.9</v>
      </c>
      <c r="BJ86" s="99">
        <v>3.88</v>
      </c>
      <c r="BK86" s="99">
        <v>2.4300000000000002</v>
      </c>
      <c r="BL86" s="99">
        <v>3.96</v>
      </c>
      <c r="BM86" s="98">
        <f t="shared" si="28"/>
        <v>9.0263157894736832</v>
      </c>
      <c r="BN86" s="99">
        <f t="shared" si="29"/>
        <v>12.164179104477611</v>
      </c>
      <c r="BO86" s="99">
        <f t="shared" si="30"/>
        <v>0</v>
      </c>
      <c r="BP86" s="99">
        <f t="shared" si="31"/>
        <v>0</v>
      </c>
      <c r="BQ86" s="99">
        <f t="shared" si="32"/>
        <v>0</v>
      </c>
      <c r="BR86" s="99">
        <f t="shared" si="33"/>
        <v>0</v>
      </c>
      <c r="BS86" s="99">
        <f t="shared" si="34"/>
        <v>0</v>
      </c>
      <c r="BT86" s="99">
        <f t="shared" si="35"/>
        <v>0</v>
      </c>
      <c r="BU86" s="99">
        <f t="shared" si="36"/>
        <v>2.56993006993007</v>
      </c>
      <c r="BV86" s="99">
        <f t="shared" si="37"/>
        <v>2.56993006993007</v>
      </c>
      <c r="BW86" s="99">
        <f t="shared" si="38"/>
        <v>1.6376811594202898</v>
      </c>
      <c r="BX86" s="99">
        <f t="shared" si="39"/>
        <v>0</v>
      </c>
      <c r="BY86" s="99">
        <f t="shared" si="40"/>
        <v>0</v>
      </c>
      <c r="BZ86" s="99">
        <f t="shared" si="41"/>
        <v>0</v>
      </c>
      <c r="CA86" s="18" t="e">
        <f>VLOOKUP(A86,'Bouvier-GEMTA'!A:C,4,FALSE)</f>
        <v>#REF!</v>
      </c>
      <c r="CB86" s="18">
        <f>VLOOKUP(A86,'Martemyanov-FreeGβγ-Nluc'!A:BG,4,FALSE)</f>
        <v>4448</v>
      </c>
    </row>
    <row r="87" spans="1:80">
      <c r="A87" s="12" t="s">
        <v>118</v>
      </c>
      <c r="B87" s="13" t="s">
        <v>2557</v>
      </c>
      <c r="C87" s="9" t="str">
        <f>IF(VLOOKUP($A87,'I-Ligands'!$A:$G,5,FALSE)="","",VLOOKUP($A87,'I-Ligands'!$A:$G,5,FALSE))</f>
        <v>Guide to Pharmacology</v>
      </c>
      <c r="D87" s="9">
        <f>IF(VLOOKUP($A87,'I-Ligands'!$A:$G,6,FALSE)="","",VLOOKUP($A87,'I-Ligands'!$A:$G,6,FALSE))</f>
        <v>1062</v>
      </c>
      <c r="E87" s="9" t="str">
        <f>IF(VLOOKUP($A87,'I-Ligands'!$A:$G,7,FALSE)="","",VLOOKUP($A87,'I-Ligands'!$A:$G,7,FALSE))</f>
        <v>Phys</v>
      </c>
      <c r="F87" s="7" cm="1">
        <f t="array" ref="F87">_xlfn.IFS(T87=0,0,T87&gt;0,(LOG(0.01*T87/10^-AH87)))</f>
        <v>3.4174839442139064</v>
      </c>
      <c r="G87" s="8" cm="1">
        <f t="array" ref="G87">_xlfn.IFS(U87=0,0,U87&gt;0,(LOG(0.01*U87/10^-AI87)))</f>
        <v>3.3601080880400547</v>
      </c>
      <c r="H87" s="8" cm="1">
        <f t="array" ref="H87">_xlfn.IFS(V87=0,0,V87&gt;0,(LOG(0.01*V87/10^-AJ87)))</f>
        <v>0</v>
      </c>
      <c r="I87" s="8" cm="1">
        <f t="array" ref="I87">_xlfn.IFS(W87=0,0,W87&gt;0,(LOG(0.01*W87/10^-AK87)))</f>
        <v>0</v>
      </c>
      <c r="J87" s="8" cm="1">
        <f t="array" ref="J87">_xlfn.IFS(X87=0,0,X87&gt;0,(LOG(0.01*X87/10^-AL87)))</f>
        <v>0</v>
      </c>
      <c r="K87" s="8" cm="1">
        <f t="array" ref="K87">_xlfn.IFS(Y87=0,0,Y87&gt;0,(LOG(0.01*Y87/10^-AM87)))</f>
        <v>3.3692191126553803</v>
      </c>
      <c r="L87" s="8" cm="1">
        <f t="array" ref="L87">_xlfn.IFS(Z87=0,0,Z87&gt;0,(LOG(0.01*Z87/10^-AN87)))</f>
        <v>3.3692191126553803</v>
      </c>
      <c r="M87" s="8" cm="1">
        <f t="array" ref="M87">_xlfn.IFS(AA87=0,0,AA87&gt;0,(LOG(0.01*AA87/10^-AO87)))</f>
        <v>2.3700000000000006</v>
      </c>
      <c r="N87" s="8" cm="1">
        <f t="array" ref="N87">_xlfn.IFS(AB87=0,0,AB87&gt;0,(LOG(0.01*AB87/10^-AP87)))</f>
        <v>3.873089986991944</v>
      </c>
      <c r="O87" s="8" cm="1">
        <f t="array" ref="O87">_xlfn.IFS(AC87=0,0,AC87&gt;0,(LOG(0.01*AC87/10^-AQ87)))</f>
        <v>3.873089986991944</v>
      </c>
      <c r="P87" s="8" cm="1">
        <f t="array" ref="P87">_xlfn.IFS(AD87=0,0,AD87&gt;0,(LOG(0.01*AD87/10^-AR87)))</f>
        <v>0</v>
      </c>
      <c r="Q87" s="8" cm="1">
        <f t="array" ref="Q87">_xlfn.IFS(AE87=0,0,AE87&gt;0,(LOG(0.01*AE87/10^-AS87)))</f>
        <v>3.8173173347481768</v>
      </c>
      <c r="R87" s="8" cm="1">
        <f t="array" ref="R87">_xlfn.IFS(AF87=0,0,AF87&gt;0,(LOG(0.01*AF87/10^-AT87)))</f>
        <v>3.660362689494244</v>
      </c>
      <c r="S87" s="8" cm="1">
        <f t="array" ref="S87">_xlfn.IFS(AG87=0,0,AG87&gt;0,(LOG(0.01*AG87/10^-AU87)))</f>
        <v>3.9161799739838883</v>
      </c>
      <c r="T87" s="16">
        <v>16.5</v>
      </c>
      <c r="U87" s="17">
        <v>16.600000000000001</v>
      </c>
      <c r="Y87" s="17">
        <v>14.1</v>
      </c>
      <c r="Z87" s="17">
        <v>14.1</v>
      </c>
      <c r="AA87" s="17">
        <v>10</v>
      </c>
      <c r="AB87" s="17">
        <v>8</v>
      </c>
      <c r="AC87" s="17">
        <v>8</v>
      </c>
      <c r="AE87" s="17">
        <v>14.7</v>
      </c>
      <c r="AF87" s="17">
        <v>5.5</v>
      </c>
      <c r="AG87" s="17">
        <v>6.4</v>
      </c>
      <c r="AH87" s="14">
        <v>4.2</v>
      </c>
      <c r="AI87" s="15">
        <v>4.1399999999999997</v>
      </c>
      <c r="AM87" s="15">
        <v>4.22</v>
      </c>
      <c r="AN87" s="15">
        <v>4.22</v>
      </c>
      <c r="AO87" s="15">
        <v>3.37</v>
      </c>
      <c r="AP87" s="15">
        <v>4.97</v>
      </c>
      <c r="AQ87" s="15">
        <v>4.97</v>
      </c>
      <c r="AS87" s="15">
        <v>4.6500000000000004</v>
      </c>
      <c r="AT87" s="15">
        <v>4.92</v>
      </c>
      <c r="AU87" s="15">
        <v>5.1100000000000003</v>
      </c>
      <c r="AW87" s="186" t="str">
        <f>IF(VLOOKUP($A87,'I-Ligands'!$A:$G,3,FALSE)="","",VLOOKUP($A87,'I-Ligands'!$A:$G,3,FALSE))</f>
        <v>Propionic acid</v>
      </c>
      <c r="AX87" s="187" t="str">
        <f>IF(VLOOKUP($A87,'I-Ligands'!$A:$G,4,FALSE)="","",VLOOKUP($A87,'I-Ligands'!$A:$G,4,FALSE))</f>
        <v>Propionic Acid</v>
      </c>
      <c r="AY87" s="98">
        <v>2.2599999999999998</v>
      </c>
      <c r="AZ87" s="99">
        <v>2.6</v>
      </c>
      <c r="BA87" s="99">
        <v>2.94</v>
      </c>
      <c r="BB87" s="99">
        <v>2.94</v>
      </c>
      <c r="BC87" s="99">
        <v>3.43</v>
      </c>
      <c r="BD87" s="99">
        <v>3.63</v>
      </c>
      <c r="BE87" s="99">
        <v>3.63</v>
      </c>
      <c r="BF87" s="99">
        <v>4.08</v>
      </c>
      <c r="BG87" s="99">
        <v>4.04</v>
      </c>
      <c r="BH87" s="99">
        <v>4.04</v>
      </c>
      <c r="BI87" s="99">
        <v>3.13</v>
      </c>
      <c r="BJ87" s="99">
        <v>4.03</v>
      </c>
      <c r="BK87" s="99">
        <v>4.3600000000000003</v>
      </c>
      <c r="BL87" s="99">
        <v>4.33</v>
      </c>
      <c r="BM87" s="98">
        <f t="shared" si="28"/>
        <v>7.3008849557522133</v>
      </c>
      <c r="BN87" s="99">
        <f t="shared" si="29"/>
        <v>6.384615384615385</v>
      </c>
      <c r="BO87" s="99">
        <f t="shared" si="30"/>
        <v>0</v>
      </c>
      <c r="BP87" s="99">
        <f t="shared" si="31"/>
        <v>0</v>
      </c>
      <c r="BQ87" s="99">
        <f t="shared" si="32"/>
        <v>0</v>
      </c>
      <c r="BR87" s="99">
        <f t="shared" si="33"/>
        <v>3.884297520661157</v>
      </c>
      <c r="BS87" s="99">
        <f t="shared" si="34"/>
        <v>3.884297520661157</v>
      </c>
      <c r="BT87" s="99">
        <f t="shared" si="35"/>
        <v>2.4509803921568629</v>
      </c>
      <c r="BU87" s="99">
        <f t="shared" si="36"/>
        <v>1.9801980198019802</v>
      </c>
      <c r="BV87" s="99">
        <f t="shared" si="37"/>
        <v>1.9801980198019802</v>
      </c>
      <c r="BW87" s="99">
        <f t="shared" si="38"/>
        <v>0</v>
      </c>
      <c r="BX87" s="99">
        <f t="shared" si="39"/>
        <v>3.647642679900744</v>
      </c>
      <c r="BY87" s="99">
        <f t="shared" si="40"/>
        <v>1.2614678899082568</v>
      </c>
      <c r="BZ87" s="99">
        <f t="shared" si="41"/>
        <v>1.4780600461893765</v>
      </c>
      <c r="CA87" s="18" t="e">
        <f>VLOOKUP(A87,'Bouvier-GEMTA'!A:C,4,FALSE)</f>
        <v>#REF!</v>
      </c>
      <c r="CB87" s="18" t="e">
        <f>VLOOKUP(A87,'Martemyanov-FreeGβγ-Nluc'!A:BG,4,FALSE)</f>
        <v>#N/A</v>
      </c>
    </row>
    <row r="88" spans="1:80" ht="18">
      <c r="A88" s="12" t="s">
        <v>146</v>
      </c>
      <c r="B88" s="13" t="s">
        <v>2632</v>
      </c>
      <c r="C88" s="9" t="str">
        <f>IF(VLOOKUP($A88,'I-Ligands'!$A:$G,5,FALSE)="","",VLOOKUP($A88,'I-Ligands'!$A:$G,5,FALSE))</f>
        <v>Guide to Pharmacology</v>
      </c>
      <c r="D88" s="9">
        <f>IF(VLOOKUP($A88,'I-Ligands'!$A:$G,6,FALSE)="","",VLOOKUP($A88,'I-Ligands'!$A:$G,6,FALSE))</f>
        <v>2487</v>
      </c>
      <c r="E88" s="9" t="str">
        <f>IF(VLOOKUP($A88,'I-Ligands'!$A:$G,7,FALSE)="","",VLOOKUP($A88,'I-Ligands'!$A:$G,7,FALSE))</f>
        <v>Phys</v>
      </c>
      <c r="F88" s="7" cm="1">
        <f t="array" ref="F88">_xlfn.IFS(T88=0,0,T88&gt;0,(LOG(0.01*T88/10^-AH88)))</f>
        <v>7.4012583487190771</v>
      </c>
      <c r="G88" s="8" cm="1">
        <f t="array" ref="G88">_xlfn.IFS(U88=0,0,U88&gt;0,(LOG(0.01*U88/10^-AI88)))</f>
        <v>7.321258348719077</v>
      </c>
      <c r="H88" s="8" cm="1">
        <f t="array" ref="H88">_xlfn.IFS(V88=0,0,V88&gt;0,(LOG(0.01*V88/10^-AJ88)))</f>
        <v>8.0124226808222065</v>
      </c>
      <c r="I88" s="8" cm="1">
        <f t="array" ref="I88">_xlfn.IFS(W88=0,0,W88&gt;0,(LOG(0.01*W88/10^-AK88)))</f>
        <v>8.0124226808222065</v>
      </c>
      <c r="J88" s="8" cm="1">
        <f t="array" ref="J88">_xlfn.IFS(X88=0,0,X88&gt;0,(LOG(0.01*X88/10^-AL88)))</f>
        <v>8.442969290874407</v>
      </c>
      <c r="K88" s="8" cm="1">
        <f t="array" ref="K88">_xlfn.IFS(Y88=0,0,Y88&gt;0,(LOG(0.01*Y88/10^-AM88)))</f>
        <v>7.5342425094393262</v>
      </c>
      <c r="L88" s="8" cm="1">
        <f t="array" ref="L88">_xlfn.IFS(Z88=0,0,Z88&gt;0,(LOG(0.01*Z88/10^-AN88)))</f>
        <v>7.5342425094393262</v>
      </c>
      <c r="M88" s="8" cm="1">
        <f t="array" ref="M88">_xlfn.IFS(AA88=0,0,AA88&gt;0,(LOG(0.01*AA88/10^-AO88)))</f>
        <v>7.228151250383644</v>
      </c>
      <c r="N88" s="8" cm="1">
        <f t="array" ref="N88">_xlfn.IFS(AB88=0,0,AB88&gt;0,(LOG(0.01*AB88/10^-AP88)))</f>
        <v>7.2950980400142571</v>
      </c>
      <c r="O88" s="8" cm="1">
        <f t="array" ref="O88">_xlfn.IFS(AC88=0,0,AC88&gt;0,(LOG(0.01*AC88/10^-AQ88)))</f>
        <v>7.2950980400142571</v>
      </c>
      <c r="P88" s="8" cm="1">
        <f t="array" ref="P88">_xlfn.IFS(AD88=0,0,AD88&gt;0,(LOG(0.01*AD88/10^-AR88)))</f>
        <v>7.7153513694466245</v>
      </c>
      <c r="Q88" s="8" cm="1">
        <f t="array" ref="Q88">_xlfn.IFS(AE88=0,0,AE88&gt;0,(LOG(0.01*AE88/10^-AS88)))</f>
        <v>7.2358748556724937</v>
      </c>
      <c r="R88" s="8" cm="1">
        <f t="array" ref="R88">_xlfn.IFS(AF88=0,0,AF88&gt;0,(LOG(0.01*AF88/10^-AT88)))</f>
        <v>7.4930899869919454</v>
      </c>
      <c r="S88" s="8" cm="1">
        <f t="array" ref="S88">_xlfn.IFS(AG88=0,0,AG88&gt;0,(LOG(0.01*AG88/10^-AU88)))</f>
        <v>7.3408520116421458</v>
      </c>
      <c r="T88" s="16">
        <v>7.1</v>
      </c>
      <c r="U88" s="17">
        <v>7.1</v>
      </c>
      <c r="V88" s="17">
        <v>22</v>
      </c>
      <c r="W88" s="17">
        <v>22</v>
      </c>
      <c r="X88" s="17">
        <v>27.1</v>
      </c>
      <c r="Y88" s="17">
        <v>9</v>
      </c>
      <c r="Z88" s="17">
        <v>9</v>
      </c>
      <c r="AA88" s="17">
        <v>6</v>
      </c>
      <c r="AB88" s="17">
        <v>7</v>
      </c>
      <c r="AC88" s="17">
        <v>7</v>
      </c>
      <c r="AD88" s="17">
        <v>20.2</v>
      </c>
      <c r="AE88" s="17">
        <v>5.7</v>
      </c>
      <c r="AF88" s="17">
        <v>8</v>
      </c>
      <c r="AG88" s="17">
        <v>5.9</v>
      </c>
      <c r="AH88" s="14">
        <v>8.5500000000000007</v>
      </c>
      <c r="AI88" s="15">
        <v>8.4700000000000006</v>
      </c>
      <c r="AJ88" s="15">
        <v>8.67</v>
      </c>
      <c r="AK88" s="15">
        <v>8.67</v>
      </c>
      <c r="AL88" s="15">
        <v>9.01</v>
      </c>
      <c r="AM88" s="15">
        <v>8.58</v>
      </c>
      <c r="AN88" s="15">
        <v>8.58</v>
      </c>
      <c r="AO88" s="15">
        <v>8.4499999999999993</v>
      </c>
      <c r="AP88" s="15">
        <v>8.4499999999999993</v>
      </c>
      <c r="AQ88" s="15">
        <v>8.4499999999999993</v>
      </c>
      <c r="AR88" s="15">
        <v>8.41</v>
      </c>
      <c r="AS88" s="15">
        <v>8.48</v>
      </c>
      <c r="AT88" s="15">
        <v>8.59</v>
      </c>
      <c r="AU88" s="15">
        <v>8.57</v>
      </c>
      <c r="AW88" s="186" t="str">
        <f>IF(VLOOKUP($A88,'I-Ligands'!$A:$G,3,FALSE)="","",VLOOKUP($A88,'I-Ligands'!$A:$G,3,FALSE))</f>
        <v>Leukotriene B4</v>
      </c>
      <c r="AX88" s="187" t="str">
        <f>IF(VLOOKUP($A88,'I-Ligands'!$A:$G,4,FALSE)="","",VLOOKUP($A88,'I-Ligands'!$A:$G,4,FALSE))</f>
        <v>Leukotriene B4</v>
      </c>
      <c r="AY88" s="98">
        <v>0.93</v>
      </c>
      <c r="AZ88" s="99">
        <v>1.1399999999999999</v>
      </c>
      <c r="BA88" s="99">
        <v>2.0299999999999998</v>
      </c>
      <c r="BB88" s="99">
        <v>2.0299999999999998</v>
      </c>
      <c r="BC88" s="99">
        <v>2.17</v>
      </c>
      <c r="BD88" s="99">
        <v>3.07</v>
      </c>
      <c r="BE88" s="99">
        <v>3.07</v>
      </c>
      <c r="BF88" s="99">
        <v>3.58</v>
      </c>
      <c r="BG88" s="99">
        <v>3.32</v>
      </c>
      <c r="BH88" s="99">
        <v>3.32</v>
      </c>
      <c r="BI88" s="99">
        <v>2.99</v>
      </c>
      <c r="BJ88" s="99">
        <v>1.24</v>
      </c>
      <c r="BK88" s="99">
        <v>0.8</v>
      </c>
      <c r="BL88" s="99">
        <v>2.4300000000000002</v>
      </c>
      <c r="BM88" s="98">
        <f t="shared" si="28"/>
        <v>7.6344086021505371</v>
      </c>
      <c r="BN88" s="99">
        <f t="shared" si="29"/>
        <v>6.2280701754385968</v>
      </c>
      <c r="BO88" s="99">
        <f t="shared" si="30"/>
        <v>10.837438423645322</v>
      </c>
      <c r="BP88" s="99">
        <f t="shared" si="31"/>
        <v>10.837438423645322</v>
      </c>
      <c r="BQ88" s="99">
        <f t="shared" si="32"/>
        <v>12.488479262672811</v>
      </c>
      <c r="BR88" s="99">
        <f t="shared" si="33"/>
        <v>2.9315960912052117</v>
      </c>
      <c r="BS88" s="99">
        <f t="shared" si="34"/>
        <v>2.9315960912052117</v>
      </c>
      <c r="BT88" s="99">
        <f t="shared" si="35"/>
        <v>1.6759776536312849</v>
      </c>
      <c r="BU88" s="99">
        <f t="shared" si="36"/>
        <v>2.1084337349397591</v>
      </c>
      <c r="BV88" s="99">
        <f t="shared" si="37"/>
        <v>2.1084337349397591</v>
      </c>
      <c r="BW88" s="99">
        <f t="shared" si="38"/>
        <v>6.7558528428093636</v>
      </c>
      <c r="BX88" s="99">
        <f t="shared" si="39"/>
        <v>4.596774193548387</v>
      </c>
      <c r="BY88" s="99">
        <f t="shared" si="40"/>
        <v>10</v>
      </c>
      <c r="BZ88" s="99">
        <f t="shared" si="41"/>
        <v>2.42798353909465</v>
      </c>
      <c r="CA88" s="18" t="e">
        <f>VLOOKUP(A88,'Bouvier-GEMTA'!A:C,4,FALSE)</f>
        <v>#REF!</v>
      </c>
      <c r="CB88" s="18" t="e">
        <f>VLOOKUP(A88,'Martemyanov-FreeGβγ-Nluc'!A:BG,4,FALSE)</f>
        <v>#N/A</v>
      </c>
    </row>
    <row r="89" spans="1:80" ht="18">
      <c r="A89" s="12" t="s">
        <v>147</v>
      </c>
      <c r="B89" s="13" t="s">
        <v>2633</v>
      </c>
      <c r="C89" s="9" t="str">
        <f>IF(VLOOKUP($A89,'I-Ligands'!$A:$G,5,FALSE)="","",VLOOKUP($A89,'I-Ligands'!$A:$G,5,FALSE))</f>
        <v>Guide to Pharmacology</v>
      </c>
      <c r="D89" s="9">
        <f>IF(VLOOKUP($A89,'I-Ligands'!$A:$G,6,FALSE)="","",VLOOKUP($A89,'I-Ligands'!$A:$G,6,FALSE))</f>
        <v>6161</v>
      </c>
      <c r="E89" s="9" t="str">
        <f>IF(VLOOKUP($A89,'I-Ligands'!$A:$G,7,FALSE)="","",VLOOKUP($A89,'I-Ligands'!$A:$G,7,FALSE))</f>
        <v>Surr</v>
      </c>
      <c r="F89" s="7" cm="1">
        <f t="array" ref="F89">_xlfn.IFS(T89=0,0,T89&gt;0,(LOG(0.01*T89/10^-AH89)))</f>
        <v>0</v>
      </c>
      <c r="G89" s="8" cm="1">
        <f t="array" ref="G89">_xlfn.IFS(U89=0,0,U89&gt;0,(LOG(0.01*U89/10^-AI89)))</f>
        <v>0</v>
      </c>
      <c r="H89" s="8" cm="1">
        <f t="array" ref="H89">_xlfn.IFS(V89=0,0,V89&gt;0,(LOG(0.01*V89/10^-AJ89)))</f>
        <v>6.7141578492636818</v>
      </c>
      <c r="I89" s="8" cm="1">
        <f t="array" ref="I89">_xlfn.IFS(W89=0,0,W89&gt;0,(LOG(0.01*W89/10^-AK89)))</f>
        <v>6.7141578492636818</v>
      </c>
      <c r="J89" s="8" cm="1">
        <f t="array" ref="J89">_xlfn.IFS(X89=0,0,X89&gt;0,(LOG(0.01*X89/10^-AL89)))</f>
        <v>7.2017864355242907</v>
      </c>
      <c r="K89" s="8" cm="1">
        <f t="array" ref="K89">_xlfn.IFS(Y89=0,0,Y89&gt;0,(LOG(0.01*Y89/10^-AM89)))</f>
        <v>4.2596301674258994</v>
      </c>
      <c r="L89" s="8" cm="1">
        <f t="array" ref="L89">_xlfn.IFS(Z89=0,0,Z89&gt;0,(LOG(0.01*Z89/10^-AN89)))</f>
        <v>4.2596301674258994</v>
      </c>
      <c r="M89" s="8" cm="1">
        <f t="array" ref="M89">_xlfn.IFS(AA89=0,0,AA89&gt;0,(LOG(0.01*AA89/10^-AO89)))</f>
        <v>0</v>
      </c>
      <c r="N89" s="8" cm="1">
        <f t="array" ref="N89">_xlfn.IFS(AB89=0,0,AB89&gt;0,(LOG(0.01*AB89/10^-AP89)))</f>
        <v>5.6520978579357175</v>
      </c>
      <c r="O89" s="8" cm="1">
        <f t="array" ref="O89">_xlfn.IFS(AC89=0,0,AC89&gt;0,(LOG(0.01*AC89/10^-AQ89)))</f>
        <v>5.6520978579357175</v>
      </c>
      <c r="P89" s="8" cm="1">
        <f t="array" ref="P89">_xlfn.IFS(AD89=0,0,AD89&gt;0,(LOG(0.01*AD89/10^-AR89)))</f>
        <v>5.2530784434834201</v>
      </c>
      <c r="Q89" s="8" cm="1">
        <f t="array" ref="Q89">_xlfn.IFS(AE89=0,0,AE89&gt;0,(LOG(0.01*AE89/10^-AS89)))</f>
        <v>0</v>
      </c>
      <c r="R89" s="8" cm="1">
        <f t="array" ref="R89">_xlfn.IFS(AF89=0,0,AF89&gt;0,(LOG(0.01*AF89/10^-AT89)))</f>
        <v>5.5820946026904812</v>
      </c>
      <c r="S89" s="8" cm="1">
        <f t="array" ref="S89">_xlfn.IFS(AG89=0,0,AG89&gt;0,(LOG(0.01*AG89/10^-AU89)))</f>
        <v>0</v>
      </c>
      <c r="V89" s="17">
        <v>18.8</v>
      </c>
      <c r="W89" s="17">
        <v>18.8</v>
      </c>
      <c r="X89" s="17">
        <v>28.3</v>
      </c>
      <c r="Y89" s="17">
        <v>20.399999999999999</v>
      </c>
      <c r="Z89" s="17">
        <v>20.399999999999999</v>
      </c>
      <c r="AB89" s="17">
        <v>4.7</v>
      </c>
      <c r="AC89" s="17">
        <v>4.7</v>
      </c>
      <c r="AD89" s="17">
        <v>11.3</v>
      </c>
      <c r="AF89" s="17">
        <v>7.8</v>
      </c>
      <c r="AJ89" s="15">
        <v>7.44</v>
      </c>
      <c r="AK89" s="15">
        <v>7.44</v>
      </c>
      <c r="AL89" s="15">
        <v>7.75</v>
      </c>
      <c r="AM89" s="15">
        <v>4.95</v>
      </c>
      <c r="AN89" s="15">
        <v>4.95</v>
      </c>
      <c r="AP89" s="15">
        <v>6.98</v>
      </c>
      <c r="AQ89" s="15">
        <v>6.98</v>
      </c>
      <c r="AR89" s="15">
        <v>6.2</v>
      </c>
      <c r="AT89" s="15">
        <v>6.69</v>
      </c>
      <c r="AW89" s="186" t="str">
        <f>IF(VLOOKUP($A89,'I-Ligands'!$A:$G,3,FALSE)="","",VLOOKUP($A89,'I-Ligands'!$A:$G,3,FALSE))</f>
        <v>CAY10583</v>
      </c>
      <c r="AX89" s="187" t="str">
        <f>IF(VLOOKUP($A89,'I-Ligands'!$A:$G,4,FALSE)="","",VLOOKUP($A89,'I-Ligands'!$A:$G,4,FALSE))</f>
        <v>CAY10583</v>
      </c>
      <c r="AY89" s="98">
        <v>0.91</v>
      </c>
      <c r="AZ89" s="99">
        <v>2.2599999999999998</v>
      </c>
      <c r="BA89" s="99">
        <v>2.2999999999999998</v>
      </c>
      <c r="BB89" s="99">
        <v>2.2999999999999998</v>
      </c>
      <c r="BC89" s="99">
        <v>3.77</v>
      </c>
      <c r="BD89" s="99">
        <v>2.82</v>
      </c>
      <c r="BE89" s="99">
        <v>2.82</v>
      </c>
      <c r="BF89" s="99">
        <v>4.8</v>
      </c>
      <c r="BG89" s="99">
        <v>2.02</v>
      </c>
      <c r="BH89" s="99">
        <v>2.02</v>
      </c>
      <c r="BI89" s="99">
        <v>4.13</v>
      </c>
      <c r="BJ89" s="99">
        <v>2.93</v>
      </c>
      <c r="BK89" s="99">
        <v>2.02</v>
      </c>
      <c r="BL89" s="99">
        <v>3.1</v>
      </c>
      <c r="BM89" s="98">
        <f t="shared" si="28"/>
        <v>0</v>
      </c>
      <c r="BN89" s="99">
        <f t="shared" si="29"/>
        <v>0</v>
      </c>
      <c r="BO89" s="99">
        <f t="shared" si="30"/>
        <v>8.1739130434782616</v>
      </c>
      <c r="BP89" s="99">
        <f t="shared" si="31"/>
        <v>8.1739130434782616</v>
      </c>
      <c r="BQ89" s="99">
        <f t="shared" si="32"/>
        <v>7.5066312997347477</v>
      </c>
      <c r="BR89" s="99">
        <f t="shared" si="33"/>
        <v>7.2340425531914896</v>
      </c>
      <c r="BS89" s="99">
        <f t="shared" si="34"/>
        <v>7.2340425531914896</v>
      </c>
      <c r="BT89" s="99">
        <f t="shared" si="35"/>
        <v>0</v>
      </c>
      <c r="BU89" s="99">
        <f t="shared" si="36"/>
        <v>2.3267326732673266</v>
      </c>
      <c r="BV89" s="99">
        <f t="shared" si="37"/>
        <v>2.3267326732673266</v>
      </c>
      <c r="BW89" s="99">
        <f t="shared" si="38"/>
        <v>2.7360774818401938</v>
      </c>
      <c r="BX89" s="99">
        <f t="shared" si="39"/>
        <v>0</v>
      </c>
      <c r="BY89" s="99">
        <f t="shared" si="40"/>
        <v>3.8613861386138613</v>
      </c>
      <c r="BZ89" s="99">
        <f t="shared" si="41"/>
        <v>0</v>
      </c>
      <c r="CA89" s="18" t="e">
        <f>VLOOKUP(A89,'Bouvier-GEMTA'!A:C,4,FALSE)</f>
        <v>#REF!</v>
      </c>
      <c r="CB89" s="18" t="e">
        <f>VLOOKUP(A89,'Martemyanov-FreeGβγ-Nluc'!A:BG,4,FALSE)</f>
        <v>#N/A</v>
      </c>
    </row>
    <row r="90" spans="1:80">
      <c r="A90" s="12" t="s">
        <v>125</v>
      </c>
      <c r="B90" s="13" t="s">
        <v>126</v>
      </c>
      <c r="C90" s="9" t="str">
        <f>IF(VLOOKUP($A90,'I-Ligands'!$A:$G,5,FALSE)="","",VLOOKUP($A90,'I-Ligands'!$A:$G,5,FALSE))</f>
        <v>Guide to Pharmacology</v>
      </c>
      <c r="D90" s="9">
        <f>IF(VLOOKUP($A90,'I-Ligands'!$A:$G,6,FALSE)="","",VLOOKUP($A90,'I-Ligands'!$A:$G,6,FALSE))</f>
        <v>5867</v>
      </c>
      <c r="E90" s="9" t="str">
        <f>IF(VLOOKUP($A90,'I-Ligands'!$A:$G,7,FALSE)="","",VLOOKUP($A90,'I-Ligands'!$A:$G,7,FALSE))</f>
        <v>Surr</v>
      </c>
      <c r="F90" s="7" cm="1">
        <f t="array" ref="F90">_xlfn.IFS(T90=0,0,T90&gt;0,(LOG(0.01*T90/10^-AH90)))</f>
        <v>9.230211241711606</v>
      </c>
      <c r="G90" s="8" cm="1">
        <f t="array" ref="G90">_xlfn.IFS(U90=0,0,U90&gt;0,(LOG(0.01*U90/10^-AI90)))</f>
        <v>9.0800713879850754</v>
      </c>
      <c r="H90" s="8" cm="1">
        <f t="array" ref="H90">_xlfn.IFS(V90=0,0,V90&gt;0,(LOG(0.01*V90/10^-AJ90)))</f>
        <v>8.9222712330395684</v>
      </c>
      <c r="I90" s="8" cm="1">
        <f t="array" ref="I90">_xlfn.IFS(W90=0,0,W90&gt;0,(LOG(0.01*W90/10^-AK90)))</f>
        <v>8.9222712330395684</v>
      </c>
      <c r="J90" s="8" cm="1">
        <f t="array" ref="J90">_xlfn.IFS(X90=0,0,X90&gt;0,(LOG(0.01*X90/10^-AL90)))</f>
        <v>9.2693837776852099</v>
      </c>
      <c r="K90" s="8" cm="1">
        <f t="array" ref="K90">_xlfn.IFS(Y90=0,0,Y90&gt;0,(LOG(0.01*Y90/10^-AM90)))</f>
        <v>9.3902480183341623</v>
      </c>
      <c r="L90" s="8" cm="1">
        <f t="array" ref="L90">_xlfn.IFS(Z90=0,0,Z90&gt;0,(LOG(0.01*Z90/10^-AN90)))</f>
        <v>9.3902480183341623</v>
      </c>
      <c r="M90" s="8" cm="1">
        <f t="array" ref="M90">_xlfn.IFS(AA90=0,0,AA90&gt;0,(LOG(0.01*AA90/10^-AO90)))</f>
        <v>9.1371717284030147</v>
      </c>
      <c r="N90" s="8" cm="1">
        <f t="array" ref="N90">_xlfn.IFS(AB90=0,0,AB90&gt;0,(LOG(0.01*AB90/10^-AP90)))</f>
        <v>9.1723937598229686</v>
      </c>
      <c r="O90" s="8" cm="1">
        <f t="array" ref="O90">_xlfn.IFS(AC90=0,0,AC90&gt;0,(LOG(0.01*AC90/10^-AQ90)))</f>
        <v>9.1723937598229686</v>
      </c>
      <c r="P90" s="8" cm="1">
        <f t="array" ref="P90">_xlfn.IFS(AD90=0,0,AD90&gt;0,(LOG(0.01*AD90/10^-AR90)))</f>
        <v>9.607496037913215</v>
      </c>
      <c r="Q90" s="8" cm="1">
        <f t="array" ref="Q90">_xlfn.IFS(AE90=0,0,AE90&gt;0,(LOG(0.01*AE90/10^-AS90)))</f>
        <v>9.4912917110589383</v>
      </c>
      <c r="R90" s="8" cm="1">
        <f t="array" ref="R90">_xlfn.IFS(AF90=0,0,AF90&gt;0,(LOG(0.01*AF90/10^-AT90)))</f>
        <v>9.4420170425748697</v>
      </c>
      <c r="S90" s="8" cm="1">
        <f t="array" ref="S90">_xlfn.IFS(AG90=0,0,AG90&gt;0,(LOG(0.01*AG90/10^-AU90)))</f>
        <v>9.4042824552976949</v>
      </c>
      <c r="T90" s="16">
        <v>24</v>
      </c>
      <c r="U90" s="17">
        <v>18.2</v>
      </c>
      <c r="V90" s="17">
        <v>9.6</v>
      </c>
      <c r="W90" s="17">
        <v>9.6</v>
      </c>
      <c r="X90" s="17">
        <v>10.7</v>
      </c>
      <c r="Y90" s="17">
        <v>22.4</v>
      </c>
      <c r="Z90" s="17">
        <v>22.4</v>
      </c>
      <c r="AA90" s="17">
        <v>18.5</v>
      </c>
      <c r="AB90" s="17">
        <v>5.4</v>
      </c>
      <c r="AC90" s="17">
        <v>5.4</v>
      </c>
      <c r="AD90" s="17">
        <v>20.3</v>
      </c>
      <c r="AE90" s="17">
        <v>29.6</v>
      </c>
      <c r="AF90" s="17">
        <v>24.1</v>
      </c>
      <c r="AG90" s="17">
        <v>21.1</v>
      </c>
      <c r="AH90" s="14">
        <v>9.85</v>
      </c>
      <c r="AI90" s="15">
        <v>9.82</v>
      </c>
      <c r="AJ90" s="15">
        <v>9.94</v>
      </c>
      <c r="AK90" s="15">
        <v>9.94</v>
      </c>
      <c r="AL90" s="15">
        <v>10.24</v>
      </c>
      <c r="AM90" s="15">
        <v>10.039999999999999</v>
      </c>
      <c r="AN90" s="15">
        <v>10.039999999999999</v>
      </c>
      <c r="AO90" s="15">
        <v>9.8699999999999992</v>
      </c>
      <c r="AP90" s="15">
        <v>10.44</v>
      </c>
      <c r="AQ90" s="15">
        <v>10.44</v>
      </c>
      <c r="AR90" s="15">
        <v>10.3</v>
      </c>
      <c r="AS90" s="15">
        <v>10.02</v>
      </c>
      <c r="AT90" s="15">
        <v>10.06</v>
      </c>
      <c r="AU90" s="15">
        <v>10.08</v>
      </c>
      <c r="AW90" s="186" t="str">
        <f>IF(VLOOKUP($A90,'I-Ligands'!$A:$G,3,FALSE)="","",VLOOKUP($A90,'I-Ligands'!$A:$G,3,FALSE))</f>
        <v>MK-0677</v>
      </c>
      <c r="AX90" s="187" t="str">
        <f>IF(VLOOKUP($A90,'I-Ligands'!$A:$G,4,FALSE)="","",VLOOKUP($A90,'I-Ligands'!$A:$G,4,FALSE))</f>
        <v>MK 0677</v>
      </c>
      <c r="AY90" s="98">
        <v>2.42</v>
      </c>
      <c r="AZ90" s="99">
        <v>3.63</v>
      </c>
      <c r="BA90" s="99">
        <v>3.03</v>
      </c>
      <c r="BB90" s="99">
        <v>3.03</v>
      </c>
      <c r="BC90" s="99">
        <v>3.37</v>
      </c>
      <c r="BD90" s="99">
        <v>3.19</v>
      </c>
      <c r="BE90" s="99">
        <v>3.19</v>
      </c>
      <c r="BF90" s="99">
        <v>4.16</v>
      </c>
      <c r="BG90" s="99">
        <v>2.0499999999999998</v>
      </c>
      <c r="BH90" s="99">
        <v>2.0499999999999998</v>
      </c>
      <c r="BI90" s="99">
        <v>4.7699999999999996</v>
      </c>
      <c r="BJ90" s="99">
        <v>2.35</v>
      </c>
      <c r="BK90" s="99">
        <v>2.0699999999999998</v>
      </c>
      <c r="BL90" s="99">
        <v>3.03</v>
      </c>
      <c r="BM90" s="98">
        <f t="shared" si="28"/>
        <v>9.9173553719008272</v>
      </c>
      <c r="BN90" s="99">
        <f t="shared" si="29"/>
        <v>5.0137741046831952</v>
      </c>
      <c r="BO90" s="99">
        <f t="shared" si="30"/>
        <v>3.1683168316831685</v>
      </c>
      <c r="BP90" s="99">
        <f t="shared" si="31"/>
        <v>3.1683168316831685</v>
      </c>
      <c r="BQ90" s="99">
        <f t="shared" si="32"/>
        <v>3.1750741839762608</v>
      </c>
      <c r="BR90" s="99">
        <f t="shared" si="33"/>
        <v>7.0219435736677109</v>
      </c>
      <c r="BS90" s="99">
        <f t="shared" si="34"/>
        <v>7.0219435736677109</v>
      </c>
      <c r="BT90" s="99">
        <f t="shared" si="35"/>
        <v>4.4471153846153841</v>
      </c>
      <c r="BU90" s="99">
        <f t="shared" si="36"/>
        <v>2.6341463414634152</v>
      </c>
      <c r="BV90" s="99">
        <f t="shared" si="37"/>
        <v>2.6341463414634152</v>
      </c>
      <c r="BW90" s="99">
        <f t="shared" si="38"/>
        <v>4.2557651991614263</v>
      </c>
      <c r="BX90" s="99">
        <f t="shared" si="39"/>
        <v>12.595744680851064</v>
      </c>
      <c r="BY90" s="99">
        <f t="shared" si="40"/>
        <v>11.642512077294688</v>
      </c>
      <c r="BZ90" s="99">
        <f t="shared" si="41"/>
        <v>6.9636963696369643</v>
      </c>
      <c r="CA90" s="18" t="e">
        <f>VLOOKUP(A90,'Bouvier-GEMTA'!A:C,4,FALSE)</f>
        <v>#REF!</v>
      </c>
      <c r="CB90" s="18" t="e">
        <f>VLOOKUP(A90,'Martemyanov-FreeGβγ-Nluc'!A:BG,4,FALSE)</f>
        <v>#N/A</v>
      </c>
    </row>
    <row r="91" spans="1:80">
      <c r="A91" s="12" t="s">
        <v>120</v>
      </c>
      <c r="B91" s="13" t="s">
        <v>2555</v>
      </c>
      <c r="C91" s="9" t="str">
        <f>IF(VLOOKUP($A91,'I-Ligands'!$A:$G,5,FALSE)="","",VLOOKUP($A91,'I-Ligands'!$A:$G,5,FALSE))</f>
        <v>Guide to Pharmacology</v>
      </c>
      <c r="D91" s="9">
        <f>IF(VLOOKUP($A91,'I-Ligands'!$A:$G,6,FALSE)="","",VLOOKUP($A91,'I-Ligands'!$A:$G,6,FALSE))</f>
        <v>6490</v>
      </c>
      <c r="E91" s="9" t="str">
        <f>IF(VLOOKUP($A91,'I-Ligands'!$A:$G,7,FALSE)="","",VLOOKUP($A91,'I-Ligands'!$A:$G,7,FALSE))</f>
        <v>Surr</v>
      </c>
      <c r="F91" s="7" cm="1">
        <f t="array" ref="F91">_xlfn.IFS(T91=0,0,T91&gt;0,(LOG(0.01*T91/10^-AH91)))</f>
        <v>6.8080633349627631</v>
      </c>
      <c r="G91" s="8" cm="1">
        <f t="array" ref="G91">_xlfn.IFS(U91=0,0,U91&gt;0,(LOG(0.01*U91/10^-AI91)))</f>
        <v>6.6283048630481609</v>
      </c>
      <c r="H91" s="8" cm="1">
        <f t="array" ref="H91">_xlfn.IFS(V91=0,0,V91&gt;0,(LOG(0.01*V91/10^-AJ91)))</f>
        <v>7.2818435879447732</v>
      </c>
      <c r="I91" s="8" cm="1">
        <f t="array" ref="I91">_xlfn.IFS(W91=0,0,W91&gt;0,(LOG(0.01*W91/10^-AK91)))</f>
        <v>7.2818435879447732</v>
      </c>
      <c r="J91" s="8" cm="1">
        <f t="array" ref="J91">_xlfn.IFS(X91=0,0,X91&gt;0,(LOG(0.01*X91/10^-AL91)))</f>
        <v>7.1986001717619175</v>
      </c>
      <c r="K91" s="8" cm="1">
        <f t="array" ref="K91">_xlfn.IFS(Y91=0,0,Y91&gt;0,(LOG(0.01*Y91/10^-AM91)))</f>
        <v>6.9284564936046058</v>
      </c>
      <c r="L91" s="8" cm="1">
        <f t="array" ref="L91">_xlfn.IFS(Z91=0,0,Z91&gt;0,(LOG(0.01*Z91/10^-AN91)))</f>
        <v>6.9284564936046058</v>
      </c>
      <c r="M91" s="8" cm="1">
        <f t="array" ref="M91">_xlfn.IFS(AA91=0,0,AA91&gt;0,(LOG(0.01*AA91/10^-AO91)))</f>
        <v>6.8993837776852107</v>
      </c>
      <c r="N91" s="8" cm="1">
        <f t="array" ref="N91">_xlfn.IFS(AB91=0,0,AB91&gt;0,(LOG(0.01*AB91/10^-AP91)))</f>
        <v>6.7438672203691539</v>
      </c>
      <c r="O91" s="8" cm="1">
        <f t="array" ref="O91">_xlfn.IFS(AC91=0,0,AC91&gt;0,(LOG(0.01*AC91/10^-AQ91)))</f>
        <v>6.7438672203691539</v>
      </c>
      <c r="P91" s="8" cm="1">
        <f t="array" ref="P91">_xlfn.IFS(AD91=0,0,AD91&gt;0,(LOG(0.01*AD91/10^-AR91)))</f>
        <v>6.88342375548695</v>
      </c>
      <c r="Q91" s="8" cm="1">
        <f t="array" ref="Q91">_xlfn.IFS(AE91=0,0,AE91&gt;0,(LOG(0.01*AE91/10^-AS91)))</f>
        <v>5.7800346113625185</v>
      </c>
      <c r="R91" s="8" cm="1">
        <f t="array" ref="R91">_xlfn.IFS(AF91=0,0,AF91&gt;0,(LOG(0.01*AF91/10^-AT91)))</f>
        <v>6.6138153659804324</v>
      </c>
      <c r="S91" s="8" cm="1">
        <f t="array" ref="S91">_xlfn.IFS(AG91=0,0,AG91&gt;0,(LOG(0.01*AG91/10^-AU91)))</f>
        <v>6.5017278360175927</v>
      </c>
      <c r="T91" s="16">
        <v>20.8</v>
      </c>
      <c r="U91" s="17">
        <v>22.3</v>
      </c>
      <c r="V91" s="17">
        <v>15.2</v>
      </c>
      <c r="W91" s="17">
        <v>15.2</v>
      </c>
      <c r="X91" s="17">
        <v>10.199999999999999</v>
      </c>
      <c r="Y91" s="17">
        <v>21.8</v>
      </c>
      <c r="Z91" s="17">
        <v>21.8</v>
      </c>
      <c r="AA91" s="17">
        <v>10.7</v>
      </c>
      <c r="AB91" s="17">
        <v>20.6</v>
      </c>
      <c r="AC91" s="17">
        <v>20.6</v>
      </c>
      <c r="AD91" s="17">
        <v>10.8</v>
      </c>
      <c r="AE91" s="17">
        <v>19.5</v>
      </c>
      <c r="AF91" s="17">
        <v>24.2</v>
      </c>
      <c r="AG91" s="17">
        <v>23</v>
      </c>
      <c r="AH91" s="14">
        <v>7.49</v>
      </c>
      <c r="AI91" s="15">
        <v>7.28</v>
      </c>
      <c r="AJ91" s="15">
        <v>8.1</v>
      </c>
      <c r="AK91" s="15">
        <v>8.1</v>
      </c>
      <c r="AL91" s="15">
        <v>8.19</v>
      </c>
      <c r="AM91" s="15">
        <v>7.59</v>
      </c>
      <c r="AN91" s="15">
        <v>7.59</v>
      </c>
      <c r="AO91" s="15">
        <v>7.87</v>
      </c>
      <c r="AP91" s="15">
        <v>7.43</v>
      </c>
      <c r="AQ91" s="15">
        <v>7.43</v>
      </c>
      <c r="AR91" s="15">
        <v>7.85</v>
      </c>
      <c r="AS91" s="15">
        <v>6.49</v>
      </c>
      <c r="AT91" s="15">
        <v>7.23</v>
      </c>
      <c r="AU91" s="15">
        <v>7.14</v>
      </c>
      <c r="AW91" s="186" t="str">
        <f>IF(VLOOKUP($A91,'I-Ligands'!$A:$G,3,FALSE)="","",VLOOKUP($A91,'I-Ligands'!$A:$G,3,FALSE))</f>
        <v>TUG 891</v>
      </c>
      <c r="AX91" s="187" t="str">
        <f>IF(VLOOKUP($A91,'I-Ligands'!$A:$G,4,FALSE)="","",VLOOKUP($A91,'I-Ligands'!$A:$G,4,FALSE))</f>
        <v>TUG 891</v>
      </c>
      <c r="AY91" s="98">
        <v>6.07</v>
      </c>
      <c r="AZ91" s="99">
        <v>4.8</v>
      </c>
      <c r="BA91" s="99">
        <v>4.59</v>
      </c>
      <c r="BB91" s="99">
        <v>4.59</v>
      </c>
      <c r="BC91" s="99">
        <v>4.67</v>
      </c>
      <c r="BD91" s="99">
        <v>6.41</v>
      </c>
      <c r="BE91" s="99">
        <v>6.41</v>
      </c>
      <c r="BF91" s="99">
        <v>5.88</v>
      </c>
      <c r="BG91" s="99">
        <v>6.57</v>
      </c>
      <c r="BH91" s="99">
        <v>6.57</v>
      </c>
      <c r="BI91" s="99">
        <v>3.21</v>
      </c>
      <c r="BJ91" s="99">
        <v>5.03</v>
      </c>
      <c r="BK91" s="99">
        <v>4.05</v>
      </c>
      <c r="BL91" s="99">
        <v>4.5</v>
      </c>
      <c r="BM91" s="98">
        <f t="shared" si="28"/>
        <v>3.4266886326194399</v>
      </c>
      <c r="BN91" s="99">
        <f t="shared" si="29"/>
        <v>4.6458333333333339</v>
      </c>
      <c r="BO91" s="99">
        <f t="shared" si="30"/>
        <v>3.3115468409586057</v>
      </c>
      <c r="BP91" s="99">
        <f t="shared" si="31"/>
        <v>3.3115468409586057</v>
      </c>
      <c r="BQ91" s="99">
        <f t="shared" si="32"/>
        <v>2.1841541755888652</v>
      </c>
      <c r="BR91" s="99">
        <f t="shared" si="33"/>
        <v>3.4009360374414976</v>
      </c>
      <c r="BS91" s="99">
        <f t="shared" si="34"/>
        <v>3.4009360374414976</v>
      </c>
      <c r="BT91" s="99">
        <f t="shared" si="35"/>
        <v>1.8197278911564625</v>
      </c>
      <c r="BU91" s="99">
        <f t="shared" si="36"/>
        <v>3.1354642313546424</v>
      </c>
      <c r="BV91" s="99">
        <f t="shared" si="37"/>
        <v>3.1354642313546424</v>
      </c>
      <c r="BW91" s="99">
        <f t="shared" si="38"/>
        <v>3.3644859813084116</v>
      </c>
      <c r="BX91" s="99">
        <f t="shared" si="39"/>
        <v>3.8767395626242545</v>
      </c>
      <c r="BY91" s="99">
        <f t="shared" si="40"/>
        <v>5.9753086419753085</v>
      </c>
      <c r="BZ91" s="99">
        <f t="shared" si="41"/>
        <v>5.1111111111111107</v>
      </c>
      <c r="CA91" s="18" t="e">
        <f>VLOOKUP(A91,'Bouvier-GEMTA'!A:C,4,FALSE)</f>
        <v>#REF!</v>
      </c>
      <c r="CB91" s="18" t="e">
        <f>VLOOKUP(A91,'Martemyanov-FreeGβγ-Nluc'!A:BG,4,FALSE)</f>
        <v>#N/A</v>
      </c>
    </row>
    <row r="92" spans="1:80" ht="18">
      <c r="A92" s="12" t="s">
        <v>149</v>
      </c>
      <c r="B92" s="13" t="s">
        <v>2627</v>
      </c>
      <c r="C92" s="9" t="str">
        <f>IF(VLOOKUP($A92,'I-Ligands'!$A:$G,5,FALSE)="","",VLOOKUP($A92,'I-Ligands'!$A:$G,5,FALSE))</f>
        <v>Guide to Pharmacology</v>
      </c>
      <c r="D92" s="9">
        <f>IF(VLOOKUP($A92,'I-Ligands'!$A:$G,6,FALSE)="","",VLOOKUP($A92,'I-Ligands'!$A:$G,6,FALSE))</f>
        <v>2906</v>
      </c>
      <c r="E92" s="9" t="str">
        <f>IF(VLOOKUP($A92,'I-Ligands'!$A:$G,7,FALSE)="","",VLOOKUP($A92,'I-Ligands'!$A:$G,7,FALSE))</f>
        <v>Phys</v>
      </c>
      <c r="F92" s="7" cm="1">
        <f t="array" ref="F92">_xlfn.IFS(T92=0,0,T92&gt;0,(LOG(0.01*T92/10^-AH92)))</f>
        <v>7.1371580313422198</v>
      </c>
      <c r="G92" s="8" cm="1">
        <f t="array" ref="G92">_xlfn.IFS(U92=0,0,U92&gt;0,(LOG(0.01*U92/10^-AI92)))</f>
        <v>7.0682399653118502</v>
      </c>
      <c r="H92" s="8" cm="1">
        <f t="array" ref="H92">_xlfn.IFS(V92=0,0,V92&gt;0,(LOG(0.01*V92/10^-AJ92)))</f>
        <v>7.2330899869919447</v>
      </c>
      <c r="I92" s="8" cm="1">
        <f t="array" ref="I92">_xlfn.IFS(W92=0,0,W92&gt;0,(LOG(0.01*W92/10^-AK92)))</f>
        <v>7.2330899869919447</v>
      </c>
      <c r="J92" s="8" cm="1">
        <f t="array" ref="J92">_xlfn.IFS(X92=0,0,X92&gt;0,(LOG(0.01*X92/10^-AL92)))</f>
        <v>7.2312412373755883</v>
      </c>
      <c r="K92" s="8" cm="1">
        <f t="array" ref="K92">_xlfn.IFS(Y92=0,0,Y92&gt;0,(LOG(0.01*Y92/10^-AM92)))</f>
        <v>7.2608520116421449</v>
      </c>
      <c r="L92" s="8" cm="1">
        <f t="array" ref="L92">_xlfn.IFS(Z92=0,0,Z92&gt;0,(LOG(0.01*Z92/10^-AN92)))</f>
        <v>7.2608520116421449</v>
      </c>
      <c r="M92" s="8" cm="1">
        <f t="array" ref="M92">_xlfn.IFS(AA92=0,0,AA92&gt;0,(LOG(0.01*AA92/10^-AO92)))</f>
        <v>7.0327578316815753</v>
      </c>
      <c r="N92" s="8" cm="1">
        <f t="array" ref="N92">_xlfn.IFS(AB92=0,0,AB92&gt;0,(LOG(0.01*AB92/10^-AP92)))</f>
        <v>7.5667205671564073</v>
      </c>
      <c r="O92" s="8" cm="1">
        <f t="array" ref="O92">_xlfn.IFS(AC92=0,0,AC92&gt;0,(LOG(0.01*AC92/10^-AQ92)))</f>
        <v>7.5667205671564073</v>
      </c>
      <c r="P92" s="8" cm="1">
        <f t="array" ref="P92">_xlfn.IFS(AD92=0,0,AD92&gt;0,(LOG(0.01*AD92/10^-AR92)))</f>
        <v>7.1712583487190766</v>
      </c>
      <c r="Q92" s="8" cm="1">
        <f t="array" ref="Q92">_xlfn.IFS(AE92=0,0,AE92&gt;0,(LOG(0.01*AE92/10^-AS92)))</f>
        <v>7.4839433523068379</v>
      </c>
      <c r="R92" s="8" cm="1">
        <f t="array" ref="R92">_xlfn.IFS(AF92=0,0,AF92&gt;0,(LOG(0.01*AF92/10^-AT92)))</f>
        <v>7.5827853703164498</v>
      </c>
      <c r="S92" s="8" cm="1">
        <f t="array" ref="S92">_xlfn.IFS(AG92=0,0,AG92&gt;0,(LOG(0.01*AG92/10^-AU92)))</f>
        <v>7.3642792860618824</v>
      </c>
      <c r="T92" s="16">
        <v>28</v>
      </c>
      <c r="U92" s="17">
        <v>25.6</v>
      </c>
      <c r="V92" s="17">
        <v>8</v>
      </c>
      <c r="W92" s="17">
        <v>8</v>
      </c>
      <c r="X92" s="17">
        <v>4.8</v>
      </c>
      <c r="Y92" s="17">
        <v>5.9</v>
      </c>
      <c r="Z92" s="17">
        <v>5.9</v>
      </c>
      <c r="AA92" s="17">
        <v>4.5999999999999996</v>
      </c>
      <c r="AB92" s="17">
        <v>13.7</v>
      </c>
      <c r="AC92" s="17">
        <v>13.7</v>
      </c>
      <c r="AD92" s="17">
        <v>7.1</v>
      </c>
      <c r="AE92" s="17">
        <v>13</v>
      </c>
      <c r="AF92" s="17">
        <v>12.1</v>
      </c>
      <c r="AG92" s="17">
        <v>8.4</v>
      </c>
      <c r="AH92" s="14">
        <v>7.69</v>
      </c>
      <c r="AI92" s="15">
        <v>7.66</v>
      </c>
      <c r="AJ92" s="15">
        <v>8.33</v>
      </c>
      <c r="AK92" s="15">
        <v>8.33</v>
      </c>
      <c r="AL92" s="15">
        <v>8.5500000000000007</v>
      </c>
      <c r="AM92" s="15">
        <v>8.49</v>
      </c>
      <c r="AN92" s="15">
        <v>8.49</v>
      </c>
      <c r="AO92" s="15">
        <v>8.3699999999999992</v>
      </c>
      <c r="AP92" s="15">
        <v>8.43</v>
      </c>
      <c r="AQ92" s="15">
        <v>8.43</v>
      </c>
      <c r="AR92" s="15">
        <v>8.32</v>
      </c>
      <c r="AS92" s="15">
        <v>8.3699999999999992</v>
      </c>
      <c r="AT92" s="15">
        <v>8.5</v>
      </c>
      <c r="AU92" s="15">
        <v>8.44</v>
      </c>
      <c r="AW92" s="186" t="str">
        <f>IF(VLOOKUP($A92,'I-Ligands'!$A:$G,3,FALSE)="","",VLOOKUP($A92,'I-Ligands'!$A:$G,3,FALSE))</f>
        <v>Lysophosphatidic acid</v>
      </c>
      <c r="AX92" s="187" t="str">
        <f>IF(VLOOKUP($A92,'I-Ligands'!$A:$G,4,FALSE)="","",VLOOKUP($A92,'I-Ligands'!$A:$G,4,FALSE))</f>
        <v>1-oleoyl-2-hydroxy-sn-glycero-3-phosphate, sodium salt</v>
      </c>
      <c r="AY92" s="98">
        <v>2.37</v>
      </c>
      <c r="AZ92" s="99">
        <v>1.98</v>
      </c>
      <c r="BA92" s="99">
        <v>4.12</v>
      </c>
      <c r="BB92" s="99">
        <v>4.12</v>
      </c>
      <c r="BC92" s="99">
        <v>3.39</v>
      </c>
      <c r="BD92" s="99">
        <v>3.31</v>
      </c>
      <c r="BE92" s="99">
        <v>3.31</v>
      </c>
      <c r="BF92" s="99">
        <v>4.25</v>
      </c>
      <c r="BG92" s="99">
        <v>4.2300000000000004</v>
      </c>
      <c r="BH92" s="99">
        <v>4.2300000000000004</v>
      </c>
      <c r="BI92" s="99">
        <v>4.37</v>
      </c>
      <c r="BJ92" s="99">
        <v>4.3499999999999996</v>
      </c>
      <c r="BK92" s="99">
        <v>2.73</v>
      </c>
      <c r="BL92" s="99">
        <v>4.34</v>
      </c>
      <c r="BM92" s="98">
        <f t="shared" si="28"/>
        <v>11.814345991561181</v>
      </c>
      <c r="BN92" s="99">
        <f t="shared" si="29"/>
        <v>12.929292929292931</v>
      </c>
      <c r="BO92" s="99">
        <f t="shared" si="30"/>
        <v>1.941747572815534</v>
      </c>
      <c r="BP92" s="99">
        <f t="shared" si="31"/>
        <v>1.941747572815534</v>
      </c>
      <c r="BQ92" s="99">
        <f t="shared" si="32"/>
        <v>1.415929203539823</v>
      </c>
      <c r="BR92" s="99">
        <f t="shared" si="33"/>
        <v>1.7824773413897281</v>
      </c>
      <c r="BS92" s="99">
        <f t="shared" si="34"/>
        <v>1.7824773413897281</v>
      </c>
      <c r="BT92" s="99">
        <f t="shared" si="35"/>
        <v>1.0823529411764705</v>
      </c>
      <c r="BU92" s="99">
        <f t="shared" si="36"/>
        <v>3.2387706855791958</v>
      </c>
      <c r="BV92" s="99">
        <f t="shared" si="37"/>
        <v>3.2387706855791958</v>
      </c>
      <c r="BW92" s="99">
        <f t="shared" si="38"/>
        <v>1.6247139588100685</v>
      </c>
      <c r="BX92" s="99">
        <f t="shared" si="39"/>
        <v>2.9885057471264371</v>
      </c>
      <c r="BY92" s="99">
        <f t="shared" si="40"/>
        <v>4.4322344322344325</v>
      </c>
      <c r="BZ92" s="99">
        <f t="shared" si="41"/>
        <v>1.935483870967742</v>
      </c>
      <c r="CA92" s="18" t="e">
        <f>VLOOKUP(A92,'Bouvier-GEMTA'!A:C,4,FALSE)</f>
        <v>#REF!</v>
      </c>
      <c r="CB92" s="18" t="e">
        <f>VLOOKUP(A92,'Martemyanov-FreeGβγ-Nluc'!A:BG,4,FALSE)</f>
        <v>#N/A</v>
      </c>
    </row>
    <row r="93" spans="1:80" ht="18">
      <c r="A93" s="12" t="s">
        <v>144</v>
      </c>
      <c r="B93" s="13" t="s">
        <v>2605</v>
      </c>
      <c r="C93" s="9" t="str">
        <f>IF(VLOOKUP($A93,'I-Ligands'!$A:$G,5,FALSE)="","",VLOOKUP($A93,'I-Ligands'!$A:$G,5,FALSE))</f>
        <v>Guide to Pharmacology</v>
      </c>
      <c r="D93" s="9">
        <f>IF(VLOOKUP($A93,'I-Ligands'!$A:$G,6,FALSE)="","",VLOOKUP($A93,'I-Ligands'!$A:$G,6,FALSE))</f>
        <v>3353</v>
      </c>
      <c r="E93" s="9" t="str">
        <f>IF(VLOOKUP($A93,'I-Ligands'!$A:$G,7,FALSE)="","",VLOOKUP($A93,'I-Ligands'!$A:$G,7,FALSE))</f>
        <v>Phys</v>
      </c>
      <c r="F93" s="7" cm="1">
        <f t="array" ref="F93">_xlfn.IFS(T93=0,0,T93&gt;0,(LOG(0.01*T93/10^-AH93)))</f>
        <v>7.6663358609287524</v>
      </c>
      <c r="G93" s="8" cm="1">
        <f t="array" ref="G93">_xlfn.IFS(U93=0,0,U93&gt;0,(LOG(0.01*U93/10^-AI93)))</f>
        <v>7.5403316981702924</v>
      </c>
      <c r="H93" s="8" cm="1">
        <f t="array" ref="H93">_xlfn.IFS(V93=0,0,V93&gt;0,(LOG(0.01*V93/10^-AJ93)))</f>
        <v>8.0240447959180781</v>
      </c>
      <c r="I93" s="8" cm="1">
        <f t="array" ref="I93">_xlfn.IFS(W93=0,0,W93&gt;0,(LOG(0.01*W93/10^-AK93)))</f>
        <v>8.0240447959180781</v>
      </c>
      <c r="J93" s="8" cm="1">
        <f t="array" ref="J93">_xlfn.IFS(X93=0,0,X93&gt;0,(LOG(0.01*X93/10^-AL93)))</f>
        <v>8.4199584794248352</v>
      </c>
      <c r="K93" s="8" cm="1">
        <f t="array" ref="K93">_xlfn.IFS(Y93=0,0,Y93&gt;0,(LOG(0.01*Y93/10^-AM93)))</f>
        <v>7.6086570869544232</v>
      </c>
      <c r="L93" s="8" cm="1">
        <f t="array" ref="L93">_xlfn.IFS(Z93=0,0,Z93&gt;0,(LOG(0.01*Z93/10^-AN93)))</f>
        <v>7.6086570869544232</v>
      </c>
      <c r="M93" s="8" cm="1">
        <f t="array" ref="M93">_xlfn.IFS(AA93=0,0,AA93&gt;0,(LOG(0.01*AA93/10^-AO93)))</f>
        <v>7.1950980400142575</v>
      </c>
      <c r="N93" s="8" cm="1">
        <f t="array" ref="N93">_xlfn.IFS(AB93=0,0,AB93&gt;0,(LOG(0.01*AB93/10^-AP93)))</f>
        <v>8.9602283530550952</v>
      </c>
      <c r="O93" s="8" cm="1">
        <f t="array" ref="O93">_xlfn.IFS(AC93=0,0,AC93&gt;0,(LOG(0.01*AC93/10^-AQ93)))</f>
        <v>8.9602283530550952</v>
      </c>
      <c r="P93" s="8" cm="1">
        <f t="array" ref="P93">_xlfn.IFS(AD93=0,0,AD93&gt;0,(LOG(0.01*AD93/10^-AR93)))</f>
        <v>8.7656042032735986</v>
      </c>
      <c r="Q93" s="8" cm="1">
        <f t="array" ref="Q93">_xlfn.IFS(AE93=0,0,AE93&gt;0,(LOG(0.01*AE93/10^-AS93)))</f>
        <v>8.2702491083193621</v>
      </c>
      <c r="R93" s="8" cm="1">
        <f t="array" ref="R93">_xlfn.IFS(AF93=0,0,AF93&gt;0,(LOG(0.01*AF93/10^-AT93)))</f>
        <v>6.9889700043360179</v>
      </c>
      <c r="S93" s="8" cm="1">
        <f t="array" ref="S93">_xlfn.IFS(AG93=0,0,AG93&gt;0,(LOG(0.01*AG93/10^-AU93)))</f>
        <v>6.6217278360175937</v>
      </c>
      <c r="T93" s="16">
        <v>21.2</v>
      </c>
      <c r="U93" s="17">
        <v>15.5</v>
      </c>
      <c r="V93" s="17">
        <v>27.8</v>
      </c>
      <c r="W93" s="17">
        <v>27.8</v>
      </c>
      <c r="X93" s="17">
        <v>30.9</v>
      </c>
      <c r="Y93" s="17">
        <v>15.8</v>
      </c>
      <c r="Z93" s="17">
        <v>15.8</v>
      </c>
      <c r="AA93" s="17">
        <v>7</v>
      </c>
      <c r="AB93" s="17">
        <v>35.5</v>
      </c>
      <c r="AC93" s="17">
        <v>35.5</v>
      </c>
      <c r="AD93" s="17">
        <v>27.9</v>
      </c>
      <c r="AE93" s="17">
        <v>28.2</v>
      </c>
      <c r="AF93" s="17">
        <v>5</v>
      </c>
      <c r="AG93" s="17">
        <v>2.2999999999999998</v>
      </c>
      <c r="AH93" s="14">
        <v>8.34</v>
      </c>
      <c r="AI93" s="15">
        <v>8.35</v>
      </c>
      <c r="AJ93" s="15">
        <v>8.58</v>
      </c>
      <c r="AK93" s="15">
        <v>8.58</v>
      </c>
      <c r="AL93" s="15">
        <v>8.93</v>
      </c>
      <c r="AM93" s="15">
        <v>8.41</v>
      </c>
      <c r="AN93" s="15">
        <v>8.41</v>
      </c>
      <c r="AO93" s="15">
        <v>8.35</v>
      </c>
      <c r="AP93" s="15">
        <v>9.41</v>
      </c>
      <c r="AQ93" s="15">
        <v>9.41</v>
      </c>
      <c r="AR93" s="15">
        <v>9.32</v>
      </c>
      <c r="AS93" s="15">
        <v>8.82</v>
      </c>
      <c r="AT93" s="15">
        <v>8.2899999999999991</v>
      </c>
      <c r="AU93" s="15">
        <v>8.26</v>
      </c>
      <c r="AW93" s="186" t="str">
        <f>IF(VLOOKUP($A93,'I-Ligands'!$A:$G,3,FALSE)="","",VLOOKUP($A93,'I-Ligands'!$A:$G,3,FALSE))</f>
        <v>Leukotriene D4</v>
      </c>
      <c r="AX93" s="187" t="str">
        <f>IF(VLOOKUP($A93,'I-Ligands'!$A:$G,4,FALSE)="","",VLOOKUP($A93,'I-Ligands'!$A:$G,4,FALSE))</f>
        <v>Leukotriene D4</v>
      </c>
      <c r="AY93" s="98">
        <v>5.75</v>
      </c>
      <c r="AZ93" s="99">
        <v>6.14</v>
      </c>
      <c r="BA93" s="99">
        <v>5.37</v>
      </c>
      <c r="BB93" s="99">
        <v>5.37</v>
      </c>
      <c r="BC93" s="99">
        <v>7.92</v>
      </c>
      <c r="BD93" s="99">
        <v>5.62</v>
      </c>
      <c r="BE93" s="99">
        <v>5.62</v>
      </c>
      <c r="BF93" s="99">
        <v>4.84</v>
      </c>
      <c r="BG93" s="99">
        <v>10.53</v>
      </c>
      <c r="BH93" s="99">
        <v>10.53</v>
      </c>
      <c r="BI93" s="99">
        <v>10.119999999999999</v>
      </c>
      <c r="BJ93" s="99">
        <v>4.1399999999999997</v>
      </c>
      <c r="BK93" s="99">
        <v>3.5</v>
      </c>
      <c r="BL93" s="99">
        <v>2.77</v>
      </c>
      <c r="BM93" s="98">
        <f t="shared" si="28"/>
        <v>3.6869565217391305</v>
      </c>
      <c r="BN93" s="99">
        <f t="shared" si="29"/>
        <v>2.5244299674267103</v>
      </c>
      <c r="BO93" s="99">
        <f t="shared" si="30"/>
        <v>5.1769087523277468</v>
      </c>
      <c r="BP93" s="99">
        <f t="shared" si="31"/>
        <v>5.1769087523277468</v>
      </c>
      <c r="BQ93" s="99">
        <f t="shared" si="32"/>
        <v>3.9015151515151514</v>
      </c>
      <c r="BR93" s="99">
        <f t="shared" si="33"/>
        <v>2.8113879003558719</v>
      </c>
      <c r="BS93" s="99">
        <f t="shared" si="34"/>
        <v>2.8113879003558719</v>
      </c>
      <c r="BT93" s="99">
        <f t="shared" si="35"/>
        <v>1.4462809917355373</v>
      </c>
      <c r="BU93" s="99">
        <f t="shared" si="36"/>
        <v>3.3713200379867048</v>
      </c>
      <c r="BV93" s="99">
        <f t="shared" si="37"/>
        <v>3.3713200379867048</v>
      </c>
      <c r="BW93" s="99">
        <f t="shared" si="38"/>
        <v>2.7569169960474311</v>
      </c>
      <c r="BX93" s="99">
        <f t="shared" si="39"/>
        <v>6.8115942028985508</v>
      </c>
      <c r="BY93" s="99">
        <f t="shared" si="40"/>
        <v>1.4285714285714286</v>
      </c>
      <c r="BZ93" s="99">
        <f t="shared" si="41"/>
        <v>0.83032490974729234</v>
      </c>
      <c r="CA93" s="18" t="e">
        <f>VLOOKUP(A93,'Bouvier-GEMTA'!A:C,4,FALSE)</f>
        <v>#REF!</v>
      </c>
      <c r="CB93" s="18" t="e">
        <f>VLOOKUP(A93,'Martemyanov-FreeGβγ-Nluc'!A:BG,4,FALSE)</f>
        <v>#N/A</v>
      </c>
    </row>
    <row r="94" spans="1:80" ht="18">
      <c r="A94" s="12" t="s">
        <v>131</v>
      </c>
      <c r="B94" s="13" t="s">
        <v>2620</v>
      </c>
      <c r="C94" s="9" t="str">
        <f>IF(VLOOKUP($A94,'I-Ligands'!$A:$G,5,FALSE)="","",VLOOKUP($A94,'I-Ligands'!$A:$G,5,FALSE))</f>
        <v>Guide to Pharmacology</v>
      </c>
      <c r="D94" s="9">
        <f>IF(VLOOKUP($A94,'I-Ligands'!$A:$G,6,FALSE)="","",VLOOKUP($A94,'I-Ligands'!$A:$G,6,FALSE))</f>
        <v>1175</v>
      </c>
      <c r="E94" s="9" t="str">
        <f>IF(VLOOKUP($A94,'I-Ligands'!$A:$G,7,FALSE)="","",VLOOKUP($A94,'I-Ligands'!$A:$G,7,FALSE))</f>
        <v>Surr</v>
      </c>
      <c r="F94" s="7" cm="1">
        <f t="array" ref="F94">_xlfn.IFS(T94=0,0,T94&gt;0,(LOG(0.01*T94/10^-AH94)))</f>
        <v>9.012873583608755</v>
      </c>
      <c r="G94" s="8" cm="1">
        <f t="array" ref="G94">_xlfn.IFS(U94=0,0,U94&gt;0,(LOG(0.01*U94/10^-AI94)))</f>
        <v>8.9283473304121603</v>
      </c>
      <c r="H94" s="8" cm="1">
        <f t="array" ref="H94">_xlfn.IFS(V94=0,0,V94&gt;0,(LOG(0.01*V94/10^-AJ94)))</f>
        <v>8.1741578492636808</v>
      </c>
      <c r="I94" s="8" cm="1">
        <f t="array" ref="I94">_xlfn.IFS(W94=0,0,W94&gt;0,(LOG(0.01*W94/10^-AK94)))</f>
        <v>8.1741578492636808</v>
      </c>
      <c r="J94" s="8" cm="1">
        <f t="array" ref="J94">_xlfn.IFS(X94=0,0,X94&gt;0,(LOG(0.01*X94/10^-AL94)))</f>
        <v>8.6248337166199391</v>
      </c>
      <c r="K94" s="8" cm="1">
        <f t="array" ref="K94">_xlfn.IFS(Y94=0,0,Y94&gt;0,(LOG(0.01*Y94/10^-AM94)))</f>
        <v>7.735305865264773</v>
      </c>
      <c r="L94" s="8" cm="1">
        <f t="array" ref="L94">_xlfn.IFS(Z94=0,0,Z94&gt;0,(LOG(0.01*Z94/10^-AN94)))</f>
        <v>7.735305865264773</v>
      </c>
      <c r="M94" s="8" cm="1">
        <f t="array" ref="M94">_xlfn.IFS(AA94=0,0,AA94&gt;0,(LOG(0.01*AA94/10^-AO94)))</f>
        <v>8.0303705451175631</v>
      </c>
      <c r="N94" s="8" cm="1">
        <f t="array" ref="N94">_xlfn.IFS(AB94=0,0,AB94&gt;0,(LOG(0.01*AB94/10^-AP94)))</f>
        <v>9.1202491083193618</v>
      </c>
      <c r="O94" s="8" cm="1">
        <f t="array" ref="O94">_xlfn.IFS(AC94=0,0,AC94&gt;0,(LOG(0.01*AC94/10^-AQ94)))</f>
        <v>9.1202491083193618</v>
      </c>
      <c r="P94" s="8" cm="1">
        <f t="array" ref="P94">_xlfn.IFS(AD94=0,0,AD94&gt;0,(LOG(0.01*AD94/10^-AR94)))</f>
        <v>8.9099557484897591</v>
      </c>
      <c r="Q94" s="8" cm="1">
        <f t="array" ref="Q94">_xlfn.IFS(AE94=0,0,AE94&gt;0,(LOG(0.01*AE94/10^-AS94)))</f>
        <v>0</v>
      </c>
      <c r="R94" s="8" cm="1">
        <f t="array" ref="R94">_xlfn.IFS(AF94=0,0,AF94&gt;0,(LOG(0.01*AF94/10^-AT94)))</f>
        <v>0</v>
      </c>
      <c r="S94" s="8" cm="1">
        <f t="array" ref="S94">_xlfn.IFS(AG94=0,0,AG94&gt;0,(LOG(0.01*AG94/10^-AU94)))</f>
        <v>0</v>
      </c>
      <c r="T94" s="16">
        <v>30.4</v>
      </c>
      <c r="U94" s="17">
        <v>29.4</v>
      </c>
      <c r="V94" s="17">
        <v>18.8</v>
      </c>
      <c r="W94" s="17">
        <v>18.8</v>
      </c>
      <c r="X94" s="17">
        <v>25.4</v>
      </c>
      <c r="Y94" s="17">
        <v>10.6</v>
      </c>
      <c r="Z94" s="17">
        <v>10.6</v>
      </c>
      <c r="AA94" s="17">
        <v>12.6</v>
      </c>
      <c r="AB94" s="17">
        <v>28.2</v>
      </c>
      <c r="AC94" s="17">
        <v>28.2</v>
      </c>
      <c r="AD94" s="17">
        <v>26.3</v>
      </c>
      <c r="AH94" s="14">
        <v>9.5299999999999994</v>
      </c>
      <c r="AI94" s="15">
        <v>9.4600000000000009</v>
      </c>
      <c r="AJ94" s="15">
        <v>8.9</v>
      </c>
      <c r="AK94" s="15">
        <v>8.9</v>
      </c>
      <c r="AL94" s="15">
        <v>9.2200000000000006</v>
      </c>
      <c r="AM94" s="15">
        <v>8.7100000000000009</v>
      </c>
      <c r="AN94" s="15">
        <v>8.7100000000000009</v>
      </c>
      <c r="AO94" s="15">
        <v>8.93</v>
      </c>
      <c r="AP94" s="15">
        <v>9.67</v>
      </c>
      <c r="AQ94" s="15">
        <v>9.67</v>
      </c>
      <c r="AR94" s="15">
        <v>9.49</v>
      </c>
      <c r="AW94" s="186" t="str">
        <f>IF(VLOOKUP($A94,'I-Ligands'!$A:$G,3,FALSE)="","",VLOOKUP($A94,'I-Ligands'!$A:$G,3,FALSE))</f>
        <v>Leuprolide</v>
      </c>
      <c r="AX94" s="187" t="str">
        <f>IF(VLOOKUP($A94,'I-Ligands'!$A:$G,4,FALSE)="","",VLOOKUP($A94,'I-Ligands'!$A:$G,4,FALSE))</f>
        <v>Pyr-His-Trp-Ser-Tyr-D-Leu-Leu-Arg-Pro-NHEt, acetate salt</v>
      </c>
      <c r="AY94" s="98">
        <v>4.34</v>
      </c>
      <c r="AZ94" s="99">
        <v>2.5299999999999998</v>
      </c>
      <c r="BA94" s="99">
        <v>4.2699999999999996</v>
      </c>
      <c r="BB94" s="99">
        <v>4.2699999999999996</v>
      </c>
      <c r="BC94" s="99">
        <v>4.07</v>
      </c>
      <c r="BD94" s="99">
        <v>5.28</v>
      </c>
      <c r="BE94" s="99">
        <v>5.28</v>
      </c>
      <c r="BF94" s="99">
        <v>6.17</v>
      </c>
      <c r="BG94" s="99">
        <v>7.75</v>
      </c>
      <c r="BH94" s="99">
        <v>7.75</v>
      </c>
      <c r="BI94" s="99">
        <v>6.26</v>
      </c>
      <c r="BJ94" s="99">
        <v>4.68</v>
      </c>
      <c r="BK94" s="99">
        <v>2.44</v>
      </c>
      <c r="BL94" s="99">
        <v>4.4000000000000004</v>
      </c>
      <c r="BM94" s="98">
        <f t="shared" si="28"/>
        <v>7.0046082949308754</v>
      </c>
      <c r="BN94" s="99">
        <f t="shared" si="29"/>
        <v>11.620553359683795</v>
      </c>
      <c r="BO94" s="99">
        <f t="shared" si="30"/>
        <v>4.4028103044496492</v>
      </c>
      <c r="BP94" s="99">
        <f t="shared" si="31"/>
        <v>4.4028103044496492</v>
      </c>
      <c r="BQ94" s="99">
        <f t="shared" si="32"/>
        <v>6.2407862407862398</v>
      </c>
      <c r="BR94" s="99">
        <f t="shared" si="33"/>
        <v>2.0075757575757573</v>
      </c>
      <c r="BS94" s="99">
        <f t="shared" si="34"/>
        <v>2.0075757575757573</v>
      </c>
      <c r="BT94" s="99">
        <f t="shared" si="35"/>
        <v>2.0421393841166937</v>
      </c>
      <c r="BU94" s="99">
        <f t="shared" si="36"/>
        <v>3.6387096774193548</v>
      </c>
      <c r="BV94" s="99">
        <f t="shared" si="37"/>
        <v>3.6387096774193548</v>
      </c>
      <c r="BW94" s="99">
        <f t="shared" si="38"/>
        <v>4.201277955271566</v>
      </c>
      <c r="BX94" s="99">
        <f t="shared" si="39"/>
        <v>0</v>
      </c>
      <c r="BY94" s="99">
        <f t="shared" si="40"/>
        <v>0</v>
      </c>
      <c r="BZ94" s="99">
        <f t="shared" si="41"/>
        <v>0</v>
      </c>
      <c r="CA94" s="18" t="e">
        <f>VLOOKUP(A94,'Bouvier-GEMTA'!A:C,4,FALSE)</f>
        <v>#REF!</v>
      </c>
      <c r="CB94" s="18" t="e">
        <f>VLOOKUP(A94,'Martemyanov-FreeGβγ-Nluc'!A:BG,4,FALSE)</f>
        <v>#N/A</v>
      </c>
    </row>
    <row r="95" spans="1:80" ht="18">
      <c r="A95" s="12" t="s">
        <v>145</v>
      </c>
      <c r="B95" s="13" t="s">
        <v>2606</v>
      </c>
      <c r="C95" s="9" t="str">
        <f>IF(VLOOKUP($A95,'I-Ligands'!$A:$G,5,FALSE)="","",VLOOKUP($A95,'I-Ligands'!$A:$G,5,FALSE))</f>
        <v>Guide to Pharmacology</v>
      </c>
      <c r="D95" s="9">
        <f>IF(VLOOKUP($A95,'I-Ligands'!$A:$G,6,FALSE)="","",VLOOKUP($A95,'I-Ligands'!$A:$G,6,FALSE))</f>
        <v>3353</v>
      </c>
      <c r="E95" s="9" t="str">
        <f>IF(VLOOKUP($A95,'I-Ligands'!$A:$G,7,FALSE)="","",VLOOKUP($A95,'I-Ligands'!$A:$G,7,FALSE))</f>
        <v>Phys</v>
      </c>
      <c r="F95" s="7" cm="1">
        <f t="array" ref="F95">_xlfn.IFS(T95=0,0,T95&gt;0,(LOG(0.01*T95/10^-AH95)))</f>
        <v>0</v>
      </c>
      <c r="G95" s="8" cm="1">
        <f t="array" ref="G95">_xlfn.IFS(U95=0,0,U95&gt;0,(LOG(0.01*U95/10^-AI95)))</f>
        <v>0</v>
      </c>
      <c r="H95" s="8" cm="1">
        <f t="array" ref="H95">_xlfn.IFS(V95=0,0,V95&gt;0,(LOG(0.01*V95/10^-AJ95)))</f>
        <v>6.7404441148401197</v>
      </c>
      <c r="I95" s="8" cm="1">
        <f t="array" ref="I95">_xlfn.IFS(W95=0,0,W95&gt;0,(LOG(0.01*W95/10^-AK95)))</f>
        <v>6.7404441148401197</v>
      </c>
      <c r="J95" s="8" cm="1">
        <f t="array" ref="J95">_xlfn.IFS(X95=0,0,X95&gt;0,(LOG(0.01*X95/10^-AL95)))</f>
        <v>7.441883360978875</v>
      </c>
      <c r="K95" s="8" cm="1">
        <f t="array" ref="K95">_xlfn.IFS(Y95=0,0,Y95&gt;0,(LOG(0.01*Y95/10^-AM95)))</f>
        <v>6.5678017299302267</v>
      </c>
      <c r="L95" s="8" cm="1">
        <f t="array" ref="L95">_xlfn.IFS(Z95=0,0,Z95&gt;0,(LOG(0.01*Z95/10^-AN95)))</f>
        <v>6.5678017299302267</v>
      </c>
      <c r="M95" s="8" cm="1">
        <f t="array" ref="M95">_xlfn.IFS(AA95=0,0,AA95&gt;0,(LOG(0.01*AA95/10^-AO95)))</f>
        <v>7.5676785748691859</v>
      </c>
      <c r="N95" s="8" cm="1">
        <f t="array" ref="N95">_xlfn.IFS(AB95=0,0,AB95&gt;0,(LOG(0.01*AB95/10^-AP95)))</f>
        <v>8.1914499979728763</v>
      </c>
      <c r="O95" s="8" cm="1">
        <f t="array" ref="O95">_xlfn.IFS(AC95=0,0,AC95&gt;0,(LOG(0.01*AC95/10^-AQ95)))</f>
        <v>8.1914499979728763</v>
      </c>
      <c r="P95" s="8" cm="1">
        <f t="array" ref="P95">_xlfn.IFS(AD95=0,0,AD95&gt;0,(LOG(0.01*AD95/10^-AR95)))</f>
        <v>8.0723979978989551</v>
      </c>
      <c r="Q95" s="8" cm="1">
        <f t="array" ref="Q95">_xlfn.IFS(AE95=0,0,AE95&gt;0,(LOG(0.01*AE95/10^-AS95)))</f>
        <v>6.3888530764097062</v>
      </c>
      <c r="R95" s="8" cm="1">
        <f t="array" ref="R95">_xlfn.IFS(AF95=0,0,AF95&gt;0,(LOG(0.01*AF95/10^-AT95)))</f>
        <v>5.9984850188786494</v>
      </c>
      <c r="S95" s="8" cm="1">
        <f t="array" ref="S95">_xlfn.IFS(AG95=0,0,AG95&gt;0,(LOG(0.01*AG95/10^-AU95)))</f>
        <v>5.7786570869544231</v>
      </c>
      <c r="V95" s="17">
        <v>21.9</v>
      </c>
      <c r="W95" s="17">
        <v>21.9</v>
      </c>
      <c r="X95" s="17">
        <v>32.5</v>
      </c>
      <c r="Y95" s="17">
        <v>19.399999999999999</v>
      </c>
      <c r="Z95" s="17">
        <v>19.399999999999999</v>
      </c>
      <c r="AA95" s="17">
        <v>18.100000000000001</v>
      </c>
      <c r="AB95" s="17">
        <v>35.6</v>
      </c>
      <c r="AC95" s="17">
        <v>35.6</v>
      </c>
      <c r="AD95" s="17">
        <v>29</v>
      </c>
      <c r="AE95" s="17">
        <v>19.899999999999999</v>
      </c>
      <c r="AF95" s="17">
        <v>8.1</v>
      </c>
      <c r="AG95" s="17">
        <v>15.8</v>
      </c>
      <c r="AJ95" s="15">
        <v>7.4</v>
      </c>
      <c r="AK95" s="15">
        <v>7.4</v>
      </c>
      <c r="AL95" s="15">
        <v>7.93</v>
      </c>
      <c r="AM95" s="15">
        <v>7.28</v>
      </c>
      <c r="AN95" s="15">
        <v>7.28</v>
      </c>
      <c r="AO95" s="15">
        <v>8.31</v>
      </c>
      <c r="AP95" s="15">
        <v>8.64</v>
      </c>
      <c r="AQ95" s="15">
        <v>8.64</v>
      </c>
      <c r="AR95" s="15">
        <v>8.61</v>
      </c>
      <c r="AS95" s="15">
        <v>7.09</v>
      </c>
      <c r="AT95" s="15">
        <v>7.09</v>
      </c>
      <c r="AU95" s="15">
        <v>6.58</v>
      </c>
      <c r="AW95" s="186" t="str">
        <f>IF(VLOOKUP($A95,'I-Ligands'!$A:$G,3,FALSE)="","",VLOOKUP($A95,'I-Ligands'!$A:$G,3,FALSE))</f>
        <v>Leukotriene D4</v>
      </c>
      <c r="AX95" s="187" t="str">
        <f>IF(VLOOKUP($A95,'I-Ligands'!$A:$G,4,FALSE)="","",VLOOKUP($A95,'I-Ligands'!$A:$G,4,FALSE))</f>
        <v>Leukotriene D4</v>
      </c>
      <c r="AY95" s="98">
        <v>2.95</v>
      </c>
      <c r="AZ95" s="99">
        <v>2.4900000000000002</v>
      </c>
      <c r="BA95" s="99">
        <v>3.34</v>
      </c>
      <c r="BB95" s="99">
        <v>3.34</v>
      </c>
      <c r="BC95" s="99">
        <v>3.86</v>
      </c>
      <c r="BD95" s="99">
        <v>2.65</v>
      </c>
      <c r="BE95" s="99">
        <v>2.65</v>
      </c>
      <c r="BF95" s="99">
        <v>2.08</v>
      </c>
      <c r="BG95" s="99">
        <v>4.99</v>
      </c>
      <c r="BH95" s="99">
        <v>4.99</v>
      </c>
      <c r="BI95" s="99">
        <v>4.82</v>
      </c>
      <c r="BJ95" s="99">
        <v>2.2400000000000002</v>
      </c>
      <c r="BK95" s="99">
        <v>2.19</v>
      </c>
      <c r="BL95" s="99">
        <v>3.99</v>
      </c>
      <c r="BM95" s="98">
        <f t="shared" si="28"/>
        <v>0</v>
      </c>
      <c r="BN95" s="99">
        <f t="shared" si="29"/>
        <v>0</v>
      </c>
      <c r="BO95" s="99">
        <f t="shared" si="30"/>
        <v>6.5568862275449105</v>
      </c>
      <c r="BP95" s="99">
        <f t="shared" si="31"/>
        <v>6.5568862275449105</v>
      </c>
      <c r="BQ95" s="99">
        <f t="shared" si="32"/>
        <v>8.4196891191709842</v>
      </c>
      <c r="BR95" s="99">
        <f t="shared" si="33"/>
        <v>7.3207547169811322</v>
      </c>
      <c r="BS95" s="99">
        <f t="shared" si="34"/>
        <v>7.3207547169811322</v>
      </c>
      <c r="BT95" s="99">
        <f t="shared" si="35"/>
        <v>8.7019230769230766</v>
      </c>
      <c r="BU95" s="99">
        <f t="shared" si="36"/>
        <v>7.1342685370741483</v>
      </c>
      <c r="BV95" s="99">
        <f t="shared" si="37"/>
        <v>7.1342685370741483</v>
      </c>
      <c r="BW95" s="99">
        <f t="shared" si="38"/>
        <v>6.0165975103734439</v>
      </c>
      <c r="BX95" s="99">
        <f t="shared" si="39"/>
        <v>8.8839285714285694</v>
      </c>
      <c r="BY95" s="99">
        <f t="shared" si="40"/>
        <v>3.6986301369863015</v>
      </c>
      <c r="BZ95" s="99">
        <f t="shared" si="41"/>
        <v>3.9598997493734336</v>
      </c>
      <c r="CA95" s="18" t="e">
        <f>VLOOKUP(A95,'Bouvier-GEMTA'!A:C,4,FALSE)</f>
        <v>#REF!</v>
      </c>
      <c r="CB95" s="18" t="e">
        <f>VLOOKUP(A95,'Martemyanov-FreeGβγ-Nluc'!A:BG,4,FALSE)</f>
        <v>#N/A</v>
      </c>
    </row>
    <row r="96" spans="1:80" ht="18">
      <c r="A96" s="12" t="s">
        <v>148</v>
      </c>
      <c r="B96" s="13" t="s">
        <v>2626</v>
      </c>
      <c r="C96" s="9" t="str">
        <f>IF(VLOOKUP($A96,'I-Ligands'!$A:$G,5,FALSE)="","",VLOOKUP($A96,'I-Ligands'!$A:$G,5,FALSE))</f>
        <v>Guide to Pharmacology</v>
      </c>
      <c r="D96" s="9">
        <f>IF(VLOOKUP($A96,'I-Ligands'!$A:$G,6,FALSE)="","",VLOOKUP($A96,'I-Ligands'!$A:$G,6,FALSE))</f>
        <v>2906</v>
      </c>
      <c r="E96" s="9" t="str">
        <f>IF(VLOOKUP($A96,'I-Ligands'!$A:$G,7,FALSE)="","",VLOOKUP($A96,'I-Ligands'!$A:$G,7,FALSE))</f>
        <v>Phys</v>
      </c>
      <c r="F96" s="7" cm="1">
        <f t="array" ref="F96">_xlfn.IFS(T96=0,0,T96&gt;0,(LOG(0.01*T96/10^-AH96)))</f>
        <v>0</v>
      </c>
      <c r="G96" s="8" cm="1">
        <f t="array" ref="G96">_xlfn.IFS(U96=0,0,U96&gt;0,(LOG(0.01*U96/10^-AI96)))</f>
        <v>0</v>
      </c>
      <c r="H96" s="8" cm="1">
        <f t="array" ref="H96">_xlfn.IFS(V96=0,0,V96&gt;0,(LOG(0.01*V96/10^-AJ96)))</f>
        <v>7.2080633349627616</v>
      </c>
      <c r="I96" s="8" cm="1">
        <f t="array" ref="I96">_xlfn.IFS(W96=0,0,W96&gt;0,(LOG(0.01*W96/10^-AK96)))</f>
        <v>7.2080633349627616</v>
      </c>
      <c r="J96" s="8" cm="1">
        <f t="array" ref="J96">_xlfn.IFS(X96=0,0,X96&gt;0,(LOG(0.01*X96/10^-AL96)))</f>
        <v>7.2718820073061252</v>
      </c>
      <c r="K96" s="8" cm="1">
        <f t="array" ref="K96">_xlfn.IFS(Y96=0,0,Y96&gt;0,(LOG(0.01*Y96/10^-AM96)))</f>
        <v>6.9233228601204564</v>
      </c>
      <c r="L96" s="8" cm="1">
        <f t="array" ref="L96">_xlfn.IFS(Z96=0,0,Z96&gt;0,(LOG(0.01*Z96/10^-AN96)))</f>
        <v>6.9233228601204564</v>
      </c>
      <c r="M96" s="8" cm="1">
        <f t="array" ref="M96">_xlfn.IFS(AA96=0,0,AA96&gt;0,(LOG(0.01*AA96/10^-AO96)))</f>
        <v>0</v>
      </c>
      <c r="N96" s="8" cm="1">
        <f t="array" ref="N96">_xlfn.IFS(AB96=0,0,AB96&gt;0,(LOG(0.01*AB96/10^-AP96)))</f>
        <v>7.0310678622717369</v>
      </c>
      <c r="O96" s="8" cm="1">
        <f t="array" ref="O96">_xlfn.IFS(AC96=0,0,AC96&gt;0,(LOG(0.01*AC96/10^-AQ96)))</f>
        <v>7.0310678622717369</v>
      </c>
      <c r="P96" s="8" cm="1">
        <f t="array" ref="P96">_xlfn.IFS(AD96=0,0,AD96&gt;0,(LOG(0.01*AD96/10^-AR96)))</f>
        <v>7.3652725051033068</v>
      </c>
      <c r="Q96" s="8" cm="1">
        <f t="array" ref="Q96">_xlfn.IFS(AE96=0,0,AE96&gt;0,(LOG(0.01*AE96/10^-AS96)))</f>
        <v>7.3783796034387397</v>
      </c>
      <c r="R96" s="8" cm="1">
        <f t="array" ref="R96">_xlfn.IFS(AF96=0,0,AF96&gt;0,(LOG(0.01*AF96/10^-AT96)))</f>
        <v>7.1079400086720383</v>
      </c>
      <c r="S96" s="8" cm="1">
        <f t="array" ref="S96">_xlfn.IFS(AG96=0,0,AG96&gt;0,(LOG(0.01*AG96/10^-AU96)))</f>
        <v>7.3355469613925317</v>
      </c>
      <c r="V96" s="17">
        <v>20.8</v>
      </c>
      <c r="W96" s="17">
        <v>20.8</v>
      </c>
      <c r="X96" s="17">
        <v>11.8</v>
      </c>
      <c r="Y96" s="17">
        <v>7.3</v>
      </c>
      <c r="Z96" s="17">
        <v>7.3</v>
      </c>
      <c r="AB96" s="17">
        <v>23.5</v>
      </c>
      <c r="AC96" s="17">
        <v>23.5</v>
      </c>
      <c r="AD96" s="17">
        <v>18</v>
      </c>
      <c r="AE96" s="17">
        <v>21.3</v>
      </c>
      <c r="AF96" s="17">
        <v>25</v>
      </c>
      <c r="AG96" s="17">
        <v>11.9</v>
      </c>
      <c r="AJ96" s="15">
        <v>7.89</v>
      </c>
      <c r="AK96" s="15">
        <v>7.89</v>
      </c>
      <c r="AL96" s="15">
        <v>8.1999999999999993</v>
      </c>
      <c r="AM96" s="15">
        <v>8.06</v>
      </c>
      <c r="AN96" s="15">
        <v>8.06</v>
      </c>
      <c r="AP96" s="15">
        <v>7.66</v>
      </c>
      <c r="AQ96" s="15">
        <v>7.66</v>
      </c>
      <c r="AR96" s="15">
        <v>8.11</v>
      </c>
      <c r="AS96" s="15">
        <v>8.0500000000000007</v>
      </c>
      <c r="AT96" s="15">
        <v>7.71</v>
      </c>
      <c r="AU96" s="15">
        <v>8.26</v>
      </c>
      <c r="AW96" s="186" t="str">
        <f>IF(VLOOKUP($A96,'I-Ligands'!$A:$G,3,FALSE)="","",VLOOKUP($A96,'I-Ligands'!$A:$G,3,FALSE))</f>
        <v>Lysophosphatidic acid</v>
      </c>
      <c r="AX96" s="187" t="str">
        <f>IF(VLOOKUP($A96,'I-Ligands'!$A:$G,4,FALSE)="","",VLOOKUP($A96,'I-Ligands'!$A:$G,4,FALSE))</f>
        <v>1-oleoyl-2-hydroxy-sn-glycero-3-phosphate, sodium salt</v>
      </c>
      <c r="AY96" s="98">
        <v>2.0499999999999998</v>
      </c>
      <c r="AZ96" s="99">
        <v>1.71</v>
      </c>
      <c r="BA96" s="99">
        <v>3.28</v>
      </c>
      <c r="BB96" s="99">
        <v>3.28</v>
      </c>
      <c r="BC96" s="99">
        <v>4.42</v>
      </c>
      <c r="BD96" s="99">
        <v>3.15</v>
      </c>
      <c r="BE96" s="99">
        <v>3.15</v>
      </c>
      <c r="BF96" s="99">
        <v>3.3</v>
      </c>
      <c r="BG96" s="99">
        <v>3.03</v>
      </c>
      <c r="BH96" s="99">
        <v>3.03</v>
      </c>
      <c r="BI96" s="99">
        <v>3.72</v>
      </c>
      <c r="BJ96" s="99">
        <v>3.58</v>
      </c>
      <c r="BK96" s="99">
        <v>1.2</v>
      </c>
      <c r="BL96" s="99">
        <v>3.63</v>
      </c>
      <c r="BM96" s="98">
        <f t="shared" si="28"/>
        <v>0</v>
      </c>
      <c r="BN96" s="99">
        <f t="shared" si="29"/>
        <v>0</v>
      </c>
      <c r="BO96" s="99">
        <f t="shared" si="30"/>
        <v>6.3414634146341466</v>
      </c>
      <c r="BP96" s="99">
        <f t="shared" si="31"/>
        <v>6.3414634146341466</v>
      </c>
      <c r="BQ96" s="99">
        <f t="shared" si="32"/>
        <v>2.6696832579185523</v>
      </c>
      <c r="BR96" s="99">
        <f t="shared" si="33"/>
        <v>2.3174603174603177</v>
      </c>
      <c r="BS96" s="99">
        <f t="shared" si="34"/>
        <v>2.3174603174603177</v>
      </c>
      <c r="BT96" s="99">
        <f t="shared" si="35"/>
        <v>0</v>
      </c>
      <c r="BU96" s="99">
        <f t="shared" si="36"/>
        <v>7.7557755775577562</v>
      </c>
      <c r="BV96" s="99">
        <f t="shared" si="37"/>
        <v>7.7557755775577562</v>
      </c>
      <c r="BW96" s="99">
        <f t="shared" si="38"/>
        <v>4.838709677419355</v>
      </c>
      <c r="BX96" s="99">
        <f t="shared" si="39"/>
        <v>5.9497206703910619</v>
      </c>
      <c r="BY96" s="99">
        <f t="shared" si="40"/>
        <v>20.833333333333336</v>
      </c>
      <c r="BZ96" s="99">
        <f t="shared" si="41"/>
        <v>3.278236914600551</v>
      </c>
      <c r="CA96" s="18" t="e">
        <f>VLOOKUP(A96,'Bouvier-GEMTA'!A:C,4,FALSE)</f>
        <v>#REF!</v>
      </c>
      <c r="CB96" s="18" t="e">
        <f>VLOOKUP(A96,'Martemyanov-FreeGβγ-Nluc'!A:BG,4,FALSE)</f>
        <v>#N/A</v>
      </c>
    </row>
    <row r="97" spans="1:80">
      <c r="A97" s="12" t="s">
        <v>211</v>
      </c>
      <c r="B97" s="13" t="s">
        <v>211</v>
      </c>
      <c r="C97" s="9" t="str">
        <f>IF(VLOOKUP($A97,'I-Ligands'!$A:$G,5,FALSE)="","",VLOOKUP($A97,'I-Ligands'!$A:$G,5,FALSE))</f>
        <v>Guide to Pharmacology</v>
      </c>
      <c r="D97" s="9">
        <f>IF(VLOOKUP($A97,'I-Ligands'!$A:$G,6,FALSE)="","",VLOOKUP($A97,'I-Ligands'!$A:$G,6,FALSE))</f>
        <v>3741</v>
      </c>
      <c r="E97" s="9" t="str">
        <f>IF(VLOOKUP($A97,'I-Ligands'!$A:$G,7,FALSE)="","",VLOOKUP($A97,'I-Ligands'!$A:$G,7,FALSE))</f>
        <v>Phys</v>
      </c>
      <c r="F97" s="7" cm="1">
        <f t="array" ref="F97">_xlfn.IFS(T97=0,0,T97&gt;0,(LOG(0.01*T97/10^-AH97)))</f>
        <v>4.922182518111363</v>
      </c>
      <c r="G97" s="8" cm="1">
        <f t="array" ref="G97">_xlfn.IFS(U97=0,0,U97&gt;0,(LOG(0.01*U97/10^-AI97)))</f>
        <v>4.8344537511509316</v>
      </c>
      <c r="H97" s="8" cm="1">
        <f t="array" ref="H97">_xlfn.IFS(V97=0,0,V97&gt;0,(LOG(0.01*V97/10^-AJ97)))</f>
        <v>5.9642998393467863</v>
      </c>
      <c r="I97" s="8" cm="1">
        <f t="array" ref="I97">_xlfn.IFS(W97=0,0,W97&gt;0,(LOG(0.01*W97/10^-AK97)))</f>
        <v>5.9642998393467863</v>
      </c>
      <c r="J97" s="8" cm="1">
        <f t="array" ref="J97">_xlfn.IFS(X97=0,0,X97&gt;0,(LOG(0.01*X97/10^-AL97)))</f>
        <v>5.9178818967339923</v>
      </c>
      <c r="K97" s="8" cm="1">
        <f t="array" ref="K97">_xlfn.IFS(Y97=0,0,Y97&gt;0,(LOG(0.01*Y97/10^-AM97)))</f>
        <v>5.6365584425715305</v>
      </c>
      <c r="L97" s="8" cm="1">
        <f t="array" ref="L97">_xlfn.IFS(Z97=0,0,Z97&gt;0,(LOG(0.01*Z97/10^-AN97)))</f>
        <v>5.6365584425715305</v>
      </c>
      <c r="M97" s="8" cm="1">
        <f t="array" ref="M97">_xlfn.IFS(AA97=0,0,AA97&gt;0,(LOG(0.01*AA97/10^-AO97)))</f>
        <v>5.4664597338485308</v>
      </c>
      <c r="N97" s="8" cm="1">
        <f t="array" ref="N97">_xlfn.IFS(AB97=0,0,AB97&gt;0,(LOG(0.01*AB97/10^-AP97)))</f>
        <v>5.7883012913197458</v>
      </c>
      <c r="O97" s="8" cm="1">
        <f t="array" ref="O97">_xlfn.IFS(AC97=0,0,AC97&gt;0,(LOG(0.01*AC97/10^-AQ97)))</f>
        <v>5.7883012913197458</v>
      </c>
      <c r="P97" s="8" cm="1">
        <f t="array" ref="P97">_xlfn.IFS(AD97=0,0,AD97&gt;0,(LOG(0.01*AD97/10^-AR97)))</f>
        <v>5.7333183400470382</v>
      </c>
      <c r="Q97" s="8" cm="1">
        <f t="array" ref="Q97">_xlfn.IFS(AE97=0,0,AE97&gt;0,(LOG(0.01*AE97/10^-AS97)))</f>
        <v>5.7003294747908742</v>
      </c>
      <c r="R97" s="8" cm="1">
        <f t="array" ref="R97">_xlfn.IFS(AF97=0,0,AF97&gt;0,(LOG(0.01*AF97/10^-AT97)))</f>
        <v>5.9110592622177522</v>
      </c>
      <c r="S97" s="8" cm="1">
        <f t="array" ref="S97">_xlfn.IFS(AG97=0,0,AG97&gt;0,(LOG(0.01*AG97/10^-AU97)))</f>
        <v>5.7932176000679396</v>
      </c>
      <c r="T97" s="16">
        <v>22.5</v>
      </c>
      <c r="U97" s="17">
        <v>21.6</v>
      </c>
      <c r="V97" s="17">
        <v>30.5</v>
      </c>
      <c r="W97" s="17">
        <v>30.5</v>
      </c>
      <c r="X97" s="17">
        <v>28.7</v>
      </c>
      <c r="Y97" s="17">
        <v>34.4</v>
      </c>
      <c r="Z97" s="17">
        <v>34.4</v>
      </c>
      <c r="AA97" s="17">
        <v>21.7</v>
      </c>
      <c r="AB97" s="17">
        <v>26.2</v>
      </c>
      <c r="AC97" s="17">
        <v>26.2</v>
      </c>
      <c r="AD97" s="17">
        <v>28.4</v>
      </c>
      <c r="AE97" s="17">
        <v>34.700000000000003</v>
      </c>
      <c r="AF97" s="17">
        <v>31.7</v>
      </c>
      <c r="AG97" s="17">
        <v>32.6</v>
      </c>
      <c r="AH97" s="14">
        <v>5.57</v>
      </c>
      <c r="AI97" s="15">
        <v>5.5</v>
      </c>
      <c r="AJ97" s="15">
        <v>6.48</v>
      </c>
      <c r="AK97" s="15">
        <v>6.48</v>
      </c>
      <c r="AL97" s="15">
        <v>6.46</v>
      </c>
      <c r="AM97" s="15">
        <v>6.1</v>
      </c>
      <c r="AN97" s="15">
        <v>6.1</v>
      </c>
      <c r="AO97" s="15">
        <v>6.13</v>
      </c>
      <c r="AP97" s="15">
        <v>6.37</v>
      </c>
      <c r="AQ97" s="15">
        <v>6.37</v>
      </c>
      <c r="AR97" s="15">
        <v>6.28</v>
      </c>
      <c r="AS97" s="15">
        <v>6.16</v>
      </c>
      <c r="AT97" s="15">
        <v>6.41</v>
      </c>
      <c r="AU97" s="15">
        <v>6.28</v>
      </c>
      <c r="AW97" s="186" t="str">
        <f>IF(VLOOKUP($A97,'I-Ligands'!$A:$G,3,FALSE)="","",VLOOKUP($A97,'I-Ligands'!$A:$G,3,FALSE))</f>
        <v>PAR2 peptide</v>
      </c>
      <c r="AX97" s="187" t="str">
        <f>IF(VLOOKUP($A97,'I-Ligands'!$A:$G,4,FALSE)="","",VLOOKUP($A97,'I-Ligands'!$A:$G,4,FALSE))</f>
        <v>SLIGRL-NH2</v>
      </c>
      <c r="AY97" s="98">
        <v>8.76</v>
      </c>
      <c r="AZ97" s="99">
        <v>5.8</v>
      </c>
      <c r="BA97" s="99">
        <v>3.81</v>
      </c>
      <c r="BB97" s="99">
        <v>3.81</v>
      </c>
      <c r="BC97" s="99">
        <v>4.99</v>
      </c>
      <c r="BD97" s="99">
        <v>3.86</v>
      </c>
      <c r="BE97" s="99">
        <v>3.86</v>
      </c>
      <c r="BF97" s="99">
        <v>4.4400000000000004</v>
      </c>
      <c r="BG97" s="99">
        <v>3.12</v>
      </c>
      <c r="BH97" s="99">
        <v>3.12</v>
      </c>
      <c r="BI97" s="99">
        <v>4.95</v>
      </c>
      <c r="BJ97" s="99">
        <v>3.77</v>
      </c>
      <c r="BK97" s="99">
        <v>1.73</v>
      </c>
      <c r="BL97" s="99">
        <v>2.74</v>
      </c>
      <c r="BM97" s="98">
        <f t="shared" si="28"/>
        <v>2.5684931506849318</v>
      </c>
      <c r="BN97" s="99">
        <f t="shared" si="29"/>
        <v>3.7241379310344831</v>
      </c>
      <c r="BO97" s="99">
        <f t="shared" si="30"/>
        <v>8.0052493438320216</v>
      </c>
      <c r="BP97" s="99">
        <f t="shared" si="31"/>
        <v>8.0052493438320216</v>
      </c>
      <c r="BQ97" s="99">
        <f t="shared" si="32"/>
        <v>5.7515030060120234</v>
      </c>
      <c r="BR97" s="99">
        <f t="shared" si="33"/>
        <v>8.9119170984455955</v>
      </c>
      <c r="BS97" s="99">
        <f t="shared" si="34"/>
        <v>8.9119170984455955</v>
      </c>
      <c r="BT97" s="99">
        <f t="shared" si="35"/>
        <v>4.8873873873873865</v>
      </c>
      <c r="BU97" s="99">
        <f t="shared" si="36"/>
        <v>8.3974358974358978</v>
      </c>
      <c r="BV97" s="99">
        <f t="shared" si="37"/>
        <v>8.3974358974358978</v>
      </c>
      <c r="BW97" s="99">
        <f t="shared" si="38"/>
        <v>5.737373737373737</v>
      </c>
      <c r="BX97" s="99">
        <f t="shared" si="39"/>
        <v>9.204244031830239</v>
      </c>
      <c r="BY97" s="99">
        <f t="shared" si="40"/>
        <v>18.323699421965319</v>
      </c>
      <c r="BZ97" s="99">
        <f t="shared" si="41"/>
        <v>11.897810218978101</v>
      </c>
      <c r="CA97" s="18" t="e">
        <f>VLOOKUP(A97,'Bouvier-GEMTA'!A:C,4,FALSE)</f>
        <v>#REF!</v>
      </c>
      <c r="CB97" s="18" t="e">
        <f>VLOOKUP(A97,'Martemyanov-FreeGβγ-Nluc'!A:BG,4,FALSE)</f>
        <v>#N/A</v>
      </c>
    </row>
    <row r="98" spans="1:80">
      <c r="A98" s="12" t="s">
        <v>207</v>
      </c>
      <c r="B98" s="13" t="s">
        <v>2547</v>
      </c>
      <c r="C98" s="9" t="str">
        <f>IF(VLOOKUP($A98,'I-Ligands'!$A:$G,5,FALSE)="","",VLOOKUP($A98,'I-Ligands'!$A:$G,5,FALSE))</f>
        <v>Guide to Pharmacology</v>
      </c>
      <c r="D98" s="9">
        <f>IF(VLOOKUP($A98,'I-Ligands'!$A:$G,6,FALSE)="","",VLOOKUP($A98,'I-Ligands'!$A:$G,6,FALSE))</f>
        <v>1884</v>
      </c>
      <c r="E98" s="9" t="str">
        <f>IF(VLOOKUP($A98,'I-Ligands'!$A:$G,7,FALSE)="","",VLOOKUP($A98,'I-Ligands'!$A:$G,7,FALSE))</f>
        <v>Phys</v>
      </c>
      <c r="F98" s="7" cm="1">
        <f t="array" ref="F98">_xlfn.IFS(T98=0,0,T98&gt;0,(LOG(0.01*T98/10^-AH98)))</f>
        <v>8.5313616938342722</v>
      </c>
      <c r="G98" s="8" cm="1">
        <f t="array" ref="G98">_xlfn.IFS(U98=0,0,U98&gt;0,(LOG(0.01*U98/10^-AI98)))</f>
        <v>8.4099584794248354</v>
      </c>
      <c r="H98" s="8" cm="1">
        <f t="array" ref="H98">_xlfn.IFS(V98=0,0,V98&gt;0,(LOG(0.01*V98/10^-AJ98)))</f>
        <v>6.6618820073061267</v>
      </c>
      <c r="I98" s="8" cm="1">
        <f t="array" ref="I98">_xlfn.IFS(W98=0,0,W98&gt;0,(LOG(0.01*W98/10^-AK98)))</f>
        <v>6.6618820073061267</v>
      </c>
      <c r="J98" s="8" cm="1">
        <f t="array" ref="J98">_xlfn.IFS(X98=0,0,X98&gt;0,(LOG(0.01*X98/10^-AL98)))</f>
        <v>7.1173173347481775</v>
      </c>
      <c r="K98" s="8" cm="1">
        <f t="array" ref="K98">_xlfn.IFS(Y98=0,0,Y98&gt;0,(LOG(0.01*Y98/10^-AM98)))</f>
        <v>6.5537878273455563</v>
      </c>
      <c r="L98" s="8" cm="1">
        <f t="array" ref="L98">_xlfn.IFS(Z98=0,0,Z98&gt;0,(LOG(0.01*Z98/10^-AN98)))</f>
        <v>6.5537878273455563</v>
      </c>
      <c r="M98" s="8" cm="1">
        <f t="array" ref="M98">_xlfn.IFS(AA98=0,0,AA98&gt;0,(LOG(0.01*AA98/10^-AO98)))</f>
        <v>6.2744984512435682</v>
      </c>
      <c r="N98" s="8" cm="1">
        <f t="array" ref="N98">_xlfn.IFS(AB98=0,0,AB98&gt;0,(LOG(0.01*AB98/10^-AP98)))</f>
        <v>8.5685664955938439</v>
      </c>
      <c r="O98" s="8" cm="1">
        <f t="array" ref="O98">_xlfn.IFS(AC98=0,0,AC98&gt;0,(LOG(0.01*AC98/10^-AQ98)))</f>
        <v>8.5685664955938439</v>
      </c>
      <c r="P98" s="8" cm="1">
        <f t="array" ref="P98">_xlfn.IFS(AD98=0,0,AD98&gt;0,(LOG(0.01*AD98/10^-AR98)))</f>
        <v>8.2516197059632308</v>
      </c>
      <c r="Q98" s="8" cm="1">
        <f t="array" ref="Q98">_xlfn.IFS(AE98=0,0,AE98&gt;0,(LOG(0.01*AE98/10^-AS98)))</f>
        <v>7.1128530309798945</v>
      </c>
      <c r="R98" s="8" cm="1">
        <f t="array" ref="R98">_xlfn.IFS(AF98=0,0,AF98&gt;0,(LOG(0.01*AF98/10^-AT98)))</f>
        <v>6.8889769472931697</v>
      </c>
      <c r="S98" s="8" cm="1">
        <f t="array" ref="S98">_xlfn.IFS(AG98=0,0,AG98&gt;0,(LOG(0.01*AG98/10^-AU98)))</f>
        <v>7.5860258571931238</v>
      </c>
      <c r="T98" s="16">
        <v>31</v>
      </c>
      <c r="U98" s="17">
        <v>30.9</v>
      </c>
      <c r="V98" s="17">
        <v>11.8</v>
      </c>
      <c r="W98" s="17">
        <v>11.8</v>
      </c>
      <c r="X98" s="17">
        <v>14.7</v>
      </c>
      <c r="Y98" s="17">
        <v>9.1999999999999993</v>
      </c>
      <c r="Z98" s="17">
        <v>9.1999999999999993</v>
      </c>
      <c r="AA98" s="17">
        <v>8.6</v>
      </c>
      <c r="AB98" s="17">
        <v>30.1</v>
      </c>
      <c r="AC98" s="17">
        <v>30.1</v>
      </c>
      <c r="AD98" s="17">
        <v>25.8</v>
      </c>
      <c r="AE98" s="17">
        <v>17.899999999999999</v>
      </c>
      <c r="AF98" s="17">
        <v>15.1</v>
      </c>
      <c r="AG98" s="17">
        <v>22.7</v>
      </c>
      <c r="AH98" s="14">
        <v>9.0399999999999991</v>
      </c>
      <c r="AI98" s="15">
        <v>8.92</v>
      </c>
      <c r="AJ98" s="15">
        <v>7.59</v>
      </c>
      <c r="AK98" s="15">
        <v>7.59</v>
      </c>
      <c r="AL98" s="15">
        <v>7.95</v>
      </c>
      <c r="AM98" s="15">
        <v>7.59</v>
      </c>
      <c r="AN98" s="15">
        <v>7.59</v>
      </c>
      <c r="AO98" s="15">
        <v>7.34</v>
      </c>
      <c r="AP98" s="15">
        <v>9.09</v>
      </c>
      <c r="AQ98" s="15">
        <v>9.09</v>
      </c>
      <c r="AR98" s="15">
        <v>8.84</v>
      </c>
      <c r="AS98" s="15">
        <v>7.86</v>
      </c>
      <c r="AT98" s="15">
        <v>7.71</v>
      </c>
      <c r="AU98" s="15">
        <v>8.23</v>
      </c>
      <c r="AW98" s="186" t="str">
        <f>IF(VLOOKUP($A98,'I-Ligands'!$A:$G,3,FALSE)="","",VLOOKUP($A98,'I-Ligands'!$A:$G,3,FALSE))</f>
        <v>Prostaglandin F2α</v>
      </c>
      <c r="AX98" s="187" t="str">
        <f>IF(VLOOKUP($A98,'I-Ligands'!$A:$G,4,FALSE)="","",VLOOKUP($A98,'I-Ligands'!$A:$G,4,FALSE))</f>
        <v>Prostaglandin F2α</v>
      </c>
      <c r="AY98" s="98">
        <v>3.97</v>
      </c>
      <c r="AZ98" s="99">
        <v>3.28</v>
      </c>
      <c r="BA98" s="99">
        <v>1.72</v>
      </c>
      <c r="BB98" s="99">
        <v>1.72</v>
      </c>
      <c r="BC98" s="99">
        <v>2.04</v>
      </c>
      <c r="BD98" s="99">
        <v>3.85</v>
      </c>
      <c r="BE98" s="99">
        <v>3.85</v>
      </c>
      <c r="BF98" s="99">
        <v>5.69</v>
      </c>
      <c r="BG98" s="99">
        <v>3.26</v>
      </c>
      <c r="BH98" s="99">
        <v>3.26</v>
      </c>
      <c r="BI98" s="99">
        <v>4.42</v>
      </c>
      <c r="BJ98" s="99">
        <v>3.81</v>
      </c>
      <c r="BK98" s="99">
        <v>3.95</v>
      </c>
      <c r="BL98" s="99">
        <v>2.89</v>
      </c>
      <c r="BM98" s="98">
        <f t="shared" ref="BM98:BM129" si="42">IF(T98="",0,IFERROR(T98/AY98,""))</f>
        <v>7.8085642317380346</v>
      </c>
      <c r="BN98" s="99">
        <f t="shared" ref="BN98:BN129" si="43">IF(U98="",0,IFERROR(U98/AZ98,""))</f>
        <v>9.4207317073170724</v>
      </c>
      <c r="BO98" s="99">
        <f t="shared" ref="BO98:BO129" si="44">IF(V98="",0,IFERROR(V98/BA98,""))</f>
        <v>6.8604651162790704</v>
      </c>
      <c r="BP98" s="99">
        <f t="shared" ref="BP98:BP129" si="45">IF(W98="",0,IFERROR(W98/BB98,""))</f>
        <v>6.8604651162790704</v>
      </c>
      <c r="BQ98" s="99">
        <f t="shared" ref="BQ98:BQ129" si="46">IF(X98="",0,IFERROR(X98/BC98,""))</f>
        <v>7.2058823529411757</v>
      </c>
      <c r="BR98" s="99">
        <f t="shared" ref="BR98:BR129" si="47">IF(Y98="",0,IFERROR(Y98/BD98,""))</f>
        <v>2.3896103896103895</v>
      </c>
      <c r="BS98" s="99">
        <f t="shared" ref="BS98:BS129" si="48">IF(Z98="",0,IFERROR(Z98/BE98,""))</f>
        <v>2.3896103896103895</v>
      </c>
      <c r="BT98" s="99">
        <f t="shared" ref="BT98:BT129" si="49">IF(AA98="",0,IFERROR(AA98/BF98,""))</f>
        <v>1.5114235500878732</v>
      </c>
      <c r="BU98" s="99">
        <f t="shared" ref="BU98:BU129" si="50">IF(AB98="",0,IFERROR(AB98/BG98,""))</f>
        <v>9.2331288343558295</v>
      </c>
      <c r="BV98" s="99">
        <f t="shared" ref="BV98:BV129" si="51">IF(AC98="",0,IFERROR(AC98/BH98,""))</f>
        <v>9.2331288343558295</v>
      </c>
      <c r="BW98" s="99">
        <f t="shared" ref="BW98:BW129" si="52">IF(AD98="",0,IFERROR(AD98/BI98,""))</f>
        <v>5.8371040723981906</v>
      </c>
      <c r="BX98" s="99">
        <f t="shared" ref="BX98:BX129" si="53">IF(AE98="",0,IFERROR(AE98/BJ98,""))</f>
        <v>4.698162729658792</v>
      </c>
      <c r="BY98" s="99">
        <f t="shared" ref="BY98:BY129" si="54">IF(AF98="",0,IFERROR(AF98/BK98,""))</f>
        <v>3.8227848101265822</v>
      </c>
      <c r="BZ98" s="99">
        <f t="shared" ref="BZ98:BZ129" si="55">IF(AG98="",0,IFERROR(AG98/BL98,""))</f>
        <v>7.8546712802768157</v>
      </c>
      <c r="CA98" s="18" t="e">
        <f>VLOOKUP(A98,'Bouvier-GEMTA'!A:C,4,FALSE)</f>
        <v>#REF!</v>
      </c>
      <c r="CB98" s="18" t="e">
        <f>VLOOKUP(A98,'Martemyanov-FreeGβγ-Nluc'!A:BG,4,FALSE)</f>
        <v>#N/A</v>
      </c>
    </row>
    <row r="99" spans="1:80">
      <c r="A99" s="12" t="s">
        <v>210</v>
      </c>
      <c r="B99" s="13" t="s">
        <v>210</v>
      </c>
      <c r="C99" s="9" t="str">
        <f>IF(VLOOKUP($A99,'I-Ligands'!$A:$G,5,FALSE)="","",VLOOKUP($A99,'I-Ligands'!$A:$G,5,FALSE))</f>
        <v>Guide to Pharmacology</v>
      </c>
      <c r="D99" s="9">
        <f>IF(VLOOKUP($A99,'I-Ligands'!$A:$G,6,FALSE)="","",VLOOKUP($A99,'I-Ligands'!$A:$G,6,FALSE))</f>
        <v>3742</v>
      </c>
      <c r="E99" s="9" t="str">
        <f>IF(VLOOKUP($A99,'I-Ligands'!$A:$G,7,FALSE)="","",VLOOKUP($A99,'I-Ligands'!$A:$G,7,FALSE))</f>
        <v>Phys</v>
      </c>
      <c r="F99" s="7" cm="1">
        <f t="array" ref="F99">_xlfn.IFS(T99=0,0,T99&gt;0,(LOG(0.01*T99/10^-AH99)))</f>
        <v>0</v>
      </c>
      <c r="G99" s="8" cm="1">
        <f t="array" ref="G99">_xlfn.IFS(U99=0,0,U99&gt;0,(LOG(0.01*U99/10^-AI99)))</f>
        <v>0</v>
      </c>
      <c r="H99" s="8" cm="1">
        <f t="array" ref="H99">_xlfn.IFS(V99=0,0,V99&gt;0,(LOG(0.01*V99/10^-AJ99)))</f>
        <v>7.2649733479708178</v>
      </c>
      <c r="I99" s="8" cm="1">
        <f t="array" ref="I99">_xlfn.IFS(W99=0,0,W99&gt;0,(LOG(0.01*W99/10^-AK99)))</f>
        <v>7.2649733479708178</v>
      </c>
      <c r="J99" s="8" cm="1">
        <f t="array" ref="J99">_xlfn.IFS(X99=0,0,X99&gt;0,(LOG(0.01*X99/10^-AL99)))</f>
        <v>7.1888530764097061</v>
      </c>
      <c r="K99" s="8" cm="1">
        <f t="array" ref="K99">_xlfn.IFS(Y99=0,0,Y99&gt;0,(LOG(0.01*Y99/10^-AM99)))</f>
        <v>6.929687082618404</v>
      </c>
      <c r="L99" s="8" cm="1">
        <f t="array" ref="L99">_xlfn.IFS(Z99=0,0,Z99&gt;0,(LOG(0.01*Z99/10^-AN99)))</f>
        <v>6.929687082618404</v>
      </c>
      <c r="M99" s="8" cm="1">
        <f t="array" ref="M99">_xlfn.IFS(AA99=0,0,AA99&gt;0,(LOG(0.01*AA99/10^-AO99)))</f>
        <v>6.6100346113625186</v>
      </c>
      <c r="N99" s="8" cm="1">
        <f t="array" ref="N99">_xlfn.IFS(AB99=0,0,AB99&gt;0,(LOG(0.01*AB99/10^-AP99)))</f>
        <v>7.0765112613645762</v>
      </c>
      <c r="O99" s="8" cm="1">
        <f t="array" ref="O99">_xlfn.IFS(AC99=0,0,AC99&gt;0,(LOG(0.01*AC99/10^-AQ99)))</f>
        <v>7.0765112613645762</v>
      </c>
      <c r="P99" s="8" cm="1">
        <f t="array" ref="P99">_xlfn.IFS(AD99=0,0,AD99&gt;0,(LOG(0.01*AD99/10^-AR99)))</f>
        <v>6.8083012913197454</v>
      </c>
      <c r="Q99" s="8" cm="1">
        <f t="array" ref="Q99">_xlfn.IFS(AE99=0,0,AE99&gt;0,(LOG(0.01*AE99/10^-AS99)))</f>
        <v>7.2714426285023048</v>
      </c>
      <c r="R99" s="8" cm="1">
        <f t="array" ref="R99">_xlfn.IFS(AF99=0,0,AF99&gt;0,(LOG(0.01*AF99/10^-AT99)))</f>
        <v>7.2582399653118497</v>
      </c>
      <c r="S99" s="8" cm="1">
        <f t="array" ref="S99">_xlfn.IFS(AG99=0,0,AG99&gt;0,(LOG(0.01*AG99/10^-AU99)))</f>
        <v>7.062756449317213</v>
      </c>
      <c r="V99" s="17">
        <v>26</v>
      </c>
      <c r="W99" s="17">
        <v>26</v>
      </c>
      <c r="X99" s="17">
        <v>19.899999999999999</v>
      </c>
      <c r="Y99" s="17">
        <v>31.6</v>
      </c>
      <c r="Z99" s="17">
        <v>31.6</v>
      </c>
      <c r="AA99" s="17">
        <v>19.5</v>
      </c>
      <c r="AB99" s="17">
        <v>26.7</v>
      </c>
      <c r="AC99" s="17">
        <v>26.7</v>
      </c>
      <c r="AD99" s="17">
        <v>26.2</v>
      </c>
      <c r="AE99" s="17">
        <v>30.3</v>
      </c>
      <c r="AF99" s="17">
        <v>25.6</v>
      </c>
      <c r="AG99" s="17">
        <v>29.7</v>
      </c>
      <c r="AJ99" s="15">
        <v>7.85</v>
      </c>
      <c r="AK99" s="15">
        <v>7.85</v>
      </c>
      <c r="AL99" s="15">
        <v>7.89</v>
      </c>
      <c r="AM99" s="15">
        <v>7.43</v>
      </c>
      <c r="AN99" s="15">
        <v>7.43</v>
      </c>
      <c r="AO99" s="15">
        <v>7.32</v>
      </c>
      <c r="AP99" s="15">
        <v>7.65</v>
      </c>
      <c r="AQ99" s="15">
        <v>7.65</v>
      </c>
      <c r="AR99" s="15">
        <v>7.39</v>
      </c>
      <c r="AS99" s="15">
        <v>7.79</v>
      </c>
      <c r="AT99" s="15">
        <v>7.85</v>
      </c>
      <c r="AU99" s="15">
        <v>7.59</v>
      </c>
      <c r="AW99" s="186" t="str">
        <f>IF(VLOOKUP($A99,'I-Ligands'!$A:$G,3,FALSE)="","",VLOOKUP($A99,'I-Ligands'!$A:$G,3,FALSE))</f>
        <v>PAR1 peptide</v>
      </c>
      <c r="AX99" s="187" t="str">
        <f>IF(VLOOKUP($A99,'I-Ligands'!$A:$G,4,FALSE)="","",VLOOKUP($A99,'I-Ligands'!$A:$G,4,FALSE))</f>
        <v xml:space="preserve">TFLLR-NH2 </v>
      </c>
      <c r="AY99" s="98">
        <v>8.32</v>
      </c>
      <c r="AZ99" s="99">
        <v>7.88</v>
      </c>
      <c r="BA99" s="99">
        <v>4.0999999999999996</v>
      </c>
      <c r="BB99" s="99">
        <v>4.0999999999999996</v>
      </c>
      <c r="BC99" s="99">
        <v>4.8899999999999997</v>
      </c>
      <c r="BD99" s="99">
        <v>7.08</v>
      </c>
      <c r="BE99" s="99">
        <v>7.08</v>
      </c>
      <c r="BF99" s="99">
        <v>6.86</v>
      </c>
      <c r="BG99" s="99">
        <v>2.38</v>
      </c>
      <c r="BH99" s="99">
        <v>2.38</v>
      </c>
      <c r="BI99" s="99">
        <v>4</v>
      </c>
      <c r="BJ99" s="99">
        <v>3.03</v>
      </c>
      <c r="BK99" s="99">
        <v>1.95</v>
      </c>
      <c r="BL99" s="99">
        <v>5.36</v>
      </c>
      <c r="BM99" s="98">
        <f t="shared" si="42"/>
        <v>0</v>
      </c>
      <c r="BN99" s="99">
        <f t="shared" si="43"/>
        <v>0</v>
      </c>
      <c r="BO99" s="99">
        <f t="shared" si="44"/>
        <v>6.3414634146341466</v>
      </c>
      <c r="BP99" s="99">
        <f t="shared" si="45"/>
        <v>6.3414634146341466</v>
      </c>
      <c r="BQ99" s="99">
        <f t="shared" si="46"/>
        <v>4.0695296523517381</v>
      </c>
      <c r="BR99" s="99">
        <f t="shared" si="47"/>
        <v>4.463276836158192</v>
      </c>
      <c r="BS99" s="99">
        <f t="shared" si="48"/>
        <v>4.463276836158192</v>
      </c>
      <c r="BT99" s="99">
        <f t="shared" si="49"/>
        <v>2.8425655976676385</v>
      </c>
      <c r="BU99" s="99">
        <f t="shared" si="50"/>
        <v>11.218487394957984</v>
      </c>
      <c r="BV99" s="99">
        <f t="shared" si="51"/>
        <v>11.218487394957984</v>
      </c>
      <c r="BW99" s="99">
        <f t="shared" si="52"/>
        <v>6.55</v>
      </c>
      <c r="BX99" s="99">
        <f t="shared" si="53"/>
        <v>10</v>
      </c>
      <c r="BY99" s="99">
        <f t="shared" si="54"/>
        <v>13.12820512820513</v>
      </c>
      <c r="BZ99" s="99">
        <f t="shared" si="55"/>
        <v>5.5410447761194028</v>
      </c>
      <c r="CA99" s="18" t="e">
        <f>VLOOKUP(A99,'Bouvier-GEMTA'!A:C,4,FALSE)</f>
        <v>#REF!</v>
      </c>
      <c r="CB99" s="18" t="e">
        <f>VLOOKUP(A99,'Martemyanov-FreeGβγ-Nluc'!A:BG,4,FALSE)</f>
        <v>#N/A</v>
      </c>
    </row>
    <row r="100" spans="1:80" ht="18">
      <c r="A100" s="12" t="s">
        <v>43</v>
      </c>
      <c r="B100" s="13" t="s">
        <v>2601</v>
      </c>
      <c r="C100" s="9" t="str">
        <f>IF(VLOOKUP($A100,'I-Ligands'!$A:$G,5,FALSE)="","",VLOOKUP($A100,'I-Ligands'!$A:$G,5,FALSE))</f>
        <v>Guide to Pharmacology</v>
      </c>
      <c r="D100" s="9">
        <f>IF(VLOOKUP($A100,'I-Ligands'!$A:$G,6,FALSE)="","",VLOOKUP($A100,'I-Ligands'!$A:$G,6,FALSE))</f>
        <v>2504</v>
      </c>
      <c r="E100" s="9" t="str">
        <f>IF(VLOOKUP($A100,'I-Ligands'!$A:$G,7,FALSE)="","",VLOOKUP($A100,'I-Ligands'!$A:$G,7,FALSE))</f>
        <v>Phys</v>
      </c>
      <c r="F100" s="7" cm="1">
        <f t="array" ref="F100">_xlfn.IFS(T100=0,0,T100&gt;0,(LOG(0.01*T100/10^-AH100)))</f>
        <v>8.5956042032735986</v>
      </c>
      <c r="G100" s="8" cm="1">
        <f t="array" ref="G100">_xlfn.IFS(U100=0,0,U100&gt;0,(LOG(0.01*U100/10^-AI100)))</f>
        <v>8.5565112613645766</v>
      </c>
      <c r="H100" s="8" cm="1">
        <f t="array" ref="H100">_xlfn.IFS(V100=0,0,V100&gt;0,(LOG(0.01*V100/10^-AJ100)))</f>
        <v>9.599949601325708</v>
      </c>
      <c r="I100" s="8" cm="1">
        <f t="array" ref="I100">_xlfn.IFS(W100=0,0,W100&gt;0,(LOG(0.01*W100/10^-AK100)))</f>
        <v>9.599949601325708</v>
      </c>
      <c r="J100" s="8" cm="1">
        <f t="array" ref="J100">_xlfn.IFS(X100=0,0,X100&gt;0,(LOG(0.01*X100/10^-AL100)))</f>
        <v>10.044026106056137</v>
      </c>
      <c r="K100" s="8" cm="1">
        <f t="array" ref="K100">_xlfn.IFS(Y100=0,0,Y100&gt;0,(LOG(0.01*Y100/10^-AM100)))</f>
        <v>8.383815365980432</v>
      </c>
      <c r="L100" s="8" cm="1">
        <f t="array" ref="L100">_xlfn.IFS(Z100=0,0,Z100&gt;0,(LOG(0.01*Z100/10^-AN100)))</f>
        <v>8.383815365980432</v>
      </c>
      <c r="M100" s="8" cm="1">
        <f t="array" ref="M100">_xlfn.IFS(AA100=0,0,AA100&gt;0,(LOG(0.01*AA100/10^-AO100)))</f>
        <v>7.6344984512435667</v>
      </c>
      <c r="N100" s="8" cm="1">
        <f t="array" ref="N100">_xlfn.IFS(AB100=0,0,AB100&gt;0,(LOG(0.01*AB100/10^-AP100)))</f>
        <v>9.9932176000679398</v>
      </c>
      <c r="O100" s="8" cm="1">
        <f t="array" ref="O100">_xlfn.IFS(AC100=0,0,AC100&gt;0,(LOG(0.01*AC100/10^-AQ100)))</f>
        <v>9.9932176000679398</v>
      </c>
      <c r="P100" s="8" cm="1">
        <f t="array" ref="P100">_xlfn.IFS(AD100=0,0,AD100&gt;0,(LOG(0.01*AD100/10^-AR100)))</f>
        <v>9.8805450102066121</v>
      </c>
      <c r="Q100" s="8" cm="1">
        <f t="array" ref="Q100">_xlfn.IFS(AE100=0,0,AE100&gt;0,(LOG(0.01*AE100/10^-AS100)))</f>
        <v>10.035496221825573</v>
      </c>
      <c r="R100" s="8" cm="1">
        <f t="array" ref="R100">_xlfn.IFS(AF100=0,0,AF100&gt;0,(LOG(0.01*AF100/10^-AT100)))</f>
        <v>9.0122928644564748</v>
      </c>
      <c r="S100" s="8" cm="1">
        <f t="array" ref="S100">_xlfn.IFS(AG100=0,0,AG100&gt;0,(LOG(0.01*AG100/10^-AU100)))</f>
        <v>8.7556711883244294</v>
      </c>
      <c r="T100" s="16">
        <v>27.9</v>
      </c>
      <c r="U100" s="17">
        <v>26.7</v>
      </c>
      <c r="V100" s="17">
        <v>38.9</v>
      </c>
      <c r="W100" s="17">
        <v>38.9</v>
      </c>
      <c r="X100" s="17">
        <v>34.200000000000003</v>
      </c>
      <c r="Y100" s="17">
        <v>24.2</v>
      </c>
      <c r="Z100" s="17">
        <v>24.2</v>
      </c>
      <c r="AA100" s="17">
        <v>8.6</v>
      </c>
      <c r="AB100" s="17">
        <v>32.6</v>
      </c>
      <c r="AC100" s="17">
        <v>32.6</v>
      </c>
      <c r="AD100" s="17">
        <v>32.4</v>
      </c>
      <c r="AE100" s="17">
        <v>39.4</v>
      </c>
      <c r="AF100" s="17">
        <v>36.5</v>
      </c>
      <c r="AG100" s="17">
        <v>29.9</v>
      </c>
      <c r="AH100" s="14">
        <v>9.15</v>
      </c>
      <c r="AI100" s="15">
        <v>9.1300000000000008</v>
      </c>
      <c r="AJ100" s="15">
        <v>10.01</v>
      </c>
      <c r="AK100" s="15">
        <v>10.01</v>
      </c>
      <c r="AL100" s="15">
        <v>10.51</v>
      </c>
      <c r="AM100" s="15">
        <v>9</v>
      </c>
      <c r="AN100" s="15">
        <v>9</v>
      </c>
      <c r="AO100" s="15">
        <v>8.6999999999999993</v>
      </c>
      <c r="AP100" s="15">
        <v>10.48</v>
      </c>
      <c r="AQ100" s="15">
        <v>10.48</v>
      </c>
      <c r="AR100" s="15">
        <v>10.37</v>
      </c>
      <c r="AS100" s="15">
        <v>10.44</v>
      </c>
      <c r="AT100" s="15">
        <v>9.4499999999999993</v>
      </c>
      <c r="AU100" s="15">
        <v>9.2799999999999994</v>
      </c>
      <c r="AW100" s="186" t="str">
        <f>IF(VLOOKUP($A100,'I-Ligands'!$A:$G,3,FALSE)="","",VLOOKUP($A100,'I-Ligands'!$A:$G,3,FALSE))</f>
        <v>Angiotensin II</v>
      </c>
      <c r="AX100" s="187" t="str">
        <f>IF(VLOOKUP($A100,'I-Ligands'!$A:$G,4,FALSE)="","",VLOOKUP($A100,'I-Ligands'!$A:$G,4,FALSE))</f>
        <v>DRVYIHPF</v>
      </c>
      <c r="AY100" s="98">
        <v>2.2799999999999998</v>
      </c>
      <c r="AZ100" s="99">
        <v>3.59</v>
      </c>
      <c r="BA100" s="99">
        <v>3.41</v>
      </c>
      <c r="BB100" s="99">
        <v>3.41</v>
      </c>
      <c r="BC100" s="99">
        <v>0.66</v>
      </c>
      <c r="BD100" s="99">
        <v>2.94</v>
      </c>
      <c r="BE100" s="99">
        <v>2.94</v>
      </c>
      <c r="BF100" s="99">
        <v>3.56</v>
      </c>
      <c r="BG100" s="99">
        <v>2.4500000000000002</v>
      </c>
      <c r="BH100" s="99">
        <v>2.4500000000000002</v>
      </c>
      <c r="BI100" s="99">
        <v>2.4300000000000002</v>
      </c>
      <c r="BJ100" s="99">
        <v>2.94</v>
      </c>
      <c r="BK100" s="99">
        <v>1.33</v>
      </c>
      <c r="BL100" s="99">
        <v>1.18</v>
      </c>
      <c r="BM100" s="98">
        <f t="shared" si="42"/>
        <v>12.236842105263158</v>
      </c>
      <c r="BN100" s="99">
        <f t="shared" si="43"/>
        <v>7.4373259052924796</v>
      </c>
      <c r="BO100" s="99">
        <f t="shared" si="44"/>
        <v>11.407624633431084</v>
      </c>
      <c r="BP100" s="99">
        <f t="shared" si="45"/>
        <v>11.407624633431084</v>
      </c>
      <c r="BQ100" s="99">
        <f t="shared" si="46"/>
        <v>51.81818181818182</v>
      </c>
      <c r="BR100" s="99">
        <f t="shared" si="47"/>
        <v>8.2312925170068034</v>
      </c>
      <c r="BS100" s="99">
        <f t="shared" si="48"/>
        <v>8.2312925170068034</v>
      </c>
      <c r="BT100" s="99">
        <f t="shared" si="49"/>
        <v>2.4157303370786516</v>
      </c>
      <c r="BU100" s="99">
        <f t="shared" si="50"/>
        <v>13.306122448979592</v>
      </c>
      <c r="BV100" s="99">
        <f t="shared" si="51"/>
        <v>13.306122448979592</v>
      </c>
      <c r="BW100" s="99">
        <f t="shared" si="52"/>
        <v>13.333333333333332</v>
      </c>
      <c r="BX100" s="99">
        <f t="shared" si="53"/>
        <v>13.401360544217686</v>
      </c>
      <c r="BY100" s="99">
        <f t="shared" si="54"/>
        <v>27.443609022556391</v>
      </c>
      <c r="BZ100" s="99">
        <f t="shared" si="55"/>
        <v>25.338983050847457</v>
      </c>
      <c r="CA100" s="18" t="e">
        <f>VLOOKUP(A100,'Bouvier-GEMTA'!A:C,4,FALSE)</f>
        <v>#REF!</v>
      </c>
      <c r="CB100" s="18" t="e">
        <f>VLOOKUP(A100,'Martemyanov-FreeGβγ-Nluc'!A:BG,4,FALSE)</f>
        <v>#N/A</v>
      </c>
    </row>
    <row r="101" spans="1:80" ht="18">
      <c r="A101" s="12" t="s">
        <v>25</v>
      </c>
      <c r="B101" s="13" t="s">
        <v>2582</v>
      </c>
      <c r="C101" s="9" t="str">
        <f>IF(VLOOKUP($A101,'I-Ligands'!$A:$G,5,FALSE)="","",VLOOKUP($A101,'I-Ligands'!$A:$G,5,FALSE))</f>
        <v>Guide to Pharmacology</v>
      </c>
      <c r="D101" s="9">
        <f>IF(VLOOKUP($A101,'I-Ligands'!$A:$G,6,FALSE)="","",VLOOKUP($A101,'I-Ligands'!$A:$G,6,FALSE))</f>
        <v>5</v>
      </c>
      <c r="E101" s="9" t="str">
        <f>IF(VLOOKUP($A101,'I-Ligands'!$A:$G,7,FALSE)="","",VLOOKUP($A101,'I-Ligands'!$A:$G,7,FALSE))</f>
        <v>Phys</v>
      </c>
      <c r="F101" s="7" cm="1">
        <f t="array" ref="F101">_xlfn.IFS(T101=0,0,T101&gt;0,(LOG(0.01*T101/10^-AH101)))</f>
        <v>8.0187536009528291</v>
      </c>
      <c r="G101" s="8" cm="1">
        <f t="array" ref="G101">_xlfn.IFS(U101=0,0,U101&gt;0,(LOG(0.01*U101/10^-AI101)))</f>
        <v>8.0255284469075487</v>
      </c>
      <c r="H101" s="8" cm="1">
        <f t="array" ref="H101">_xlfn.IFS(V101=0,0,V101&gt;0,(LOG(0.01*V101/10^-AJ101)))</f>
        <v>7.6761799739838876</v>
      </c>
      <c r="I101" s="8" cm="1">
        <f t="array" ref="I101">_xlfn.IFS(W101=0,0,W101&gt;0,(LOG(0.01*W101/10^-AK101)))</f>
        <v>7.6761799739838876</v>
      </c>
      <c r="J101" s="8" cm="1">
        <f t="array" ref="J101">_xlfn.IFS(X101=0,0,X101&gt;0,(LOG(0.01*X101/10^-AL101)))</f>
        <v>7.7930899869919452</v>
      </c>
      <c r="K101" s="8" cm="1">
        <f t="array" ref="K101">_xlfn.IFS(Y101=0,0,Y101&gt;0,(LOG(0.01*Y101/10^-AM101)))</f>
        <v>7.8786001717619181</v>
      </c>
      <c r="L101" s="8" cm="1">
        <f t="array" ref="L101">_xlfn.IFS(Z101=0,0,Z101&gt;0,(LOG(0.01*Z101/10^-AN101)))</f>
        <v>7.8786001717619181</v>
      </c>
      <c r="M101" s="8" cm="1">
        <f t="array" ref="M101">_xlfn.IFS(AA101=0,0,AA101&gt;0,(LOG(0.01*AA101/10^-AO101)))</f>
        <v>7.8990780923760751</v>
      </c>
      <c r="N101" s="8" cm="1">
        <f t="array" ref="N101">_xlfn.IFS(AB101=0,0,AB101&gt;0,(LOG(0.01*AB101/10^-AP101)))</f>
        <v>7.8334216851622358</v>
      </c>
      <c r="O101" s="8" cm="1">
        <f t="array" ref="O101">_xlfn.IFS(AC101=0,0,AC101&gt;0,(LOG(0.01*AC101/10^-AQ101)))</f>
        <v>7.8334216851622358</v>
      </c>
      <c r="P101" s="8" cm="1">
        <f t="array" ref="P101">_xlfn.IFS(AD101=0,0,AD101&gt;0,(LOG(0.01*AD101/10^-AR101)))</f>
        <v>8.0861280356782377</v>
      </c>
      <c r="Q101" s="8" cm="1">
        <f t="array" ref="Q101">_xlfn.IFS(AE101=0,0,AE101&gt;0,(LOG(0.01*AE101/10^-AS101)))</f>
        <v>7.693322860120456</v>
      </c>
      <c r="R101" s="8" cm="1">
        <f t="array" ref="R101">_xlfn.IFS(AF101=0,0,AF101&gt;0,(LOG(0.01*AF101/10^-AT101)))</f>
        <v>7.8608135922807927</v>
      </c>
      <c r="S101" s="8" cm="1">
        <f t="array" ref="S101">_xlfn.IFS(AG101=0,0,AG101&gt;0,(LOG(0.01*AG101/10^-AU101)))</f>
        <v>8.0106978403536111</v>
      </c>
      <c r="T101" s="16">
        <v>19</v>
      </c>
      <c r="U101" s="17">
        <v>17.2</v>
      </c>
      <c r="V101" s="17">
        <v>6.4</v>
      </c>
      <c r="W101" s="17">
        <v>6.4</v>
      </c>
      <c r="X101" s="17">
        <v>8</v>
      </c>
      <c r="Y101" s="17">
        <v>10.199999999999999</v>
      </c>
      <c r="Z101" s="17">
        <v>10.199999999999999</v>
      </c>
      <c r="AA101" s="17">
        <v>8.3000000000000007</v>
      </c>
      <c r="AB101" s="17">
        <v>12.4</v>
      </c>
      <c r="AC101" s="17">
        <v>12.4</v>
      </c>
      <c r="AD101" s="17">
        <v>14</v>
      </c>
      <c r="AE101" s="17">
        <v>7.3</v>
      </c>
      <c r="AF101" s="17">
        <v>7.6</v>
      </c>
      <c r="AG101" s="17">
        <v>11.5</v>
      </c>
      <c r="AH101" s="14">
        <v>8.74</v>
      </c>
      <c r="AI101" s="15">
        <v>8.7899999999999991</v>
      </c>
      <c r="AJ101" s="15">
        <v>8.8699999999999992</v>
      </c>
      <c r="AK101" s="15">
        <v>8.8699999999999992</v>
      </c>
      <c r="AL101" s="15">
        <v>8.89</v>
      </c>
      <c r="AM101" s="15">
        <v>8.8699999999999992</v>
      </c>
      <c r="AN101" s="15">
        <v>8.8699999999999992</v>
      </c>
      <c r="AO101" s="15">
        <v>8.98</v>
      </c>
      <c r="AP101" s="15">
        <v>8.74</v>
      </c>
      <c r="AQ101" s="15">
        <v>8.74</v>
      </c>
      <c r="AR101" s="15">
        <v>8.94</v>
      </c>
      <c r="AS101" s="15">
        <v>8.83</v>
      </c>
      <c r="AT101" s="15">
        <v>8.98</v>
      </c>
      <c r="AU101" s="15">
        <v>8.9499999999999993</v>
      </c>
      <c r="AW101" s="186" t="str">
        <f>IF(VLOOKUP($A101,'I-Ligands'!$A:$G,3,FALSE)="","",VLOOKUP($A101,'I-Ligands'!$A:$G,3,FALSE))</f>
        <v>Serotonin</v>
      </c>
      <c r="AX101" s="187" t="str">
        <f>IF(VLOOKUP($A101,'I-Ligands'!$A:$G,4,FALSE)="","",VLOOKUP($A101,'I-Ligands'!$A:$G,4,FALSE))</f>
        <v>5-Hydroxytryptamine Hydrochloride</v>
      </c>
      <c r="AY101" s="98">
        <v>2.0099999999999998</v>
      </c>
      <c r="AZ101" s="99">
        <v>1.94</v>
      </c>
      <c r="BA101" s="99">
        <v>1.67</v>
      </c>
      <c r="BB101" s="99">
        <v>1.67</v>
      </c>
      <c r="BC101" s="99">
        <v>1.0900000000000001</v>
      </c>
      <c r="BD101" s="99">
        <v>2.29</v>
      </c>
      <c r="BE101" s="99">
        <v>2.29</v>
      </c>
      <c r="BF101" s="99">
        <v>3.49</v>
      </c>
      <c r="BG101" s="99">
        <v>5.31</v>
      </c>
      <c r="BH101" s="99">
        <v>5.31</v>
      </c>
      <c r="BI101" s="99">
        <v>2.04</v>
      </c>
      <c r="BJ101" s="99">
        <v>1.87</v>
      </c>
      <c r="BK101" s="99">
        <v>2</v>
      </c>
      <c r="BL101" s="99">
        <v>2.35</v>
      </c>
      <c r="BM101" s="98">
        <f t="shared" si="42"/>
        <v>9.4527363184079611</v>
      </c>
      <c r="BN101" s="99">
        <f t="shared" si="43"/>
        <v>8.8659793814432994</v>
      </c>
      <c r="BO101" s="99">
        <f t="shared" si="44"/>
        <v>3.8323353293413178</v>
      </c>
      <c r="BP101" s="99">
        <f t="shared" si="45"/>
        <v>3.8323353293413178</v>
      </c>
      <c r="BQ101" s="99">
        <f t="shared" si="46"/>
        <v>7.3394495412844032</v>
      </c>
      <c r="BR101" s="99">
        <f t="shared" si="47"/>
        <v>4.4541484716157198</v>
      </c>
      <c r="BS101" s="99">
        <f t="shared" si="48"/>
        <v>4.4541484716157198</v>
      </c>
      <c r="BT101" s="99">
        <f t="shared" si="49"/>
        <v>2.3782234957020059</v>
      </c>
      <c r="BU101" s="99">
        <f t="shared" si="50"/>
        <v>2.3352165725047085</v>
      </c>
      <c r="BV101" s="99">
        <f t="shared" si="51"/>
        <v>2.3352165725047085</v>
      </c>
      <c r="BW101" s="99">
        <f t="shared" si="52"/>
        <v>6.8627450980392153</v>
      </c>
      <c r="BX101" s="99">
        <f t="shared" si="53"/>
        <v>3.903743315508021</v>
      </c>
      <c r="BY101" s="99">
        <f t="shared" si="54"/>
        <v>3.8</v>
      </c>
      <c r="BZ101" s="99">
        <f t="shared" si="55"/>
        <v>4.8936170212765955</v>
      </c>
      <c r="CA101" s="18" t="e">
        <f>VLOOKUP(A101,'Bouvier-GEMTA'!A:C,4,FALSE)</f>
        <v>#N/A</v>
      </c>
      <c r="CB101" s="18">
        <f>VLOOKUP(A101,'Martemyanov-FreeGβγ-Nluc'!A:BG,4,FALSE)</f>
        <v>5</v>
      </c>
    </row>
    <row r="102" spans="1:80" ht="18">
      <c r="A102" s="12" t="s">
        <v>36</v>
      </c>
      <c r="B102" s="13" t="s">
        <v>2594</v>
      </c>
      <c r="C102" s="9" t="str">
        <f>IF(VLOOKUP($A102,'I-Ligands'!$A:$G,5,FALSE)="","",VLOOKUP($A102,'I-Ligands'!$A:$G,5,FALSE))</f>
        <v>Guide to Pharmacology</v>
      </c>
      <c r="D102" s="9">
        <f>IF(VLOOKUP($A102,'I-Ligands'!$A:$G,6,FALSE)="","",VLOOKUP($A102,'I-Ligands'!$A:$G,6,FALSE))</f>
        <v>505</v>
      </c>
      <c r="E102" s="9" t="str">
        <f>IF(VLOOKUP($A102,'I-Ligands'!$A:$G,7,FALSE)="","",VLOOKUP($A102,'I-Ligands'!$A:$G,7,FALSE))</f>
        <v>Phys</v>
      </c>
      <c r="F102" s="7" cm="1">
        <f t="array" ref="F102">_xlfn.IFS(T102=0,0,T102&gt;0,(LOG(0.01*T102/10^-AH102)))</f>
        <v>6.08645973384853</v>
      </c>
      <c r="G102" s="8" cm="1">
        <f t="array" ref="G102">_xlfn.IFS(U102=0,0,U102&gt;0,(LOG(0.01*U102/10^-AI102)))</f>
        <v>5.945899652409234</v>
      </c>
      <c r="H102" s="8" cm="1">
        <f t="array" ref="H102">_xlfn.IFS(V102=0,0,V102&gt;0,(LOG(0.01*V102/10^-AJ102)))</f>
        <v>0</v>
      </c>
      <c r="I102" s="8" cm="1">
        <f t="array" ref="I102">_xlfn.IFS(W102=0,0,W102&gt;0,(LOG(0.01*W102/10^-AK102)))</f>
        <v>0</v>
      </c>
      <c r="J102" s="8" cm="1">
        <f t="array" ref="J102">_xlfn.IFS(X102=0,0,X102&gt;0,(LOG(0.01*X102/10^-AL102)))</f>
        <v>0</v>
      </c>
      <c r="K102" s="8" cm="1">
        <f t="array" ref="K102">_xlfn.IFS(Y102=0,0,Y102&gt;0,(LOG(0.01*Y102/10^-AM102)))</f>
        <v>0</v>
      </c>
      <c r="L102" s="8" cm="1">
        <f t="array" ref="L102">_xlfn.IFS(Z102=0,0,Z102&gt;0,(LOG(0.01*Z102/10^-AN102)))</f>
        <v>0</v>
      </c>
      <c r="M102" s="8" cm="1">
        <f t="array" ref="M102">_xlfn.IFS(AA102=0,0,AA102&gt;0,(LOG(0.01*AA102/10^-AO102)))</f>
        <v>0</v>
      </c>
      <c r="N102" s="8" cm="1">
        <f t="array" ref="N102">_xlfn.IFS(AB102=0,0,AB102&gt;0,(LOG(0.01*AB102/10^-AP102)))</f>
        <v>6.1131862684122753</v>
      </c>
      <c r="O102" s="8" cm="1">
        <f t="array" ref="O102">_xlfn.IFS(AC102=0,0,AC102&gt;0,(LOG(0.01*AC102/10^-AQ102)))</f>
        <v>6.1131862684122753</v>
      </c>
      <c r="P102" s="8" cm="1">
        <f t="array" ref="P102">_xlfn.IFS(AD102=0,0,AD102&gt;0,(LOG(0.01*AD102/10^-AR102)))</f>
        <v>6.1674960379132138</v>
      </c>
      <c r="Q102" s="8" cm="1">
        <f t="array" ref="Q102">_xlfn.IFS(AE102=0,0,AE102&gt;0,(LOG(0.01*AE102/10^-AS102)))</f>
        <v>0</v>
      </c>
      <c r="R102" s="8" cm="1">
        <f t="array" ref="R102">_xlfn.IFS(AF102=0,0,AF102&gt;0,(LOG(0.01*AF102/10^-AT102)))</f>
        <v>0</v>
      </c>
      <c r="S102" s="8" cm="1">
        <f t="array" ref="S102">_xlfn.IFS(AG102=0,0,AG102&gt;0,(LOG(0.01*AG102/10^-AU102)))</f>
        <v>0</v>
      </c>
      <c r="T102" s="16">
        <v>21.7</v>
      </c>
      <c r="U102" s="17">
        <v>15.7</v>
      </c>
      <c r="AB102" s="17">
        <v>14.9</v>
      </c>
      <c r="AC102" s="17">
        <v>14.9</v>
      </c>
      <c r="AD102" s="17">
        <v>20.3</v>
      </c>
      <c r="AH102" s="14">
        <v>6.75</v>
      </c>
      <c r="AI102" s="15">
        <v>6.75</v>
      </c>
      <c r="AP102" s="15">
        <v>6.94</v>
      </c>
      <c r="AQ102" s="15">
        <v>6.94</v>
      </c>
      <c r="AR102" s="15">
        <v>6.86</v>
      </c>
      <c r="AW102" s="186" t="str">
        <f>IF(VLOOKUP($A102,'I-Ligands'!$A:$G,3,FALSE)="","",VLOOKUP($A102,'I-Ligands'!$A:$G,3,FALSE))</f>
        <v>Norepinephrine</v>
      </c>
      <c r="AX102" s="187" t="str">
        <f>IF(VLOOKUP($A102,'I-Ligands'!$A:$G,4,FALSE)="","",VLOOKUP($A102,'I-Ligands'!$A:$G,4,FALSE))</f>
        <v>L-(−)-Norepinephrine (+)-bitartrate salt monohydrate</v>
      </c>
      <c r="AY102" s="98">
        <v>2.31</v>
      </c>
      <c r="AZ102" s="99">
        <v>3.27</v>
      </c>
      <c r="BA102" s="99">
        <v>3.76</v>
      </c>
      <c r="BB102" s="99">
        <v>3.76</v>
      </c>
      <c r="BC102" s="99">
        <v>3.86</v>
      </c>
      <c r="BD102" s="99">
        <v>3.07</v>
      </c>
      <c r="BE102" s="99">
        <v>3.07</v>
      </c>
      <c r="BF102" s="99">
        <v>2.81</v>
      </c>
      <c r="BG102" s="99">
        <v>4.7699999999999996</v>
      </c>
      <c r="BH102" s="99">
        <v>4.7699999999999996</v>
      </c>
      <c r="BI102" s="99">
        <v>5.36</v>
      </c>
      <c r="BJ102" s="99">
        <v>3.39</v>
      </c>
      <c r="BK102" s="99">
        <v>2.63</v>
      </c>
      <c r="BL102" s="99">
        <v>2.99</v>
      </c>
      <c r="BM102" s="98">
        <f t="shared" si="42"/>
        <v>9.3939393939393927</v>
      </c>
      <c r="BN102" s="99">
        <f t="shared" si="43"/>
        <v>4.8012232415902139</v>
      </c>
      <c r="BO102" s="99">
        <f t="shared" si="44"/>
        <v>0</v>
      </c>
      <c r="BP102" s="99">
        <f t="shared" si="45"/>
        <v>0</v>
      </c>
      <c r="BQ102" s="99">
        <f t="shared" si="46"/>
        <v>0</v>
      </c>
      <c r="BR102" s="99">
        <f t="shared" si="47"/>
        <v>0</v>
      </c>
      <c r="BS102" s="99">
        <f t="shared" si="48"/>
        <v>0</v>
      </c>
      <c r="BT102" s="99">
        <f t="shared" si="49"/>
        <v>0</v>
      </c>
      <c r="BU102" s="99">
        <f t="shared" si="50"/>
        <v>3.1236897274633129</v>
      </c>
      <c r="BV102" s="99">
        <f t="shared" si="51"/>
        <v>3.1236897274633129</v>
      </c>
      <c r="BW102" s="99">
        <f t="shared" si="52"/>
        <v>3.7873134328358207</v>
      </c>
      <c r="BX102" s="99">
        <f t="shared" si="53"/>
        <v>0</v>
      </c>
      <c r="BY102" s="99">
        <f t="shared" si="54"/>
        <v>0</v>
      </c>
      <c r="BZ102" s="99">
        <f t="shared" si="55"/>
        <v>0</v>
      </c>
      <c r="CA102" s="18" t="e">
        <f>VLOOKUP(A102,'Bouvier-GEMTA'!A:C,4,FALSE)</f>
        <v>#N/A</v>
      </c>
      <c r="CB102" s="18">
        <f>VLOOKUP(A102,'Martemyanov-FreeGβγ-Nluc'!A:BG,4,FALSE)</f>
        <v>509</v>
      </c>
    </row>
    <row r="103" spans="1:80" ht="18">
      <c r="A103" s="12" t="s">
        <v>162</v>
      </c>
      <c r="B103" s="13" t="s">
        <v>2636</v>
      </c>
      <c r="C103" s="9" t="str">
        <f>IF(VLOOKUP($A103,'I-Ligands'!$A:$G,5,FALSE)="","",VLOOKUP($A103,'I-Ligands'!$A:$G,5,FALSE))</f>
        <v>Guide to Pharmacology</v>
      </c>
      <c r="D103" s="9">
        <f>IF(VLOOKUP($A103,'I-Ligands'!$A:$G,6,FALSE)="","",VLOOKUP($A103,'I-Ligands'!$A:$G,6,FALSE))</f>
        <v>1320</v>
      </c>
      <c r="E103" s="9" t="str">
        <f>IF(VLOOKUP($A103,'I-Ligands'!$A:$G,7,FALSE)="","",VLOOKUP($A103,'I-Ligands'!$A:$G,7,FALSE))</f>
        <v>Phys</v>
      </c>
      <c r="F103" s="7" cm="1">
        <f t="array" ref="F103">_xlfn.IFS(T103=0,0,T103&gt;0,(LOG(0.01*T103/10^-AH103)))</f>
        <v>4.8460033436348002</v>
      </c>
      <c r="G103" s="8" cm="1">
        <f t="array" ref="G103">_xlfn.IFS(U103=0,0,U103&gt;0,(LOG(0.01*U103/10^-AI103)))</f>
        <v>4.7995439355418696</v>
      </c>
      <c r="H103" s="8" cm="1">
        <f t="array" ref="H103">_xlfn.IFS(V103=0,0,V103&gt;0,(LOG(0.01*V103/10^-AJ103)))</f>
        <v>4.9021825181113625</v>
      </c>
      <c r="I103" s="8" cm="1">
        <f t="array" ref="I103">_xlfn.IFS(W103=0,0,W103&gt;0,(LOG(0.01*W103/10^-AK103)))</f>
        <v>4.9021825181113625</v>
      </c>
      <c r="J103" s="8" cm="1">
        <f t="array" ref="J103">_xlfn.IFS(X103=0,0,X103&gt;0,(LOG(0.01*X103/10^-AL103)))</f>
        <v>5.177973266361807</v>
      </c>
      <c r="K103" s="8" cm="1">
        <f t="array" ref="K103">_xlfn.IFS(Y103=0,0,Y103&gt;0,(LOG(0.01*Y103/10^-AM103)))</f>
        <v>4.3652725051033077</v>
      </c>
      <c r="L103" s="8" cm="1">
        <f t="array" ref="L103">_xlfn.IFS(Z103=0,0,Z103&gt;0,(LOG(0.01*Z103/10^-AN103)))</f>
        <v>4.3652725051033077</v>
      </c>
      <c r="M103" s="8" cm="1">
        <f t="array" ref="M103">_xlfn.IFS(AA103=0,0,AA103&gt;0,(LOG(0.01*AA103/10^-AO103)))</f>
        <v>4.9648178230095379</v>
      </c>
      <c r="N103" s="8" cm="1">
        <f t="array" ref="N103">_xlfn.IFS(AB103=0,0,AB103&gt;0,(LOG(0.01*AB103/10^-AP103)))</f>
        <v>5.0624226808222064</v>
      </c>
      <c r="O103" s="8" cm="1">
        <f t="array" ref="O103">_xlfn.IFS(AC103=0,0,AC103&gt;0,(LOG(0.01*AC103/10^-AQ103)))</f>
        <v>5.0624226808222064</v>
      </c>
      <c r="P103" s="8" cm="1">
        <f t="array" ref="P103">_xlfn.IFS(AD103=0,0,AD103&gt;0,(LOG(0.01*AD103/10^-AR103)))</f>
        <v>5.6744537511509314</v>
      </c>
      <c r="Q103" s="8" cm="1">
        <f t="array" ref="Q103">_xlfn.IFS(AE103=0,0,AE103&gt;0,(LOG(0.01*AE103/10^-AS103)))</f>
        <v>4.5634216851622353</v>
      </c>
      <c r="R103" s="8" cm="1">
        <f t="array" ref="R103">_xlfn.IFS(AF103=0,0,AF103&gt;0,(LOG(0.01*AF103/10^-AT103)))</f>
        <v>5.0220599913279624</v>
      </c>
      <c r="S103" s="8" cm="1">
        <f t="array" ref="S103">_xlfn.IFS(AG103=0,0,AG103&gt;0,(LOG(0.01*AG103/10^-AU103)))</f>
        <v>4.9232125137753435</v>
      </c>
      <c r="T103" s="16">
        <v>5.2</v>
      </c>
      <c r="U103" s="17">
        <v>6.6</v>
      </c>
      <c r="V103" s="17">
        <v>22.5</v>
      </c>
      <c r="W103" s="17">
        <v>22.5</v>
      </c>
      <c r="X103" s="17">
        <v>17.7</v>
      </c>
      <c r="Y103" s="17">
        <v>18</v>
      </c>
      <c r="Z103" s="17">
        <v>18</v>
      </c>
      <c r="AA103" s="17">
        <v>18.399999999999999</v>
      </c>
      <c r="AB103" s="17">
        <v>22</v>
      </c>
      <c r="AC103" s="17">
        <v>22</v>
      </c>
      <c r="AD103" s="17">
        <v>21.6</v>
      </c>
      <c r="AE103" s="17">
        <v>12.4</v>
      </c>
      <c r="AF103" s="17">
        <v>4</v>
      </c>
      <c r="AG103" s="17">
        <v>4.5</v>
      </c>
      <c r="AH103" s="14">
        <v>6.13</v>
      </c>
      <c r="AI103" s="15">
        <v>5.98</v>
      </c>
      <c r="AJ103" s="15">
        <v>5.55</v>
      </c>
      <c r="AK103" s="15">
        <v>5.55</v>
      </c>
      <c r="AL103" s="15">
        <v>5.93</v>
      </c>
      <c r="AM103" s="15">
        <v>5.1100000000000003</v>
      </c>
      <c r="AN103" s="15">
        <v>5.1100000000000003</v>
      </c>
      <c r="AO103" s="15">
        <v>5.7</v>
      </c>
      <c r="AP103" s="15">
        <v>5.72</v>
      </c>
      <c r="AQ103" s="15">
        <v>5.72</v>
      </c>
      <c r="AR103" s="15">
        <v>6.34</v>
      </c>
      <c r="AS103" s="15">
        <v>5.47</v>
      </c>
      <c r="AT103" s="15">
        <v>6.42</v>
      </c>
      <c r="AU103" s="15">
        <v>6.27</v>
      </c>
      <c r="AW103" s="186" t="str">
        <f>IF(VLOOKUP($A103,'I-Ligands'!$A:$G,3,FALSE)="","",VLOOKUP($A103,'I-Ligands'!$A:$G,3,FALSE))</f>
        <v>α-MSH</v>
      </c>
      <c r="AX103" s="187" t="str">
        <f>IF(VLOOKUP($A103,'I-Ligands'!$A:$G,4,FALSE)="","",VLOOKUP($A103,'I-Ligands'!$A:$G,4,FALSE))</f>
        <v>Ac-SYSMEHFRWGKPV-NH2</v>
      </c>
      <c r="AY103" s="98">
        <v>4.3499999999999996</v>
      </c>
      <c r="AZ103" s="99">
        <v>3.91</v>
      </c>
      <c r="BA103" s="99">
        <v>5.16</v>
      </c>
      <c r="BB103" s="99">
        <v>5.16</v>
      </c>
      <c r="BC103" s="99">
        <v>6.31</v>
      </c>
      <c r="BD103" s="99">
        <v>5.37</v>
      </c>
      <c r="BE103" s="99">
        <v>5.37</v>
      </c>
      <c r="BF103" s="99">
        <v>5.64</v>
      </c>
      <c r="BG103" s="99">
        <v>7.01</v>
      </c>
      <c r="BH103" s="99">
        <v>7.01</v>
      </c>
      <c r="BI103" s="99">
        <v>6.49</v>
      </c>
      <c r="BJ103" s="99">
        <v>3.67</v>
      </c>
      <c r="BK103" s="99">
        <v>3.47</v>
      </c>
      <c r="BL103" s="99">
        <v>3.49</v>
      </c>
      <c r="BM103" s="98">
        <f t="shared" si="42"/>
        <v>1.1954022988505748</v>
      </c>
      <c r="BN103" s="99">
        <f t="shared" si="43"/>
        <v>1.6879795396419435</v>
      </c>
      <c r="BO103" s="99">
        <f t="shared" si="44"/>
        <v>4.3604651162790695</v>
      </c>
      <c r="BP103" s="99">
        <f t="shared" si="45"/>
        <v>4.3604651162790695</v>
      </c>
      <c r="BQ103" s="99">
        <f t="shared" si="46"/>
        <v>2.8050713153724249</v>
      </c>
      <c r="BR103" s="99">
        <f t="shared" si="47"/>
        <v>3.3519553072625698</v>
      </c>
      <c r="BS103" s="99">
        <f t="shared" si="48"/>
        <v>3.3519553072625698</v>
      </c>
      <c r="BT103" s="99">
        <f t="shared" si="49"/>
        <v>3.2624113475177303</v>
      </c>
      <c r="BU103" s="99">
        <f t="shared" si="50"/>
        <v>3.1383737517831669</v>
      </c>
      <c r="BV103" s="99">
        <f t="shared" si="51"/>
        <v>3.1383737517831669</v>
      </c>
      <c r="BW103" s="99">
        <f t="shared" si="52"/>
        <v>3.3281972265023114</v>
      </c>
      <c r="BX103" s="99">
        <f t="shared" si="53"/>
        <v>3.3787465940054497</v>
      </c>
      <c r="BY103" s="99">
        <f t="shared" si="54"/>
        <v>1.1527377521613833</v>
      </c>
      <c r="BZ103" s="99">
        <f t="shared" si="55"/>
        <v>1.2893982808022921</v>
      </c>
      <c r="CA103" s="18" t="e">
        <f>VLOOKUP(A103,'Bouvier-GEMTA'!A:C,4,FALSE)</f>
        <v>#N/A</v>
      </c>
      <c r="CB103" s="18">
        <f>VLOOKUP(A103,'Martemyanov-FreeGβγ-Nluc'!A:BG,4,FALSE)</f>
        <v>1320</v>
      </c>
    </row>
    <row r="104" spans="1:80" ht="18">
      <c r="A104" s="12" t="s">
        <v>50</v>
      </c>
      <c r="B104" s="13" t="s">
        <v>2621</v>
      </c>
      <c r="C104" s="9" t="str">
        <f>IF(VLOOKUP($A104,'I-Ligands'!$A:$G,5,FALSE)="","",VLOOKUP($A104,'I-Ligands'!$A:$G,5,FALSE))</f>
        <v>Guide to Pharmacology</v>
      </c>
      <c r="D104" s="9">
        <f>IF(VLOOKUP($A104,'I-Ligands'!$A:$G,6,FALSE)="","",VLOOKUP($A104,'I-Ligands'!$A:$G,6,FALSE))</f>
        <v>616</v>
      </c>
      <c r="E104" s="9" t="str">
        <f>IF(VLOOKUP($A104,'I-Ligands'!$A:$G,7,FALSE)="","",VLOOKUP($A104,'I-Ligands'!$A:$G,7,FALSE))</f>
        <v>Phys</v>
      </c>
      <c r="F104" s="7" cm="1">
        <f t="array" ref="F104">_xlfn.IFS(T104=0,0,T104&gt;0,(LOG(0.01*T104/10^-AH104)))</f>
        <v>9.3573658565927342</v>
      </c>
      <c r="G104" s="8" cm="1">
        <f t="array" ref="G104">_xlfn.IFS(U104=0,0,U104&gt;0,(LOG(0.01*U104/10^-AI104)))</f>
        <v>9.2801360549737595</v>
      </c>
      <c r="H104" s="8" cm="1">
        <f t="array" ref="H104">_xlfn.IFS(V104=0,0,V104&gt;0,(LOG(0.01*V104/10^-AJ104)))</f>
        <v>9.2102283530550952</v>
      </c>
      <c r="I104" s="8" cm="1">
        <f t="array" ref="I104">_xlfn.IFS(W104=0,0,W104&gt;0,(LOG(0.01*W104/10^-AK104)))</f>
        <v>9.2102283530550952</v>
      </c>
      <c r="J104" s="8" cm="1">
        <f t="array" ref="J104">_xlfn.IFS(X104=0,0,X104&gt;0,(LOG(0.01*X104/10^-AL104)))</f>
        <v>9.395187844927662</v>
      </c>
      <c r="K104" s="8" cm="1">
        <f t="array" ref="K104">_xlfn.IFS(Y104=0,0,Y104&gt;0,(LOG(0.01*Y104/10^-AM104)))</f>
        <v>9.1434810853944111</v>
      </c>
      <c r="L104" s="8" cm="1">
        <f t="array" ref="L104">_xlfn.IFS(Z104=0,0,Z104&gt;0,(LOG(0.01*Z104/10^-AN104)))</f>
        <v>9.1434810853944111</v>
      </c>
      <c r="M104" s="8" cm="1">
        <f t="array" ref="M104">_xlfn.IFS(AA104=0,0,AA104&gt;0,(LOG(0.01*AA104/10^-AO104)))</f>
        <v>9.1999331233312933</v>
      </c>
      <c r="N104" s="8" cm="1">
        <f t="array" ref="N104">_xlfn.IFS(AB104=0,0,AB104&gt;0,(LOG(0.01*AB104/10^-AP104)))</f>
        <v>9.9420633629117088</v>
      </c>
      <c r="O104" s="8" cm="1">
        <f t="array" ref="O104">_xlfn.IFS(AC104=0,0,AC104&gt;0,(LOG(0.01*AC104/10^-AQ104)))</f>
        <v>9.9420633629117088</v>
      </c>
      <c r="P104" s="8" cm="1">
        <f t="array" ref="P104">_xlfn.IFS(AD104=0,0,AD104&gt;0,(LOG(0.01*AD104/10^-AR104)))</f>
        <v>9.7487085705331662</v>
      </c>
      <c r="Q104" s="8" cm="1">
        <f t="array" ref="Q104">_xlfn.IFS(AE104=0,0,AE104&gt;0,(LOG(0.01*AE104/10^-AS104)))</f>
        <v>8.3774960379132146</v>
      </c>
      <c r="R104" s="8" cm="1">
        <f t="array" ref="R104">_xlfn.IFS(AF104=0,0,AF104&gt;0,(LOG(0.01*AF104/10^-AT104)))</f>
        <v>9.5934684555795879</v>
      </c>
      <c r="S104" s="8" cm="1">
        <f t="array" ref="S104">_xlfn.IFS(AG104=0,0,AG104&gt;0,(LOG(0.01*AG104/10^-AU104)))</f>
        <v>9.7442820958356684</v>
      </c>
      <c r="T104" s="16">
        <v>42.4</v>
      </c>
      <c r="U104" s="17">
        <v>41.7</v>
      </c>
      <c r="V104" s="17">
        <v>35.5</v>
      </c>
      <c r="W104" s="17">
        <v>35.5</v>
      </c>
      <c r="X104" s="17">
        <v>37.6</v>
      </c>
      <c r="Y104" s="17">
        <v>36.6</v>
      </c>
      <c r="Z104" s="17">
        <v>36.6</v>
      </c>
      <c r="AA104" s="17">
        <v>25.7</v>
      </c>
      <c r="AB104" s="17">
        <v>38.200000000000003</v>
      </c>
      <c r="AC104" s="17">
        <v>38.200000000000003</v>
      </c>
      <c r="AD104" s="17">
        <v>36.200000000000003</v>
      </c>
      <c r="AE104" s="17">
        <v>20.3</v>
      </c>
      <c r="AF104" s="17">
        <v>43</v>
      </c>
      <c r="AG104" s="17">
        <v>42.1</v>
      </c>
      <c r="AH104" s="14">
        <v>9.73</v>
      </c>
      <c r="AI104" s="15">
        <v>9.66</v>
      </c>
      <c r="AJ104" s="15">
        <v>9.66</v>
      </c>
      <c r="AK104" s="15">
        <v>9.66</v>
      </c>
      <c r="AL104" s="15">
        <v>9.82</v>
      </c>
      <c r="AM104" s="15">
        <v>9.58</v>
      </c>
      <c r="AN104" s="15">
        <v>9.58</v>
      </c>
      <c r="AO104" s="15">
        <v>9.7899999999999991</v>
      </c>
      <c r="AP104" s="15">
        <v>10.36</v>
      </c>
      <c r="AQ104" s="15">
        <v>10.36</v>
      </c>
      <c r="AR104" s="15">
        <v>10.19</v>
      </c>
      <c r="AS104" s="15">
        <v>9.07</v>
      </c>
      <c r="AT104" s="15">
        <v>9.9600000000000009</v>
      </c>
      <c r="AU104" s="15">
        <v>10.119999999999999</v>
      </c>
      <c r="AW104" s="186" t="str">
        <f>IF(VLOOKUP($A104,'I-Ligands'!$A:$G,3,FALSE)="","",VLOOKUP($A104,'I-Ligands'!$A:$G,3,FALSE))</f>
        <v>Bombesin</v>
      </c>
      <c r="AX104" s="187" t="str">
        <f>IF(VLOOKUP($A104,'I-Ligands'!$A:$G,4,FALSE)="","",VLOOKUP($A104,'I-Ligands'!$A:$G,4,FALSE))</f>
        <v>Pyr-QRLGNQWAVGHLM-NH2</v>
      </c>
      <c r="AY104" s="98">
        <v>6.65</v>
      </c>
      <c r="AZ104" s="99">
        <v>6.38</v>
      </c>
      <c r="BA104" s="99">
        <v>10.050000000000001</v>
      </c>
      <c r="BB104" s="99">
        <v>10.050000000000001</v>
      </c>
      <c r="BC104" s="99">
        <v>8.76</v>
      </c>
      <c r="BD104" s="99">
        <v>6.47</v>
      </c>
      <c r="BE104" s="99">
        <v>6.47</v>
      </c>
      <c r="BF104" s="99">
        <v>8.19</v>
      </c>
      <c r="BG104" s="99">
        <v>12.09</v>
      </c>
      <c r="BH104" s="99">
        <v>12.09</v>
      </c>
      <c r="BI104" s="99">
        <v>12.73</v>
      </c>
      <c r="BJ104" s="99">
        <v>8.3000000000000007</v>
      </c>
      <c r="BK104" s="99">
        <v>6.8</v>
      </c>
      <c r="BL104" s="99">
        <v>6.22</v>
      </c>
      <c r="BM104" s="98">
        <f t="shared" si="42"/>
        <v>6.3759398496240598</v>
      </c>
      <c r="BN104" s="99">
        <f t="shared" si="43"/>
        <v>6.5360501567398126</v>
      </c>
      <c r="BO104" s="99">
        <f t="shared" si="44"/>
        <v>3.5323383084577111</v>
      </c>
      <c r="BP104" s="99">
        <f t="shared" si="45"/>
        <v>3.5323383084577111</v>
      </c>
      <c r="BQ104" s="99">
        <f t="shared" si="46"/>
        <v>4.2922374429223744</v>
      </c>
      <c r="BR104" s="99">
        <f t="shared" si="47"/>
        <v>5.6568778979907268</v>
      </c>
      <c r="BS104" s="99">
        <f t="shared" si="48"/>
        <v>5.6568778979907268</v>
      </c>
      <c r="BT104" s="99">
        <f t="shared" si="49"/>
        <v>3.1379731379731379</v>
      </c>
      <c r="BU104" s="99">
        <f t="shared" si="50"/>
        <v>3.1596360628618694</v>
      </c>
      <c r="BV104" s="99">
        <f t="shared" si="51"/>
        <v>3.1596360628618694</v>
      </c>
      <c r="BW104" s="99">
        <f t="shared" si="52"/>
        <v>2.8436763550667714</v>
      </c>
      <c r="BX104" s="99">
        <f t="shared" si="53"/>
        <v>2.4457831325301203</v>
      </c>
      <c r="BY104" s="99">
        <f t="shared" si="54"/>
        <v>6.3235294117647056</v>
      </c>
      <c r="BZ104" s="99">
        <f t="shared" si="55"/>
        <v>6.7684887459807079</v>
      </c>
      <c r="CA104" s="18" t="e">
        <f>VLOOKUP(A104,'Bouvier-GEMTA'!A:C,4,FALSE)</f>
        <v>#N/A</v>
      </c>
      <c r="CB104" s="18">
        <f>VLOOKUP(A104,'Martemyanov-FreeGβγ-Nluc'!A:BG,4,FALSE)</f>
        <v>612</v>
      </c>
    </row>
    <row r="105" spans="1:80" ht="18">
      <c r="A105" s="12" t="s">
        <v>202</v>
      </c>
      <c r="B105" s="13" t="s">
        <v>2659</v>
      </c>
      <c r="C105" s="9" t="str">
        <f>IF(VLOOKUP($A105,'I-Ligands'!$A:$G,5,FALSE)="","",VLOOKUP($A105,'I-Ligands'!$A:$G,5,FALSE))</f>
        <v>Guide to Pharmacology</v>
      </c>
      <c r="D105" s="9">
        <f>IF(VLOOKUP($A105,'I-Ligands'!$A:$G,6,FALSE)="","",VLOOKUP($A105,'I-Ligands'!$A:$G,6,FALSE))</f>
        <v>1881</v>
      </c>
      <c r="E105" s="9" t="str">
        <f>IF(VLOOKUP($A105,'I-Ligands'!$A:$G,7,FALSE)="","",VLOOKUP($A105,'I-Ligands'!$A:$G,7,FALSE))</f>
        <v>Phys</v>
      </c>
      <c r="F105" s="7" cm="1">
        <f t="array" ref="F105">_xlfn.IFS(T105=0,0,T105&gt;0,(LOG(0.01*T105/10^-AH105)))</f>
        <v>7.3820633629117092</v>
      </c>
      <c r="G105" s="8" cm="1">
        <f t="array" ref="G105">_xlfn.IFS(U105=0,0,U105&gt;0,(LOG(0.01*U105/10^-AI105)))</f>
        <v>7.2274917998372263</v>
      </c>
      <c r="H105" s="8" cm="1">
        <f t="array" ref="H105">_xlfn.IFS(V105=0,0,V105&gt;0,(LOG(0.01*V105/10^-AJ105)))</f>
        <v>0</v>
      </c>
      <c r="I105" s="8" cm="1">
        <f t="array" ref="I105">_xlfn.IFS(W105=0,0,W105&gt;0,(LOG(0.01*W105/10^-AK105)))</f>
        <v>0</v>
      </c>
      <c r="J105" s="8" cm="1">
        <f t="array" ref="J105">_xlfn.IFS(X105=0,0,X105&gt;0,(LOG(0.01*X105/10^-AL105)))</f>
        <v>0</v>
      </c>
      <c r="K105" s="8" cm="1">
        <f t="array" ref="K105">_xlfn.IFS(Y105=0,0,Y105&gt;0,(LOG(0.01*Y105/10^-AM105)))</f>
        <v>0</v>
      </c>
      <c r="L105" s="8" cm="1">
        <f t="array" ref="L105">_xlfn.IFS(Z105=0,0,Z105&gt;0,(LOG(0.01*Z105/10^-AN105)))</f>
        <v>0</v>
      </c>
      <c r="M105" s="8" cm="1">
        <f t="array" ref="M105">_xlfn.IFS(AA105=0,0,AA105&gt;0,(LOG(0.01*AA105/10^-AO105)))</f>
        <v>0</v>
      </c>
      <c r="N105" s="8" cm="1">
        <f t="array" ref="N105">_xlfn.IFS(AB105=0,0,AB105&gt;0,(LOG(0.01*AB105/10^-AP105)))</f>
        <v>6.0632997640812532</v>
      </c>
      <c r="O105" s="8" cm="1">
        <f t="array" ref="O105">_xlfn.IFS(AC105=0,0,AC105&gt;0,(LOG(0.01*AC105/10^-AQ105)))</f>
        <v>6.0632997640812532</v>
      </c>
      <c r="P105" s="8" cm="1">
        <f t="array" ref="P105">_xlfn.IFS(AD105=0,0,AD105&gt;0,(LOG(0.01*AD105/10^-AR105)))</f>
        <v>5.3374960379132137</v>
      </c>
      <c r="Q105" s="8" cm="1">
        <f t="array" ref="Q105">_xlfn.IFS(AE105=0,0,AE105&gt;0,(LOG(0.01*AE105/10^-AS105)))</f>
        <v>0</v>
      </c>
      <c r="R105" s="8" cm="1">
        <f t="array" ref="R105">_xlfn.IFS(AF105=0,0,AF105&gt;0,(LOG(0.01*AF105/10^-AT105)))</f>
        <v>4.7014789170422562</v>
      </c>
      <c r="S105" s="8" cm="1">
        <f t="array" ref="S105">_xlfn.IFS(AG105=0,0,AG105&gt;0,(LOG(0.01*AG105/10^-AU105)))</f>
        <v>4.8141578492636805</v>
      </c>
      <c r="T105" s="16">
        <v>38.200000000000003</v>
      </c>
      <c r="U105" s="17">
        <v>37.799999999999997</v>
      </c>
      <c r="AB105" s="17">
        <v>25.9</v>
      </c>
      <c r="AC105" s="17">
        <v>25.9</v>
      </c>
      <c r="AD105" s="17">
        <v>20.3</v>
      </c>
      <c r="AF105" s="17">
        <v>3.4</v>
      </c>
      <c r="AG105" s="17">
        <v>18.8</v>
      </c>
      <c r="AH105" s="14">
        <v>7.8</v>
      </c>
      <c r="AI105" s="15">
        <v>7.65</v>
      </c>
      <c r="AP105" s="15">
        <v>6.65</v>
      </c>
      <c r="AQ105" s="15">
        <v>6.65</v>
      </c>
      <c r="AR105" s="15">
        <v>6.03</v>
      </c>
      <c r="AT105" s="15">
        <v>6.17</v>
      </c>
      <c r="AU105" s="15">
        <v>5.54</v>
      </c>
      <c r="AW105" s="186" t="str">
        <f>IF(VLOOKUP($A105,'I-Ligands'!$A:$G,3,FALSE)="","",VLOOKUP($A105,'I-Ligands'!$A:$G,3,FALSE))</f>
        <v>Prostaglandin D2</v>
      </c>
      <c r="AX105" s="187" t="str">
        <f>IF(VLOOKUP($A105,'I-Ligands'!$A:$G,4,FALSE)="","",VLOOKUP($A105,'I-Ligands'!$A:$G,4,FALSE))</f>
        <v>Prostaglandin D2</v>
      </c>
      <c r="AY105" s="98">
        <v>6.15</v>
      </c>
      <c r="AZ105" s="99">
        <v>5.12</v>
      </c>
      <c r="BA105" s="99">
        <v>7.38</v>
      </c>
      <c r="BB105" s="99">
        <v>7.38</v>
      </c>
      <c r="BC105" s="99">
        <v>8.34</v>
      </c>
      <c r="BD105" s="99">
        <v>6.7</v>
      </c>
      <c r="BE105" s="99">
        <v>6.7</v>
      </c>
      <c r="BF105" s="99">
        <v>5.8</v>
      </c>
      <c r="BG105" s="99">
        <v>8.16</v>
      </c>
      <c r="BH105" s="99">
        <v>8.16</v>
      </c>
      <c r="BI105" s="99">
        <v>5.45</v>
      </c>
      <c r="BJ105" s="99">
        <v>3.77</v>
      </c>
      <c r="BK105" s="99">
        <v>2.2200000000000002</v>
      </c>
      <c r="BL105" s="99">
        <v>3.08</v>
      </c>
      <c r="BM105" s="98">
        <f t="shared" si="42"/>
        <v>6.2113821138211387</v>
      </c>
      <c r="BN105" s="99">
        <f t="shared" si="43"/>
        <v>7.3828124999999991</v>
      </c>
      <c r="BO105" s="99">
        <f t="shared" si="44"/>
        <v>0</v>
      </c>
      <c r="BP105" s="99">
        <f t="shared" si="45"/>
        <v>0</v>
      </c>
      <c r="BQ105" s="99">
        <f t="shared" si="46"/>
        <v>0</v>
      </c>
      <c r="BR105" s="99">
        <f t="shared" si="47"/>
        <v>0</v>
      </c>
      <c r="BS105" s="99">
        <f t="shared" si="48"/>
        <v>0</v>
      </c>
      <c r="BT105" s="99">
        <f t="shared" si="49"/>
        <v>0</v>
      </c>
      <c r="BU105" s="99">
        <f t="shared" si="50"/>
        <v>3.1740196078431371</v>
      </c>
      <c r="BV105" s="99">
        <f t="shared" si="51"/>
        <v>3.1740196078431371</v>
      </c>
      <c r="BW105" s="99">
        <f t="shared" si="52"/>
        <v>3.7247706422018347</v>
      </c>
      <c r="BX105" s="99">
        <f t="shared" si="53"/>
        <v>0</v>
      </c>
      <c r="BY105" s="99">
        <f t="shared" si="54"/>
        <v>1.5315315315315314</v>
      </c>
      <c r="BZ105" s="99">
        <f t="shared" si="55"/>
        <v>6.1038961038961039</v>
      </c>
      <c r="CA105" s="18" t="e">
        <f>VLOOKUP(A105,'Bouvier-GEMTA'!A:C,4,FALSE)</f>
        <v>#N/A</v>
      </c>
      <c r="CB105" s="18">
        <f>VLOOKUP(A105,'Martemyanov-FreeGβγ-Nluc'!A:BG,4,FALSE)</f>
        <v>1881</v>
      </c>
    </row>
    <row r="106" spans="1:80">
      <c r="A106" s="12" t="s">
        <v>142</v>
      </c>
      <c r="B106" s="13" t="s">
        <v>143</v>
      </c>
      <c r="C106" s="9" t="str">
        <f>IF(VLOOKUP($A106,'I-Ligands'!$A:$G,5,FALSE)="","",VLOOKUP($A106,'I-Ligands'!$A:$G,5,FALSE))</f>
        <v>Guide to Pharmacology</v>
      </c>
      <c r="D106" s="9">
        <f>IF(VLOOKUP($A106,'I-Ligands'!$A:$G,6,FALSE)="","",VLOOKUP($A106,'I-Ligands'!$A:$G,6,FALSE))</f>
        <v>1283</v>
      </c>
      <c r="E106" s="9" t="str">
        <f>IF(VLOOKUP($A106,'I-Ligands'!$A:$G,7,FALSE)="","",VLOOKUP($A106,'I-Ligands'!$A:$G,7,FALSE))</f>
        <v>Phys</v>
      </c>
      <c r="F106" s="7" cm="1">
        <f t="array" ref="F106">_xlfn.IFS(T106=0,0,T106&gt;0,(LOG(0.01*T106/10^-AH106)))</f>
        <v>7.1999496013257085</v>
      </c>
      <c r="G106" s="8" cm="1">
        <f t="array" ref="G106">_xlfn.IFS(U106=0,0,U106&gt;0,(LOG(0.01*U106/10^-AI106)))</f>
        <v>7.1158478186735188</v>
      </c>
      <c r="H106" s="8" cm="1">
        <f t="array" ref="H106">_xlfn.IFS(V106=0,0,V106&gt;0,(LOG(0.01*V106/10^-AJ106)))</f>
        <v>7.4338830266438753</v>
      </c>
      <c r="I106" s="8" cm="1">
        <f t="array" ref="I106">_xlfn.IFS(W106=0,0,W106&gt;0,(LOG(0.01*W106/10^-AK106)))</f>
        <v>7.4338830266438753</v>
      </c>
      <c r="J106" s="8" cm="1">
        <f t="array" ref="J106">_xlfn.IFS(X106=0,0,X106&gt;0,(LOG(0.01*X106/10^-AL106)))</f>
        <v>7.8576299008713395</v>
      </c>
      <c r="K106" s="8" cm="1">
        <f t="array" ref="K106">_xlfn.IFS(Y106=0,0,Y106&gt;0,(LOG(0.01*Y106/10^-AM106)))</f>
        <v>6.9478558716958325</v>
      </c>
      <c r="L106" s="8" cm="1">
        <f t="array" ref="L106">_xlfn.IFS(Z106=0,0,Z106&gt;0,(LOG(0.01*Z106/10^-AN106)))</f>
        <v>6.9478558716958325</v>
      </c>
      <c r="M106" s="8" cm="1">
        <f t="array" ref="M106">_xlfn.IFS(AA106=0,0,AA106&gt;0,(LOG(0.01*AA106/10^-AO106)))</f>
        <v>6.4422560713564776</v>
      </c>
      <c r="N106" s="8" cm="1">
        <f t="array" ref="N106">_xlfn.IFS(AB106=0,0,AB106&gt;0,(LOG(0.01*AB106/10^-AP106)))</f>
        <v>8.8855443375464489</v>
      </c>
      <c r="O106" s="8" cm="1">
        <f t="array" ref="O106">_xlfn.IFS(AC106=0,0,AC106&gt;0,(LOG(0.01*AC106/10^-AQ106)))</f>
        <v>8.8855443375464489</v>
      </c>
      <c r="P106" s="8" cm="1">
        <f t="array" ref="P106">_xlfn.IFS(AD106=0,0,AD106&gt;0,(LOG(0.01*AD106/10^-AR106)))</f>
        <v>8.7985507165004453</v>
      </c>
      <c r="Q106" s="8" cm="1">
        <f t="array" ref="Q106">_xlfn.IFS(AE106=0,0,AE106&gt;0,(LOG(0.01*AE106/10^-AS106)))</f>
        <v>6.2020170425748695</v>
      </c>
      <c r="R106" s="8" cm="1">
        <f t="array" ref="R106">_xlfn.IFS(AF106=0,0,AF106&gt;0,(LOG(0.01*AF106/10^-AT106)))</f>
        <v>7.0077747053878223</v>
      </c>
      <c r="S106" s="8" cm="1">
        <f t="array" ref="S106">_xlfn.IFS(AG106=0,0,AG106&gt;0,(LOG(0.01*AG106/10^-AU106)))</f>
        <v>6.6271212547196638</v>
      </c>
      <c r="T106" s="16">
        <v>38.9</v>
      </c>
      <c r="U106" s="17">
        <v>36.799999999999997</v>
      </c>
      <c r="V106" s="17">
        <v>35.799999999999997</v>
      </c>
      <c r="W106" s="17">
        <v>35.799999999999997</v>
      </c>
      <c r="X106" s="17">
        <v>33.700000000000003</v>
      </c>
      <c r="Y106" s="17">
        <v>32.200000000000003</v>
      </c>
      <c r="Z106" s="17">
        <v>32.200000000000003</v>
      </c>
      <c r="AA106" s="17">
        <v>19.600000000000001</v>
      </c>
      <c r="AB106" s="17">
        <v>31.3</v>
      </c>
      <c r="AC106" s="17">
        <v>31.3</v>
      </c>
      <c r="AD106" s="17">
        <v>30.8</v>
      </c>
      <c r="AE106" s="17">
        <v>24.1</v>
      </c>
      <c r="AF106" s="17">
        <v>35.299999999999997</v>
      </c>
      <c r="AG106" s="17">
        <v>30</v>
      </c>
      <c r="AH106" s="14">
        <v>7.61</v>
      </c>
      <c r="AI106" s="15">
        <v>7.55</v>
      </c>
      <c r="AJ106" s="15">
        <v>7.88</v>
      </c>
      <c r="AK106" s="15">
        <v>7.88</v>
      </c>
      <c r="AL106" s="15">
        <v>8.33</v>
      </c>
      <c r="AM106" s="15">
        <v>7.44</v>
      </c>
      <c r="AN106" s="15">
        <v>7.44</v>
      </c>
      <c r="AO106" s="15">
        <v>7.15</v>
      </c>
      <c r="AP106" s="15">
        <v>9.39</v>
      </c>
      <c r="AQ106" s="15">
        <v>9.39</v>
      </c>
      <c r="AR106" s="15">
        <v>9.31</v>
      </c>
      <c r="AS106" s="15">
        <v>6.82</v>
      </c>
      <c r="AT106" s="15">
        <v>7.46</v>
      </c>
      <c r="AU106" s="15">
        <v>7.15</v>
      </c>
      <c r="AW106" s="186" t="str">
        <f>IF(VLOOKUP($A106,'I-Ligands'!$A:$G,3,FALSE)="","",VLOOKUP($A106,'I-Ligands'!$A:$G,3,FALSE))</f>
        <v xml:space="preserve">Kisspeptin-10 </v>
      </c>
      <c r="AX106" s="187" t="str">
        <f>IF(VLOOKUP($A106,'I-Ligands'!$A:$G,4,FALSE)="","",VLOOKUP($A106,'I-Ligands'!$A:$G,4,FALSE))</f>
        <v>YNWNSFGLRF-NH2</v>
      </c>
      <c r="AY106" s="98">
        <v>6.13</v>
      </c>
      <c r="AZ106" s="99">
        <v>7.17</v>
      </c>
      <c r="BA106" s="99">
        <v>6.68</v>
      </c>
      <c r="BB106" s="99">
        <v>6.68</v>
      </c>
      <c r="BC106" s="99">
        <v>6.81</v>
      </c>
      <c r="BD106" s="99">
        <v>5.85</v>
      </c>
      <c r="BE106" s="99">
        <v>5.85</v>
      </c>
      <c r="BF106" s="99">
        <v>4.95</v>
      </c>
      <c r="BG106" s="99">
        <v>8.58</v>
      </c>
      <c r="BH106" s="99">
        <v>8.58</v>
      </c>
      <c r="BI106" s="99">
        <v>6.09</v>
      </c>
      <c r="BJ106" s="99">
        <v>5.99</v>
      </c>
      <c r="BK106" s="99">
        <v>4.99</v>
      </c>
      <c r="BL106" s="99">
        <v>4.8600000000000003</v>
      </c>
      <c r="BM106" s="98">
        <f t="shared" si="42"/>
        <v>6.3458401305057093</v>
      </c>
      <c r="BN106" s="99">
        <f t="shared" si="43"/>
        <v>5.1324965132496514</v>
      </c>
      <c r="BO106" s="99">
        <f t="shared" si="44"/>
        <v>5.3592814371257482</v>
      </c>
      <c r="BP106" s="99">
        <f t="shared" si="45"/>
        <v>5.3592814371257482</v>
      </c>
      <c r="BQ106" s="99">
        <f t="shared" si="46"/>
        <v>4.9486049926578568</v>
      </c>
      <c r="BR106" s="99">
        <f t="shared" si="47"/>
        <v>5.5042735042735051</v>
      </c>
      <c r="BS106" s="99">
        <f t="shared" si="48"/>
        <v>5.5042735042735051</v>
      </c>
      <c r="BT106" s="99">
        <f t="shared" si="49"/>
        <v>3.9595959595959598</v>
      </c>
      <c r="BU106" s="99">
        <f t="shared" si="50"/>
        <v>3.6480186480186481</v>
      </c>
      <c r="BV106" s="99">
        <f t="shared" si="51"/>
        <v>3.6480186480186481</v>
      </c>
      <c r="BW106" s="99">
        <f t="shared" si="52"/>
        <v>5.0574712643678161</v>
      </c>
      <c r="BX106" s="99">
        <f t="shared" si="53"/>
        <v>4.023372287145242</v>
      </c>
      <c r="BY106" s="99">
        <f t="shared" si="54"/>
        <v>7.0741482965931857</v>
      </c>
      <c r="BZ106" s="99">
        <f t="shared" si="55"/>
        <v>6.1728395061728394</v>
      </c>
      <c r="CA106" s="18" t="e">
        <f>VLOOKUP(A106,'Bouvier-GEMTA'!A:C,4,FALSE)</f>
        <v>#N/A</v>
      </c>
      <c r="CB106" s="18">
        <f>VLOOKUP(A106,'Martemyanov-FreeGβγ-Nluc'!A:BG,4,FALSE)</f>
        <v>1283</v>
      </c>
    </row>
    <row r="107" spans="1:80" ht="18">
      <c r="A107" s="12" t="s">
        <v>224</v>
      </c>
      <c r="B107" s="13" t="s">
        <v>2644</v>
      </c>
      <c r="C107" s="9" t="str">
        <f>IF(VLOOKUP($A107,'I-Ligands'!$A:$G,5,FALSE)="","",VLOOKUP($A107,'I-Ligands'!$A:$G,5,FALSE))</f>
        <v>Guide to Pharmacology</v>
      </c>
      <c r="D107" s="9">
        <f>IF(VLOOKUP($A107,'I-Ligands'!$A:$G,6,FALSE)="","",VLOOKUP($A107,'I-Ligands'!$A:$G,6,FALSE))</f>
        <v>2089</v>
      </c>
      <c r="E107" s="9" t="str">
        <f>IF(VLOOKUP($A107,'I-Ligands'!$A:$G,7,FALSE)="","",VLOOKUP($A107,'I-Ligands'!$A:$G,7,FALSE))</f>
        <v>Phys</v>
      </c>
      <c r="F107" s="7" cm="1">
        <f t="array" ref="F107">_xlfn.IFS(T107=0,0,T107&gt;0,(LOG(0.01*T107/10^-AH107)))</f>
        <v>7.5197835966168114</v>
      </c>
      <c r="G107" s="8" cm="1">
        <f t="array" ref="G107">_xlfn.IFS(U107=0,0,U107&gt;0,(LOG(0.01*U107/10^-AI107)))</f>
        <v>7.4215792439465824</v>
      </c>
      <c r="H107" s="8" cm="1">
        <f t="array" ref="H107">_xlfn.IFS(V107=0,0,V107&gt;0,(LOG(0.01*V107/10^-AJ107)))</f>
        <v>7.6375072019056587</v>
      </c>
      <c r="I107" s="8" cm="1">
        <f t="array" ref="I107">_xlfn.IFS(W107=0,0,W107&gt;0,(LOG(0.01*W107/10^-AK107)))</f>
        <v>7.6375072019056587</v>
      </c>
      <c r="J107" s="8" cm="1">
        <f t="array" ref="J107">_xlfn.IFS(X107=0,0,X107&gt;0,(LOG(0.01*X107/10^-AL107)))</f>
        <v>7.5424442335063206</v>
      </c>
      <c r="K107" s="8" cm="1">
        <f t="array" ref="K107">_xlfn.IFS(Y107=0,0,Y107&gt;0,(LOG(0.01*Y107/10^-AM107)))</f>
        <v>6.9009351071033809</v>
      </c>
      <c r="L107" s="8" cm="1">
        <f t="array" ref="L107">_xlfn.IFS(Z107=0,0,Z107&gt;0,(LOG(0.01*Z107/10^-AN107)))</f>
        <v>6.9009351071033809</v>
      </c>
      <c r="M107" s="8" cm="1">
        <f t="array" ref="M107">_xlfn.IFS(AA107=0,0,AA107&gt;0,(LOG(0.01*AA107/10^-AO107)))</f>
        <v>6.9204489213782745</v>
      </c>
      <c r="N107" s="8" cm="1">
        <f t="array" ref="N107">_xlfn.IFS(AB107=0,0,AB107&gt;0,(LOG(0.01*AB107/10^-AP107)))</f>
        <v>8.1526682161121933</v>
      </c>
      <c r="O107" s="8" cm="1">
        <f t="array" ref="O107">_xlfn.IFS(AC107=0,0,AC107&gt;0,(LOG(0.01*AC107/10^-AQ107)))</f>
        <v>8.1526682161121933</v>
      </c>
      <c r="P107" s="8" cm="1">
        <f t="array" ref="P107">_xlfn.IFS(AD107=0,0,AD107&gt;0,(LOG(0.01*AD107/10^-AR107)))</f>
        <v>8.1826682161121944</v>
      </c>
      <c r="Q107" s="8" cm="1">
        <f t="array" ref="Q107">_xlfn.IFS(AE107=0,0,AE107&gt;0,(LOG(0.01*AE107/10^-AS107)))</f>
        <v>6.8898354823398895</v>
      </c>
      <c r="R107" s="8" cm="1">
        <f t="array" ref="R107">_xlfn.IFS(AF107=0,0,AF107&gt;0,(LOG(0.01*AF107/10^-AT107)))</f>
        <v>7.3313616938342729</v>
      </c>
      <c r="S107" s="8" cm="1">
        <f t="array" ref="S107">_xlfn.IFS(AG107=0,0,AG107&gt;0,(LOG(0.01*AG107/10^-AU107)))</f>
        <v>7.6834810853944111</v>
      </c>
      <c r="T107" s="16">
        <v>38</v>
      </c>
      <c r="U107" s="17">
        <v>34.799999999999997</v>
      </c>
      <c r="V107" s="17">
        <v>36.1</v>
      </c>
      <c r="W107" s="17">
        <v>36.1</v>
      </c>
      <c r="X107" s="17">
        <v>33.299999999999997</v>
      </c>
      <c r="Y107" s="17">
        <v>24.6</v>
      </c>
      <c r="Z107" s="17">
        <v>24.6</v>
      </c>
      <c r="AA107" s="17">
        <v>17</v>
      </c>
      <c r="AB107" s="17">
        <v>35.700000000000003</v>
      </c>
      <c r="AC107" s="17">
        <v>35.700000000000003</v>
      </c>
      <c r="AD107" s="17">
        <v>35.700000000000003</v>
      </c>
      <c r="AE107" s="17">
        <v>22.9</v>
      </c>
      <c r="AF107" s="17">
        <v>31</v>
      </c>
      <c r="AG107" s="17">
        <v>36.6</v>
      </c>
      <c r="AH107" s="14">
        <v>7.94</v>
      </c>
      <c r="AI107" s="15">
        <v>7.88</v>
      </c>
      <c r="AJ107" s="15">
        <v>8.08</v>
      </c>
      <c r="AK107" s="15">
        <v>8.08</v>
      </c>
      <c r="AL107" s="15">
        <v>8.02</v>
      </c>
      <c r="AM107" s="15">
        <v>7.51</v>
      </c>
      <c r="AN107" s="15">
        <v>7.51</v>
      </c>
      <c r="AO107" s="15">
        <v>7.69</v>
      </c>
      <c r="AP107" s="15">
        <v>8.6</v>
      </c>
      <c r="AQ107" s="15">
        <v>8.6</v>
      </c>
      <c r="AR107" s="15">
        <v>8.6300000000000008</v>
      </c>
      <c r="AS107" s="15">
        <v>7.53</v>
      </c>
      <c r="AT107" s="15">
        <v>7.84</v>
      </c>
      <c r="AU107" s="15">
        <v>8.1199999999999992</v>
      </c>
      <c r="AW107" s="186" t="str">
        <f>IF(VLOOKUP($A107,'I-Ligands'!$A:$G,3,FALSE)="","",VLOOKUP($A107,'I-Ligands'!$A:$G,3,FALSE))</f>
        <v>Neurokinin A</v>
      </c>
      <c r="AX107" s="187" t="str">
        <f>IF(VLOOKUP($A107,'I-Ligands'!$A:$G,4,FALSE)="","",VLOOKUP($A107,'I-Ligands'!$A:$G,4,FALSE))</f>
        <v>HKTDSFVGLM-NH2</v>
      </c>
      <c r="AY107" s="98">
        <v>6.42</v>
      </c>
      <c r="AZ107" s="99">
        <v>4.9400000000000004</v>
      </c>
      <c r="BA107" s="99">
        <v>5.86</v>
      </c>
      <c r="BB107" s="99">
        <v>5.86</v>
      </c>
      <c r="BC107" s="99">
        <v>5.99</v>
      </c>
      <c r="BD107" s="99">
        <v>4.87</v>
      </c>
      <c r="BE107" s="99">
        <v>4.87</v>
      </c>
      <c r="BF107" s="99">
        <v>3.26</v>
      </c>
      <c r="BG107" s="99">
        <v>9.5299999999999994</v>
      </c>
      <c r="BH107" s="99">
        <v>9.5299999999999994</v>
      </c>
      <c r="BI107" s="99">
        <v>11.13</v>
      </c>
      <c r="BJ107" s="99">
        <v>4.2300000000000004</v>
      </c>
      <c r="BK107" s="99">
        <v>6.95</v>
      </c>
      <c r="BL107" s="99">
        <v>4.4000000000000004</v>
      </c>
      <c r="BM107" s="98">
        <f t="shared" si="42"/>
        <v>5.9190031152647977</v>
      </c>
      <c r="BN107" s="99">
        <f t="shared" si="43"/>
        <v>7.0445344129554641</v>
      </c>
      <c r="BO107" s="99">
        <f t="shared" si="44"/>
        <v>6.1604095563139927</v>
      </c>
      <c r="BP107" s="99">
        <f t="shared" si="45"/>
        <v>6.1604095563139927</v>
      </c>
      <c r="BQ107" s="99">
        <f t="shared" si="46"/>
        <v>5.5592654424040058</v>
      </c>
      <c r="BR107" s="99">
        <f t="shared" si="47"/>
        <v>5.0513347022587274</v>
      </c>
      <c r="BS107" s="99">
        <f t="shared" si="48"/>
        <v>5.0513347022587274</v>
      </c>
      <c r="BT107" s="99">
        <f t="shared" si="49"/>
        <v>5.2147239263803682</v>
      </c>
      <c r="BU107" s="99">
        <f t="shared" si="50"/>
        <v>3.7460650577124874</v>
      </c>
      <c r="BV107" s="99">
        <f t="shared" si="51"/>
        <v>3.7460650577124874</v>
      </c>
      <c r="BW107" s="99">
        <f t="shared" si="52"/>
        <v>3.2075471698113209</v>
      </c>
      <c r="BX107" s="99">
        <f t="shared" si="53"/>
        <v>5.413711583924349</v>
      </c>
      <c r="BY107" s="99">
        <f t="shared" si="54"/>
        <v>4.4604316546762588</v>
      </c>
      <c r="BZ107" s="99">
        <f t="shared" si="55"/>
        <v>8.3181818181818183</v>
      </c>
      <c r="CA107" s="18" t="e">
        <f>VLOOKUP(A107,'Bouvier-GEMTA'!A:C,4,FALSE)</f>
        <v>#N/A</v>
      </c>
      <c r="CB107" s="18">
        <f>VLOOKUP(A107,'Martemyanov-FreeGβγ-Nluc'!A:BG,4,FALSE)</f>
        <v>2090</v>
      </c>
    </row>
    <row r="108" spans="1:80" ht="18">
      <c r="A108" s="12" t="s">
        <v>35</v>
      </c>
      <c r="B108" s="13" t="s">
        <v>2593</v>
      </c>
      <c r="C108" s="9" t="str">
        <f>IF(VLOOKUP($A108,'I-Ligands'!$A:$G,5,FALSE)="","",VLOOKUP($A108,'I-Ligands'!$A:$G,5,FALSE))</f>
        <v>Guide to Pharmacology</v>
      </c>
      <c r="D108" s="9">
        <f>IF(VLOOKUP($A108,'I-Ligands'!$A:$G,6,FALSE)="","",VLOOKUP($A108,'I-Ligands'!$A:$G,6,FALSE))</f>
        <v>505</v>
      </c>
      <c r="E108" s="9" t="str">
        <f>IF(VLOOKUP($A108,'I-Ligands'!$A:$G,7,FALSE)="","",VLOOKUP($A108,'I-Ligands'!$A:$G,7,FALSE))</f>
        <v>Phys</v>
      </c>
      <c r="F108" s="7" cm="1">
        <f t="array" ref="F108">_xlfn.IFS(T108=0,0,T108&gt;0,(LOG(0.01*T108/10^-AH108)))</f>
        <v>7.4155809910179533</v>
      </c>
      <c r="G108" s="8" cm="1">
        <f t="array" ref="G108">_xlfn.IFS(U108=0,0,U108&gt;0,(LOG(0.01*U108/10^-AI108)))</f>
        <v>7.1180113966571126</v>
      </c>
      <c r="H108" s="8" cm="1">
        <f t="array" ref="H108">_xlfn.IFS(V108=0,0,V108&gt;0,(LOG(0.01*V108/10^-AJ108)))</f>
        <v>5.3517278360175933</v>
      </c>
      <c r="I108" s="8" cm="1">
        <f t="array" ref="I108">_xlfn.IFS(W108=0,0,W108&gt;0,(LOG(0.01*W108/10^-AK108)))</f>
        <v>5.3517278360175933</v>
      </c>
      <c r="J108" s="8" cm="1">
        <f t="array" ref="J108">_xlfn.IFS(X108=0,0,X108&gt;0,(LOG(0.01*X108/10^-AL108)))</f>
        <v>5.2729961103921541</v>
      </c>
      <c r="K108" s="8" cm="1">
        <f t="array" ref="K108">_xlfn.IFS(Y108=0,0,Y108&gt;0,(LOG(0.01*Y108/10^-AM108)))</f>
        <v>5.1679732663618063</v>
      </c>
      <c r="L108" s="8" cm="1">
        <f t="array" ref="L108">_xlfn.IFS(Z108=0,0,Z108&gt;0,(LOG(0.01*Z108/10^-AN108)))</f>
        <v>5.1679732663618063</v>
      </c>
      <c r="M108" s="8" cm="1">
        <f t="array" ref="M108">_xlfn.IFS(AA108=0,0,AA108&gt;0,(LOG(0.01*AA108/10^-AO108)))</f>
        <v>5.2048438480476982</v>
      </c>
      <c r="N108" s="8" cm="1">
        <f t="array" ref="N108">_xlfn.IFS(AB108=0,0,AB108&gt;0,(LOG(0.01*AB108/10^-AP108)))</f>
        <v>7.0717233080073418</v>
      </c>
      <c r="O108" s="8" cm="1">
        <f t="array" ref="O108">_xlfn.IFS(AC108=0,0,AC108&gt;0,(LOG(0.01*AC108/10^-AQ108)))</f>
        <v>7.0717233080073418</v>
      </c>
      <c r="P108" s="8" cm="1">
        <f t="array" ref="P108">_xlfn.IFS(AD108=0,0,AD108&gt;0,(LOG(0.01*AD108/10^-AR108)))</f>
        <v>7.2177109650189122</v>
      </c>
      <c r="Q108" s="8" cm="1">
        <f t="array" ref="Q108">_xlfn.IFS(AE108=0,0,AE108&gt;0,(LOG(0.01*AE108/10^-AS108)))</f>
        <v>5.451619705963231</v>
      </c>
      <c r="R108" s="8" cm="1">
        <f t="array" ref="R108">_xlfn.IFS(AF108=0,0,AF108&gt;0,(LOG(0.01*AF108/10^-AT108)))</f>
        <v>5.0243213737826427</v>
      </c>
      <c r="S108" s="8" cm="1">
        <f t="array" ref="S108">_xlfn.IFS(AG108=0,0,AG108&gt;0,(LOG(0.01*AG108/10^-AU108)))</f>
        <v>5.6216197059632309</v>
      </c>
      <c r="T108" s="16">
        <v>46.3</v>
      </c>
      <c r="U108" s="17">
        <v>45.5</v>
      </c>
      <c r="V108" s="17">
        <v>23</v>
      </c>
      <c r="W108" s="17">
        <v>23</v>
      </c>
      <c r="X108" s="17">
        <v>17.100000000000001</v>
      </c>
      <c r="Y108" s="17">
        <v>17.7</v>
      </c>
      <c r="Z108" s="17">
        <v>17.7</v>
      </c>
      <c r="AA108" s="17">
        <v>16.399999999999999</v>
      </c>
      <c r="AB108" s="17">
        <v>40.9</v>
      </c>
      <c r="AC108" s="17">
        <v>40.9</v>
      </c>
      <c r="AD108" s="17">
        <v>38.700000000000003</v>
      </c>
      <c r="AE108" s="17">
        <v>25.8</v>
      </c>
      <c r="AF108" s="17">
        <v>10.1</v>
      </c>
      <c r="AG108" s="17">
        <v>25.8</v>
      </c>
      <c r="AH108" s="14">
        <v>7.75</v>
      </c>
      <c r="AI108" s="15">
        <v>7.46</v>
      </c>
      <c r="AJ108" s="15">
        <v>5.99</v>
      </c>
      <c r="AK108" s="15">
        <v>5.99</v>
      </c>
      <c r="AL108" s="15">
        <v>6.04</v>
      </c>
      <c r="AM108" s="15">
        <v>5.92</v>
      </c>
      <c r="AN108" s="15">
        <v>5.92</v>
      </c>
      <c r="AO108" s="15">
        <v>5.99</v>
      </c>
      <c r="AP108" s="15">
        <v>7.46</v>
      </c>
      <c r="AQ108" s="15">
        <v>7.46</v>
      </c>
      <c r="AR108" s="15">
        <v>7.63</v>
      </c>
      <c r="AS108" s="15">
        <v>6.04</v>
      </c>
      <c r="AT108" s="15">
        <v>6.02</v>
      </c>
      <c r="AU108" s="15">
        <v>6.21</v>
      </c>
      <c r="AW108" s="186" t="str">
        <f>IF(VLOOKUP($A108,'I-Ligands'!$A:$G,3,FALSE)="","",VLOOKUP($A108,'I-Ligands'!$A:$G,3,FALSE))</f>
        <v>Norepinephrine</v>
      </c>
      <c r="AX108" s="187" t="str">
        <f>IF(VLOOKUP($A108,'I-Ligands'!$A:$G,4,FALSE)="","",VLOOKUP($A108,'I-Ligands'!$A:$G,4,FALSE))</f>
        <v>L-(−)-Norepinephrine (+)-bitartrate salt monohydrate</v>
      </c>
      <c r="AY108" s="98">
        <v>3.72</v>
      </c>
      <c r="AZ108" s="99">
        <v>4.28</v>
      </c>
      <c r="BA108" s="99">
        <v>4.9800000000000004</v>
      </c>
      <c r="BB108" s="99">
        <v>4.9800000000000004</v>
      </c>
      <c r="BC108" s="99">
        <v>6.67</v>
      </c>
      <c r="BD108" s="99">
        <v>5.22</v>
      </c>
      <c r="BE108" s="99">
        <v>5.22</v>
      </c>
      <c r="BF108" s="99">
        <v>7.62</v>
      </c>
      <c r="BG108" s="99">
        <v>9.1</v>
      </c>
      <c r="BH108" s="99">
        <v>9.1</v>
      </c>
      <c r="BI108" s="99">
        <v>8.75</v>
      </c>
      <c r="BJ108" s="99">
        <v>5.44</v>
      </c>
      <c r="BK108" s="99">
        <v>6.25</v>
      </c>
      <c r="BL108" s="99">
        <v>8.42</v>
      </c>
      <c r="BM108" s="98">
        <f t="shared" si="42"/>
        <v>12.446236559139784</v>
      </c>
      <c r="BN108" s="99">
        <f t="shared" si="43"/>
        <v>10.630841121495326</v>
      </c>
      <c r="BO108" s="99">
        <f t="shared" si="44"/>
        <v>4.618473895582329</v>
      </c>
      <c r="BP108" s="99">
        <f t="shared" si="45"/>
        <v>4.618473895582329</v>
      </c>
      <c r="BQ108" s="99">
        <f t="shared" si="46"/>
        <v>2.5637181409295353</v>
      </c>
      <c r="BR108" s="99">
        <f t="shared" si="47"/>
        <v>3.3908045977011496</v>
      </c>
      <c r="BS108" s="99">
        <f t="shared" si="48"/>
        <v>3.3908045977011496</v>
      </c>
      <c r="BT108" s="99">
        <f t="shared" si="49"/>
        <v>2.1522309711286085</v>
      </c>
      <c r="BU108" s="99">
        <f t="shared" si="50"/>
        <v>4.4945054945054945</v>
      </c>
      <c r="BV108" s="99">
        <f t="shared" si="51"/>
        <v>4.4945054945054945</v>
      </c>
      <c r="BW108" s="99">
        <f t="shared" si="52"/>
        <v>4.4228571428571435</v>
      </c>
      <c r="BX108" s="99">
        <f t="shared" si="53"/>
        <v>4.742647058823529</v>
      </c>
      <c r="BY108" s="99">
        <f t="shared" si="54"/>
        <v>1.6159999999999999</v>
      </c>
      <c r="BZ108" s="99">
        <f t="shared" si="55"/>
        <v>3.0641330166270784</v>
      </c>
      <c r="CA108" s="18" t="e">
        <f>VLOOKUP(A108,'Bouvier-GEMTA'!A:C,4,FALSE)</f>
        <v>#N/A</v>
      </c>
      <c r="CB108" s="18">
        <f>VLOOKUP(A108,'Martemyanov-FreeGβγ-Nluc'!A:BG,4,FALSE)</f>
        <v>509</v>
      </c>
    </row>
    <row r="109" spans="1:80" ht="18">
      <c r="A109" s="12" t="s">
        <v>223</v>
      </c>
      <c r="B109" s="13" t="s">
        <v>2643</v>
      </c>
      <c r="C109" s="9" t="str">
        <f>IF(VLOOKUP($A109,'I-Ligands'!$A:$G,5,FALSE)="","",VLOOKUP($A109,'I-Ligands'!$A:$G,5,FALSE))</f>
        <v>Guide to Pharmacology</v>
      </c>
      <c r="D109" s="9">
        <f>IF(VLOOKUP($A109,'I-Ligands'!$A:$G,6,FALSE)="","",VLOOKUP($A109,'I-Ligands'!$A:$G,6,FALSE))</f>
        <v>2090</v>
      </c>
      <c r="E109" s="9" t="str">
        <f>IF(VLOOKUP($A109,'I-Ligands'!$A:$G,7,FALSE)="","",VLOOKUP($A109,'I-Ligands'!$A:$G,7,FALSE))</f>
        <v>Phys</v>
      </c>
      <c r="F109" s="7" cm="1">
        <f t="array" ref="F109">_xlfn.IFS(T109=0,0,T109&gt;0,(LOG(0.01*T109/10^-AH109)))</f>
        <v>8.0856042032735989</v>
      </c>
      <c r="G109" s="8" cm="1">
        <f t="array" ref="G109">_xlfn.IFS(U109=0,0,U109&gt;0,(LOG(0.01*U109/10^-AI109)))</f>
        <v>8.1049733479708195</v>
      </c>
      <c r="H109" s="8" cm="1">
        <f t="array" ref="H109">_xlfn.IFS(V109=0,0,V109&gt;0,(LOG(0.01*V109/10^-AJ109)))</f>
        <v>8.8937464668115638</v>
      </c>
      <c r="I109" s="8" cm="1">
        <f t="array" ref="I109">_xlfn.IFS(W109=0,0,W109&gt;0,(LOG(0.01*W109/10^-AK109)))</f>
        <v>8.8937464668115638</v>
      </c>
      <c r="J109" s="8" cm="1">
        <f t="array" ref="J109">_xlfn.IFS(X109=0,0,X109&gt;0,(LOG(0.01*X109/10^-AL109)))</f>
        <v>8.966511261364575</v>
      </c>
      <c r="K109" s="8" cm="1">
        <f t="array" ref="K109">_xlfn.IFS(Y109=0,0,Y109&gt;0,(LOG(0.01*Y109/10^-AM109)))</f>
        <v>8.2697522800024093</v>
      </c>
      <c r="L109" s="8" cm="1">
        <f t="array" ref="L109">_xlfn.IFS(Z109=0,0,Z109&gt;0,(LOG(0.01*Z109/10^-AN109)))</f>
        <v>8.2697522800024093</v>
      </c>
      <c r="M109" s="8" cm="1">
        <f t="array" ref="M109">_xlfn.IFS(AA109=0,0,AA109&gt;0,(LOG(0.01*AA109/10^-AO109)))</f>
        <v>8.2410299956639808</v>
      </c>
      <c r="N109" s="8" cm="1">
        <f t="array" ref="N109">_xlfn.IFS(AB109=0,0,AB109&gt;0,(LOG(0.01*AB109/10^-AP109)))</f>
        <v>9.509202522331103</v>
      </c>
      <c r="O109" s="8" cm="1">
        <f t="array" ref="O109">_xlfn.IFS(AC109=0,0,AC109&gt;0,(LOG(0.01*AC109/10^-AQ109)))</f>
        <v>9.509202522331103</v>
      </c>
      <c r="P109" s="8" cm="1">
        <f t="array" ref="P109">_xlfn.IFS(AD109=0,0,AD109&gt;0,(LOG(0.01*AD109/10^-AR109)))</f>
        <v>9.4971383754771868</v>
      </c>
      <c r="Q109" s="8" cm="1">
        <f t="array" ref="Q109">_xlfn.IFS(AE109=0,0,AE109&gt;0,(LOG(0.01*AE109/10^-AS109)))</f>
        <v>7.9454879848909012</v>
      </c>
      <c r="R109" s="8" cm="1">
        <f t="array" ref="R109">_xlfn.IFS(AF109=0,0,AF109&gt;0,(LOG(0.01*AF109/10^-AT109)))</f>
        <v>8.3857214264815809</v>
      </c>
      <c r="S109" s="8" cm="1">
        <f t="array" ref="S109">_xlfn.IFS(AG109=0,0,AG109&gt;0,(LOG(0.01*AG109/10^-AU109)))</f>
        <v>8.2732997640812513</v>
      </c>
      <c r="T109" s="16">
        <v>27.9</v>
      </c>
      <c r="U109" s="17">
        <v>26</v>
      </c>
      <c r="V109" s="17">
        <v>33.4</v>
      </c>
      <c r="W109" s="17">
        <v>33.4</v>
      </c>
      <c r="X109" s="17">
        <v>26.7</v>
      </c>
      <c r="Y109" s="17">
        <v>26.9</v>
      </c>
      <c r="Z109" s="17">
        <v>26.9</v>
      </c>
      <c r="AA109" s="17">
        <v>20</v>
      </c>
      <c r="AB109" s="17">
        <v>32.299999999999997</v>
      </c>
      <c r="AC109" s="17">
        <v>32.299999999999997</v>
      </c>
      <c r="AD109" s="17">
        <v>30.7</v>
      </c>
      <c r="AE109" s="17">
        <v>23.2</v>
      </c>
      <c r="AF109" s="17">
        <v>30.6</v>
      </c>
      <c r="AG109" s="17">
        <v>25.9</v>
      </c>
      <c r="AH109" s="14">
        <v>8.64</v>
      </c>
      <c r="AI109" s="15">
        <v>8.69</v>
      </c>
      <c r="AJ109" s="15">
        <v>9.3699999999999992</v>
      </c>
      <c r="AK109" s="15">
        <v>9.3699999999999992</v>
      </c>
      <c r="AL109" s="15">
        <v>9.5399999999999991</v>
      </c>
      <c r="AM109" s="15">
        <v>8.84</v>
      </c>
      <c r="AN109" s="15">
        <v>8.84</v>
      </c>
      <c r="AO109" s="15">
        <v>8.94</v>
      </c>
      <c r="AP109" s="15">
        <v>10</v>
      </c>
      <c r="AQ109" s="15">
        <v>10</v>
      </c>
      <c r="AR109" s="15">
        <v>10.01</v>
      </c>
      <c r="AS109" s="15">
        <v>8.58</v>
      </c>
      <c r="AT109" s="15">
        <v>8.9</v>
      </c>
      <c r="AU109" s="15">
        <v>8.86</v>
      </c>
      <c r="AW109" s="186" t="str">
        <f>IF(VLOOKUP($A109,'I-Ligands'!$A:$G,3,FALSE)="","",VLOOKUP($A109,'I-Ligands'!$A:$G,3,FALSE))</f>
        <v>Neurokinin B</v>
      </c>
      <c r="AX109" s="187" t="str">
        <f>IF(VLOOKUP($A109,'I-Ligands'!$A:$G,4,FALSE)="","",VLOOKUP($A109,'I-Ligands'!$A:$G,4,FALSE))</f>
        <v>DMHDFFVGLM-NH2</v>
      </c>
      <c r="AY109" s="98">
        <v>6.66</v>
      </c>
      <c r="AZ109" s="99">
        <v>4.83</v>
      </c>
      <c r="BA109" s="99">
        <v>5.38</v>
      </c>
      <c r="BB109" s="99">
        <v>5.38</v>
      </c>
      <c r="BC109" s="99">
        <v>4.9000000000000004</v>
      </c>
      <c r="BD109" s="99">
        <v>4.55</v>
      </c>
      <c r="BE109" s="99">
        <v>4.55</v>
      </c>
      <c r="BF109" s="99">
        <v>2.74</v>
      </c>
      <c r="BG109" s="99">
        <v>6.92</v>
      </c>
      <c r="BH109" s="99">
        <v>6.92</v>
      </c>
      <c r="BI109" s="99">
        <v>9.2100000000000009</v>
      </c>
      <c r="BJ109" s="99">
        <v>3.8</v>
      </c>
      <c r="BK109" s="99">
        <v>5.33</v>
      </c>
      <c r="BL109" s="99">
        <v>5.46</v>
      </c>
      <c r="BM109" s="98">
        <f t="shared" si="42"/>
        <v>4.1891891891891886</v>
      </c>
      <c r="BN109" s="99">
        <f t="shared" si="43"/>
        <v>5.383022774327122</v>
      </c>
      <c r="BO109" s="99">
        <f t="shared" si="44"/>
        <v>6.2081784386617098</v>
      </c>
      <c r="BP109" s="99">
        <f t="shared" si="45"/>
        <v>6.2081784386617098</v>
      </c>
      <c r="BQ109" s="99">
        <f t="shared" si="46"/>
        <v>5.4489795918367339</v>
      </c>
      <c r="BR109" s="99">
        <f t="shared" si="47"/>
        <v>5.9120879120879124</v>
      </c>
      <c r="BS109" s="99">
        <f t="shared" si="48"/>
        <v>5.9120879120879124</v>
      </c>
      <c r="BT109" s="99">
        <f t="shared" si="49"/>
        <v>7.2992700729926998</v>
      </c>
      <c r="BU109" s="99">
        <f t="shared" si="50"/>
        <v>4.6676300578034677</v>
      </c>
      <c r="BV109" s="99">
        <f t="shared" si="51"/>
        <v>4.6676300578034677</v>
      </c>
      <c r="BW109" s="99">
        <f t="shared" si="52"/>
        <v>3.333333333333333</v>
      </c>
      <c r="BX109" s="99">
        <f t="shared" si="53"/>
        <v>6.1052631578947372</v>
      </c>
      <c r="BY109" s="99">
        <f t="shared" si="54"/>
        <v>5.7410881801125706</v>
      </c>
      <c r="BZ109" s="99">
        <f t="shared" si="55"/>
        <v>4.7435897435897436</v>
      </c>
      <c r="CA109" s="18" t="e">
        <f>VLOOKUP(A109,'Bouvier-GEMTA'!A:C,4,FALSE)</f>
        <v>#N/A</v>
      </c>
      <c r="CB109" s="18">
        <f>VLOOKUP(A109,'Martemyanov-FreeGβγ-Nluc'!A:BG,4,FALSE)</f>
        <v>2089</v>
      </c>
    </row>
    <row r="110" spans="1:80">
      <c r="A110" s="12" t="s">
        <v>188</v>
      </c>
      <c r="B110" s="13" t="s">
        <v>189</v>
      </c>
      <c r="C110" s="9" t="str">
        <f>IF(VLOOKUP($A110,'I-Ligands'!$A:$G,5,FALSE)="","",VLOOKUP($A110,'I-Ligands'!$A:$G,5,FALSE))</f>
        <v>Guide to Pharmacology</v>
      </c>
      <c r="D110" s="9">
        <f>IF(VLOOKUP($A110,'I-Ligands'!$A:$G,6,FALSE)="","",VLOOKUP($A110,'I-Ligands'!$A:$G,6,FALSE))</f>
        <v>3636</v>
      </c>
      <c r="E110" s="9" t="str">
        <f>IF(VLOOKUP($A110,'I-Ligands'!$A:$G,7,FALSE)="","",VLOOKUP($A110,'I-Ligands'!$A:$G,7,FALSE))</f>
        <v>Phys</v>
      </c>
      <c r="F110" s="7" cm="1">
        <f t="array" ref="F110">_xlfn.IFS(T110=0,0,T110&gt;0,(LOG(0.01*T110/10^-AH110)))</f>
        <v>3.3704489213782738</v>
      </c>
      <c r="G110" s="8" cm="1">
        <f t="array" ref="G110">_xlfn.IFS(U110=0,0,U110&gt;0,(LOG(0.01*U110/10^-AI110)))</f>
        <v>3.2021876044039583</v>
      </c>
      <c r="H110" s="8" cm="1">
        <f t="array" ref="H110">_xlfn.IFS(V110=0,0,V110&gt;0,(LOG(0.01*V110/10^-AJ110)))</f>
        <v>3.5217538610557546</v>
      </c>
      <c r="I110" s="8" cm="1">
        <f t="array" ref="I110">_xlfn.IFS(W110=0,0,W110&gt;0,(LOG(0.01*W110/10^-AK110)))</f>
        <v>3.5217538610557546</v>
      </c>
      <c r="J110" s="8" cm="1">
        <f t="array" ref="J110">_xlfn.IFS(X110=0,0,X110&gt;0,(LOG(0.01*X110/10^-AL110)))</f>
        <v>3.6344579892269193</v>
      </c>
      <c r="K110" s="8" cm="1">
        <f t="array" ref="K110">_xlfn.IFS(Y110=0,0,Y110&gt;0,(LOG(0.01*Y110/10^-AM110)))</f>
        <v>3.4724384599156051</v>
      </c>
      <c r="L110" s="8" cm="1">
        <f t="array" ref="L110">_xlfn.IFS(Z110=0,0,Z110&gt;0,(LOG(0.01*Z110/10^-AN110)))</f>
        <v>3.4724384599156051</v>
      </c>
      <c r="M110" s="8" cm="1">
        <f t="array" ref="M110">_xlfn.IFS(AA110=0,0,AA110&gt;0,(LOG(0.01*AA110/10^-AO110)))</f>
        <v>3.5034237554869496</v>
      </c>
      <c r="N110" s="8" cm="1">
        <f t="array" ref="N110">_xlfn.IFS(AB110=0,0,AB110&gt;0,(LOG(0.01*AB110/10^-AP110)))</f>
        <v>3.9792317197309774</v>
      </c>
      <c r="O110" s="8" cm="1">
        <f t="array" ref="O110">_xlfn.IFS(AC110=0,0,AC110&gt;0,(LOG(0.01*AC110/10^-AQ110)))</f>
        <v>3.9792317197309774</v>
      </c>
      <c r="P110" s="8" cm="1">
        <f t="array" ref="P110">_xlfn.IFS(AD110=0,0,AD110&gt;0,(LOG(0.01*AD110/10^-AR110)))</f>
        <v>3.8497835966168101</v>
      </c>
      <c r="Q110" s="8" cm="1">
        <f t="array" ref="Q110">_xlfn.IFS(AE110=0,0,AE110&gt;0,(LOG(0.01*AE110/10^-AS110)))</f>
        <v>0</v>
      </c>
      <c r="R110" s="8" cm="1">
        <f t="array" ref="R110">_xlfn.IFS(AF110=0,0,AF110&gt;0,(LOG(0.01*AF110/10^-AT110)))</f>
        <v>0</v>
      </c>
      <c r="S110" s="8" cm="1">
        <f t="array" ref="S110">_xlfn.IFS(AG110=0,0,AG110&gt;0,(LOG(0.01*AG110/10^-AU110)))</f>
        <v>0</v>
      </c>
      <c r="T110" s="16">
        <v>17</v>
      </c>
      <c r="U110" s="17">
        <v>16.3</v>
      </c>
      <c r="V110" s="17">
        <v>20.5</v>
      </c>
      <c r="W110" s="17">
        <v>20.5</v>
      </c>
      <c r="X110" s="17">
        <v>11.6</v>
      </c>
      <c r="Y110" s="17">
        <v>21.5</v>
      </c>
      <c r="Z110" s="17">
        <v>21.5</v>
      </c>
      <c r="AA110" s="17">
        <v>10.8</v>
      </c>
      <c r="AB110" s="17">
        <v>7.4</v>
      </c>
      <c r="AC110" s="17">
        <v>7.4</v>
      </c>
      <c r="AD110" s="17">
        <v>3.8</v>
      </c>
      <c r="AH110" s="14">
        <v>4.1399999999999997</v>
      </c>
      <c r="AI110" s="15">
        <v>3.99</v>
      </c>
      <c r="AJ110" s="15">
        <v>4.21</v>
      </c>
      <c r="AK110" s="15">
        <v>4.21</v>
      </c>
      <c r="AL110" s="15">
        <v>4.57</v>
      </c>
      <c r="AM110" s="15">
        <v>4.1399999999999997</v>
      </c>
      <c r="AN110" s="15">
        <v>4.1399999999999997</v>
      </c>
      <c r="AO110" s="15">
        <v>4.47</v>
      </c>
      <c r="AP110" s="15">
        <v>5.1100000000000003</v>
      </c>
      <c r="AQ110" s="15">
        <v>5.1100000000000003</v>
      </c>
      <c r="AR110" s="15">
        <v>5.27</v>
      </c>
      <c r="AW110" s="186" t="str">
        <f>IF(VLOOKUP($A110,'I-Ligands'!$A:$G,3,FALSE)="","",VLOOKUP($A110,'I-Ligands'!$A:$G,3,FALSE))</f>
        <v>2-oxo-glutaric acid</v>
      </c>
      <c r="AX110" s="187" t="str">
        <f>IF(VLOOKUP($A110,'I-Ligands'!$A:$G,4,FALSE)="","",VLOOKUP($A110,'I-Ligands'!$A:$G,4,FALSE))</f>
        <v>2-Oxoglutaric Acid</v>
      </c>
      <c r="AY110" s="98">
        <v>1.56</v>
      </c>
      <c r="AZ110" s="99">
        <v>1.36</v>
      </c>
      <c r="BA110" s="99">
        <v>1.72</v>
      </c>
      <c r="BB110" s="99">
        <v>1.72</v>
      </c>
      <c r="BC110" s="99">
        <v>2.5</v>
      </c>
      <c r="BD110" s="99">
        <v>1.72</v>
      </c>
      <c r="BE110" s="99">
        <v>1.72</v>
      </c>
      <c r="BF110" s="99">
        <v>1.76</v>
      </c>
      <c r="BG110" s="99">
        <v>1.57</v>
      </c>
      <c r="BH110" s="99">
        <v>1.57</v>
      </c>
      <c r="BI110" s="99">
        <v>2.84</v>
      </c>
      <c r="BJ110" s="99">
        <v>3.5</v>
      </c>
      <c r="BK110" s="99">
        <v>1.91</v>
      </c>
      <c r="BL110" s="99">
        <v>2.86</v>
      </c>
      <c r="BM110" s="98">
        <f t="shared" si="42"/>
        <v>10.897435897435898</v>
      </c>
      <c r="BN110" s="99">
        <f t="shared" si="43"/>
        <v>11.985294117647058</v>
      </c>
      <c r="BO110" s="99">
        <f t="shared" si="44"/>
        <v>11.918604651162791</v>
      </c>
      <c r="BP110" s="99">
        <f t="shared" si="45"/>
        <v>11.918604651162791</v>
      </c>
      <c r="BQ110" s="99">
        <f t="shared" si="46"/>
        <v>4.6399999999999997</v>
      </c>
      <c r="BR110" s="99">
        <f t="shared" si="47"/>
        <v>12.5</v>
      </c>
      <c r="BS110" s="99">
        <f t="shared" si="48"/>
        <v>12.5</v>
      </c>
      <c r="BT110" s="99">
        <f t="shared" si="49"/>
        <v>6.1363636363636367</v>
      </c>
      <c r="BU110" s="99">
        <f t="shared" si="50"/>
        <v>4.7133757961783438</v>
      </c>
      <c r="BV110" s="99">
        <f t="shared" si="51"/>
        <v>4.7133757961783438</v>
      </c>
      <c r="BW110" s="99">
        <f t="shared" si="52"/>
        <v>1.3380281690140845</v>
      </c>
      <c r="BX110" s="99">
        <f t="shared" si="53"/>
        <v>0</v>
      </c>
      <c r="BY110" s="99">
        <f t="shared" si="54"/>
        <v>0</v>
      </c>
      <c r="BZ110" s="99">
        <f t="shared" si="55"/>
        <v>0</v>
      </c>
      <c r="CA110" s="18" t="e">
        <f>VLOOKUP(A110,'Bouvier-GEMTA'!A:C,4,FALSE)</f>
        <v>#N/A</v>
      </c>
      <c r="CB110" s="18">
        <f>VLOOKUP(A110,'Martemyanov-FreeGβγ-Nluc'!A:BG,4,FALSE)</f>
        <v>3636</v>
      </c>
    </row>
    <row r="111" spans="1:80" ht="18">
      <c r="A111" s="12" t="s">
        <v>186</v>
      </c>
      <c r="B111" s="13" t="s">
        <v>2647</v>
      </c>
      <c r="C111" s="9" t="str">
        <f>IF(VLOOKUP($A111,'I-Ligands'!$A:$G,5,FALSE)="","",VLOOKUP($A111,'I-Ligands'!$A:$G,5,FALSE))</f>
        <v>Guide to Pharmacology</v>
      </c>
      <c r="D111" s="9">
        <f>IF(VLOOKUP($A111,'I-Ligands'!$A:$G,6,FALSE)="","",VLOOKUP($A111,'I-Ligands'!$A:$G,6,FALSE))</f>
        <v>1697</v>
      </c>
      <c r="E111" s="9" t="str">
        <f>IF(VLOOKUP($A111,'I-Ligands'!$A:$G,7,FALSE)="","",VLOOKUP($A111,'I-Ligands'!$A:$G,7,FALSE))</f>
        <v>Phys</v>
      </c>
      <c r="F111" s="7" cm="1">
        <f t="array" ref="F111">_xlfn.IFS(T111=0,0,T111&gt;0,(LOG(0.01*T111/10^-AH111)))</f>
        <v>7.7914437690131733</v>
      </c>
      <c r="G111" s="8" cm="1">
        <f t="array" ref="G111">_xlfn.IFS(U111=0,0,U111&gt;0,(LOG(0.01*U111/10^-AI111)))</f>
        <v>7.811723308007342</v>
      </c>
      <c r="H111" s="8" cm="1">
        <f t="array" ref="H111">_xlfn.IFS(V111=0,0,V111&gt;0,(LOG(0.01*V111/10^-AJ111)))</f>
        <v>8.8603294747908752</v>
      </c>
      <c r="I111" s="8" cm="1">
        <f t="array" ref="I111">_xlfn.IFS(W111=0,0,W111&gt;0,(LOG(0.01*W111/10^-AK111)))</f>
        <v>8.8603294747908752</v>
      </c>
      <c r="J111" s="8" cm="1">
        <f t="array" ref="J111">_xlfn.IFS(X111=0,0,X111&gt;0,(LOG(0.01*X111/10^-AL111)))</f>
        <v>8.7895129442179165</v>
      </c>
      <c r="K111" s="8" cm="1">
        <f t="array" ref="K111">_xlfn.IFS(Y111=0,0,Y111&gt;0,(LOG(0.01*Y111/10^-AM111)))</f>
        <v>8.2832860670204589</v>
      </c>
      <c r="L111" s="8" cm="1">
        <f t="array" ref="L111">_xlfn.IFS(Z111=0,0,Z111&gt;0,(LOG(0.01*Z111/10^-AN111)))</f>
        <v>8.2832860670204589</v>
      </c>
      <c r="M111" s="8" cm="1">
        <f t="array" ref="M111">_xlfn.IFS(AA111=0,0,AA111&gt;0,(LOG(0.01*AA111/10^-AO111)))</f>
        <v>8.7224226808222074</v>
      </c>
      <c r="N111" s="8" cm="1">
        <f t="array" ref="N111">_xlfn.IFS(AB111=0,0,AB111&gt;0,(LOG(0.01*AB111/10^-AP111)))</f>
        <v>8.8777747053878233</v>
      </c>
      <c r="O111" s="8" cm="1">
        <f t="array" ref="O111">_xlfn.IFS(AC111=0,0,AC111&gt;0,(LOG(0.01*AC111/10^-AQ111)))</f>
        <v>8.8777747053878233</v>
      </c>
      <c r="P111" s="8" cm="1">
        <f t="array" ref="P111">_xlfn.IFS(AD111=0,0,AD111&gt;0,(LOG(0.01*AD111/10^-AR111)))</f>
        <v>9.1169296480732154</v>
      </c>
      <c r="Q111" s="8" cm="1">
        <f t="array" ref="Q111">_xlfn.IFS(AE111=0,0,AE111&gt;0,(LOG(0.01*AE111/10^-AS111)))</f>
        <v>9.047801729930228</v>
      </c>
      <c r="R111" s="8" cm="1">
        <f t="array" ref="R111">_xlfn.IFS(AF111=0,0,AF111&gt;0,(LOG(0.01*AF111/10^-AT111)))</f>
        <v>9.0627543789924978</v>
      </c>
      <c r="S111" s="8" cm="1">
        <f t="array" ref="S111">_xlfn.IFS(AG111=0,0,AG111&gt;0,(LOG(0.01*AG111/10^-AU111)))</f>
        <v>8.9558738437116805</v>
      </c>
      <c r="T111" s="16">
        <v>42.8</v>
      </c>
      <c r="U111" s="17">
        <v>40.9</v>
      </c>
      <c r="V111" s="17">
        <v>34.700000000000003</v>
      </c>
      <c r="W111" s="17">
        <v>34.700000000000003</v>
      </c>
      <c r="X111" s="17">
        <v>18.600000000000001</v>
      </c>
      <c r="Y111" s="17">
        <v>39.200000000000003</v>
      </c>
      <c r="Z111" s="17">
        <v>39.200000000000003</v>
      </c>
      <c r="AA111" s="17">
        <v>22</v>
      </c>
      <c r="AB111" s="17">
        <v>35.299999999999997</v>
      </c>
      <c r="AC111" s="17">
        <v>35.299999999999997</v>
      </c>
      <c r="AD111" s="17">
        <v>31.4</v>
      </c>
      <c r="AE111" s="17">
        <v>19.399999999999999</v>
      </c>
      <c r="AF111" s="17">
        <v>34.1</v>
      </c>
      <c r="AG111" s="17">
        <v>32.799999999999997</v>
      </c>
      <c r="AH111" s="14">
        <v>8.16</v>
      </c>
      <c r="AI111" s="15">
        <v>8.1999999999999993</v>
      </c>
      <c r="AJ111" s="15">
        <v>9.32</v>
      </c>
      <c r="AK111" s="15">
        <v>9.32</v>
      </c>
      <c r="AL111" s="15">
        <v>9.52</v>
      </c>
      <c r="AM111" s="15">
        <v>8.69</v>
      </c>
      <c r="AN111" s="15">
        <v>8.69</v>
      </c>
      <c r="AO111" s="15">
        <v>9.3800000000000008</v>
      </c>
      <c r="AP111" s="15">
        <v>9.33</v>
      </c>
      <c r="AQ111" s="15">
        <v>9.33</v>
      </c>
      <c r="AR111" s="15">
        <v>9.6199999999999992</v>
      </c>
      <c r="AS111" s="15">
        <v>9.76</v>
      </c>
      <c r="AT111" s="15">
        <v>9.5299999999999994</v>
      </c>
      <c r="AU111" s="15">
        <v>9.44</v>
      </c>
      <c r="AW111" s="186" t="str">
        <f>IF(VLOOKUP($A111,'I-Ligands'!$A:$G,3,FALSE)="","",VLOOKUP($A111,'I-Ligands'!$A:$G,3,FALSE))</f>
        <v>Orexin-A</v>
      </c>
      <c r="AX111" s="187" t="str">
        <f>IF(VLOOKUP($A111,'I-Ligands'!$A:$G,4,FALSE)="","",VLOOKUP($A111,'I-Ligands'!$A:$G,4,FALSE))</f>
        <v>Pyr-PLPDCCRQKTCSCRLYELLHGAGNHAAGILTL-NH2</v>
      </c>
      <c r="AY111" s="98">
        <v>7.39</v>
      </c>
      <c r="AZ111" s="99">
        <v>4.99</v>
      </c>
      <c r="BA111" s="99">
        <v>4.9400000000000004</v>
      </c>
      <c r="BB111" s="99">
        <v>4.9400000000000004</v>
      </c>
      <c r="BC111" s="99">
        <v>4.6100000000000003</v>
      </c>
      <c r="BD111" s="99">
        <v>6.4</v>
      </c>
      <c r="BE111" s="99">
        <v>6.4</v>
      </c>
      <c r="BF111" s="99">
        <v>4.22</v>
      </c>
      <c r="BG111" s="99">
        <v>7.04</v>
      </c>
      <c r="BH111" s="99">
        <v>7.04</v>
      </c>
      <c r="BI111" s="99">
        <v>3.55</v>
      </c>
      <c r="BJ111" s="99">
        <v>4.5599999999999996</v>
      </c>
      <c r="BK111" s="99">
        <v>4.6399999999999997</v>
      </c>
      <c r="BL111" s="99">
        <v>4.8899999999999997</v>
      </c>
      <c r="BM111" s="98">
        <f t="shared" si="42"/>
        <v>5.7916102841677946</v>
      </c>
      <c r="BN111" s="99">
        <f t="shared" si="43"/>
        <v>8.1963927855711418</v>
      </c>
      <c r="BO111" s="99">
        <f t="shared" si="44"/>
        <v>7.0242914979757085</v>
      </c>
      <c r="BP111" s="99">
        <f t="shared" si="45"/>
        <v>7.0242914979757085</v>
      </c>
      <c r="BQ111" s="99">
        <f t="shared" si="46"/>
        <v>4.0347071583514102</v>
      </c>
      <c r="BR111" s="99">
        <f t="shared" si="47"/>
        <v>6.125</v>
      </c>
      <c r="BS111" s="99">
        <f t="shared" si="48"/>
        <v>6.125</v>
      </c>
      <c r="BT111" s="99">
        <f t="shared" si="49"/>
        <v>5.2132701421800949</v>
      </c>
      <c r="BU111" s="99">
        <f t="shared" si="50"/>
        <v>5.014204545454545</v>
      </c>
      <c r="BV111" s="99">
        <f t="shared" si="51"/>
        <v>5.014204545454545</v>
      </c>
      <c r="BW111" s="99">
        <f t="shared" si="52"/>
        <v>8.8450704225352119</v>
      </c>
      <c r="BX111" s="99">
        <f t="shared" si="53"/>
        <v>4.2543859649122808</v>
      </c>
      <c r="BY111" s="99">
        <f t="shared" si="54"/>
        <v>7.349137931034484</v>
      </c>
      <c r="BZ111" s="99">
        <f t="shared" si="55"/>
        <v>6.7075664621676889</v>
      </c>
      <c r="CA111" s="18" t="e">
        <f>VLOOKUP(A111,'Bouvier-GEMTA'!A:C,4,FALSE)</f>
        <v>#N/A</v>
      </c>
      <c r="CB111" s="18">
        <f>VLOOKUP(A111,'Martemyanov-FreeGβγ-Nluc'!A:BG,4,FALSE)</f>
        <v>1697</v>
      </c>
    </row>
    <row r="112" spans="1:80" ht="18">
      <c r="A112" s="12" t="s">
        <v>123</v>
      </c>
      <c r="B112" s="13" t="s">
        <v>2617</v>
      </c>
      <c r="C112" s="9" t="str">
        <f>IF(VLOOKUP($A112,'I-Ligands'!$A:$G,5,FALSE)="","",VLOOKUP($A112,'I-Ligands'!$A:$G,5,FALSE))</f>
        <v>Guide to Pharmacology</v>
      </c>
      <c r="D112" s="9">
        <f>IF(VLOOKUP($A112,'I-Ligands'!$A:$G,6,FALSE)="","",VLOOKUP($A112,'I-Ligands'!$A:$G,6,FALSE))</f>
        <v>3592</v>
      </c>
      <c r="E112" s="9" t="str">
        <f>IF(VLOOKUP($A112,'I-Ligands'!$A:$G,7,FALSE)="","",VLOOKUP($A112,'I-Ligands'!$A:$G,7,FALSE))</f>
        <v>Phys</v>
      </c>
      <c r="F112" s="7" cm="1">
        <f t="array" ref="F112">_xlfn.IFS(T112=0,0,T112&gt;0,(LOG(0.01*T112/10^-AH112)))</f>
        <v>0</v>
      </c>
      <c r="G112" s="8" cm="1">
        <f t="array" ref="G112">_xlfn.IFS(U112=0,0,U112&gt;0,(LOG(0.01*U112/10^-AI112)))</f>
        <v>0</v>
      </c>
      <c r="H112" s="8" cm="1">
        <f t="array" ref="H112">_xlfn.IFS(V112=0,0,V112&gt;0,(LOG(0.01*V112/10^-AJ112)))</f>
        <v>7.2764597338485304</v>
      </c>
      <c r="I112" s="8" cm="1">
        <f t="array" ref="I112">_xlfn.IFS(W112=0,0,W112&gt;0,(LOG(0.01*W112/10^-AK112)))</f>
        <v>7.2764597338485304</v>
      </c>
      <c r="J112" s="8" cm="1">
        <f t="array" ref="J112">_xlfn.IFS(X112=0,0,X112&gt;0,(LOG(0.01*X112/10^-AL112)))</f>
        <v>7.9144516808262164</v>
      </c>
      <c r="K112" s="8" cm="1">
        <f t="array" ref="K112">_xlfn.IFS(Y112=0,0,Y112&gt;0,(LOG(0.01*Y112/10^-AM112)))</f>
        <v>7.0846914308175997</v>
      </c>
      <c r="L112" s="8" cm="1">
        <f t="array" ref="L112">_xlfn.IFS(Z112=0,0,Z112&gt;0,(LOG(0.01*Z112/10^-AN112)))</f>
        <v>7.0846914308175997</v>
      </c>
      <c r="M112" s="8" cm="1">
        <f t="array" ref="M112">_xlfn.IFS(AA112=0,0,AA112&gt;0,(LOG(0.01*AA112/10^-AO112)))</f>
        <v>6.0493405494535821</v>
      </c>
      <c r="N112" s="8" cm="1">
        <f t="array" ref="N112">_xlfn.IFS(AB112=0,0,AB112&gt;0,(LOG(0.01*AB112/10^-AP112)))</f>
        <v>8.1396737214810386</v>
      </c>
      <c r="O112" s="8" cm="1">
        <f t="array" ref="O112">_xlfn.IFS(AC112=0,0,AC112&gt;0,(LOG(0.01*AC112/10^-AQ112)))</f>
        <v>8.1396737214810386</v>
      </c>
      <c r="P112" s="8" cm="1">
        <f t="array" ref="P112">_xlfn.IFS(AD112=0,0,AD112&gt;0,(LOG(0.01*AD112/10^-AR112)))</f>
        <v>7.7936119798921446</v>
      </c>
      <c r="Q112" s="8" cm="1">
        <f t="array" ref="Q112">_xlfn.IFS(AE112=0,0,AE112&gt;0,(LOG(0.01*AE112/10^-AS112)))</f>
        <v>7.2744662261615938</v>
      </c>
      <c r="R112" s="8" cm="1">
        <f t="array" ref="R112">_xlfn.IFS(AF112=0,0,AF112&gt;0,(LOG(0.01*AF112/10^-AT112)))</f>
        <v>7.8077505628203889</v>
      </c>
      <c r="S112" s="8" cm="1">
        <f t="array" ref="S112">_xlfn.IFS(AG112=0,0,AG112&gt;0,(LOG(0.01*AG112/10^-AU112)))</f>
        <v>7.3318416065364991</v>
      </c>
      <c r="V112" s="17">
        <v>21.7</v>
      </c>
      <c r="W112" s="17">
        <v>21.7</v>
      </c>
      <c r="X112" s="17">
        <v>24.8</v>
      </c>
      <c r="Y112" s="17">
        <v>15.3</v>
      </c>
      <c r="Z112" s="17">
        <v>15.3</v>
      </c>
      <c r="AA112" s="17">
        <v>6.3</v>
      </c>
      <c r="AB112" s="17">
        <v>25.1</v>
      </c>
      <c r="AC112" s="17">
        <v>25.1</v>
      </c>
      <c r="AD112" s="17">
        <v>23.1</v>
      </c>
      <c r="AE112" s="17">
        <v>19.7</v>
      </c>
      <c r="AF112" s="17">
        <v>27.4</v>
      </c>
      <c r="AG112" s="17">
        <v>18.7</v>
      </c>
      <c r="AJ112" s="15">
        <v>7.94</v>
      </c>
      <c r="AK112" s="15">
        <v>7.94</v>
      </c>
      <c r="AL112" s="15">
        <v>8.52</v>
      </c>
      <c r="AM112" s="15">
        <v>7.9</v>
      </c>
      <c r="AN112" s="15">
        <v>7.9</v>
      </c>
      <c r="AO112" s="15">
        <v>7.25</v>
      </c>
      <c r="AP112" s="15">
        <v>8.74</v>
      </c>
      <c r="AQ112" s="15">
        <v>8.74</v>
      </c>
      <c r="AR112" s="15">
        <v>8.43</v>
      </c>
      <c r="AS112" s="15">
        <v>7.98</v>
      </c>
      <c r="AT112" s="15">
        <v>8.3699999999999992</v>
      </c>
      <c r="AU112" s="15">
        <v>8.06</v>
      </c>
      <c r="AW112" s="186" t="str">
        <f>IF(VLOOKUP($A112,'I-Ligands'!$A:$G,3,FALSE)="","",VLOOKUP($A112,'I-Ligands'!$A:$G,3,FALSE))</f>
        <v>Galanin</v>
      </c>
      <c r="AX112" s="187" t="str">
        <f>IF(VLOOKUP($A112,'I-Ligands'!$A:$G,4,FALSE)="","",VLOOKUP($A112,'I-Ligands'!$A:$G,4,FALSE))</f>
        <v>GWTLNSAGYLLGPHAVGNHRSFSDKNGLTS</v>
      </c>
      <c r="AY112" s="98">
        <v>5.77</v>
      </c>
      <c r="AZ112" s="99">
        <v>4.08</v>
      </c>
      <c r="BA112" s="99">
        <v>4.4000000000000004</v>
      </c>
      <c r="BB112" s="99">
        <v>4.4000000000000004</v>
      </c>
      <c r="BC112" s="99">
        <v>3.12</v>
      </c>
      <c r="BD112" s="99">
        <v>4.38</v>
      </c>
      <c r="BE112" s="99">
        <v>4.38</v>
      </c>
      <c r="BF112" s="99">
        <v>5.77</v>
      </c>
      <c r="BG112" s="99">
        <v>4.8600000000000003</v>
      </c>
      <c r="BH112" s="99">
        <v>4.8600000000000003</v>
      </c>
      <c r="BI112" s="99">
        <v>4.13</v>
      </c>
      <c r="BJ112" s="99">
        <v>4.28</v>
      </c>
      <c r="BK112" s="99">
        <v>2.97</v>
      </c>
      <c r="BL112" s="99">
        <v>4.2300000000000004</v>
      </c>
      <c r="BM112" s="98">
        <f t="shared" si="42"/>
        <v>0</v>
      </c>
      <c r="BN112" s="99">
        <f t="shared" si="43"/>
        <v>0</v>
      </c>
      <c r="BO112" s="99">
        <f t="shared" si="44"/>
        <v>4.9318181818181817</v>
      </c>
      <c r="BP112" s="99">
        <f t="shared" si="45"/>
        <v>4.9318181818181817</v>
      </c>
      <c r="BQ112" s="99">
        <f t="shared" si="46"/>
        <v>7.9487179487179489</v>
      </c>
      <c r="BR112" s="99">
        <f t="shared" si="47"/>
        <v>3.493150684931507</v>
      </c>
      <c r="BS112" s="99">
        <f t="shared" si="48"/>
        <v>3.493150684931507</v>
      </c>
      <c r="BT112" s="99">
        <f t="shared" si="49"/>
        <v>1.0918544194107453</v>
      </c>
      <c r="BU112" s="99">
        <f t="shared" si="50"/>
        <v>5.1646090534979425</v>
      </c>
      <c r="BV112" s="99">
        <f t="shared" si="51"/>
        <v>5.1646090534979425</v>
      </c>
      <c r="BW112" s="99">
        <f t="shared" si="52"/>
        <v>5.593220338983051</v>
      </c>
      <c r="BX112" s="99">
        <f t="shared" si="53"/>
        <v>4.6028037383177569</v>
      </c>
      <c r="BY112" s="99">
        <f t="shared" si="54"/>
        <v>9.2255892255892249</v>
      </c>
      <c r="BZ112" s="99">
        <f t="shared" si="55"/>
        <v>4.4208037825059092</v>
      </c>
      <c r="CA112" s="18" t="e">
        <f>VLOOKUP(A112,'Bouvier-GEMTA'!A:C,4,FALSE)</f>
        <v>#N/A</v>
      </c>
      <c r="CB112" s="18">
        <f>VLOOKUP(A112,'Martemyanov-FreeGβγ-Nluc'!A:BG,4,FALSE)</f>
        <v>3592</v>
      </c>
    </row>
    <row r="113" spans="1:81" ht="18">
      <c r="A113" s="12" t="s">
        <v>30</v>
      </c>
      <c r="B113" s="13" t="s">
        <v>2591</v>
      </c>
      <c r="C113" s="9" t="str">
        <f>IF(VLOOKUP($A113,'I-Ligands'!$A:$G,5,FALSE)="","",VLOOKUP($A113,'I-Ligands'!$A:$G,5,FALSE))</f>
        <v>Guide to Pharmacology</v>
      </c>
      <c r="D113" s="9">
        <f>IF(VLOOKUP($A113,'I-Ligands'!$A:$G,6,FALSE)="","",VLOOKUP($A113,'I-Ligands'!$A:$G,6,FALSE))</f>
        <v>294</v>
      </c>
      <c r="E113" s="9" t="str">
        <f>IF(VLOOKUP($A113,'I-Ligands'!$A:$G,7,FALSE)="","",VLOOKUP($A113,'I-Ligands'!$A:$G,7,FALSE))</f>
        <v>Phys</v>
      </c>
      <c r="F113" s="7" cm="1">
        <f t="array" ref="F113">_xlfn.IFS(T113=0,0,T113&gt;0,(LOG(0.01*T113/10^-AH113)))</f>
        <v>7.1857417386022648</v>
      </c>
      <c r="G113" s="8" cm="1">
        <f t="array" ref="G113">_xlfn.IFS(U113=0,0,U113&gt;0,(LOG(0.01*U113/10^-AI113)))</f>
        <v>7.1301173651118166</v>
      </c>
      <c r="H113" s="8" cm="1">
        <f t="array" ref="H113">_xlfn.IFS(V113=0,0,V113&gt;0,(LOG(0.01*V113/10^-AJ113)))</f>
        <v>8.0363025007672899</v>
      </c>
      <c r="I113" s="8" cm="1">
        <f t="array" ref="I113">_xlfn.IFS(W113=0,0,W113&gt;0,(LOG(0.01*W113/10^-AK113)))</f>
        <v>8.0363025007672899</v>
      </c>
      <c r="J113" s="8" cm="1">
        <f t="array" ref="J113">_xlfn.IFS(X113=0,0,X113&gt;0,(LOG(0.01*X113/10^-AL113)))</f>
        <v>8.0656062735983127</v>
      </c>
      <c r="K113" s="8" cm="1">
        <f t="array" ref="K113">_xlfn.IFS(Y113=0,0,Y113&gt;0,(LOG(0.01*Y113/10^-AM113)))</f>
        <v>7.3374897295125114</v>
      </c>
      <c r="L113" s="8" cm="1">
        <f t="array" ref="L113">_xlfn.IFS(Z113=0,0,Z113&gt;0,(LOG(0.01*Z113/10^-AN113)))</f>
        <v>7.3374897295125114</v>
      </c>
      <c r="M113" s="8" cm="1">
        <f t="array" ref="M113">_xlfn.IFS(AA113=0,0,AA113&gt;0,(LOG(0.01*AA113/10^-AO113)))</f>
        <v>7.4199584794248352</v>
      </c>
      <c r="N113" s="8" cm="1">
        <f t="array" ref="N113">_xlfn.IFS(AB113=0,0,AB113&gt;0,(LOG(0.01*AB113/10^-AP113)))</f>
        <v>8.125604203273598</v>
      </c>
      <c r="O113" s="8" cm="1">
        <f t="array" ref="O113">_xlfn.IFS(AC113=0,0,AC113&gt;0,(LOG(0.01*AC113/10^-AQ113)))</f>
        <v>8.125604203273598</v>
      </c>
      <c r="P113" s="8" cm="1">
        <f t="array" ref="P113">_xlfn.IFS(AD113=0,0,AD113&gt;0,(LOG(0.01*AD113/10^-AR113)))</f>
        <v>8.0414005407815452</v>
      </c>
      <c r="Q113" s="8" cm="1">
        <f t="array" ref="Q113">_xlfn.IFS(AE113=0,0,AE113&gt;0,(LOG(0.01*AE113/10^-AS113)))</f>
        <v>7.7304814369704218</v>
      </c>
      <c r="R113" s="8" cm="1">
        <f t="array" ref="R113">_xlfn.IFS(AF113=0,0,AF113&gt;0,(LOG(0.01*AF113/10^-AT113)))</f>
        <v>7.0939419986340875</v>
      </c>
      <c r="S113" s="8" cm="1">
        <f t="array" ref="S113">_xlfn.IFS(AG113=0,0,AG113&gt;0,(LOG(0.01*AG113/10^-AU113)))</f>
        <v>6.328964842664436</v>
      </c>
      <c r="T113" s="16">
        <v>48.5</v>
      </c>
      <c r="U113" s="17">
        <v>51.3</v>
      </c>
      <c r="V113" s="17">
        <v>36</v>
      </c>
      <c r="W113" s="17">
        <v>36</v>
      </c>
      <c r="X113" s="17">
        <v>24.3</v>
      </c>
      <c r="Y113" s="17">
        <v>43.4</v>
      </c>
      <c r="Z113" s="17">
        <v>43.4</v>
      </c>
      <c r="AA113" s="17">
        <v>30.9</v>
      </c>
      <c r="AB113" s="17">
        <v>27.9</v>
      </c>
      <c r="AC113" s="17">
        <v>27.9</v>
      </c>
      <c r="AD113" s="17">
        <v>25.2</v>
      </c>
      <c r="AE113" s="17">
        <v>43.7</v>
      </c>
      <c r="AF113" s="17">
        <v>47.2</v>
      </c>
      <c r="AG113" s="17">
        <v>45.6</v>
      </c>
      <c r="AH113" s="14">
        <v>7.5</v>
      </c>
      <c r="AI113" s="15">
        <v>7.42</v>
      </c>
      <c r="AJ113" s="15">
        <v>8.48</v>
      </c>
      <c r="AK113" s="15">
        <v>8.48</v>
      </c>
      <c r="AL113" s="15">
        <v>8.68</v>
      </c>
      <c r="AM113" s="15">
        <v>7.7</v>
      </c>
      <c r="AN113" s="15">
        <v>7.7</v>
      </c>
      <c r="AO113" s="15">
        <v>7.93</v>
      </c>
      <c r="AP113" s="15">
        <v>8.68</v>
      </c>
      <c r="AQ113" s="15">
        <v>8.68</v>
      </c>
      <c r="AR113" s="15">
        <v>8.64</v>
      </c>
      <c r="AS113" s="15">
        <v>8.09</v>
      </c>
      <c r="AT113" s="15">
        <v>7.42</v>
      </c>
      <c r="AU113" s="15">
        <v>6.67</v>
      </c>
      <c r="AW113" s="186" t="str">
        <f>IF(VLOOKUP($A113,'I-Ligands'!$A:$G,3,FALSE)="","",VLOOKUP($A113,'I-Ligands'!$A:$G,3,FALSE))</f>
        <v>Acetylcholine</v>
      </c>
      <c r="AX113" s="187" t="str">
        <f>IF(VLOOKUP($A113,'I-Ligands'!$A:$G,4,FALSE)="","",VLOOKUP($A113,'I-Ligands'!$A:$G,4,FALSE))</f>
        <v>Acetylcholine Chloride</v>
      </c>
      <c r="AY113" s="98">
        <v>3.18</v>
      </c>
      <c r="AZ113" s="99">
        <v>3.46</v>
      </c>
      <c r="BA113" s="99">
        <v>3.7</v>
      </c>
      <c r="BB113" s="99">
        <v>3.7</v>
      </c>
      <c r="BC113" s="99">
        <v>6.37</v>
      </c>
      <c r="BD113" s="99">
        <v>2.79</v>
      </c>
      <c r="BE113" s="99">
        <v>2.79</v>
      </c>
      <c r="BF113" s="99">
        <v>4.3600000000000003</v>
      </c>
      <c r="BG113" s="99">
        <v>5.33</v>
      </c>
      <c r="BH113" s="99">
        <v>5.33</v>
      </c>
      <c r="BI113" s="99">
        <v>4.33</v>
      </c>
      <c r="BJ113" s="99">
        <v>3.66</v>
      </c>
      <c r="BK113" s="99">
        <v>4.43</v>
      </c>
      <c r="BL113" s="99">
        <v>4.33</v>
      </c>
      <c r="BM113" s="98">
        <f t="shared" si="42"/>
        <v>15.251572327044025</v>
      </c>
      <c r="BN113" s="99">
        <f t="shared" si="43"/>
        <v>14.826589595375722</v>
      </c>
      <c r="BO113" s="99">
        <f t="shared" si="44"/>
        <v>9.7297297297297298</v>
      </c>
      <c r="BP113" s="99">
        <f t="shared" si="45"/>
        <v>9.7297297297297298</v>
      </c>
      <c r="BQ113" s="99">
        <f t="shared" si="46"/>
        <v>3.8147566718995289</v>
      </c>
      <c r="BR113" s="99">
        <f t="shared" si="47"/>
        <v>15.555555555555555</v>
      </c>
      <c r="BS113" s="99">
        <f t="shared" si="48"/>
        <v>15.555555555555555</v>
      </c>
      <c r="BT113" s="99">
        <f t="shared" si="49"/>
        <v>7.0871559633027514</v>
      </c>
      <c r="BU113" s="99">
        <f t="shared" si="50"/>
        <v>5.2345215759849903</v>
      </c>
      <c r="BV113" s="99">
        <f t="shared" si="51"/>
        <v>5.2345215759849903</v>
      </c>
      <c r="BW113" s="99">
        <f t="shared" si="52"/>
        <v>5.8198614318706694</v>
      </c>
      <c r="BX113" s="99">
        <f t="shared" si="53"/>
        <v>11.939890710382514</v>
      </c>
      <c r="BY113" s="99">
        <f t="shared" si="54"/>
        <v>10.654627539503387</v>
      </c>
      <c r="BZ113" s="99">
        <f t="shared" si="55"/>
        <v>10.531177829099308</v>
      </c>
      <c r="CA113" s="18" t="e">
        <f>VLOOKUP(A113,'Bouvier-GEMTA'!A:C,4,FALSE)</f>
        <v>#N/A</v>
      </c>
      <c r="CB113" s="18">
        <f>VLOOKUP(A113,'Martemyanov-FreeGβγ-Nluc'!A:BG,4,FALSE)</f>
        <v>294</v>
      </c>
    </row>
    <row r="114" spans="1:81" ht="18">
      <c r="A114" s="12" t="s">
        <v>222</v>
      </c>
      <c r="B114" s="13" t="s">
        <v>2642</v>
      </c>
      <c r="C114" s="9" t="str">
        <f>IF(VLOOKUP($A114,'I-Ligands'!$A:$G,5,FALSE)="","",VLOOKUP($A114,'I-Ligands'!$A:$G,5,FALSE))</f>
        <v>Guide to Pharmacology</v>
      </c>
      <c r="D114" s="9">
        <f>IF(VLOOKUP($A114,'I-Ligands'!$A:$G,6,FALSE)="","",VLOOKUP($A114,'I-Ligands'!$A:$G,6,FALSE))</f>
        <v>2098</v>
      </c>
      <c r="E114" s="9" t="str">
        <f>IF(VLOOKUP($A114,'I-Ligands'!$A:$G,7,FALSE)="","",VLOOKUP($A114,'I-Ligands'!$A:$G,7,FALSE))</f>
        <v>Phys</v>
      </c>
      <c r="F114" s="7" cm="1">
        <f t="array" ref="F114">_xlfn.IFS(T114=0,0,T114&gt;0,(LOG(0.01*T114/10^-AH114)))</f>
        <v>8.9855809910179545</v>
      </c>
      <c r="G114" s="8" cm="1">
        <f t="array" ref="G114">_xlfn.IFS(U114=0,0,U114&gt;0,(LOG(0.01*U114/10^-AI114)))</f>
        <v>8.9512780139981452</v>
      </c>
      <c r="H114" s="8" cm="1">
        <f t="array" ref="H114">_xlfn.IFS(V114=0,0,V114&gt;0,(LOG(0.01*V114/10^-AJ114)))</f>
        <v>9.1741765418779604</v>
      </c>
      <c r="I114" s="8" cm="1">
        <f t="array" ref="I114">_xlfn.IFS(W114=0,0,W114&gt;0,(LOG(0.01*W114/10^-AK114)))</f>
        <v>9.1741765418779604</v>
      </c>
      <c r="J114" s="8" cm="1">
        <f t="array" ref="J114">_xlfn.IFS(X114=0,0,X114&gt;0,(LOG(0.01*X114/10^-AL114)))</f>
        <v>9.045483746814913</v>
      </c>
      <c r="K114" s="8" cm="1">
        <f t="array" ref="K114">_xlfn.IFS(Y114=0,0,Y114&gt;0,(LOG(0.01*Y114/10^-AM114)))</f>
        <v>8.8764037262230708</v>
      </c>
      <c r="L114" s="8" cm="1">
        <f t="array" ref="L114">_xlfn.IFS(Z114=0,0,Z114&gt;0,(LOG(0.01*Z114/10^-AN114)))</f>
        <v>8.8764037262230708</v>
      </c>
      <c r="M114" s="8" cm="1">
        <f t="array" ref="M114">_xlfn.IFS(AA114=0,0,AA114&gt;0,(LOG(0.01*AA114/10^-AO114)))</f>
        <v>8.7963392773898441</v>
      </c>
      <c r="N114" s="8" cm="1">
        <f t="array" ref="N114">_xlfn.IFS(AB114=0,0,AB114&gt;0,(LOG(0.01*AB114/10^-AP114)))</f>
        <v>9.4909728956867507</v>
      </c>
      <c r="O114" s="8" cm="1">
        <f t="array" ref="O114">_xlfn.IFS(AC114=0,0,AC114&gt;0,(LOG(0.01*AC114/10^-AQ114)))</f>
        <v>9.4909728956867507</v>
      </c>
      <c r="P114" s="8" cm="1">
        <f t="array" ref="P114">_xlfn.IFS(AD114=0,0,AD114&gt;0,(LOG(0.01*AD114/10^-AR114)))</f>
        <v>9.5485260335771951</v>
      </c>
      <c r="Q114" s="8" cm="1">
        <f t="array" ref="Q114">_xlfn.IFS(AE114=0,0,AE114&gt;0,(LOG(0.01*AE114/10^-AS114)))</f>
        <v>8.4438418218760702</v>
      </c>
      <c r="R114" s="8" cm="1">
        <f t="array" ref="R114">_xlfn.IFS(AF114=0,0,AF114&gt;0,(LOG(0.01*AF114/10^-AT114)))</f>
        <v>8.9248611407378124</v>
      </c>
      <c r="S114" s="8" cm="1">
        <f t="array" ref="S114">_xlfn.IFS(AG114=0,0,AG114&gt;0,(LOG(0.01*AG114/10^-AU114)))</f>
        <v>9.2360982020128315</v>
      </c>
      <c r="T114" s="16">
        <v>46.3</v>
      </c>
      <c r="U114" s="17">
        <v>44.8</v>
      </c>
      <c r="V114" s="17">
        <v>45.1</v>
      </c>
      <c r="W114" s="17">
        <v>45.1</v>
      </c>
      <c r="X114" s="17">
        <v>43.2</v>
      </c>
      <c r="Y114" s="17">
        <v>44.3</v>
      </c>
      <c r="Z114" s="17">
        <v>44.3</v>
      </c>
      <c r="AA114" s="17">
        <v>33.6</v>
      </c>
      <c r="AB114" s="17">
        <v>39.9</v>
      </c>
      <c r="AC114" s="17">
        <v>39.9</v>
      </c>
      <c r="AD114" s="17">
        <v>40.6</v>
      </c>
      <c r="AE114" s="17">
        <v>41.1</v>
      </c>
      <c r="AF114" s="17">
        <v>47.3</v>
      </c>
      <c r="AG114" s="17">
        <v>45.3</v>
      </c>
      <c r="AH114" s="14">
        <v>9.32</v>
      </c>
      <c r="AI114" s="15">
        <v>9.3000000000000007</v>
      </c>
      <c r="AJ114" s="15">
        <v>9.52</v>
      </c>
      <c r="AK114" s="15">
        <v>9.52</v>
      </c>
      <c r="AL114" s="15">
        <v>9.41</v>
      </c>
      <c r="AM114" s="15">
        <v>9.23</v>
      </c>
      <c r="AN114" s="15">
        <v>9.23</v>
      </c>
      <c r="AO114" s="15">
        <v>9.27</v>
      </c>
      <c r="AP114" s="15">
        <v>9.89</v>
      </c>
      <c r="AQ114" s="15">
        <v>9.89</v>
      </c>
      <c r="AR114" s="15">
        <v>9.94</v>
      </c>
      <c r="AS114" s="15">
        <v>8.83</v>
      </c>
      <c r="AT114" s="15">
        <v>9.25</v>
      </c>
      <c r="AU114" s="15">
        <v>9.58</v>
      </c>
      <c r="AW114" s="186" t="str">
        <f>IF(VLOOKUP($A114,'I-Ligands'!$A:$G,3,FALSE)="","",VLOOKUP($A114,'I-Ligands'!$A:$G,3,FALSE))</f>
        <v>Substance P</v>
      </c>
      <c r="AX114" s="187" t="str">
        <f>IF(VLOOKUP($A114,'I-Ligands'!$A:$G,4,FALSE)="","",VLOOKUP($A114,'I-Ligands'!$A:$G,4,FALSE))</f>
        <v>RPKPQQFFGLM-NH2</v>
      </c>
      <c r="AY114" s="98">
        <v>4.4400000000000004</v>
      </c>
      <c r="AZ114" s="99">
        <v>5.2</v>
      </c>
      <c r="BA114" s="99">
        <v>2.42</v>
      </c>
      <c r="BB114" s="99">
        <v>2.42</v>
      </c>
      <c r="BC114" s="99">
        <v>5.07</v>
      </c>
      <c r="BD114" s="99">
        <v>3.56</v>
      </c>
      <c r="BE114" s="99">
        <v>3.56</v>
      </c>
      <c r="BF114" s="99">
        <v>3.1</v>
      </c>
      <c r="BG114" s="99">
        <v>6.77</v>
      </c>
      <c r="BH114" s="99">
        <v>6.77</v>
      </c>
      <c r="BI114" s="99">
        <v>6.29</v>
      </c>
      <c r="BJ114" s="99">
        <v>2.6</v>
      </c>
      <c r="BK114" s="99">
        <v>4.4000000000000004</v>
      </c>
      <c r="BL114" s="99">
        <v>3.43</v>
      </c>
      <c r="BM114" s="98">
        <f t="shared" si="42"/>
        <v>10.427927927927927</v>
      </c>
      <c r="BN114" s="99">
        <f t="shared" si="43"/>
        <v>8.615384615384615</v>
      </c>
      <c r="BO114" s="99">
        <f t="shared" si="44"/>
        <v>18.636363636363637</v>
      </c>
      <c r="BP114" s="99">
        <f t="shared" si="45"/>
        <v>18.636363636363637</v>
      </c>
      <c r="BQ114" s="99">
        <f t="shared" si="46"/>
        <v>8.5207100591715985</v>
      </c>
      <c r="BR114" s="99">
        <f t="shared" si="47"/>
        <v>12.443820224719101</v>
      </c>
      <c r="BS114" s="99">
        <f t="shared" si="48"/>
        <v>12.443820224719101</v>
      </c>
      <c r="BT114" s="99">
        <f t="shared" si="49"/>
        <v>10.838709677419356</v>
      </c>
      <c r="BU114" s="99">
        <f t="shared" si="50"/>
        <v>5.8936484490398824</v>
      </c>
      <c r="BV114" s="99">
        <f t="shared" si="51"/>
        <v>5.8936484490398824</v>
      </c>
      <c r="BW114" s="99">
        <f t="shared" si="52"/>
        <v>6.4546899841017487</v>
      </c>
      <c r="BX114" s="99">
        <f t="shared" si="53"/>
        <v>15.807692307692308</v>
      </c>
      <c r="BY114" s="99">
        <f t="shared" si="54"/>
        <v>10.749999999999998</v>
      </c>
      <c r="BZ114" s="99">
        <f t="shared" si="55"/>
        <v>13.206997084548103</v>
      </c>
      <c r="CA114" s="18" t="e">
        <f>VLOOKUP(A114,'Bouvier-GEMTA'!A:C,4,FALSE)</f>
        <v>#N/A</v>
      </c>
      <c r="CB114" s="18">
        <f>VLOOKUP(A114,'Martemyanov-FreeGβγ-Nluc'!A:BG,4,FALSE)</f>
        <v>2098</v>
      </c>
    </row>
    <row r="115" spans="1:81">
      <c r="A115" s="12" t="s">
        <v>221</v>
      </c>
      <c r="B115" s="13" t="s">
        <v>2538</v>
      </c>
      <c r="C115" s="9" t="str">
        <f>IF(VLOOKUP($A115,'I-Ligands'!$A:$G,5,FALSE)="","",VLOOKUP($A115,'I-Ligands'!$A:$G,5,FALSE))</f>
        <v>Guide to Pharmacology</v>
      </c>
      <c r="D115" s="9">
        <f>IF(VLOOKUP($A115,'I-Ligands'!$A:$G,6,FALSE)="","",VLOOKUP($A115,'I-Ligands'!$A:$G,6,FALSE))</f>
        <v>2019</v>
      </c>
      <c r="E115" s="9" t="str">
        <f>IF(VLOOKUP($A115,'I-Ligands'!$A:$G,7,FALSE)="","",VLOOKUP($A115,'I-Ligands'!$A:$G,7,FALSE))</f>
        <v>Phys</v>
      </c>
      <c r="F115" s="7" cm="1">
        <f t="array" ref="F115">_xlfn.IFS(T115=0,0,T115&gt;0,(LOG(0.01*T115/10^-AH115)))</f>
        <v>6.4179732663618081</v>
      </c>
      <c r="G115" s="8" cm="1">
        <f t="array" ref="G115">_xlfn.IFS(U115=0,0,U115&gt;0,(LOG(0.01*U115/10^-AI115)))</f>
        <v>6.2503337684950075</v>
      </c>
      <c r="H115" s="8" cm="1">
        <f t="array" ref="H115">_xlfn.IFS(V115=0,0,V115&gt;0,(LOG(0.01*V115/10^-AJ115)))</f>
        <v>9.1257783416740867</v>
      </c>
      <c r="I115" s="8" cm="1">
        <f t="array" ref="I115">_xlfn.IFS(W115=0,0,W115&gt;0,(LOG(0.01*W115/10^-AK115)))</f>
        <v>9.1257783416740867</v>
      </c>
      <c r="J115" s="8" cm="1">
        <f t="array" ref="J115">_xlfn.IFS(X115=0,0,X115&gt;0,(LOG(0.01*X115/10^-AL115)))</f>
        <v>9.5910646070264995</v>
      </c>
      <c r="K115" s="8" cm="1">
        <f t="array" ref="K115">_xlfn.IFS(Y115=0,0,Y115&gt;0,(LOG(0.01*Y115/10^-AM115)))</f>
        <v>8.819486489268586</v>
      </c>
      <c r="L115" s="8" cm="1">
        <f t="array" ref="L115">_xlfn.IFS(Z115=0,0,Z115&gt;0,(LOG(0.01*Z115/10^-AN115)))</f>
        <v>8.819486489268586</v>
      </c>
      <c r="M115" s="8" cm="1">
        <f t="array" ref="M115">_xlfn.IFS(AA115=0,0,AA115&gt;0,(LOG(0.01*AA115/10^-AO115)))</f>
        <v>8.5683105537896012</v>
      </c>
      <c r="N115" s="8" cm="1">
        <f t="array" ref="N115">_xlfn.IFS(AB115=0,0,AB115&gt;0,(LOG(0.01*AB115/10^-AP115)))</f>
        <v>7.2646660642520899</v>
      </c>
      <c r="O115" s="8" cm="1">
        <f t="array" ref="O115">_xlfn.IFS(AC115=0,0,AC115&gt;0,(LOG(0.01*AC115/10^-AQ115)))</f>
        <v>7.2646660642520899</v>
      </c>
      <c r="P115" s="8" cm="1">
        <f t="array" ref="P115">_xlfn.IFS(AD115=0,0,AD115&gt;0,(LOG(0.01*AD115/10^-AR115)))</f>
        <v>8.3814499979728758</v>
      </c>
      <c r="Q115" s="8" cm="1">
        <f t="array" ref="Q115">_xlfn.IFS(AE115=0,0,AE115&gt;0,(LOG(0.01*AE115/10^-AS115)))</f>
        <v>7.6894864892685879</v>
      </c>
      <c r="R115" s="8" cm="1">
        <f t="array" ref="R115">_xlfn.IFS(AF115=0,0,AF115&gt;0,(LOG(0.01*AF115/10^-AT115)))</f>
        <v>7.8855809910179548</v>
      </c>
      <c r="S115" s="8" cm="1">
        <f t="array" ref="S115">_xlfn.IFS(AG115=0,0,AG115&gt;0,(LOG(0.01*AG115/10^-AU115)))</f>
        <v>6.901138083704037</v>
      </c>
      <c r="T115" s="16">
        <v>17.7</v>
      </c>
      <c r="U115" s="17">
        <v>13.5</v>
      </c>
      <c r="V115" s="17">
        <v>47.4</v>
      </c>
      <c r="W115" s="17">
        <v>47.4</v>
      </c>
      <c r="X115" s="17">
        <v>39</v>
      </c>
      <c r="Y115" s="17">
        <v>43.6</v>
      </c>
      <c r="Z115" s="17">
        <v>43.6</v>
      </c>
      <c r="AA115" s="17">
        <v>31.5</v>
      </c>
      <c r="AB115" s="17">
        <v>36.700000000000003</v>
      </c>
      <c r="AC115" s="17">
        <v>36.700000000000003</v>
      </c>
      <c r="AD115" s="17">
        <v>35.6</v>
      </c>
      <c r="AE115" s="17">
        <v>43.6</v>
      </c>
      <c r="AF115" s="17">
        <v>46.3</v>
      </c>
      <c r="AG115" s="17">
        <v>33.200000000000003</v>
      </c>
      <c r="AH115" s="14">
        <v>7.17</v>
      </c>
      <c r="AI115" s="15">
        <v>7.12</v>
      </c>
      <c r="AJ115" s="15">
        <v>9.4499999999999993</v>
      </c>
      <c r="AK115" s="15">
        <v>9.4499999999999993</v>
      </c>
      <c r="AL115" s="15">
        <v>10</v>
      </c>
      <c r="AM115" s="15">
        <v>9.18</v>
      </c>
      <c r="AN115" s="15">
        <v>9.18</v>
      </c>
      <c r="AO115" s="15">
        <v>9.07</v>
      </c>
      <c r="AP115" s="15">
        <v>7.7</v>
      </c>
      <c r="AQ115" s="15">
        <v>7.7</v>
      </c>
      <c r="AR115" s="15">
        <v>8.83</v>
      </c>
      <c r="AS115" s="15">
        <v>8.0500000000000007</v>
      </c>
      <c r="AT115" s="15">
        <v>8.2200000000000006</v>
      </c>
      <c r="AU115" s="15">
        <v>7.38</v>
      </c>
      <c r="AW115" s="186" t="str">
        <f>IF(VLOOKUP($A115,'I-Ligands'!$A:$G,3,FALSE)="","",VLOOKUP($A115,'I-Ligands'!$A:$G,3,FALSE))</f>
        <v>Somatostatin</v>
      </c>
      <c r="AX115" s="187" t="str">
        <f>IF(VLOOKUP($A115,'I-Ligands'!$A:$G,4,FALSE)="","",VLOOKUP($A115,'I-Ligands'!$A:$G,4,FALSE))</f>
        <v>AGCKNFFWKTFTSC</v>
      </c>
      <c r="AY115" s="98">
        <v>5.98</v>
      </c>
      <c r="AZ115" s="99">
        <v>3.96</v>
      </c>
      <c r="BA115" s="99">
        <v>7.85</v>
      </c>
      <c r="BB115" s="99">
        <v>7.85</v>
      </c>
      <c r="BC115" s="99">
        <v>4.8600000000000003</v>
      </c>
      <c r="BD115" s="99">
        <v>7.16</v>
      </c>
      <c r="BE115" s="99">
        <v>7.16</v>
      </c>
      <c r="BF115" s="99">
        <v>4.25</v>
      </c>
      <c r="BG115" s="99">
        <v>6.19</v>
      </c>
      <c r="BH115" s="99">
        <v>6.19</v>
      </c>
      <c r="BI115" s="99">
        <v>3.04</v>
      </c>
      <c r="BJ115" s="99">
        <v>6.17</v>
      </c>
      <c r="BK115" s="99">
        <v>3.9</v>
      </c>
      <c r="BL115" s="99">
        <v>3.62</v>
      </c>
      <c r="BM115" s="98">
        <f t="shared" si="42"/>
        <v>2.9598662207357855</v>
      </c>
      <c r="BN115" s="99">
        <f t="shared" si="43"/>
        <v>3.4090909090909092</v>
      </c>
      <c r="BO115" s="99">
        <f t="shared" si="44"/>
        <v>6.0382165605095546</v>
      </c>
      <c r="BP115" s="99">
        <f t="shared" si="45"/>
        <v>6.0382165605095546</v>
      </c>
      <c r="BQ115" s="99">
        <f t="shared" si="46"/>
        <v>8.0246913580246915</v>
      </c>
      <c r="BR115" s="99">
        <f t="shared" si="47"/>
        <v>6.0893854748603351</v>
      </c>
      <c r="BS115" s="99">
        <f t="shared" si="48"/>
        <v>6.0893854748603351</v>
      </c>
      <c r="BT115" s="99">
        <f t="shared" si="49"/>
        <v>7.4117647058823533</v>
      </c>
      <c r="BU115" s="99">
        <f t="shared" si="50"/>
        <v>5.9289176090468496</v>
      </c>
      <c r="BV115" s="99">
        <f t="shared" si="51"/>
        <v>5.9289176090468496</v>
      </c>
      <c r="BW115" s="99">
        <f t="shared" si="52"/>
        <v>11.710526315789474</v>
      </c>
      <c r="BX115" s="99">
        <f t="shared" si="53"/>
        <v>7.0664505672609401</v>
      </c>
      <c r="BY115" s="99">
        <f t="shared" si="54"/>
        <v>11.87179487179487</v>
      </c>
      <c r="BZ115" s="99">
        <f t="shared" si="55"/>
        <v>9.1712707182320443</v>
      </c>
      <c r="CA115" s="18" t="e">
        <f>VLOOKUP(A115,'Bouvier-GEMTA'!A:C,4,FALSE)</f>
        <v>#N/A</v>
      </c>
      <c r="CB115" s="18">
        <f>VLOOKUP(A115,'Martemyanov-FreeGβγ-Nluc'!A:BG,4,FALSE)</f>
        <v>2019</v>
      </c>
    </row>
    <row r="116" spans="1:81" ht="18">
      <c r="A116" s="12" t="s">
        <v>179</v>
      </c>
      <c r="B116" s="13" t="s">
        <v>2646</v>
      </c>
      <c r="C116" s="9" t="str">
        <f>IF(VLOOKUP($A116,'I-Ligands'!$A:$G,5,FALSE)="","",VLOOKUP($A116,'I-Ligands'!$A:$G,5,FALSE))</f>
        <v>Guide to Pharmacology</v>
      </c>
      <c r="D116" s="9">
        <f>IF(VLOOKUP($A116,'I-Ligands'!$A:$G,6,FALSE)="","",VLOOKUP($A116,'I-Ligands'!$A:$G,6,FALSE))</f>
        <v>1579</v>
      </c>
      <c r="E116" s="9" t="str">
        <f>IF(VLOOKUP($A116,'I-Ligands'!$A:$G,7,FALSE)="","",VLOOKUP($A116,'I-Ligands'!$A:$G,7,FALSE))</f>
        <v>Phys</v>
      </c>
      <c r="F116" s="7" cm="1">
        <f t="array" ref="F116">_xlfn.IFS(T116=0,0,T116&gt;0,(LOG(0.01*T116/10^-AH116)))</f>
        <v>7.2227853703164522</v>
      </c>
      <c r="G116" s="8" cm="1">
        <f t="array" ref="G116">_xlfn.IFS(U116=0,0,U116&gt;0,(LOG(0.01*U116/10^-AI116)))</f>
        <v>7.048600171761918</v>
      </c>
      <c r="H116" s="8" cm="1">
        <f t="array" ref="H116">_xlfn.IFS(V116=0,0,V116&gt;0,(LOG(0.01*V116/10^-AJ116)))</f>
        <v>8.4432997640812513</v>
      </c>
      <c r="I116" s="8" cm="1">
        <f t="array" ref="I116">_xlfn.IFS(W116=0,0,W116&gt;0,(LOG(0.01*W116/10^-AK116)))</f>
        <v>8.4432997640812513</v>
      </c>
      <c r="J116" s="8" cm="1">
        <f t="array" ref="J116">_xlfn.IFS(X116=0,0,X116&gt;0,(LOG(0.01*X116/10^-AL116)))</f>
        <v>8.5913637641589879</v>
      </c>
      <c r="K116" s="8" cm="1">
        <f t="array" ref="K116">_xlfn.IFS(Y116=0,0,Y116&gt;0,(LOG(0.01*Y116/10^-AM116)))</f>
        <v>7.9052725051033077</v>
      </c>
      <c r="L116" s="8" cm="1">
        <f t="array" ref="L116">_xlfn.IFS(Z116=0,0,Z116&gt;0,(LOG(0.01*Z116/10^-AN116)))</f>
        <v>7.9052725051033077</v>
      </c>
      <c r="M116" s="8" cm="1">
        <f t="array" ref="M116">_xlfn.IFS(AA116=0,0,AA116&gt;0,(LOG(0.01*AA116/10^-AO116)))</f>
        <v>8.0263598306747479</v>
      </c>
      <c r="N116" s="8" cm="1">
        <f t="array" ref="N116">_xlfn.IFS(AB116=0,0,AB116&gt;0,(LOG(0.01*AB116/10^-AP116)))</f>
        <v>9.2928716022004814</v>
      </c>
      <c r="O116" s="8" cm="1">
        <f t="array" ref="O116">_xlfn.IFS(AC116=0,0,AC116&gt;0,(LOG(0.01*AC116/10^-AQ116)))</f>
        <v>9.2928716022004814</v>
      </c>
      <c r="P116" s="8" cm="1">
        <f t="array" ref="P116">_xlfn.IFS(AD116=0,0,AD116&gt;0,(LOG(0.01*AD116/10^-AR116)))</f>
        <v>9.1817088318086881</v>
      </c>
      <c r="Q116" s="8" cm="1">
        <f t="array" ref="Q116">_xlfn.IFS(AE116=0,0,AE116&gt;0,(LOG(0.01*AE116/10^-AS116)))</f>
        <v>6.8395192526186195</v>
      </c>
      <c r="R116" s="8" cm="1">
        <f t="array" ref="R116">_xlfn.IFS(AF116=0,0,AF116&gt;0,(LOG(0.01*AF116/10^-AT116)))</f>
        <v>7.9195129442179173</v>
      </c>
      <c r="S116" s="8" cm="1">
        <f t="array" ref="S116">_xlfn.IFS(AG116=0,0,AG116&gt;0,(LOG(0.01*AG116/10^-AU116)))</f>
        <v>7.7335389083702175</v>
      </c>
      <c r="T116" s="16">
        <v>12.1</v>
      </c>
      <c r="U116" s="17">
        <v>10.199999999999999</v>
      </c>
      <c r="V116" s="17">
        <v>25.9</v>
      </c>
      <c r="W116" s="17">
        <v>25.9</v>
      </c>
      <c r="X116" s="17">
        <v>27</v>
      </c>
      <c r="Y116" s="17">
        <v>18</v>
      </c>
      <c r="Z116" s="17">
        <v>18</v>
      </c>
      <c r="AA116" s="17">
        <v>12.2</v>
      </c>
      <c r="AB116" s="17">
        <v>37.4</v>
      </c>
      <c r="AC116" s="17">
        <v>37.4</v>
      </c>
      <c r="AD116" s="17">
        <v>37.299999999999997</v>
      </c>
      <c r="AE116" s="17">
        <v>8.6999999999999993</v>
      </c>
      <c r="AF116" s="17">
        <v>18.600000000000001</v>
      </c>
      <c r="AG116" s="17">
        <v>13.6</v>
      </c>
      <c r="AH116" s="14">
        <v>8.14</v>
      </c>
      <c r="AI116" s="15">
        <v>8.0399999999999991</v>
      </c>
      <c r="AJ116" s="15">
        <v>9.0299999999999994</v>
      </c>
      <c r="AK116" s="15">
        <v>9.0299999999999994</v>
      </c>
      <c r="AL116" s="15">
        <v>9.16</v>
      </c>
      <c r="AM116" s="15">
        <v>8.65</v>
      </c>
      <c r="AN116" s="15">
        <v>8.65</v>
      </c>
      <c r="AO116" s="15">
        <v>8.94</v>
      </c>
      <c r="AP116" s="15">
        <v>9.7200000000000006</v>
      </c>
      <c r="AQ116" s="15">
        <v>9.7200000000000006</v>
      </c>
      <c r="AR116" s="15">
        <v>9.61</v>
      </c>
      <c r="AS116" s="15">
        <v>7.9</v>
      </c>
      <c r="AT116" s="15">
        <v>8.65</v>
      </c>
      <c r="AU116" s="15">
        <v>8.6</v>
      </c>
      <c r="AW116" s="186" t="str">
        <f>IF(VLOOKUP($A116,'I-Ligands'!$A:$G,3,FALSE)="","",VLOOKUP($A116,'I-Ligands'!$A:$G,3,FALSE))</f>
        <v>NT</v>
      </c>
      <c r="AX116" s="187" t="str">
        <f>IF(VLOOKUP($A116,'I-Ligands'!$A:$G,4,FALSE)="","",VLOOKUP($A116,'I-Ligands'!$A:$G,4,FALSE))</f>
        <v>Neurotensin</v>
      </c>
      <c r="AY116" s="98">
        <v>3.85</v>
      </c>
      <c r="AZ116" s="99">
        <v>3.21</v>
      </c>
      <c r="BA116" s="99">
        <v>4.21</v>
      </c>
      <c r="BB116" s="99">
        <v>4.21</v>
      </c>
      <c r="BC116" s="99">
        <v>5.23</v>
      </c>
      <c r="BD116" s="99">
        <v>4.96</v>
      </c>
      <c r="BE116" s="99">
        <v>4.96</v>
      </c>
      <c r="BF116" s="99">
        <v>4.97</v>
      </c>
      <c r="BG116" s="99">
        <v>6.12</v>
      </c>
      <c r="BH116" s="99">
        <v>6.12</v>
      </c>
      <c r="BI116" s="99">
        <v>4.66</v>
      </c>
      <c r="BJ116" s="99">
        <v>1.62</v>
      </c>
      <c r="BK116" s="99">
        <v>3.8</v>
      </c>
      <c r="BL116" s="99">
        <v>6.73</v>
      </c>
      <c r="BM116" s="98">
        <f t="shared" si="42"/>
        <v>3.1428571428571428</v>
      </c>
      <c r="BN116" s="99">
        <f t="shared" si="43"/>
        <v>3.1775700934579438</v>
      </c>
      <c r="BO116" s="99">
        <f t="shared" si="44"/>
        <v>6.1520190023752965</v>
      </c>
      <c r="BP116" s="99">
        <f t="shared" si="45"/>
        <v>6.1520190023752965</v>
      </c>
      <c r="BQ116" s="99">
        <f t="shared" si="46"/>
        <v>5.1625239005736132</v>
      </c>
      <c r="BR116" s="99">
        <f t="shared" si="47"/>
        <v>3.629032258064516</v>
      </c>
      <c r="BS116" s="99">
        <f t="shared" si="48"/>
        <v>3.629032258064516</v>
      </c>
      <c r="BT116" s="99">
        <f t="shared" si="49"/>
        <v>2.4547283702213281</v>
      </c>
      <c r="BU116" s="99">
        <f t="shared" si="50"/>
        <v>6.1111111111111107</v>
      </c>
      <c r="BV116" s="99">
        <f t="shared" si="51"/>
        <v>6.1111111111111107</v>
      </c>
      <c r="BW116" s="99">
        <f t="shared" si="52"/>
        <v>8.0042918454935617</v>
      </c>
      <c r="BX116" s="99">
        <f t="shared" si="53"/>
        <v>5.3703703703703694</v>
      </c>
      <c r="BY116" s="99">
        <f t="shared" si="54"/>
        <v>4.8947368421052637</v>
      </c>
      <c r="BZ116" s="99">
        <f t="shared" si="55"/>
        <v>2.0208023774145616</v>
      </c>
      <c r="CA116" s="18" t="e">
        <f>VLOOKUP(A116,'Bouvier-GEMTA'!A:C,4,FALSE)</f>
        <v>#N/A</v>
      </c>
      <c r="CB116" s="18">
        <f>VLOOKUP(A116,'Martemyanov-FreeGβγ-Nluc'!A:BG,4,FALSE)</f>
        <v>1579</v>
      </c>
    </row>
    <row r="117" spans="1:81" ht="18">
      <c r="A117" s="12" t="s">
        <v>113</v>
      </c>
      <c r="B117" s="13" t="s">
        <v>2615</v>
      </c>
      <c r="C117" s="9" t="str">
        <f>IF(VLOOKUP($A117,'I-Ligands'!$A:$G,5,FALSE)="","",VLOOKUP($A117,'I-Ligands'!$A:$G,5,FALSE))</f>
        <v>Guide to Pharmacology</v>
      </c>
      <c r="D117" s="9">
        <f>IF(VLOOKUP($A117,'I-Ligands'!$A:$G,6,FALSE)="","",VLOOKUP($A117,'I-Ligands'!$A:$G,6,FALSE))</f>
        <v>989</v>
      </c>
      <c r="E117" s="9" t="str">
        <f>IF(VLOOKUP($A117,'I-Ligands'!$A:$G,7,FALSE)="","",VLOOKUP($A117,'I-Ligands'!$A:$G,7,FALSE))</f>
        <v>Phys</v>
      </c>
      <c r="F117" s="7" cm="1">
        <f t="array" ref="F117">_xlfn.IFS(T117=0,0,T117&gt;0,(LOG(0.01*T117/10^-AH117)))</f>
        <v>9.2958478186735185</v>
      </c>
      <c r="G117" s="8" cm="1">
        <f t="array" ref="G117">_xlfn.IFS(U117=0,0,U117&gt;0,(LOG(0.01*U117/10^-AI117)))</f>
        <v>9.2232176000679402</v>
      </c>
      <c r="H117" s="8" cm="1">
        <f t="array" ref="H117">_xlfn.IFS(V117=0,0,V117&gt;0,(LOG(0.01*V117/10^-AJ117)))</f>
        <v>10.187365856592734</v>
      </c>
      <c r="I117" s="8" cm="1">
        <f t="array" ref="I117">_xlfn.IFS(W117=0,0,W117&gt;0,(LOG(0.01*W117/10^-AK117)))</f>
        <v>10.187365856592734</v>
      </c>
      <c r="J117" s="8" cm="1">
        <f t="array" ref="J117">_xlfn.IFS(X117=0,0,X117&gt;0,(LOG(0.01*X117/10^-AL117)))</f>
        <v>10.179783596616812</v>
      </c>
      <c r="K117" s="8" cm="1">
        <f t="array" ref="K117">_xlfn.IFS(Y117=0,0,Y117&gt;0,(LOG(0.01*Y117/10^-AM117)))</f>
        <v>9.6131987739686231</v>
      </c>
      <c r="L117" s="8" cm="1">
        <f t="array" ref="L117">_xlfn.IFS(Z117=0,0,Z117&gt;0,(LOG(0.01*Z117/10^-AN117)))</f>
        <v>9.6131987739686231</v>
      </c>
      <c r="M117" s="8" cm="1">
        <f t="array" ref="M117">_xlfn.IFS(AA117=0,0,AA117&gt;0,(LOG(0.01*AA117/10^-AO117)))</f>
        <v>9.5985507165004442</v>
      </c>
      <c r="N117" s="8" cm="1">
        <f t="array" ref="N117">_xlfn.IFS(AB117=0,0,AB117&gt;0,(LOG(0.01*AB117/10^-AP117)))</f>
        <v>9.3727564493172135</v>
      </c>
      <c r="O117" s="8" cm="1">
        <f t="array" ref="O117">_xlfn.IFS(AC117=0,0,AC117&gt;0,(LOG(0.01*AC117/10^-AQ117)))</f>
        <v>9.3727564493172135</v>
      </c>
      <c r="P117" s="8" cm="1">
        <f t="array" ref="P117">_xlfn.IFS(AD117=0,0,AD117&gt;0,(LOG(0.01*AD117/10^-AR117)))</f>
        <v>9.7156711883244302</v>
      </c>
      <c r="Q117" s="8" cm="1">
        <f t="array" ref="Q117">_xlfn.IFS(AE117=0,0,AE117&gt;0,(LOG(0.01*AE117/10^-AS117)))</f>
        <v>9.7842820958356693</v>
      </c>
      <c r="R117" s="8" cm="1">
        <f t="array" ref="R117">_xlfn.IFS(AF117=0,0,AF117&gt;0,(LOG(0.01*AF117/10^-AT117)))</f>
        <v>10.140481436970424</v>
      </c>
      <c r="S117" s="8" cm="1">
        <f t="array" ref="S117">_xlfn.IFS(AG117=0,0,AG117&gt;0,(LOG(0.01*AG117/10^-AU117)))</f>
        <v>9.7120599913279619</v>
      </c>
      <c r="T117" s="16">
        <v>36.799999999999997</v>
      </c>
      <c r="U117" s="17">
        <v>32.6</v>
      </c>
      <c r="V117" s="17">
        <v>42.4</v>
      </c>
      <c r="W117" s="17">
        <v>42.4</v>
      </c>
      <c r="X117" s="17">
        <v>38</v>
      </c>
      <c r="Y117" s="17">
        <v>38.299999999999997</v>
      </c>
      <c r="Z117" s="17">
        <v>38.299999999999997</v>
      </c>
      <c r="AA117" s="17">
        <v>30.8</v>
      </c>
      <c r="AB117" s="17">
        <v>29.7</v>
      </c>
      <c r="AC117" s="17">
        <v>29.7</v>
      </c>
      <c r="AD117" s="17">
        <v>29.9</v>
      </c>
      <c r="AE117" s="17">
        <v>42.1</v>
      </c>
      <c r="AF117" s="17">
        <v>43.7</v>
      </c>
      <c r="AG117" s="17">
        <v>40</v>
      </c>
      <c r="AH117" s="14">
        <v>9.73</v>
      </c>
      <c r="AI117" s="15">
        <v>9.7100000000000009</v>
      </c>
      <c r="AJ117" s="15">
        <v>10.56</v>
      </c>
      <c r="AK117" s="15">
        <v>10.56</v>
      </c>
      <c r="AL117" s="15">
        <v>10.6</v>
      </c>
      <c r="AM117" s="15">
        <v>10.029999999999999</v>
      </c>
      <c r="AN117" s="15">
        <v>10.029999999999999</v>
      </c>
      <c r="AO117" s="15">
        <v>10.11</v>
      </c>
      <c r="AP117" s="15">
        <v>9.9</v>
      </c>
      <c r="AQ117" s="15">
        <v>9.9</v>
      </c>
      <c r="AR117" s="15">
        <v>10.24</v>
      </c>
      <c r="AS117" s="15">
        <v>10.16</v>
      </c>
      <c r="AT117" s="15">
        <v>10.5</v>
      </c>
      <c r="AU117" s="15">
        <v>10.11</v>
      </c>
      <c r="AW117" s="186" t="str">
        <f>IF(VLOOKUP($A117,'I-Ligands'!$A:$G,3,FALSE)="","",VLOOKUP($A117,'I-Ligands'!$A:$G,3,FALSE))</f>
        <v>Endothelin-1</v>
      </c>
      <c r="AX117" s="187" t="str">
        <f>IF(VLOOKUP($A117,'I-Ligands'!$A:$G,4,FALSE)="","",VLOOKUP($A117,'I-Ligands'!$A:$G,4,FALSE))</f>
        <v>CSCSSLMDKECVYFCHLDIIW</v>
      </c>
      <c r="AY117" s="98">
        <v>6.9</v>
      </c>
      <c r="AZ117" s="99">
        <v>7.06</v>
      </c>
      <c r="BA117" s="99">
        <v>8.5299999999999994</v>
      </c>
      <c r="BB117" s="99">
        <v>8.5299999999999994</v>
      </c>
      <c r="BC117" s="99">
        <v>9.43</v>
      </c>
      <c r="BD117" s="99">
        <v>7.37</v>
      </c>
      <c r="BE117" s="99">
        <v>7.37</v>
      </c>
      <c r="BF117" s="99">
        <v>8.15</v>
      </c>
      <c r="BG117" s="99">
        <v>4.76</v>
      </c>
      <c r="BH117" s="99">
        <v>4.76</v>
      </c>
      <c r="BI117" s="99">
        <v>9.1999999999999993</v>
      </c>
      <c r="BJ117" s="99">
        <v>5.83</v>
      </c>
      <c r="BK117" s="99">
        <v>6.25</v>
      </c>
      <c r="BL117" s="99">
        <v>6.16</v>
      </c>
      <c r="BM117" s="98">
        <f t="shared" si="42"/>
        <v>5.333333333333333</v>
      </c>
      <c r="BN117" s="99">
        <f t="shared" si="43"/>
        <v>4.617563739376771</v>
      </c>
      <c r="BO117" s="99">
        <f t="shared" si="44"/>
        <v>4.9706916764361084</v>
      </c>
      <c r="BP117" s="99">
        <f t="shared" si="45"/>
        <v>4.9706916764361084</v>
      </c>
      <c r="BQ117" s="99">
        <f t="shared" si="46"/>
        <v>4.0296924708377517</v>
      </c>
      <c r="BR117" s="99">
        <f t="shared" si="47"/>
        <v>5.1967435549525094</v>
      </c>
      <c r="BS117" s="99">
        <f t="shared" si="48"/>
        <v>5.1967435549525094</v>
      </c>
      <c r="BT117" s="99">
        <f t="shared" si="49"/>
        <v>3.7791411042944785</v>
      </c>
      <c r="BU117" s="99">
        <f t="shared" si="50"/>
        <v>6.2394957983193278</v>
      </c>
      <c r="BV117" s="99">
        <f t="shared" si="51"/>
        <v>6.2394957983193278</v>
      </c>
      <c r="BW117" s="99">
        <f t="shared" si="52"/>
        <v>3.25</v>
      </c>
      <c r="BX117" s="99">
        <f t="shared" si="53"/>
        <v>7.2212692967409948</v>
      </c>
      <c r="BY117" s="99">
        <f t="shared" si="54"/>
        <v>6.9920000000000009</v>
      </c>
      <c r="BZ117" s="99">
        <f t="shared" si="55"/>
        <v>6.4935064935064934</v>
      </c>
      <c r="CA117" s="18" t="e">
        <f>VLOOKUP(A117,'Bouvier-GEMTA'!A:C,4,FALSE)</f>
        <v>#N/A</v>
      </c>
      <c r="CB117" s="18">
        <f>VLOOKUP(A117,'Martemyanov-FreeGβγ-Nluc'!A:BG,4,FALSE)</f>
        <v>990</v>
      </c>
    </row>
    <row r="118" spans="1:81" ht="18">
      <c r="A118" s="12" t="s">
        <v>229</v>
      </c>
      <c r="B118" s="13" t="s">
        <v>2670</v>
      </c>
      <c r="C118" s="9" t="str">
        <f>IF(VLOOKUP($A118,'I-Ligands'!$A:$G,5,FALSE)="","",VLOOKUP($A118,'I-Ligands'!$A:$G,5,FALSE))</f>
        <v>Guide to Pharmacology</v>
      </c>
      <c r="D118" s="9">
        <f>IF(VLOOKUP($A118,'I-Ligands'!$A:$G,6,FALSE)="","",VLOOKUP($A118,'I-Ligands'!$A:$G,6,FALSE))</f>
        <v>2168</v>
      </c>
      <c r="E118" s="9" t="str">
        <f>IF(VLOOKUP($A118,'I-Ligands'!$A:$G,7,FALSE)="","",VLOOKUP($A118,'I-Ligands'!$A:$G,7,FALSE))</f>
        <v>Phys</v>
      </c>
      <c r="F118" s="7" cm="1">
        <f t="array" ref="F118">_xlfn.IFS(T118=0,0,T118&gt;0,(LOG(0.01*T118/10^-AH118)))</f>
        <v>9.1741765418779604</v>
      </c>
      <c r="G118" s="8" cm="1">
        <f t="array" ref="G118">_xlfn.IFS(U118=0,0,U118&gt;0,(LOG(0.01*U118/10^-AI118)))</f>
        <v>9.0994864892685889</v>
      </c>
      <c r="H118" s="8" cm="1">
        <f t="array" ref="H118">_xlfn.IFS(V118=0,0,V118&gt;0,(LOG(0.01*V118/10^-AJ118)))</f>
        <v>8.5601996982030819</v>
      </c>
      <c r="I118" s="8" cm="1">
        <f t="array" ref="I118">_xlfn.IFS(W118=0,0,W118&gt;0,(LOG(0.01*W118/10^-AK118)))</f>
        <v>8.5601996982030819</v>
      </c>
      <c r="J118" s="8" cm="1">
        <f t="array" ref="J118">_xlfn.IFS(X118=0,0,X118&gt;0,(LOG(0.01*X118/10^-AL118)))</f>
        <v>8.6476299008713386</v>
      </c>
      <c r="K118" s="8" cm="1">
        <f t="array" ref="K118">_xlfn.IFS(Y118=0,0,Y118&gt;0,(LOG(0.01*Y118/10^-AM118)))</f>
        <v>8.0131862684122748</v>
      </c>
      <c r="L118" s="8" cm="1">
        <f t="array" ref="L118">_xlfn.IFS(Z118=0,0,Z118&gt;0,(LOG(0.01*Z118/10^-AN118)))</f>
        <v>8.0131862684122748</v>
      </c>
      <c r="M118" s="8" cm="1">
        <f t="array" ref="M118">_xlfn.IFS(AA118=0,0,AA118&gt;0,(LOG(0.01*AA118/10^-AO118)))</f>
        <v>7.981397124320452</v>
      </c>
      <c r="N118" s="8" cm="1">
        <f t="array" ref="N118">_xlfn.IFS(AB118=0,0,AB118&gt;0,(LOG(0.01*AB118/10^-AP118)))</f>
        <v>9.493841821876071</v>
      </c>
      <c r="O118" s="8" cm="1">
        <f t="array" ref="O118">_xlfn.IFS(AC118=0,0,AC118&gt;0,(LOG(0.01*AC118/10^-AQ118)))</f>
        <v>9.493841821876071</v>
      </c>
      <c r="P118" s="8" cm="1">
        <f t="array" ref="P118">_xlfn.IFS(AD118=0,0,AD118&gt;0,(LOG(0.01*AD118/10^-AR118)))</f>
        <v>8.3620170425748697</v>
      </c>
      <c r="Q118" s="8" cm="1">
        <f t="array" ref="Q118">_xlfn.IFS(AE118=0,0,AE118&gt;0,(LOG(0.01*AE118/10^-AS118)))</f>
        <v>6.9513616938342748</v>
      </c>
      <c r="R118" s="8" cm="1">
        <f t="array" ref="R118">_xlfn.IFS(AF118=0,0,AF118&gt;0,(LOG(0.01*AF118/10^-AT118)))</f>
        <v>7.6533228601204568</v>
      </c>
      <c r="S118" s="8" cm="1">
        <f t="array" ref="S118">_xlfn.IFS(AG118=0,0,AG118&gt;0,(LOG(0.01*AG118/10^-AU118)))</f>
        <v>7.4433228601204569</v>
      </c>
      <c r="T118" s="16">
        <v>45.1</v>
      </c>
      <c r="U118" s="17">
        <v>43.6</v>
      </c>
      <c r="V118" s="17">
        <v>33.9</v>
      </c>
      <c r="W118" s="17">
        <v>33.9</v>
      </c>
      <c r="X118" s="17">
        <v>33.700000000000003</v>
      </c>
      <c r="Y118" s="17">
        <v>14.9</v>
      </c>
      <c r="Z118" s="17">
        <v>14.9</v>
      </c>
      <c r="AA118" s="17">
        <v>15.9</v>
      </c>
      <c r="AB118" s="17">
        <v>41.1</v>
      </c>
      <c r="AC118" s="17">
        <v>41.1</v>
      </c>
      <c r="AD118" s="17">
        <v>24.1</v>
      </c>
      <c r="AE118" s="17">
        <v>3.1</v>
      </c>
      <c r="AF118" s="17">
        <v>7.3</v>
      </c>
      <c r="AG118" s="17">
        <v>7.3</v>
      </c>
      <c r="AH118" s="14">
        <v>9.52</v>
      </c>
      <c r="AI118" s="15">
        <v>9.4600000000000009</v>
      </c>
      <c r="AJ118" s="15">
        <v>9.0299999999999994</v>
      </c>
      <c r="AK118" s="15">
        <v>9.0299999999999994</v>
      </c>
      <c r="AL118" s="15">
        <v>9.1199999999999992</v>
      </c>
      <c r="AM118" s="15">
        <v>8.84</v>
      </c>
      <c r="AN118" s="15">
        <v>8.84</v>
      </c>
      <c r="AO118" s="15">
        <v>8.7799999999999994</v>
      </c>
      <c r="AP118" s="15">
        <v>9.8800000000000008</v>
      </c>
      <c r="AQ118" s="15">
        <v>9.8800000000000008</v>
      </c>
      <c r="AR118" s="15">
        <v>8.98</v>
      </c>
      <c r="AS118" s="15">
        <v>8.4600000000000009</v>
      </c>
      <c r="AT118" s="15">
        <v>8.7899999999999991</v>
      </c>
      <c r="AU118" s="15">
        <v>8.58</v>
      </c>
      <c r="AW118" s="186" t="str">
        <f>IF(VLOOKUP($A118,'I-Ligands'!$A:$G,3,FALSE)="","",VLOOKUP($A118,'I-Ligands'!$A:$G,3,FALSE))</f>
        <v>Vasopressin</v>
      </c>
      <c r="AX118" s="187" t="str">
        <f>IF(VLOOKUP($A118,'I-Ligands'!$A:$G,4,FALSE)="","",VLOOKUP($A118,'I-Ligands'!$A:$G,4,FALSE))</f>
        <v>CYFQNCPRG-NH2</v>
      </c>
      <c r="AY118" s="98">
        <v>4.82</v>
      </c>
      <c r="AZ118" s="99">
        <v>3.46</v>
      </c>
      <c r="BA118" s="99">
        <v>9.59</v>
      </c>
      <c r="BB118" s="99">
        <v>9.59</v>
      </c>
      <c r="BC118" s="99">
        <v>7.66</v>
      </c>
      <c r="BD118" s="99">
        <v>6.04</v>
      </c>
      <c r="BE118" s="99">
        <v>6.04</v>
      </c>
      <c r="BF118" s="99">
        <v>4.7300000000000004</v>
      </c>
      <c r="BG118" s="99">
        <v>6.48</v>
      </c>
      <c r="BH118" s="99">
        <v>6.48</v>
      </c>
      <c r="BI118" s="99">
        <v>4.7300000000000004</v>
      </c>
      <c r="BJ118" s="99">
        <v>5.49</v>
      </c>
      <c r="BK118" s="99">
        <v>4.4800000000000004</v>
      </c>
      <c r="BL118" s="99">
        <v>5.54</v>
      </c>
      <c r="BM118" s="98">
        <f t="shared" si="42"/>
        <v>9.3568464730290462</v>
      </c>
      <c r="BN118" s="99">
        <f t="shared" si="43"/>
        <v>12.601156069364162</v>
      </c>
      <c r="BO118" s="99">
        <f t="shared" si="44"/>
        <v>3.5349322210636078</v>
      </c>
      <c r="BP118" s="99">
        <f t="shared" si="45"/>
        <v>3.5349322210636078</v>
      </c>
      <c r="BQ118" s="99">
        <f t="shared" si="46"/>
        <v>4.3994778067885116</v>
      </c>
      <c r="BR118" s="99">
        <f t="shared" si="47"/>
        <v>2.4668874172185431</v>
      </c>
      <c r="BS118" s="99">
        <f t="shared" si="48"/>
        <v>2.4668874172185431</v>
      </c>
      <c r="BT118" s="99">
        <f t="shared" si="49"/>
        <v>3.3615221987315009</v>
      </c>
      <c r="BU118" s="99">
        <f t="shared" si="50"/>
        <v>6.3425925925925926</v>
      </c>
      <c r="BV118" s="99">
        <f t="shared" si="51"/>
        <v>6.3425925925925926</v>
      </c>
      <c r="BW118" s="99">
        <f t="shared" si="52"/>
        <v>5.0951374207188156</v>
      </c>
      <c r="BX118" s="99">
        <f t="shared" si="53"/>
        <v>0.56466302367941712</v>
      </c>
      <c r="BY118" s="99">
        <f t="shared" si="54"/>
        <v>1.6294642857142856</v>
      </c>
      <c r="BZ118" s="99">
        <f t="shared" si="55"/>
        <v>1.3176895306859204</v>
      </c>
      <c r="CA118" s="18" t="e">
        <f>VLOOKUP(A118,'Bouvier-GEMTA'!A:C,4,FALSE)</f>
        <v>#N/A</v>
      </c>
      <c r="CB118" s="18">
        <f>VLOOKUP(A118,'Martemyanov-FreeGβγ-Nluc'!A:BG,4,FALSE)</f>
        <v>2168</v>
      </c>
    </row>
    <row r="119" spans="1:81" ht="18">
      <c r="A119" s="12" t="s">
        <v>81</v>
      </c>
      <c r="B119" s="13" t="s">
        <v>2619</v>
      </c>
      <c r="C119" s="9" t="str">
        <f>IF(VLOOKUP($A119,'I-Ligands'!$A:$G,5,FALSE)="","",VLOOKUP($A119,'I-Ligands'!$A:$G,5,FALSE))</f>
        <v>Guide to Pharmacology</v>
      </c>
      <c r="D119" s="9">
        <f>IF(VLOOKUP($A119,'I-Ligands'!$A:$G,6,FALSE)="","",VLOOKUP($A119,'I-Ligands'!$A:$G,6,FALSE))</f>
        <v>864</v>
      </c>
      <c r="E119" s="9" t="str">
        <f>IF(VLOOKUP($A119,'I-Ligands'!$A:$G,7,FALSE)="","",VLOOKUP($A119,'I-Ligands'!$A:$G,7,FALSE))</f>
        <v>Phys</v>
      </c>
      <c r="F119" s="7" cm="1">
        <f t="array" ref="F119">_xlfn.IFS(T119=0,0,T119&gt;0,(LOG(0.01*T119/10^-AH119)))</f>
        <v>9.5743925503754284</v>
      </c>
      <c r="G119" s="8" cm="1">
        <f t="array" ref="G119">_xlfn.IFS(U119=0,0,U119&gt;0,(LOG(0.01*U119/10^-AI119)))</f>
        <v>9.5343925503754274</v>
      </c>
      <c r="H119" s="8" cm="1">
        <f t="array" ref="H119">_xlfn.IFS(V119=0,0,V119&gt;0,(LOG(0.01*V119/10^-AJ119)))</f>
        <v>9.6985260335771954</v>
      </c>
      <c r="I119" s="8" cm="1">
        <f t="array" ref="I119">_xlfn.IFS(W119=0,0,W119&gt;0,(LOG(0.01*W119/10^-AK119)))</f>
        <v>9.6985260335771954</v>
      </c>
      <c r="J119" s="8" cm="1">
        <f t="array" ref="J119">_xlfn.IFS(X119=0,0,X119&gt;0,(LOG(0.01*X119/10^-AL119)))</f>
        <v>9.9070263661590605</v>
      </c>
      <c r="K119" s="8" cm="1">
        <f t="array" ref="K119">_xlfn.IFS(Y119=0,0,Y119&gt;0,(LOG(0.01*Y119/10^-AM119)))</f>
        <v>9.0824271199844322</v>
      </c>
      <c r="L119" s="8" cm="1">
        <f t="array" ref="L119">_xlfn.IFS(Z119=0,0,Z119&gt;0,(LOG(0.01*Z119/10^-AN119)))</f>
        <v>9.0824271199844322</v>
      </c>
      <c r="M119" s="8" cm="1">
        <f t="array" ref="M119">_xlfn.IFS(AA119=0,0,AA119&gt;0,(LOG(0.01*AA119/10^-AO119)))</f>
        <v>8.7200713879850777</v>
      </c>
      <c r="N119" s="8" cm="1">
        <f t="array" ref="N119">_xlfn.IFS(AB119=0,0,AB119&gt;0,(LOG(0.01*AB119/10^-AP119)))</f>
        <v>10.019076098792778</v>
      </c>
      <c r="O119" s="8" cm="1">
        <f t="array" ref="O119">_xlfn.IFS(AC119=0,0,AC119&gt;0,(LOG(0.01*AC119/10^-AQ119)))</f>
        <v>10.019076098792778</v>
      </c>
      <c r="P119" s="8" cm="1">
        <f t="array" ref="P119">_xlfn.IFS(AD119=0,0,AD119&gt;0,(LOG(0.01*AD119/10^-AR119)))</f>
        <v>10.077158031342222</v>
      </c>
      <c r="Q119" s="8" cm="1">
        <f t="array" ref="Q119">_xlfn.IFS(AE119=0,0,AE119&gt;0,(LOG(0.01*AE119/10^-AS119)))</f>
        <v>9.1505450102066135</v>
      </c>
      <c r="R119" s="8" cm="1">
        <f t="array" ref="R119">_xlfn.IFS(AF119=0,0,AF119&gt;0,(LOG(0.01*AF119/10^-AT119)))</f>
        <v>9.3310646070264998</v>
      </c>
      <c r="S119" s="8" cm="1">
        <f t="array" ref="S119">_xlfn.IFS(AG119=0,0,AG119&gt;0,(LOG(0.01*AG119/10^-AU119)))</f>
        <v>9.227774705387823</v>
      </c>
      <c r="T119" s="16">
        <v>39.299999999999997</v>
      </c>
      <c r="U119" s="17">
        <v>39.299999999999997</v>
      </c>
      <c r="V119" s="17">
        <v>40.6</v>
      </c>
      <c r="W119" s="17">
        <v>40.6</v>
      </c>
      <c r="X119" s="17">
        <v>36.9</v>
      </c>
      <c r="Y119" s="17">
        <v>31.8</v>
      </c>
      <c r="Z119" s="17">
        <v>31.8</v>
      </c>
      <c r="AA119" s="17">
        <v>18.2</v>
      </c>
      <c r="AB119" s="17">
        <v>34.6</v>
      </c>
      <c r="AC119" s="17">
        <v>34.6</v>
      </c>
      <c r="AD119" s="17">
        <v>28</v>
      </c>
      <c r="AE119" s="17">
        <v>32.4</v>
      </c>
      <c r="AF119" s="17">
        <v>39</v>
      </c>
      <c r="AG119" s="17">
        <v>35.299999999999997</v>
      </c>
      <c r="AH119" s="14">
        <v>9.98</v>
      </c>
      <c r="AI119" s="15">
        <v>9.94</v>
      </c>
      <c r="AJ119" s="15">
        <v>10.09</v>
      </c>
      <c r="AK119" s="15">
        <v>10.09</v>
      </c>
      <c r="AL119" s="15">
        <v>10.34</v>
      </c>
      <c r="AM119" s="15">
        <v>9.58</v>
      </c>
      <c r="AN119" s="15">
        <v>9.58</v>
      </c>
      <c r="AO119" s="15">
        <v>9.4600000000000009</v>
      </c>
      <c r="AP119" s="15">
        <v>10.48</v>
      </c>
      <c r="AQ119" s="15">
        <v>10.48</v>
      </c>
      <c r="AR119" s="15">
        <v>10.63</v>
      </c>
      <c r="AS119" s="15">
        <v>9.64</v>
      </c>
      <c r="AT119" s="15">
        <v>9.74</v>
      </c>
      <c r="AU119" s="15">
        <v>9.68</v>
      </c>
      <c r="AW119" s="186" t="str">
        <f>IF(VLOOKUP($A119,'I-Ligands'!$A:$G,3,FALSE)="","",VLOOKUP($A119,'I-Ligands'!$A:$G,3,FALSE))</f>
        <v>CCK-Octapeptide</v>
      </c>
      <c r="AX119" s="187" t="str">
        <f>IF(VLOOKUP($A119,'I-Ligands'!$A:$G,4,FALSE)="","",VLOOKUP($A119,'I-Ligands'!$A:$G,4,FALSE))</f>
        <v>DY(SO3H)MGWMDF-NH2</v>
      </c>
      <c r="AY119" s="98">
        <v>3.29</v>
      </c>
      <c r="AZ119" s="99">
        <v>2.96</v>
      </c>
      <c r="BA119" s="99">
        <v>3.14</v>
      </c>
      <c r="BB119" s="99">
        <v>3.14</v>
      </c>
      <c r="BC119" s="99">
        <v>3.24</v>
      </c>
      <c r="BD119" s="99">
        <v>2.92</v>
      </c>
      <c r="BE119" s="99">
        <v>2.92</v>
      </c>
      <c r="BF119" s="99">
        <v>2.2000000000000002</v>
      </c>
      <c r="BG119" s="99">
        <v>5.37</v>
      </c>
      <c r="BH119" s="99">
        <v>5.37</v>
      </c>
      <c r="BI119" s="99">
        <v>6.75</v>
      </c>
      <c r="BJ119" s="99">
        <v>2.96</v>
      </c>
      <c r="BK119" s="99">
        <v>0.92</v>
      </c>
      <c r="BL119" s="99">
        <v>2.25</v>
      </c>
      <c r="BM119" s="98">
        <f t="shared" si="42"/>
        <v>11.945288753799391</v>
      </c>
      <c r="BN119" s="99">
        <f t="shared" si="43"/>
        <v>13.277027027027026</v>
      </c>
      <c r="BO119" s="99">
        <f t="shared" si="44"/>
        <v>12.929936305732484</v>
      </c>
      <c r="BP119" s="99">
        <f t="shared" si="45"/>
        <v>12.929936305732484</v>
      </c>
      <c r="BQ119" s="99">
        <f t="shared" si="46"/>
        <v>11.388888888888888</v>
      </c>
      <c r="BR119" s="99">
        <f t="shared" si="47"/>
        <v>10.890410958904111</v>
      </c>
      <c r="BS119" s="99">
        <f t="shared" si="48"/>
        <v>10.890410958904111</v>
      </c>
      <c r="BT119" s="99">
        <f t="shared" si="49"/>
        <v>8.2727272727272716</v>
      </c>
      <c r="BU119" s="99">
        <f t="shared" si="50"/>
        <v>6.4432029795158288</v>
      </c>
      <c r="BV119" s="99">
        <f t="shared" si="51"/>
        <v>6.4432029795158288</v>
      </c>
      <c r="BW119" s="99">
        <f t="shared" si="52"/>
        <v>4.1481481481481479</v>
      </c>
      <c r="BX119" s="99">
        <f t="shared" si="53"/>
        <v>10.945945945945946</v>
      </c>
      <c r="BY119" s="99">
        <f t="shared" si="54"/>
        <v>42.391304347826086</v>
      </c>
      <c r="BZ119" s="99">
        <f t="shared" si="55"/>
        <v>15.688888888888888</v>
      </c>
      <c r="CA119" s="18" t="e">
        <f>VLOOKUP(A119,'Bouvier-GEMTA'!A:C,4,FALSE)</f>
        <v>#N/A</v>
      </c>
      <c r="CB119" s="18">
        <f>VLOOKUP(A119,'Martemyanov-FreeGβγ-Nluc'!A:BG,4,FALSE)</f>
        <v>864</v>
      </c>
    </row>
    <row r="120" spans="1:81">
      <c r="A120" s="12" t="s">
        <v>209</v>
      </c>
      <c r="B120" s="13" t="s">
        <v>2537</v>
      </c>
      <c r="C120" s="9" t="str">
        <f>IF(VLOOKUP($A120,'I-Ligands'!$A:$G,5,FALSE)="","",VLOOKUP($A120,'I-Ligands'!$A:$G,5,FALSE))</f>
        <v>Guide to Pharmacology</v>
      </c>
      <c r="D120" s="9">
        <f>IF(VLOOKUP($A120,'I-Ligands'!$A:$G,6,FALSE)="","",VLOOKUP($A120,'I-Ligands'!$A:$G,6,FALSE))</f>
        <v>1888</v>
      </c>
      <c r="E120" s="9" t="str">
        <f>IF(VLOOKUP($A120,'I-Ligands'!$A:$G,7,FALSE)="","",VLOOKUP($A120,'I-Ligands'!$A:$G,7,FALSE))</f>
        <v>Surr</v>
      </c>
      <c r="F120" s="7" cm="1">
        <f t="array" ref="F120">_xlfn.IFS(T120=0,0,T120&gt;0,(LOG(0.01*T120/10^-AH120)))</f>
        <v>7.6821450763738319</v>
      </c>
      <c r="G120" s="8" cm="1">
        <f t="array" ref="G120">_xlfn.IFS(U120=0,0,U120&gt;0,(LOG(0.01*U120/10^-AI120)))</f>
        <v>7.5148611407378114</v>
      </c>
      <c r="H120" s="8" cm="1">
        <f t="array" ref="H120">_xlfn.IFS(V120=0,0,V120&gt;0,(LOG(0.01*V120/10^-AJ120)))</f>
        <v>7.845741738602265</v>
      </c>
      <c r="I120" s="8" cm="1">
        <f t="array" ref="I120">_xlfn.IFS(W120=0,0,W120&gt;0,(LOG(0.01*W120/10^-AK120)))</f>
        <v>7.845741738602265</v>
      </c>
      <c r="J120" s="8" cm="1">
        <f t="array" ref="J120">_xlfn.IFS(X120=0,0,X120&gt;0,(LOG(0.01*X120/10^-AL120)))</f>
        <v>7.0517088318086891</v>
      </c>
      <c r="K120" s="8" cm="1">
        <f t="array" ref="K120">_xlfn.IFS(Y120=0,0,Y120&gt;0,(LOG(0.01*Y120/10^-AM120)))</f>
        <v>6.4956062735983133</v>
      </c>
      <c r="L120" s="8" cm="1">
        <f t="array" ref="L120">_xlfn.IFS(Z120=0,0,Z120&gt;0,(LOG(0.01*Z120/10^-AN120)))</f>
        <v>6.4956062735983133</v>
      </c>
      <c r="M120" s="8" cm="1">
        <f t="array" ref="M120">_xlfn.IFS(AA120=0,0,AA120&gt;0,(LOG(0.01*AA120/10^-AO120)))</f>
        <v>6.0206978403536118</v>
      </c>
      <c r="N120" s="8" cm="1">
        <f t="array" ref="N120">_xlfn.IFS(AB120=0,0,AB120&gt;0,(LOG(0.01*AB120/10^-AP120)))</f>
        <v>8.7684892569546395</v>
      </c>
      <c r="O120" s="8" cm="1">
        <f t="array" ref="O120">_xlfn.IFS(AC120=0,0,AC120&gt;0,(LOG(0.01*AC120/10^-AQ120)))</f>
        <v>8.7684892569546395</v>
      </c>
      <c r="P120" s="8" cm="1">
        <f t="array" ref="P120">_xlfn.IFS(AD120=0,0,AD120&gt;0,(LOG(0.01*AD120/10^-AR120)))</f>
        <v>8.7042820958356693</v>
      </c>
      <c r="Q120" s="8" cm="1">
        <f t="array" ref="Q120">_xlfn.IFS(AE120=0,0,AE120&gt;0,(LOG(0.01*AE120/10^-AS120)))</f>
        <v>6.0674839442139064</v>
      </c>
      <c r="R120" s="8" cm="1">
        <f t="array" ref="R120">_xlfn.IFS(AF120=0,0,AF120&gt;0,(LOG(0.01*AF120/10^-AT120)))</f>
        <v>7.6830209071288973</v>
      </c>
      <c r="S120" s="8" cm="1">
        <f t="array" ref="S120">_xlfn.IFS(AG120=0,0,AG120&gt;0,(LOG(0.01*AG120/10^-AU120)))</f>
        <v>8.3341505168398005</v>
      </c>
      <c r="T120" s="16">
        <v>48.1</v>
      </c>
      <c r="U120" s="17">
        <v>47.3</v>
      </c>
      <c r="V120" s="17">
        <v>48.5</v>
      </c>
      <c r="W120" s="17">
        <v>48.5</v>
      </c>
      <c r="X120" s="17">
        <v>37.299999999999997</v>
      </c>
      <c r="Y120" s="17">
        <v>24.3</v>
      </c>
      <c r="Z120" s="17">
        <v>24.3</v>
      </c>
      <c r="AA120" s="17">
        <v>11.5</v>
      </c>
      <c r="AB120" s="17">
        <v>43.5</v>
      </c>
      <c r="AC120" s="17">
        <v>43.5</v>
      </c>
      <c r="AD120" s="17">
        <v>42.1</v>
      </c>
      <c r="AE120" s="17">
        <v>16.5</v>
      </c>
      <c r="AF120" s="17">
        <v>47.1</v>
      </c>
      <c r="AG120" s="17">
        <v>50.6</v>
      </c>
      <c r="AH120" s="14">
        <v>8</v>
      </c>
      <c r="AI120" s="15">
        <v>7.84</v>
      </c>
      <c r="AJ120" s="15">
        <v>8.16</v>
      </c>
      <c r="AK120" s="15">
        <v>8.16</v>
      </c>
      <c r="AL120" s="15">
        <v>7.48</v>
      </c>
      <c r="AM120" s="15">
        <v>7.11</v>
      </c>
      <c r="AN120" s="15">
        <v>7.11</v>
      </c>
      <c r="AO120" s="15">
        <v>6.96</v>
      </c>
      <c r="AP120" s="15">
        <v>9.1300000000000008</v>
      </c>
      <c r="AQ120" s="15">
        <v>9.1300000000000008</v>
      </c>
      <c r="AR120" s="15">
        <v>9.08</v>
      </c>
      <c r="AS120" s="15">
        <v>6.85</v>
      </c>
      <c r="AT120" s="15">
        <v>8.01</v>
      </c>
      <c r="AU120" s="15">
        <v>8.6300000000000008</v>
      </c>
      <c r="AW120" s="186" t="str">
        <f>IF(VLOOKUP($A120,'I-Ligands'!$A:$G,3,FALSE)="","",VLOOKUP($A120,'I-Ligands'!$A:$G,3,FALSE))</f>
        <v>U-46619</v>
      </c>
      <c r="AX120" s="187" t="str">
        <f>IF(VLOOKUP($A120,'I-Ligands'!$A:$G,4,FALSE)="","",VLOOKUP($A120,'I-Ligands'!$A:$G,4,FALSE))</f>
        <v>U-46619</v>
      </c>
      <c r="AY120" s="98">
        <v>3.44</v>
      </c>
      <c r="AZ120" s="99">
        <v>2.85</v>
      </c>
      <c r="BA120" s="99">
        <v>2.17</v>
      </c>
      <c r="BB120" s="99">
        <v>2.17</v>
      </c>
      <c r="BC120" s="99">
        <v>1.78</v>
      </c>
      <c r="BD120" s="99">
        <v>1.71</v>
      </c>
      <c r="BE120" s="99">
        <v>1.71</v>
      </c>
      <c r="BF120" s="99">
        <v>2.13</v>
      </c>
      <c r="BG120" s="99">
        <v>5.96</v>
      </c>
      <c r="BH120" s="99">
        <v>5.96</v>
      </c>
      <c r="BI120" s="99">
        <v>7.14</v>
      </c>
      <c r="BJ120" s="99">
        <v>2.58</v>
      </c>
      <c r="BK120" s="99">
        <v>1</v>
      </c>
      <c r="BL120" s="99">
        <v>2.5499999999999998</v>
      </c>
      <c r="BM120" s="98">
        <f t="shared" si="42"/>
        <v>13.982558139534884</v>
      </c>
      <c r="BN120" s="99">
        <f t="shared" si="43"/>
        <v>16.596491228070175</v>
      </c>
      <c r="BO120" s="99">
        <f t="shared" si="44"/>
        <v>22.350230414746544</v>
      </c>
      <c r="BP120" s="99">
        <f t="shared" si="45"/>
        <v>22.350230414746544</v>
      </c>
      <c r="BQ120" s="99">
        <f t="shared" si="46"/>
        <v>20.95505617977528</v>
      </c>
      <c r="BR120" s="99">
        <f t="shared" si="47"/>
        <v>14.210526315789474</v>
      </c>
      <c r="BS120" s="99">
        <f t="shared" si="48"/>
        <v>14.210526315789474</v>
      </c>
      <c r="BT120" s="99">
        <f t="shared" si="49"/>
        <v>5.39906103286385</v>
      </c>
      <c r="BU120" s="99">
        <f t="shared" si="50"/>
        <v>7.298657718120805</v>
      </c>
      <c r="BV120" s="99">
        <f t="shared" si="51"/>
        <v>7.298657718120805</v>
      </c>
      <c r="BW120" s="99">
        <f t="shared" si="52"/>
        <v>5.8963585434173673</v>
      </c>
      <c r="BX120" s="99">
        <f t="shared" si="53"/>
        <v>6.3953488372093021</v>
      </c>
      <c r="BY120" s="99">
        <f t="shared" si="54"/>
        <v>47.1</v>
      </c>
      <c r="BZ120" s="99">
        <f t="shared" si="55"/>
        <v>19.843137254901961</v>
      </c>
      <c r="CA120" s="18" t="e">
        <f>VLOOKUP(A120,'Bouvier-GEMTA'!A:C,4,FALSE)</f>
        <v>#N/A</v>
      </c>
      <c r="CB120" s="18">
        <f>VLOOKUP(A120,'Martemyanov-FreeGβγ-Nluc'!A:BG,4,FALSE)</f>
        <v>4483</v>
      </c>
    </row>
    <row r="121" spans="1:81" ht="18">
      <c r="A121" s="12" t="s">
        <v>23</v>
      </c>
      <c r="B121" s="13" t="s">
        <v>2580</v>
      </c>
      <c r="C121" s="9" t="str">
        <f>IF(VLOOKUP($A121,'I-Ligands'!$A:$G,5,FALSE)="","",VLOOKUP($A121,'I-Ligands'!$A:$G,5,FALSE))</f>
        <v>Guide to Pharmacology</v>
      </c>
      <c r="D121" s="9">
        <f>IF(VLOOKUP($A121,'I-Ligands'!$A:$G,6,FALSE)="","",VLOOKUP($A121,'I-Ligands'!$A:$G,6,FALSE))</f>
        <v>5</v>
      </c>
      <c r="E121" s="9" t="str">
        <f>IF(VLOOKUP($A121,'I-Ligands'!$A:$G,7,FALSE)="","",VLOOKUP($A121,'I-Ligands'!$A:$G,7,FALSE))</f>
        <v>Phys</v>
      </c>
      <c r="F121" s="7" cm="1">
        <f t="array" ref="F121">_xlfn.IFS(T121=0,0,T121&gt;0,(LOG(0.01*T121/10^-AH121)))</f>
        <v>6.3656062735983125</v>
      </c>
      <c r="G121" s="8" cm="1">
        <f t="array" ref="G121">_xlfn.IFS(U121=0,0,U121&gt;0,(LOG(0.01*U121/10^-AI121)))</f>
        <v>6.2792158574101435</v>
      </c>
      <c r="H121" s="8" cm="1">
        <f t="array" ref="H121">_xlfn.IFS(V121=0,0,V121&gt;0,(LOG(0.01*V121/10^-AJ121)))</f>
        <v>6.9644537511509315</v>
      </c>
      <c r="I121" s="8" cm="1">
        <f t="array" ref="I121">_xlfn.IFS(W121=0,0,W121&gt;0,(LOG(0.01*W121/10^-AK121)))</f>
        <v>6.9644537511509315</v>
      </c>
      <c r="J121" s="8" cm="1">
        <f t="array" ref="J121">_xlfn.IFS(X121=0,0,X121&gt;0,(LOG(0.01*X121/10^-AL121)))</f>
        <v>6.9733012287035496</v>
      </c>
      <c r="K121" s="8" cm="1">
        <f t="array" ref="K121">_xlfn.IFS(Y121=0,0,Y121&gt;0,(LOG(0.01*Y121/10^-AM121)))</f>
        <v>6.6359703454569186</v>
      </c>
      <c r="L121" s="8" cm="1">
        <f t="array" ref="L121">_xlfn.IFS(Z121=0,0,Z121&gt;0,(LOG(0.01*Z121/10^-AN121)))</f>
        <v>6.6359703454569186</v>
      </c>
      <c r="M121" s="8" cm="1">
        <f t="array" ref="M121">_xlfn.IFS(AA121=0,0,AA121&gt;0,(LOG(0.01*AA121/10^-AO121)))</f>
        <v>6.8139433523068371</v>
      </c>
      <c r="N121" s="8" cm="1">
        <f t="array" ref="N121">_xlfn.IFS(AB121=0,0,AB121&gt;0,(LOG(0.01*AB121/10^-AP121)))</f>
        <v>6.5000346113625191</v>
      </c>
      <c r="O121" s="8" cm="1">
        <f t="array" ref="O121">_xlfn.IFS(AC121=0,0,AC121&gt;0,(LOG(0.01*AC121/10^-AQ121)))</f>
        <v>6.5000346113625191</v>
      </c>
      <c r="P121" s="8" cm="1">
        <f t="array" ref="P121">_xlfn.IFS(AD121=0,0,AD121&gt;0,(LOG(0.01*AD121/10^-AR121)))</f>
        <v>6.7180461031287972</v>
      </c>
      <c r="Q121" s="8" cm="1">
        <f t="array" ref="Q121">_xlfn.IFS(AE121=0,0,AE121&gt;0,(LOG(0.01*AE121/10^-AS121)))</f>
        <v>5.840108088040056</v>
      </c>
      <c r="R121" s="8" cm="1">
        <f t="array" ref="R121">_xlfn.IFS(AF121=0,0,AF121&gt;0,(LOG(0.01*AF121/10^-AT121)))</f>
        <v>5.9778017299302268</v>
      </c>
      <c r="S121" s="8" cm="1">
        <f t="array" ref="S121">_xlfn.IFS(AG121=0,0,AG121&gt;0,(LOG(0.01*AG121/10^-AU121)))</f>
        <v>5.9253092817258635</v>
      </c>
      <c r="T121" s="16">
        <v>24.3</v>
      </c>
      <c r="U121" s="17">
        <v>23.4</v>
      </c>
      <c r="V121" s="17">
        <v>21.6</v>
      </c>
      <c r="W121" s="17">
        <v>21.6</v>
      </c>
      <c r="X121" s="17">
        <v>19.2</v>
      </c>
      <c r="Y121" s="17">
        <v>20.7</v>
      </c>
      <c r="Z121" s="17">
        <v>20.7</v>
      </c>
      <c r="AA121" s="17">
        <v>13</v>
      </c>
      <c r="AB121" s="17">
        <v>19.5</v>
      </c>
      <c r="AC121" s="17">
        <v>19.5</v>
      </c>
      <c r="AD121" s="17">
        <v>17.3</v>
      </c>
      <c r="AE121" s="17">
        <v>16.600000000000001</v>
      </c>
      <c r="AF121" s="17">
        <v>19.399999999999999</v>
      </c>
      <c r="AG121" s="17">
        <v>16.8</v>
      </c>
      <c r="AH121" s="14">
        <v>6.98</v>
      </c>
      <c r="AI121" s="15">
        <v>6.91</v>
      </c>
      <c r="AJ121" s="15">
        <v>7.63</v>
      </c>
      <c r="AK121" s="15">
        <v>7.63</v>
      </c>
      <c r="AL121" s="15">
        <v>7.69</v>
      </c>
      <c r="AM121" s="15">
        <v>7.32</v>
      </c>
      <c r="AN121" s="15">
        <v>7.32</v>
      </c>
      <c r="AO121" s="15">
        <v>7.7</v>
      </c>
      <c r="AP121" s="15">
        <v>7.21</v>
      </c>
      <c r="AQ121" s="15">
        <v>7.21</v>
      </c>
      <c r="AR121" s="15">
        <v>7.48</v>
      </c>
      <c r="AS121" s="15">
        <v>6.62</v>
      </c>
      <c r="AT121" s="15">
        <v>6.69</v>
      </c>
      <c r="AU121" s="15">
        <v>6.7</v>
      </c>
      <c r="AW121" s="186" t="str">
        <f>IF(VLOOKUP($A121,'I-Ligands'!$A:$G,3,FALSE)="","",VLOOKUP($A121,'I-Ligands'!$A:$G,3,FALSE))</f>
        <v>Serotonin</v>
      </c>
      <c r="AX121" s="187" t="str">
        <f>IF(VLOOKUP($A121,'I-Ligands'!$A:$G,4,FALSE)="","",VLOOKUP($A121,'I-Ligands'!$A:$G,4,FALSE))</f>
        <v>5-Hydroxytryptamine Hydrochloride</v>
      </c>
      <c r="AY121" s="98">
        <v>2.5099999999999998</v>
      </c>
      <c r="AZ121" s="99">
        <v>2</v>
      </c>
      <c r="BA121" s="99">
        <v>1.7</v>
      </c>
      <c r="BB121" s="99">
        <v>1.7</v>
      </c>
      <c r="BC121" s="99">
        <v>2.54</v>
      </c>
      <c r="BD121" s="99">
        <v>1.85</v>
      </c>
      <c r="BE121" s="99">
        <v>1.85</v>
      </c>
      <c r="BF121" s="99">
        <v>1.99</v>
      </c>
      <c r="BG121" s="99">
        <v>1.6</v>
      </c>
      <c r="BH121" s="99">
        <v>1.6</v>
      </c>
      <c r="BI121" s="99">
        <v>1.06</v>
      </c>
      <c r="BJ121" s="99">
        <v>2.93</v>
      </c>
      <c r="BK121" s="99">
        <v>1.19</v>
      </c>
      <c r="BL121" s="99">
        <v>1.48</v>
      </c>
      <c r="BM121" s="98">
        <f t="shared" si="42"/>
        <v>9.6812749003984067</v>
      </c>
      <c r="BN121" s="99">
        <f t="shared" si="43"/>
        <v>11.7</v>
      </c>
      <c r="BO121" s="99">
        <f t="shared" si="44"/>
        <v>12.705882352941178</v>
      </c>
      <c r="BP121" s="99">
        <f t="shared" si="45"/>
        <v>12.705882352941178</v>
      </c>
      <c r="BQ121" s="99">
        <f t="shared" si="46"/>
        <v>7.5590551181102361</v>
      </c>
      <c r="BR121" s="99">
        <f t="shared" si="47"/>
        <v>11.189189189189188</v>
      </c>
      <c r="BS121" s="99">
        <f t="shared" si="48"/>
        <v>11.189189189189188</v>
      </c>
      <c r="BT121" s="99">
        <f t="shared" si="49"/>
        <v>6.5326633165829149</v>
      </c>
      <c r="BU121" s="99">
        <f t="shared" si="50"/>
        <v>12.1875</v>
      </c>
      <c r="BV121" s="99">
        <f t="shared" si="51"/>
        <v>12.1875</v>
      </c>
      <c r="BW121" s="99">
        <f t="shared" si="52"/>
        <v>16.320754716981131</v>
      </c>
      <c r="BX121" s="99">
        <f t="shared" si="53"/>
        <v>5.6655290102389078</v>
      </c>
      <c r="BY121" s="99">
        <f t="shared" si="54"/>
        <v>16.30252100840336</v>
      </c>
      <c r="BZ121" s="99">
        <f t="shared" si="55"/>
        <v>11.351351351351353</v>
      </c>
      <c r="CA121" s="18" t="e">
        <f>VLOOKUP(A121,'Bouvier-GEMTA'!A:C,4,FALSE)</f>
        <v>#N/A</v>
      </c>
      <c r="CB121" s="18">
        <f>VLOOKUP(A121,'Martemyanov-FreeGβγ-Nluc'!A:BG,4,FALSE)</f>
        <v>5</v>
      </c>
    </row>
    <row r="122" spans="1:81" ht="18">
      <c r="A122" s="12" t="s">
        <v>121</v>
      </c>
      <c r="B122" s="13" t="s">
        <v>2616</v>
      </c>
      <c r="C122" s="9" t="str">
        <f>IF(VLOOKUP($A122,'I-Ligands'!$A:$G,5,FALSE)="","",VLOOKUP($A122,'I-Ligands'!$A:$G,5,FALSE))</f>
        <v>Guide to Pharmacology</v>
      </c>
      <c r="D122" s="9">
        <f>IF(VLOOKUP($A122,'I-Ligands'!$A:$G,6,FALSE)="","",VLOOKUP($A122,'I-Ligands'!$A:$G,6,FALSE))</f>
        <v>3592</v>
      </c>
      <c r="E122" s="9" t="str">
        <f>IF(VLOOKUP($A122,'I-Ligands'!$A:$G,7,FALSE)="","",VLOOKUP($A122,'I-Ligands'!$A:$G,7,FALSE))</f>
        <v>Phys</v>
      </c>
      <c r="F122" s="7" cm="1">
        <f t="array" ref="F122">_xlfn.IFS(T122=0,0,T122&gt;0,(LOG(0.01*T122/10^-AH122)))</f>
        <v>5.9067717342662451</v>
      </c>
      <c r="G122" s="8" cm="1">
        <f t="array" ref="G122">_xlfn.IFS(U122=0,0,U122&gt;0,(LOG(0.01*U122/10^-AI122)))</f>
        <v>5.8660748027008269</v>
      </c>
      <c r="H122" s="8" cm="1">
        <f t="array" ref="H122">_xlfn.IFS(V122=0,0,V122&gt;0,(LOG(0.01*V122/10^-AJ122)))</f>
        <v>7.6611762817750355</v>
      </c>
      <c r="I122" s="8" cm="1">
        <f t="array" ref="I122">_xlfn.IFS(W122=0,0,W122&gt;0,(LOG(0.01*W122/10^-AK122)))</f>
        <v>7.6611762817750355</v>
      </c>
      <c r="J122" s="8" cm="1">
        <f t="array" ref="J122">_xlfn.IFS(X122=0,0,X122&gt;0,(LOG(0.01*X122/10^-AL122)))</f>
        <v>8.0226682161121943</v>
      </c>
      <c r="K122" s="8" cm="1">
        <f t="array" ref="K122">_xlfn.IFS(Y122=0,0,Y122&gt;0,(LOG(0.01*Y122/10^-AM122)))</f>
        <v>7.1979400086720373</v>
      </c>
      <c r="L122" s="8" cm="1">
        <f t="array" ref="L122">_xlfn.IFS(Z122=0,0,Z122&gt;0,(LOG(0.01*Z122/10^-AN122)))</f>
        <v>7.1979400086720373</v>
      </c>
      <c r="M122" s="8" cm="1">
        <f t="array" ref="M122">_xlfn.IFS(AA122=0,0,AA122&gt;0,(LOG(0.01*AA122/10^-AO122)))</f>
        <v>6.5238037209559572</v>
      </c>
      <c r="N122" s="8" cm="1">
        <f t="array" ref="N122">_xlfn.IFS(AB122=0,0,AB122&gt;0,(LOG(0.01*AB122/10^-AP122)))</f>
        <v>6.5753513694466248</v>
      </c>
      <c r="O122" s="8" cm="1">
        <f t="array" ref="O122">_xlfn.IFS(AC122=0,0,AC122&gt;0,(LOG(0.01*AC122/10^-AQ122)))</f>
        <v>6.5753513694466248</v>
      </c>
      <c r="P122" s="8" cm="1">
        <f t="array" ref="P122">_xlfn.IFS(AD122=0,0,AD122&gt;0,(LOG(0.01*AD122/10^-AR122)))</f>
        <v>6.5478017299302271</v>
      </c>
      <c r="Q122" s="8" cm="1">
        <f t="array" ref="Q122">_xlfn.IFS(AE122=0,0,AE122&gt;0,(LOG(0.01*AE122/10^-AS122)))</f>
        <v>5.9043213737826434</v>
      </c>
      <c r="R122" s="8" cm="1">
        <f t="array" ref="R122">_xlfn.IFS(AF122=0,0,AF122&gt;0,(LOG(0.01*AF122/10^-AT122)))</f>
        <v>6.3805897102992493</v>
      </c>
      <c r="S122" s="8" cm="1">
        <f t="array" ref="S122">_xlfn.IFS(AG122=0,0,AG122&gt;0,(LOG(0.01*AG122/10^-AU122)))</f>
        <v>6.1353058652647716</v>
      </c>
      <c r="T122" s="16">
        <v>9.6999999999999993</v>
      </c>
      <c r="U122" s="17">
        <v>6.7</v>
      </c>
      <c r="V122" s="17">
        <v>41.8</v>
      </c>
      <c r="W122" s="17">
        <v>41.8</v>
      </c>
      <c r="X122" s="17">
        <v>35.700000000000003</v>
      </c>
      <c r="Y122" s="17">
        <v>25</v>
      </c>
      <c r="Z122" s="17">
        <v>25</v>
      </c>
      <c r="AA122" s="17">
        <v>12.7</v>
      </c>
      <c r="AB122" s="17">
        <v>20.2</v>
      </c>
      <c r="AC122" s="17">
        <v>20.2</v>
      </c>
      <c r="AD122" s="17">
        <v>19.399999999999999</v>
      </c>
      <c r="AE122" s="17">
        <v>10.1</v>
      </c>
      <c r="AF122" s="17">
        <v>12.9</v>
      </c>
      <c r="AG122" s="17">
        <v>10.6</v>
      </c>
      <c r="AH122" s="14">
        <v>6.92</v>
      </c>
      <c r="AI122" s="15">
        <v>7.04</v>
      </c>
      <c r="AJ122" s="15">
        <v>8.0399999999999991</v>
      </c>
      <c r="AK122" s="15">
        <v>8.0399999999999991</v>
      </c>
      <c r="AL122" s="15">
        <v>8.4700000000000006</v>
      </c>
      <c r="AM122" s="15">
        <v>7.8</v>
      </c>
      <c r="AN122" s="15">
        <v>7.8</v>
      </c>
      <c r="AO122" s="15">
        <v>7.42</v>
      </c>
      <c r="AP122" s="15">
        <v>7.27</v>
      </c>
      <c r="AQ122" s="15">
        <v>7.27</v>
      </c>
      <c r="AR122" s="15">
        <v>7.26</v>
      </c>
      <c r="AS122" s="15">
        <v>6.9</v>
      </c>
      <c r="AT122" s="15">
        <v>7.27</v>
      </c>
      <c r="AU122" s="15">
        <v>7.11</v>
      </c>
      <c r="AW122" s="186" t="str">
        <f>IF(VLOOKUP($A122,'I-Ligands'!$A:$G,3,FALSE)="","",VLOOKUP($A122,'I-Ligands'!$A:$G,3,FALSE))</f>
        <v>Galanin</v>
      </c>
      <c r="AX122" s="187" t="str">
        <f>IF(VLOOKUP($A122,'I-Ligands'!$A:$G,4,FALSE)="","",VLOOKUP($A122,'I-Ligands'!$A:$G,4,FALSE))</f>
        <v>GWTLNSAGYLLGPHAVGNHRSFSDKNGLTS</v>
      </c>
      <c r="AY122" s="98">
        <v>0.93</v>
      </c>
      <c r="AZ122" s="99">
        <v>0.64</v>
      </c>
      <c r="BA122" s="99">
        <v>0.74</v>
      </c>
      <c r="BB122" s="99">
        <v>0.74</v>
      </c>
      <c r="BC122" s="99">
        <v>0.87</v>
      </c>
      <c r="BD122" s="99">
        <v>1.99</v>
      </c>
      <c r="BE122" s="99">
        <v>1.99</v>
      </c>
      <c r="BF122" s="99">
        <v>1.51</v>
      </c>
      <c r="BG122" s="99">
        <v>1.5</v>
      </c>
      <c r="BH122" s="99">
        <v>1.5</v>
      </c>
      <c r="BI122" s="99">
        <v>2.91</v>
      </c>
      <c r="BJ122" s="99">
        <v>2.2400000000000002</v>
      </c>
      <c r="BK122" s="99">
        <v>0.5</v>
      </c>
      <c r="BL122" s="99">
        <v>2.02</v>
      </c>
      <c r="BM122" s="98">
        <f t="shared" si="42"/>
        <v>10.430107526881718</v>
      </c>
      <c r="BN122" s="99">
        <f t="shared" si="43"/>
        <v>10.46875</v>
      </c>
      <c r="BO122" s="99">
        <f t="shared" si="44"/>
        <v>56.486486486486484</v>
      </c>
      <c r="BP122" s="99">
        <f t="shared" si="45"/>
        <v>56.486486486486484</v>
      </c>
      <c r="BQ122" s="99">
        <f t="shared" si="46"/>
        <v>41.03448275862069</v>
      </c>
      <c r="BR122" s="99">
        <f t="shared" si="47"/>
        <v>12.562814070351759</v>
      </c>
      <c r="BS122" s="99">
        <f t="shared" si="48"/>
        <v>12.562814070351759</v>
      </c>
      <c r="BT122" s="99">
        <f t="shared" si="49"/>
        <v>8.4105960264900652</v>
      </c>
      <c r="BU122" s="99">
        <f t="shared" si="50"/>
        <v>13.466666666666667</v>
      </c>
      <c r="BV122" s="99">
        <f t="shared" si="51"/>
        <v>13.466666666666667</v>
      </c>
      <c r="BW122" s="99">
        <f t="shared" si="52"/>
        <v>6.6666666666666661</v>
      </c>
      <c r="BX122" s="99">
        <f t="shared" si="53"/>
        <v>4.5089285714285712</v>
      </c>
      <c r="BY122" s="99">
        <f t="shared" si="54"/>
        <v>25.8</v>
      </c>
      <c r="BZ122" s="99">
        <f t="shared" si="55"/>
        <v>5.2475247524752477</v>
      </c>
      <c r="CA122" s="18" t="e">
        <f>VLOOKUP(A122,'Bouvier-GEMTA'!A:C,4,FALSE)</f>
        <v>#N/A</v>
      </c>
      <c r="CB122" s="18">
        <f>VLOOKUP(A122,'Martemyanov-FreeGβγ-Nluc'!A:BG,4,FALSE)</f>
        <v>3592</v>
      </c>
    </row>
    <row r="123" spans="1:81">
      <c r="A123" s="12" t="s">
        <v>199</v>
      </c>
      <c r="B123" s="13" t="s">
        <v>2543</v>
      </c>
      <c r="C123" s="9" t="str">
        <f>IF(VLOOKUP($A123,'I-Ligands'!$A:$G,5,FALSE)="","",VLOOKUP($A123,'I-Ligands'!$A:$G,5,FALSE))</f>
        <v>Guide to Pharmacology</v>
      </c>
      <c r="D123" s="9">
        <f>IF(VLOOKUP($A123,'I-Ligands'!$A:$G,6,FALSE)="","",VLOOKUP($A123,'I-Ligands'!$A:$G,6,FALSE))</f>
        <v>1815</v>
      </c>
      <c r="E123" s="9" t="str">
        <f>IF(VLOOKUP($A123,'I-Ligands'!$A:$G,7,FALSE)="","",VLOOKUP($A123,'I-Ligands'!$A:$G,7,FALSE))</f>
        <v>Phys</v>
      </c>
      <c r="F123" s="7" cm="1">
        <f t="array" ref="F123">_xlfn.IFS(T123=0,0,T123&gt;0,(LOG(0.01*T123/10^-AH123)))</f>
        <v>8.2493326938302651</v>
      </c>
      <c r="G123" s="8" cm="1">
        <f t="array" ref="G123">_xlfn.IFS(U123=0,0,U123&gt;0,(LOG(0.01*U123/10^-AI123)))</f>
        <v>8.0963529744506388</v>
      </c>
      <c r="H123" s="8" cm="1">
        <f t="array" ref="H123">_xlfn.IFS(V123=0,0,V123&gt;0,(LOG(0.01*V123/10^-AJ123)))</f>
        <v>7.347627091290442</v>
      </c>
      <c r="I123" s="8" cm="1">
        <f t="array" ref="I123">_xlfn.IFS(W123=0,0,W123&gt;0,(LOG(0.01*W123/10^-AK123)))</f>
        <v>7.347627091290442</v>
      </c>
      <c r="J123" s="8" cm="1">
        <f t="array" ref="J123">_xlfn.IFS(X123=0,0,X123&gt;0,(LOG(0.01*X123/10^-AL123)))</f>
        <v>7.3693405494535833</v>
      </c>
      <c r="K123" s="8" cm="1">
        <f t="array" ref="K123">_xlfn.IFS(Y123=0,0,Y123&gt;0,(LOG(0.01*Y123/10^-AM123)))</f>
        <v>7.4033228601204559</v>
      </c>
      <c r="L123" s="8" cm="1">
        <f t="array" ref="L123">_xlfn.IFS(Z123=0,0,Z123&gt;0,(LOG(0.01*Z123/10^-AN123)))</f>
        <v>7.4033228601204559</v>
      </c>
      <c r="M123" s="8" cm="1">
        <f t="array" ref="M123">_xlfn.IFS(AA123=0,0,AA123&gt;0,(LOG(0.01*AA123/10^-AO123)))</f>
        <v>7.6490780923760751</v>
      </c>
      <c r="N123" s="8" cm="1">
        <f t="array" ref="N123">_xlfn.IFS(AB123=0,0,AB123&gt;0,(LOG(0.01*AB123/10^-AP123)))</f>
        <v>8.0748178230095391</v>
      </c>
      <c r="O123" s="8" cm="1">
        <f t="array" ref="O123">_xlfn.IFS(AC123=0,0,AC123&gt;0,(LOG(0.01*AC123/10^-AQ123)))</f>
        <v>8.0748178230095391</v>
      </c>
      <c r="P123" s="8" cm="1">
        <f t="array" ref="P123">_xlfn.IFS(AD123=0,0,AD123&gt;0,(LOG(0.01*AD123/10^-AR123)))</f>
        <v>7.994119982655925</v>
      </c>
      <c r="Q123" s="8" cm="1">
        <f t="array" ref="Q123">_xlfn.IFS(AE123=0,0,AE123&gt;0,(LOG(0.01*AE123/10^-AS123)))</f>
        <v>7.8542758696007917</v>
      </c>
      <c r="R123" s="8" cm="1">
        <f t="array" ref="R123">_xlfn.IFS(AF123=0,0,AF123&gt;0,(LOG(0.01*AF123/10^-AT123)))</f>
        <v>7.4532125137753455</v>
      </c>
      <c r="S123" s="8" cm="1">
        <f t="array" ref="S123">_xlfn.IFS(AG123=0,0,AG123&gt;0,(LOG(0.01*AG123/10^-AU123)))</f>
        <v>7.2764907251724829</v>
      </c>
      <c r="T123" s="16">
        <v>27.5</v>
      </c>
      <c r="U123" s="17">
        <v>22.2</v>
      </c>
      <c r="V123" s="17">
        <v>7.9</v>
      </c>
      <c r="W123" s="17">
        <v>7.9</v>
      </c>
      <c r="X123" s="17">
        <v>6.3</v>
      </c>
      <c r="Y123" s="17">
        <v>7.3</v>
      </c>
      <c r="Z123" s="17">
        <v>7.3</v>
      </c>
      <c r="AA123" s="17">
        <v>8.3000000000000007</v>
      </c>
      <c r="AB123" s="17">
        <v>18.399999999999999</v>
      </c>
      <c r="AC123" s="17">
        <v>18.399999999999999</v>
      </c>
      <c r="AD123" s="17">
        <v>16</v>
      </c>
      <c r="AE123" s="17">
        <v>5.3</v>
      </c>
      <c r="AF123" s="17">
        <v>4.5</v>
      </c>
      <c r="AG123" s="17">
        <v>7.7</v>
      </c>
      <c r="AH123" s="14">
        <v>8.81</v>
      </c>
      <c r="AI123" s="15">
        <v>8.75</v>
      </c>
      <c r="AJ123" s="15">
        <v>8.4499999999999993</v>
      </c>
      <c r="AK123" s="15">
        <v>8.4499999999999993</v>
      </c>
      <c r="AL123" s="15">
        <v>8.57</v>
      </c>
      <c r="AM123" s="15">
        <v>8.5399999999999991</v>
      </c>
      <c r="AN123" s="15">
        <v>8.5399999999999991</v>
      </c>
      <c r="AO123" s="15">
        <v>8.73</v>
      </c>
      <c r="AP123" s="15">
        <v>8.81</v>
      </c>
      <c r="AQ123" s="15">
        <v>8.81</v>
      </c>
      <c r="AR123" s="15">
        <v>8.7899999999999991</v>
      </c>
      <c r="AS123" s="15">
        <v>9.1300000000000008</v>
      </c>
      <c r="AT123" s="15">
        <v>8.8000000000000007</v>
      </c>
      <c r="AU123" s="15">
        <v>8.39</v>
      </c>
      <c r="AW123" s="186" t="str">
        <f>IF(VLOOKUP($A123,'I-Ligands'!$A:$G,3,FALSE)="","",VLOOKUP($A123,'I-Ligands'!$A:$G,3,FALSE))</f>
        <v>TIP39</v>
      </c>
      <c r="AX123" s="187" t="str">
        <f>IF(VLOOKUP($A123,'I-Ligands'!$A:$G,4,FALSE)="","",VLOOKUP($A123,'I-Ligands'!$A:$G,4,FALSE))</f>
        <v>SLALADDAAFRERARLLAALERRHWLNSYMHKLLVLDAP</v>
      </c>
      <c r="AY123" s="98">
        <v>4.2</v>
      </c>
      <c r="AZ123" s="99">
        <v>3.92</v>
      </c>
      <c r="BA123" s="99">
        <v>4.8</v>
      </c>
      <c r="BB123" s="99">
        <v>4.8</v>
      </c>
      <c r="BC123" s="99">
        <v>4.76</v>
      </c>
      <c r="BD123" s="99">
        <v>3.18</v>
      </c>
      <c r="BE123" s="99">
        <v>3.18</v>
      </c>
      <c r="BF123" s="99">
        <v>3.69</v>
      </c>
      <c r="BG123" s="99">
        <v>6.74</v>
      </c>
      <c r="BH123" s="99">
        <v>6.74</v>
      </c>
      <c r="BI123" s="99">
        <v>5.78</v>
      </c>
      <c r="BJ123" s="99">
        <v>2.8</v>
      </c>
      <c r="BK123" s="99">
        <v>3.65</v>
      </c>
      <c r="BL123" s="99">
        <v>3.94</v>
      </c>
      <c r="BM123" s="98">
        <f t="shared" si="42"/>
        <v>6.5476190476190474</v>
      </c>
      <c r="BN123" s="99">
        <f t="shared" si="43"/>
        <v>5.6632653061224492</v>
      </c>
      <c r="BO123" s="99">
        <f t="shared" si="44"/>
        <v>1.6458333333333335</v>
      </c>
      <c r="BP123" s="99">
        <f t="shared" si="45"/>
        <v>1.6458333333333335</v>
      </c>
      <c r="BQ123" s="99">
        <f t="shared" si="46"/>
        <v>1.3235294117647058</v>
      </c>
      <c r="BR123" s="99">
        <f t="shared" si="47"/>
        <v>2.2955974842767293</v>
      </c>
      <c r="BS123" s="99">
        <f t="shared" si="48"/>
        <v>2.2955974842767293</v>
      </c>
      <c r="BT123" s="99">
        <f t="shared" si="49"/>
        <v>2.2493224932249323</v>
      </c>
      <c r="BU123" s="99">
        <f t="shared" si="50"/>
        <v>2.7299703264094952</v>
      </c>
      <c r="BV123" s="99">
        <f t="shared" si="51"/>
        <v>2.7299703264094952</v>
      </c>
      <c r="BW123" s="99">
        <f t="shared" si="52"/>
        <v>2.7681660899653977</v>
      </c>
      <c r="BX123" s="99">
        <f t="shared" si="53"/>
        <v>1.892857142857143</v>
      </c>
      <c r="BY123" s="99">
        <f t="shared" si="54"/>
        <v>1.2328767123287672</v>
      </c>
      <c r="BZ123" s="99">
        <f t="shared" si="55"/>
        <v>1.9543147208121827</v>
      </c>
      <c r="CA123" s="18" t="e">
        <f>VLOOKUP(A123,'Bouvier-GEMTA'!A:C,4,FALSE)</f>
        <v>#N/A</v>
      </c>
      <c r="CB123" s="18">
        <f>VLOOKUP(A123,'Martemyanov-FreeGβγ-Nluc'!A:BG,4,FALSE)</f>
        <v>4448</v>
      </c>
    </row>
    <row r="124" spans="1:81" ht="18">
      <c r="A124" s="12" t="s">
        <v>231</v>
      </c>
      <c r="B124" s="13" t="s">
        <v>2658</v>
      </c>
      <c r="C124" s="9" t="str">
        <f>IF(VLOOKUP($A124,'I-Ligands'!$A:$G,5,FALSE)="","",VLOOKUP($A124,'I-Ligands'!$A:$G,5,FALSE))</f>
        <v>Guide to Pharmacology</v>
      </c>
      <c r="D124" s="9">
        <f>IF(VLOOKUP($A124,'I-Ligands'!$A:$G,6,FALSE)="","",VLOOKUP($A124,'I-Ligands'!$A:$G,6,FALSE))</f>
        <v>2257</v>
      </c>
      <c r="E124" s="9" t="str">
        <f>IF(VLOOKUP($A124,'I-Ligands'!$A:$G,7,FALSE)="","",VLOOKUP($A124,'I-Ligands'!$A:$G,7,FALSE))</f>
        <v>Phys</v>
      </c>
      <c r="F124" s="7" cm="1">
        <f t="array" ref="F124">_xlfn.IFS(T124=0,0,T124&gt;0,(LOG(0.01*T124/10^-AH124)))</f>
        <v>8.0566936096248689</v>
      </c>
      <c r="G124" s="8" cm="1">
        <f t="array" ref="G124">_xlfn.IFS(U124=0,0,U124&gt;0,(LOG(0.01*U124/10^-AI124)))</f>
        <v>8.0327578316815753</v>
      </c>
      <c r="H124" s="8" cm="1">
        <f t="array" ref="H124">_xlfn.IFS(V124=0,0,V124&gt;0,(LOG(0.01*V124/10^-AJ124)))</f>
        <v>6.674026106056135</v>
      </c>
      <c r="I124" s="8" cm="1">
        <f t="array" ref="I124">_xlfn.IFS(W124=0,0,W124&gt;0,(LOG(0.01*W124/10^-AK124)))</f>
        <v>6.674026106056135</v>
      </c>
      <c r="J124" s="8" cm="1">
        <f t="array" ref="J124">_xlfn.IFS(X124=0,0,X124&gt;0,(LOG(0.01*X124/10^-AL124)))</f>
        <v>6.707507201905659</v>
      </c>
      <c r="K124" s="8" cm="1">
        <f t="array" ref="K124">_xlfn.IFS(Y124=0,0,Y124&gt;0,(LOG(0.01*Y124/10^-AM124)))</f>
        <v>6.6650944485783201</v>
      </c>
      <c r="L124" s="8" cm="1">
        <f t="array" ref="L124">_xlfn.IFS(Z124=0,0,Z124&gt;0,(LOG(0.01*Z124/10^-AN124)))</f>
        <v>6.6650944485783201</v>
      </c>
      <c r="M124" s="8" cm="1">
        <f t="array" ref="M124">_xlfn.IFS(AA124=0,0,AA124&gt;0,(LOG(0.01*AA124/10^-AO124)))</f>
        <v>6.4066405073382811</v>
      </c>
      <c r="N124" s="8" cm="1">
        <f t="array" ref="N124">_xlfn.IFS(AB124=0,0,AB124&gt;0,(LOG(0.01*AB124/10^-AP124)))</f>
        <v>8.1014741105041015</v>
      </c>
      <c r="O124" s="8" cm="1">
        <f t="array" ref="O124">_xlfn.IFS(AC124=0,0,AC124&gt;0,(LOG(0.01*AC124/10^-AQ124)))</f>
        <v>8.1014741105041015</v>
      </c>
      <c r="P124" s="8" cm="1">
        <f t="array" ref="P124">_xlfn.IFS(AD124=0,0,AD124&gt;0,(LOG(0.01*AD124/10^-AR124)))</f>
        <v>7.5642820958356696</v>
      </c>
      <c r="Q124" s="8" cm="1">
        <f t="array" ref="Q124">_xlfn.IFS(AE124=0,0,AE124&gt;0,(LOG(0.01*AE124/10^-AS124)))</f>
        <v>0</v>
      </c>
      <c r="R124" s="8" cm="1">
        <f t="array" ref="R124">_xlfn.IFS(AF124=0,0,AF124&gt;0,(LOG(0.01*AF124/10^-AT124)))</f>
        <v>0</v>
      </c>
      <c r="S124" s="8" cm="1">
        <f t="array" ref="S124">_xlfn.IFS(AG124=0,0,AG124&gt;0,(LOG(0.01*AG124/10^-AU124)))</f>
        <v>6.2616197059632306</v>
      </c>
      <c r="T124" s="16">
        <v>47.5</v>
      </c>
      <c r="U124" s="17">
        <v>46</v>
      </c>
      <c r="V124" s="17">
        <v>34.200000000000003</v>
      </c>
      <c r="W124" s="17">
        <v>34.200000000000003</v>
      </c>
      <c r="X124" s="17">
        <v>36.1</v>
      </c>
      <c r="Y124" s="17">
        <v>35.9</v>
      </c>
      <c r="Z124" s="17">
        <v>35.9</v>
      </c>
      <c r="AA124" s="17">
        <v>26.1</v>
      </c>
      <c r="AB124" s="17">
        <v>43.8</v>
      </c>
      <c r="AC124" s="17">
        <v>43.8</v>
      </c>
      <c r="AD124" s="17">
        <v>42.1</v>
      </c>
      <c r="AG124" s="17">
        <v>25.8</v>
      </c>
      <c r="AH124" s="14">
        <v>8.3800000000000008</v>
      </c>
      <c r="AI124" s="15">
        <v>8.3699999999999992</v>
      </c>
      <c r="AJ124" s="15">
        <v>7.14</v>
      </c>
      <c r="AK124" s="15">
        <v>7.14</v>
      </c>
      <c r="AL124" s="15">
        <v>7.15</v>
      </c>
      <c r="AM124" s="15">
        <v>7.11</v>
      </c>
      <c r="AN124" s="15">
        <v>7.11</v>
      </c>
      <c r="AO124" s="15">
        <v>6.99</v>
      </c>
      <c r="AP124" s="15">
        <v>8.4600000000000009</v>
      </c>
      <c r="AQ124" s="15">
        <v>8.4600000000000009</v>
      </c>
      <c r="AR124" s="15">
        <v>7.94</v>
      </c>
      <c r="AU124" s="15">
        <v>6.85</v>
      </c>
      <c r="AW124" s="186" t="str">
        <f>IF(VLOOKUP($A124,'I-Ligands'!$A:$G,3,FALSE)="","",VLOOKUP($A124,'I-Ligands'!$A:$G,3,FALSE))</f>
        <v>PACAP27</v>
      </c>
      <c r="AX124" s="187" t="str">
        <f>IF(VLOOKUP($A124,'I-Ligands'!$A:$G,4,FALSE)="","",VLOOKUP($A124,'I-Ligands'!$A:$G,4,FALSE))</f>
        <v>HSDGIFTDSYSRYRKQMAVKKYLAAVL-NH2</v>
      </c>
      <c r="AY124" s="98">
        <v>2.36</v>
      </c>
      <c r="AZ124" s="99">
        <v>3.41</v>
      </c>
      <c r="BA124" s="99">
        <v>1.46</v>
      </c>
      <c r="BB124" s="99">
        <v>1.46</v>
      </c>
      <c r="BC124" s="99">
        <v>1.83</v>
      </c>
      <c r="BD124" s="99">
        <v>1.0900000000000001</v>
      </c>
      <c r="BE124" s="99">
        <v>1.0900000000000001</v>
      </c>
      <c r="BF124" s="99">
        <v>2.23</v>
      </c>
      <c r="BG124" s="99">
        <v>2.0299999999999998</v>
      </c>
      <c r="BH124" s="99">
        <v>2.0299999999999998</v>
      </c>
      <c r="BI124" s="99">
        <v>3.6</v>
      </c>
      <c r="BJ124" s="99">
        <v>2.56</v>
      </c>
      <c r="BK124" s="99">
        <v>2.0699999999999998</v>
      </c>
      <c r="BL124" s="99">
        <v>0.71</v>
      </c>
      <c r="BM124" s="98">
        <f t="shared" si="42"/>
        <v>20.127118644067799</v>
      </c>
      <c r="BN124" s="99">
        <f t="shared" si="43"/>
        <v>13.48973607038123</v>
      </c>
      <c r="BO124" s="99">
        <f t="shared" si="44"/>
        <v>23.424657534246577</v>
      </c>
      <c r="BP124" s="99">
        <f t="shared" si="45"/>
        <v>23.424657534246577</v>
      </c>
      <c r="BQ124" s="99">
        <f t="shared" si="46"/>
        <v>19.726775956284154</v>
      </c>
      <c r="BR124" s="99">
        <f t="shared" si="47"/>
        <v>32.935779816513758</v>
      </c>
      <c r="BS124" s="99">
        <f t="shared" si="48"/>
        <v>32.935779816513758</v>
      </c>
      <c r="BT124" s="99">
        <f t="shared" si="49"/>
        <v>11.704035874439462</v>
      </c>
      <c r="BU124" s="99">
        <f t="shared" si="50"/>
        <v>21.576354679802957</v>
      </c>
      <c r="BV124" s="99">
        <f t="shared" si="51"/>
        <v>21.576354679802957</v>
      </c>
      <c r="BW124" s="99">
        <f t="shared" si="52"/>
        <v>11.694444444444445</v>
      </c>
      <c r="BX124" s="99">
        <f t="shared" si="53"/>
        <v>0</v>
      </c>
      <c r="BY124" s="99">
        <f t="shared" si="54"/>
        <v>0</v>
      </c>
      <c r="BZ124" s="99">
        <f t="shared" si="55"/>
        <v>36.338028169014088</v>
      </c>
      <c r="CA124" s="18" t="e">
        <f>VLOOKUP(A124,'Bouvier-GEMTA'!A:C,4,FALSE)</f>
        <v>#N/A</v>
      </c>
      <c r="CB124" s="18">
        <f>VLOOKUP(A124,'Martemyanov-FreeGβγ-Nluc'!A:BG,4,FALSE)</f>
        <v>1152</v>
      </c>
    </row>
    <row r="125" spans="1:81" ht="18">
      <c r="A125" s="12" t="s">
        <v>197</v>
      </c>
      <c r="B125" s="13" t="s">
        <v>2657</v>
      </c>
      <c r="C125" s="9" t="str">
        <f>IF(VLOOKUP($A125,'I-Ligands'!$A:$G,5,FALSE)="","",VLOOKUP($A125,'I-Ligands'!$A:$G,5,FALSE))</f>
        <v>Guide to Pharmacology</v>
      </c>
      <c r="D125" s="9">
        <f>IF(VLOOKUP($A125,'I-Ligands'!$A:$G,6,FALSE)="","",VLOOKUP($A125,'I-Ligands'!$A:$G,6,FALSE))</f>
        <v>1783</v>
      </c>
      <c r="E125" s="9" t="str">
        <f>IF(VLOOKUP($A125,'I-Ligands'!$A:$G,7,FALSE)="","",VLOOKUP($A125,'I-Ligands'!$A:$G,7,FALSE))</f>
        <v>Phys</v>
      </c>
      <c r="F125" s="7" cm="1">
        <f t="array" ref="F125">_xlfn.IFS(T125=0,0,T125&gt;0,(LOG(0.01*T125/10^-AH125)))</f>
        <v>0</v>
      </c>
      <c r="G125" s="8" cm="1">
        <f t="array" ref="G125">_xlfn.IFS(U125=0,0,U125&gt;0,(LOG(0.01*U125/10^-AI125)))</f>
        <v>0</v>
      </c>
      <c r="H125" s="8" cm="1">
        <f t="array" ref="H125">_xlfn.IFS(V125=0,0,V125&gt;0,(LOG(0.01*V125/10^-AJ125)))</f>
        <v>5.6923916894982547</v>
      </c>
      <c r="I125" s="8" cm="1">
        <f t="array" ref="I125">_xlfn.IFS(W125=0,0,W125&gt;0,(LOG(0.01*W125/10^-AK125)))</f>
        <v>5.6923916894982547</v>
      </c>
      <c r="J125" s="8" cm="1">
        <f t="array" ref="J125">_xlfn.IFS(X125=0,0,X125&gt;0,(LOG(0.01*X125/10^-AL125)))</f>
        <v>5.5051499783199063</v>
      </c>
      <c r="K125" s="8" cm="1">
        <f t="array" ref="K125">_xlfn.IFS(Y125=0,0,Y125&gt;0,(LOG(0.01*Y125/10^-AM125)))</f>
        <v>5.6288490907372557</v>
      </c>
      <c r="L125" s="8" cm="1">
        <f t="array" ref="L125">_xlfn.IFS(Z125=0,0,Z125&gt;0,(LOG(0.01*Z125/10^-AN125)))</f>
        <v>5.6288490907372557</v>
      </c>
      <c r="M125" s="8" cm="1">
        <f t="array" ref="M125">_xlfn.IFS(AA125=0,0,AA125&gt;0,(LOG(0.01*AA125/10^-AO125)))</f>
        <v>5.5727578316815745</v>
      </c>
      <c r="N125" s="8" cm="1">
        <f t="array" ref="N125">_xlfn.IFS(AB125=0,0,AB125&gt;0,(LOG(0.01*AB125/10^-AP125)))</f>
        <v>3.8820599913279628</v>
      </c>
      <c r="O125" s="8" cm="1">
        <f t="array" ref="O125">_xlfn.IFS(AC125=0,0,AC125&gt;0,(LOG(0.01*AC125/10^-AQ125)))</f>
        <v>3.8820599913279628</v>
      </c>
      <c r="P125" s="8" cm="1">
        <f t="array" ref="P125">_xlfn.IFS(AD125=0,0,AD125&gt;0,(LOG(0.01*AD125/10^-AR125)))</f>
        <v>4.9008135922807918</v>
      </c>
      <c r="Q125" s="8" cm="1">
        <f t="array" ref="Q125">_xlfn.IFS(AE125=0,0,AE125&gt;0,(LOG(0.01*AE125/10^-AS125)))</f>
        <v>0</v>
      </c>
      <c r="R125" s="8" cm="1">
        <f t="array" ref="R125">_xlfn.IFS(AF125=0,0,AF125&gt;0,(LOG(0.01*AF125/10^-AT125)))</f>
        <v>0</v>
      </c>
      <c r="S125" s="8" cm="1">
        <f t="array" ref="S125">_xlfn.IFS(AG125=0,0,AG125&gt;0,(LOG(0.01*AG125/10^-AU125)))</f>
        <v>0</v>
      </c>
      <c r="V125" s="17">
        <v>6.2</v>
      </c>
      <c r="W125" s="17">
        <v>6.2</v>
      </c>
      <c r="X125" s="17">
        <v>3.2</v>
      </c>
      <c r="Y125" s="17">
        <v>6.9</v>
      </c>
      <c r="Z125" s="17">
        <v>6.9</v>
      </c>
      <c r="AA125" s="17">
        <v>4.5999999999999996</v>
      </c>
      <c r="AB125" s="17">
        <v>4</v>
      </c>
      <c r="AC125" s="17">
        <v>4</v>
      </c>
      <c r="AD125" s="17">
        <v>7.6</v>
      </c>
      <c r="AJ125" s="15">
        <v>6.9</v>
      </c>
      <c r="AK125" s="15">
        <v>6.9</v>
      </c>
      <c r="AL125" s="15">
        <v>7</v>
      </c>
      <c r="AM125" s="15">
        <v>6.79</v>
      </c>
      <c r="AN125" s="15">
        <v>6.79</v>
      </c>
      <c r="AO125" s="15">
        <v>6.91</v>
      </c>
      <c r="AP125" s="15">
        <v>5.28</v>
      </c>
      <c r="AQ125" s="15">
        <v>5.28</v>
      </c>
      <c r="AR125" s="15">
        <v>6.02</v>
      </c>
      <c r="AW125" s="186" t="str">
        <f>IF(VLOOKUP($A125,'I-Ligands'!$A:$G,3,FALSE)="","",VLOOKUP($A125,'I-Ligands'!$A:$G,3,FALSE))</f>
        <v>UDP-Glucose</v>
      </c>
      <c r="AX125" s="187" t="str">
        <f>IF(VLOOKUP($A125,'I-Ligands'!$A:$G,4,FALSE)="","",VLOOKUP($A125,'I-Ligands'!$A:$G,4,FALSE))</f>
        <v>UDP-Glucose Disodium Salt</v>
      </c>
      <c r="AY125" s="98">
        <v>2.98</v>
      </c>
      <c r="AZ125" s="99">
        <v>2.67</v>
      </c>
      <c r="BA125" s="99">
        <v>6.6</v>
      </c>
      <c r="BB125" s="99">
        <v>6.6</v>
      </c>
      <c r="BC125" s="99">
        <v>4.9800000000000004</v>
      </c>
      <c r="BD125" s="99">
        <v>6.02</v>
      </c>
      <c r="BE125" s="99">
        <v>6.02</v>
      </c>
      <c r="BF125" s="99">
        <v>3.04</v>
      </c>
      <c r="BG125" s="99">
        <v>2.5</v>
      </c>
      <c r="BH125" s="99">
        <v>2.5</v>
      </c>
      <c r="BI125" s="99">
        <v>3.97</v>
      </c>
      <c r="BJ125" s="99">
        <v>2.61</v>
      </c>
      <c r="BK125" s="99">
        <v>2.89</v>
      </c>
      <c r="BL125" s="99">
        <v>3.91</v>
      </c>
      <c r="BM125" s="98">
        <f t="shared" si="42"/>
        <v>0</v>
      </c>
      <c r="BN125" s="99">
        <f t="shared" si="43"/>
        <v>0</v>
      </c>
      <c r="BO125" s="99">
        <f t="shared" si="44"/>
        <v>0.93939393939393945</v>
      </c>
      <c r="BP125" s="99">
        <f t="shared" si="45"/>
        <v>0.93939393939393945</v>
      </c>
      <c r="BQ125" s="99">
        <f t="shared" si="46"/>
        <v>0.64257028112449799</v>
      </c>
      <c r="BR125" s="99">
        <f t="shared" si="47"/>
        <v>1.1461794019933556</v>
      </c>
      <c r="BS125" s="99">
        <f t="shared" si="48"/>
        <v>1.1461794019933556</v>
      </c>
      <c r="BT125" s="99">
        <f t="shared" si="49"/>
        <v>1.513157894736842</v>
      </c>
      <c r="BU125" s="99">
        <f t="shared" si="50"/>
        <v>1.6</v>
      </c>
      <c r="BV125" s="99">
        <f t="shared" si="51"/>
        <v>1.6</v>
      </c>
      <c r="BW125" s="99">
        <f t="shared" si="52"/>
        <v>1.9143576826196471</v>
      </c>
      <c r="BX125" s="99">
        <f t="shared" si="53"/>
        <v>0</v>
      </c>
      <c r="BY125" s="99">
        <f t="shared" si="54"/>
        <v>0</v>
      </c>
      <c r="BZ125" s="99">
        <f t="shared" si="55"/>
        <v>0</v>
      </c>
      <c r="CA125" s="18" t="e">
        <f>VLOOKUP(A125,'Bouvier-GEMTA'!A:C,4,FALSE)</f>
        <v>#N/A</v>
      </c>
      <c r="CB125" s="18" t="e">
        <f>VLOOKUP(A125,'Martemyanov-FreeGβγ-Nluc'!A:BG,4,FALSE)</f>
        <v>#N/A</v>
      </c>
      <c r="CC125" s="18" t="s">
        <v>5167</v>
      </c>
    </row>
    <row r="126" spans="1:81" ht="18">
      <c r="A126" s="12" t="s">
        <v>195</v>
      </c>
      <c r="B126" s="13" t="s">
        <v>2655</v>
      </c>
      <c r="C126" s="9" t="str">
        <f>IF(VLOOKUP($A126,'I-Ligands'!$A:$G,5,FALSE)="","",VLOOKUP($A126,'I-Ligands'!$A:$G,5,FALSE))</f>
        <v>Guide to Pharmacology</v>
      </c>
      <c r="D126" s="9">
        <f>IF(VLOOKUP($A126,'I-Ligands'!$A:$G,6,FALSE)="","",VLOOKUP($A126,'I-Ligands'!$A:$G,6,FALSE))</f>
        <v>1712</v>
      </c>
      <c r="E126" s="9" t="str">
        <f>IF(VLOOKUP($A126,'I-Ligands'!$A:$G,7,FALSE)="","",VLOOKUP($A126,'I-Ligands'!$A:$G,7,FALSE))</f>
        <v>Phys</v>
      </c>
      <c r="F126" s="7" cm="1">
        <f t="array" ref="F126">_xlfn.IFS(T126=0,0,T126&gt;0,(LOG(0.01*T126/10^-AH126)))</f>
        <v>0</v>
      </c>
      <c r="G126" s="8" cm="1">
        <f t="array" ref="G126">_xlfn.IFS(U126=0,0,U126&gt;0,(LOG(0.01*U126/10^-AI126)))</f>
        <v>0</v>
      </c>
      <c r="H126" s="8" cm="1">
        <f t="array" ref="H126">_xlfn.IFS(V126=0,0,V126&gt;0,(LOG(0.01*V126/10^-AJ126)))</f>
        <v>6.0291812460476253</v>
      </c>
      <c r="I126" s="8" cm="1">
        <f t="array" ref="I126">_xlfn.IFS(W126=0,0,W126&gt;0,(LOG(0.01*W126/10^-AK126)))</f>
        <v>6.0291812460476253</v>
      </c>
      <c r="J126" s="8" cm="1">
        <f t="array" ref="J126">_xlfn.IFS(X126=0,0,X126&gt;0,(LOG(0.01*X126/10^-AL126)))</f>
        <v>6.1942425094393254</v>
      </c>
      <c r="K126" s="8" cm="1">
        <f t="array" ref="K126">_xlfn.IFS(Y126=0,0,Y126&gt;0,(LOG(0.01*Y126/10^-AM126)))</f>
        <v>6.0574960379132134</v>
      </c>
      <c r="L126" s="8" cm="1">
        <f t="array" ref="L126">_xlfn.IFS(Z126=0,0,Z126&gt;0,(LOG(0.01*Z126/10^-AN126)))</f>
        <v>6.0574960379132134</v>
      </c>
      <c r="M126" s="8" cm="1">
        <f t="array" ref="M126">_xlfn.IFS(AA126=0,0,AA126&gt;0,(LOG(0.01*AA126/10^-AO126)))</f>
        <v>5.4048178230095365</v>
      </c>
      <c r="N126" s="8" cm="1">
        <f t="array" ref="N126">_xlfn.IFS(AB126=0,0,AB126&gt;0,(LOG(0.01*AB126/10^-AP126)))</f>
        <v>4.7135389083702179</v>
      </c>
      <c r="O126" s="8" cm="1">
        <f t="array" ref="O126">_xlfn.IFS(AC126=0,0,AC126&gt;0,(LOG(0.01*AC126/10^-AQ126)))</f>
        <v>4.7135389083702179</v>
      </c>
      <c r="P126" s="8" cm="1">
        <f t="array" ref="P126">_xlfn.IFS(AD126=0,0,AD126&gt;0,(LOG(0.01*AD126/10^-AR126)))</f>
        <v>5.0601462861110544</v>
      </c>
      <c r="Q126" s="8" cm="1">
        <f t="array" ref="Q126">_xlfn.IFS(AE126=0,0,AE126&gt;0,(LOG(0.01*AE126/10^-AS126)))</f>
        <v>0</v>
      </c>
      <c r="R126" s="8" cm="1">
        <f t="array" ref="R126">_xlfn.IFS(AF126=0,0,AF126&gt;0,(LOG(0.01*AF126/10^-AT126)))</f>
        <v>5.0608978427565479</v>
      </c>
      <c r="S126" s="8" cm="1">
        <f t="array" ref="S126">_xlfn.IFS(AG126=0,0,AG126&gt;0,(LOG(0.01*AG126/10^-AU126)))</f>
        <v>4.9173898263387308</v>
      </c>
      <c r="V126" s="17">
        <v>12</v>
      </c>
      <c r="W126" s="17">
        <v>12</v>
      </c>
      <c r="X126" s="17">
        <v>9</v>
      </c>
      <c r="Y126" s="17">
        <v>20.3</v>
      </c>
      <c r="Z126" s="17">
        <v>20.3</v>
      </c>
      <c r="AA126" s="17">
        <v>18.399999999999999</v>
      </c>
      <c r="AB126" s="17">
        <v>13.6</v>
      </c>
      <c r="AC126" s="17">
        <v>13.6</v>
      </c>
      <c r="AD126" s="17">
        <v>20.9</v>
      </c>
      <c r="AF126" s="17">
        <v>28.9</v>
      </c>
      <c r="AG126" s="17">
        <v>24.4</v>
      </c>
      <c r="AJ126" s="15">
        <v>6.95</v>
      </c>
      <c r="AK126" s="15">
        <v>6.95</v>
      </c>
      <c r="AL126" s="15">
        <v>7.24</v>
      </c>
      <c r="AM126" s="15">
        <v>6.75</v>
      </c>
      <c r="AN126" s="15">
        <v>6.75</v>
      </c>
      <c r="AO126" s="15">
        <v>6.14</v>
      </c>
      <c r="AP126" s="15">
        <v>5.58</v>
      </c>
      <c r="AQ126" s="15">
        <v>5.58</v>
      </c>
      <c r="AR126" s="15">
        <v>5.74</v>
      </c>
      <c r="AT126" s="15">
        <v>5.6</v>
      </c>
      <c r="AU126" s="15">
        <v>5.53</v>
      </c>
      <c r="AW126" s="186" t="str">
        <f>IF(VLOOKUP($A126,'I-Ligands'!$A:$G,3,FALSE)="","",VLOOKUP($A126,'I-Ligands'!$A:$G,3,FALSE))</f>
        <v>ADP</v>
      </c>
      <c r="AX126" s="187" t="str">
        <f>IF(VLOOKUP($A126,'I-Ligands'!$A:$G,4,FALSE)="","",VLOOKUP($A126,'I-Ligands'!$A:$G,4,FALSE))</f>
        <v>Adenosine 5'-Diphosphate Sodium Salt</v>
      </c>
      <c r="AY126" s="98">
        <v>5.54</v>
      </c>
      <c r="AZ126" s="99">
        <v>4.18</v>
      </c>
      <c r="BA126" s="99">
        <v>11.69</v>
      </c>
      <c r="BB126" s="99">
        <v>11.69</v>
      </c>
      <c r="BC126" s="99">
        <v>11.58</v>
      </c>
      <c r="BD126" s="99">
        <v>12.93</v>
      </c>
      <c r="BE126" s="99">
        <v>12.93</v>
      </c>
      <c r="BF126" s="99">
        <v>7.36</v>
      </c>
      <c r="BG126" s="99">
        <v>8.2200000000000006</v>
      </c>
      <c r="BH126" s="99">
        <v>8.2200000000000006</v>
      </c>
      <c r="BI126" s="99">
        <v>7.54</v>
      </c>
      <c r="BJ126" s="99">
        <v>4.63</v>
      </c>
      <c r="BK126" s="99">
        <v>5.01</v>
      </c>
      <c r="BL126" s="99">
        <v>5.12</v>
      </c>
      <c r="BM126" s="98">
        <f t="shared" si="42"/>
        <v>0</v>
      </c>
      <c r="BN126" s="99">
        <f t="shared" si="43"/>
        <v>0</v>
      </c>
      <c r="BO126" s="99">
        <f t="shared" si="44"/>
        <v>1.0265183917878529</v>
      </c>
      <c r="BP126" s="99">
        <f t="shared" si="45"/>
        <v>1.0265183917878529</v>
      </c>
      <c r="BQ126" s="99">
        <f t="shared" si="46"/>
        <v>0.77720207253886009</v>
      </c>
      <c r="BR126" s="99">
        <f t="shared" si="47"/>
        <v>1.5699922660479506</v>
      </c>
      <c r="BS126" s="99">
        <f t="shared" si="48"/>
        <v>1.5699922660479506</v>
      </c>
      <c r="BT126" s="99">
        <f t="shared" si="49"/>
        <v>2.4999999999999996</v>
      </c>
      <c r="BU126" s="99">
        <f t="shared" si="50"/>
        <v>1.6545012165450119</v>
      </c>
      <c r="BV126" s="99">
        <f t="shared" si="51"/>
        <v>1.6545012165450119</v>
      </c>
      <c r="BW126" s="99">
        <f t="shared" si="52"/>
        <v>2.7718832891246681</v>
      </c>
      <c r="BX126" s="99">
        <f t="shared" si="53"/>
        <v>0</v>
      </c>
      <c r="BY126" s="99">
        <f t="shared" si="54"/>
        <v>5.7684630738522955</v>
      </c>
      <c r="BZ126" s="99">
        <f t="shared" si="55"/>
        <v>4.765625</v>
      </c>
      <c r="CA126" s="18" t="e">
        <f>VLOOKUP(A126,'Bouvier-GEMTA'!A:C,4,FALSE)</f>
        <v>#N/A</v>
      </c>
      <c r="CB126" s="18" t="e">
        <f>VLOOKUP(A126,'Martemyanov-FreeGβγ-Nluc'!A:BG,4,FALSE)</f>
        <v>#N/A</v>
      </c>
      <c r="CC126" s="18" t="s">
        <v>5167</v>
      </c>
    </row>
    <row r="127" spans="1:81">
      <c r="A127" s="12" t="s">
        <v>82</v>
      </c>
      <c r="B127" s="13" t="s">
        <v>83</v>
      </c>
      <c r="C127" s="9" t="str">
        <f>IF(VLOOKUP($A127,'I-Ligands'!$A:$G,5,FALSE)="","",VLOOKUP($A127,'I-Ligands'!$A:$G,5,FALSE))</f>
        <v>Guide to Pharmacology</v>
      </c>
      <c r="D127" s="9">
        <f>IF(VLOOKUP($A127,'I-Ligands'!$A:$G,6,FALSE)="","",VLOOKUP($A127,'I-Ligands'!$A:$G,6,FALSE))</f>
        <v>5567</v>
      </c>
      <c r="E127" s="9" t="str">
        <f>IF(VLOOKUP($A127,'I-Ligands'!$A:$G,7,FALSE)="","",VLOOKUP($A127,'I-Ligands'!$A:$G,7,FALSE))</f>
        <v>Surr</v>
      </c>
      <c r="F127" s="7" cm="1">
        <f t="array" ref="F127">_xlfn.IFS(T127=0,0,T127&gt;0,(LOG(0.01*T127/10^-AH127)))</f>
        <v>4.8896737214810386</v>
      </c>
      <c r="G127" s="8" cm="1">
        <f t="array" ref="G127">_xlfn.IFS(U127=0,0,U127&gt;0,(LOG(0.01*U127/10^-AI127)))</f>
        <v>4.6802283530550941</v>
      </c>
      <c r="H127" s="8" cm="1">
        <f t="array" ref="H127">_xlfn.IFS(V127=0,0,V127&gt;0,(LOG(0.01*V127/10^-AJ127)))</f>
        <v>0</v>
      </c>
      <c r="I127" s="8" cm="1">
        <f t="array" ref="I127">_xlfn.IFS(W127=0,0,W127&gt;0,(LOG(0.01*W127/10^-AK127)))</f>
        <v>0</v>
      </c>
      <c r="J127" s="8" cm="1">
        <f t="array" ref="J127">_xlfn.IFS(X127=0,0,X127&gt;0,(LOG(0.01*X127/10^-AL127)))</f>
        <v>0</v>
      </c>
      <c r="K127" s="8" cm="1">
        <f t="array" ref="K127">_xlfn.IFS(Y127=0,0,Y127&gt;0,(LOG(0.01*Y127/10^-AM127)))</f>
        <v>0</v>
      </c>
      <c r="L127" s="8" cm="1">
        <f t="array" ref="L127">_xlfn.IFS(Z127=0,0,Z127&gt;0,(LOG(0.01*Z127/10^-AN127)))</f>
        <v>0</v>
      </c>
      <c r="M127" s="8" cm="1">
        <f t="array" ref="M127">_xlfn.IFS(AA127=0,0,AA127&gt;0,(LOG(0.01*AA127/10^-AO127)))</f>
        <v>0</v>
      </c>
      <c r="N127" s="8" cm="1">
        <f t="array" ref="N127">_xlfn.IFS(AB127=0,0,AB127&gt;0,(LOG(0.01*AB127/10^-AP127)))</f>
        <v>4.887973266361807</v>
      </c>
      <c r="O127" s="8" cm="1">
        <f t="array" ref="O127">_xlfn.IFS(AC127=0,0,AC127&gt;0,(LOG(0.01*AC127/10^-AQ127)))</f>
        <v>4.887973266361807</v>
      </c>
      <c r="P127" s="8" cm="1">
        <f t="array" ref="P127">_xlfn.IFS(AD127=0,0,AD127&gt;0,(LOG(0.01*AD127/10^-AR127)))</f>
        <v>4.7592180226701819</v>
      </c>
      <c r="Q127" s="8" cm="1">
        <f t="array" ref="Q127">_xlfn.IFS(AE127=0,0,AE127&gt;0,(LOG(0.01*AE127/10^-AS127)))</f>
        <v>0</v>
      </c>
      <c r="R127" s="8" cm="1">
        <f t="array" ref="R127">_xlfn.IFS(AF127=0,0,AF127&gt;0,(LOG(0.01*AF127/10^-AT127)))</f>
        <v>0</v>
      </c>
      <c r="S127" s="8" cm="1">
        <f t="array" ref="S127">_xlfn.IFS(AG127=0,0,AG127&gt;0,(LOG(0.01*AG127/10^-AU127)))</f>
        <v>0</v>
      </c>
      <c r="T127" s="16">
        <v>25.1</v>
      </c>
      <c r="U127" s="17">
        <v>35.5</v>
      </c>
      <c r="AB127" s="17">
        <v>17.7</v>
      </c>
      <c r="AC127" s="17">
        <v>17.7</v>
      </c>
      <c r="AD127" s="17">
        <v>11.2</v>
      </c>
      <c r="AH127" s="14">
        <v>5.49</v>
      </c>
      <c r="AI127" s="15">
        <v>5.13</v>
      </c>
      <c r="AP127" s="15">
        <v>5.64</v>
      </c>
      <c r="AQ127" s="15">
        <v>5.64</v>
      </c>
      <c r="AR127" s="15">
        <v>5.71</v>
      </c>
      <c r="AW127" s="186" t="str">
        <f>IF(VLOOKUP($A127,'I-Ligands'!$A:$G,3,FALSE)="","",VLOOKUP($A127,'I-Ligands'!$A:$G,3,FALSE))</f>
        <v>9-HODE</v>
      </c>
      <c r="AX127" s="187" t="str">
        <f>IF(VLOOKUP($A127,'I-Ligands'!$A:$G,4,FALSE)="","",VLOOKUP($A127,'I-Ligands'!$A:$G,4,FALSE))</f>
        <v>(±)9-HODE</v>
      </c>
      <c r="AY127" s="98">
        <v>5.2</v>
      </c>
      <c r="AZ127" s="99">
        <v>4.72</v>
      </c>
      <c r="BA127" s="99">
        <v>7.96</v>
      </c>
      <c r="BB127" s="99">
        <v>7.96</v>
      </c>
      <c r="BC127" s="99">
        <v>7.36</v>
      </c>
      <c r="BD127" s="99">
        <v>9.27</v>
      </c>
      <c r="BE127" s="99">
        <v>9.27</v>
      </c>
      <c r="BF127" s="99">
        <v>8.09</v>
      </c>
      <c r="BG127" s="99">
        <v>8.7799999999999994</v>
      </c>
      <c r="BH127" s="99">
        <v>8.7799999999999994</v>
      </c>
      <c r="BI127" s="99">
        <v>10.49</v>
      </c>
      <c r="BJ127" s="99">
        <v>10.64</v>
      </c>
      <c r="BK127" s="99">
        <v>8.0500000000000007</v>
      </c>
      <c r="BL127" s="99">
        <v>7.93</v>
      </c>
      <c r="BM127" s="98">
        <f t="shared" si="42"/>
        <v>4.8269230769230766</v>
      </c>
      <c r="BN127" s="99">
        <f t="shared" si="43"/>
        <v>7.5211864406779663</v>
      </c>
      <c r="BO127" s="99">
        <f t="shared" si="44"/>
        <v>0</v>
      </c>
      <c r="BP127" s="99">
        <f t="shared" si="45"/>
        <v>0</v>
      </c>
      <c r="BQ127" s="99">
        <f t="shared" si="46"/>
        <v>0</v>
      </c>
      <c r="BR127" s="99">
        <f t="shared" si="47"/>
        <v>0</v>
      </c>
      <c r="BS127" s="99">
        <f t="shared" si="48"/>
        <v>0</v>
      </c>
      <c r="BT127" s="99">
        <f t="shared" si="49"/>
        <v>0</v>
      </c>
      <c r="BU127" s="99">
        <f t="shared" si="50"/>
        <v>2.0159453302961277</v>
      </c>
      <c r="BV127" s="99">
        <f t="shared" si="51"/>
        <v>2.0159453302961277</v>
      </c>
      <c r="BW127" s="99">
        <f t="shared" si="52"/>
        <v>1.0676835081029552</v>
      </c>
      <c r="BX127" s="99">
        <f t="shared" si="53"/>
        <v>0</v>
      </c>
      <c r="BY127" s="99">
        <f t="shared" si="54"/>
        <v>0</v>
      </c>
      <c r="BZ127" s="99">
        <f t="shared" si="55"/>
        <v>0</v>
      </c>
      <c r="CA127" s="18" t="e">
        <f>VLOOKUP(A127,'Bouvier-GEMTA'!A:C,4,FALSE)</f>
        <v>#N/A</v>
      </c>
      <c r="CB127" s="18" t="e">
        <f>VLOOKUP(A127,'Martemyanov-FreeGβγ-Nluc'!A:BG,4,FALSE)</f>
        <v>#N/A</v>
      </c>
      <c r="CC127" s="18" t="s">
        <v>5167</v>
      </c>
    </row>
    <row r="128" spans="1:81" ht="18">
      <c r="A128" s="12" t="s">
        <v>153</v>
      </c>
      <c r="B128" s="13" t="s">
        <v>2631</v>
      </c>
      <c r="C128" s="9" t="str">
        <f>IF(VLOOKUP($A128,'I-Ligands'!$A:$G,5,FALSE)="","",VLOOKUP($A128,'I-Ligands'!$A:$G,5,FALSE))</f>
        <v>Guide to Pharmacology</v>
      </c>
      <c r="D128" s="9">
        <f>IF(VLOOKUP($A128,'I-Ligands'!$A:$G,6,FALSE)="","",VLOOKUP($A128,'I-Ligands'!$A:$G,6,FALSE))</f>
        <v>2906</v>
      </c>
      <c r="E128" s="9" t="str">
        <f>IF(VLOOKUP($A128,'I-Ligands'!$A:$G,7,FALSE)="","",VLOOKUP($A128,'I-Ligands'!$A:$G,7,FALSE))</f>
        <v>Phys</v>
      </c>
      <c r="F128" s="7" cm="1">
        <f t="array" ref="F128">_xlfn.IFS(T128=0,0,T128&gt;0,(LOG(0.01*T128/10^-AH128)))</f>
        <v>5.2402112417116076</v>
      </c>
      <c r="G128" s="8" cm="1">
        <f t="array" ref="G128">_xlfn.IFS(U128=0,0,U128&gt;0,(LOG(0.01*U128/10^-AI128)))</f>
        <v>4.9026969532596656</v>
      </c>
      <c r="H128" s="8" cm="1">
        <f t="array" ref="H128">_xlfn.IFS(V128=0,0,V128&gt;0,(LOG(0.01*V128/10^-AJ128)))</f>
        <v>6.0950944485783198</v>
      </c>
      <c r="I128" s="8" cm="1">
        <f t="array" ref="I128">_xlfn.IFS(W128=0,0,W128&gt;0,(LOG(0.01*W128/10^-AK128)))</f>
        <v>6.0950944485783198</v>
      </c>
      <c r="J128" s="8" cm="1">
        <f t="array" ref="J128">_xlfn.IFS(X128=0,0,X128&gt;0,(LOG(0.01*X128/10^-AL128)))</f>
        <v>6.292427119984433</v>
      </c>
      <c r="K128" s="8" cm="1">
        <f t="array" ref="K128">_xlfn.IFS(Y128=0,0,Y128&gt;0,(LOG(0.01*Y128/10^-AM128)))</f>
        <v>6.1977747053878236</v>
      </c>
      <c r="L128" s="8" cm="1">
        <f t="array" ref="L128">_xlfn.IFS(Z128=0,0,Z128&gt;0,(LOG(0.01*Z128/10^-AN128)))</f>
        <v>6.1977747053878236</v>
      </c>
      <c r="M128" s="8" cm="1">
        <f t="array" ref="M128">_xlfn.IFS(AA128=0,0,AA128&gt;0,(LOG(0.01*AA128/10^-AO128)))</f>
        <v>5.7271580313422206</v>
      </c>
      <c r="N128" s="8" cm="1">
        <f t="array" ref="N128">_xlfn.IFS(AB128=0,0,AB128&gt;0,(LOG(0.01*AB128/10^-AP128)))</f>
        <v>5.2710678622717371</v>
      </c>
      <c r="O128" s="8" cm="1">
        <f t="array" ref="O128">_xlfn.IFS(AC128=0,0,AC128&gt;0,(LOG(0.01*AC128/10^-AQ128)))</f>
        <v>5.2710678622717371</v>
      </c>
      <c r="P128" s="8" cm="1">
        <f t="array" ref="P128">_xlfn.IFS(AD128=0,0,AD128&gt;0,(LOG(0.01*AD128/10^-AR128)))</f>
        <v>5.6987063199050798</v>
      </c>
      <c r="Q128" s="8" cm="1">
        <f t="array" ref="Q128">_xlfn.IFS(AE128=0,0,AE128&gt;0,(LOG(0.01*AE128/10^-AS128)))</f>
        <v>5.2679400086720376</v>
      </c>
      <c r="R128" s="8" cm="1">
        <f t="array" ref="R128">_xlfn.IFS(AF128=0,0,AF128&gt;0,(LOG(0.01*AF128/10^-AT128)))</f>
        <v>6.4185664955938444</v>
      </c>
      <c r="S128" s="8" cm="1">
        <f t="array" ref="S128">_xlfn.IFS(AG128=0,0,AG128&gt;0,(LOG(0.01*AG128/10^-AU128)))</f>
        <v>6.4202480183341644</v>
      </c>
      <c r="T128" s="16">
        <v>24</v>
      </c>
      <c r="U128" s="17">
        <v>24.7</v>
      </c>
      <c r="V128" s="17">
        <v>35.9</v>
      </c>
      <c r="W128" s="17">
        <v>35.9</v>
      </c>
      <c r="X128" s="17">
        <v>31.8</v>
      </c>
      <c r="Y128" s="17">
        <v>35.299999999999997</v>
      </c>
      <c r="Z128" s="17">
        <v>35.299999999999997</v>
      </c>
      <c r="AA128" s="17">
        <v>28</v>
      </c>
      <c r="AB128" s="17">
        <v>23.5</v>
      </c>
      <c r="AC128" s="17">
        <v>23.5</v>
      </c>
      <c r="AD128" s="17">
        <v>28.1</v>
      </c>
      <c r="AE128" s="17">
        <v>25</v>
      </c>
      <c r="AF128" s="17">
        <v>30.1</v>
      </c>
      <c r="AG128" s="17">
        <v>22.4</v>
      </c>
      <c r="AH128" s="14">
        <v>5.86</v>
      </c>
      <c r="AI128" s="15">
        <v>5.51</v>
      </c>
      <c r="AJ128" s="15">
        <v>6.54</v>
      </c>
      <c r="AK128" s="15">
        <v>6.54</v>
      </c>
      <c r="AL128" s="15">
        <v>6.79</v>
      </c>
      <c r="AM128" s="15">
        <v>6.65</v>
      </c>
      <c r="AN128" s="15">
        <v>6.65</v>
      </c>
      <c r="AO128" s="15">
        <v>6.28</v>
      </c>
      <c r="AP128" s="15">
        <v>5.9</v>
      </c>
      <c r="AQ128" s="15">
        <v>5.9</v>
      </c>
      <c r="AR128" s="15">
        <v>6.25</v>
      </c>
      <c r="AS128" s="15">
        <v>5.87</v>
      </c>
      <c r="AT128" s="15">
        <v>6.94</v>
      </c>
      <c r="AU128" s="15">
        <v>7.07</v>
      </c>
      <c r="AW128" s="186" t="str">
        <f>IF(VLOOKUP($A128,'I-Ligands'!$A:$G,3,FALSE)="","",VLOOKUP($A128,'I-Ligands'!$A:$G,3,FALSE))</f>
        <v>Lysophosphatidic acid</v>
      </c>
      <c r="AX128" s="187" t="str">
        <f>IF(VLOOKUP($A128,'I-Ligands'!$A:$G,4,FALSE)="","",VLOOKUP($A128,'I-Ligands'!$A:$G,4,FALSE))</f>
        <v>1-oleoyl-2-hydroxy-sn-glycero-3-phosphate, sodium salt</v>
      </c>
      <c r="AY128" s="98">
        <v>4.6100000000000003</v>
      </c>
      <c r="AZ128" s="99">
        <v>5.76</v>
      </c>
      <c r="BA128" s="99">
        <v>5.74</v>
      </c>
      <c r="BB128" s="99">
        <v>5.74</v>
      </c>
      <c r="BC128" s="99">
        <v>5.67</v>
      </c>
      <c r="BD128" s="99">
        <v>5.93</v>
      </c>
      <c r="BE128" s="99">
        <v>5.93</v>
      </c>
      <c r="BF128" s="99">
        <v>4.3499999999999996</v>
      </c>
      <c r="BG128" s="99">
        <v>5.6</v>
      </c>
      <c r="BH128" s="99">
        <v>5.6</v>
      </c>
      <c r="BI128" s="99">
        <v>5.76</v>
      </c>
      <c r="BJ128" s="99">
        <v>4.76</v>
      </c>
      <c r="BK128" s="99">
        <v>4.87</v>
      </c>
      <c r="BL128" s="99">
        <v>4.47</v>
      </c>
      <c r="BM128" s="98">
        <f t="shared" si="42"/>
        <v>5.2060737527114966</v>
      </c>
      <c r="BN128" s="99">
        <f t="shared" si="43"/>
        <v>4.2881944444444446</v>
      </c>
      <c r="BO128" s="99">
        <f t="shared" si="44"/>
        <v>6.2543554006968636</v>
      </c>
      <c r="BP128" s="99">
        <f t="shared" si="45"/>
        <v>6.2543554006968636</v>
      </c>
      <c r="BQ128" s="99">
        <f t="shared" si="46"/>
        <v>5.6084656084656084</v>
      </c>
      <c r="BR128" s="99">
        <f t="shared" si="47"/>
        <v>5.9527824620573355</v>
      </c>
      <c r="BS128" s="99">
        <f t="shared" si="48"/>
        <v>5.9527824620573355</v>
      </c>
      <c r="BT128" s="99">
        <f t="shared" si="49"/>
        <v>6.4367816091954024</v>
      </c>
      <c r="BU128" s="99">
        <f t="shared" si="50"/>
        <v>4.1964285714285721</v>
      </c>
      <c r="BV128" s="99">
        <f t="shared" si="51"/>
        <v>4.1964285714285721</v>
      </c>
      <c r="BW128" s="99">
        <f t="shared" si="52"/>
        <v>4.8784722222222223</v>
      </c>
      <c r="BX128" s="99">
        <f t="shared" si="53"/>
        <v>5.2521008403361344</v>
      </c>
      <c r="BY128" s="99">
        <f t="shared" si="54"/>
        <v>6.1806981519507191</v>
      </c>
      <c r="BZ128" s="99">
        <f t="shared" si="55"/>
        <v>5.0111856823266221</v>
      </c>
      <c r="CA128" s="18" t="e">
        <f>VLOOKUP(A128,'Bouvier-GEMTA'!A:C,4,FALSE)</f>
        <v>#N/A</v>
      </c>
      <c r="CB128" s="18" t="e">
        <f>VLOOKUP(A128,'Martemyanov-FreeGβγ-Nluc'!A:BG,4,FALSE)</f>
        <v>#N/A</v>
      </c>
      <c r="CC128" s="18" t="s">
        <v>5167</v>
      </c>
    </row>
    <row r="129" spans="1:81" ht="18">
      <c r="A129" s="12" t="s">
        <v>196</v>
      </c>
      <c r="B129" s="13" t="s">
        <v>2656</v>
      </c>
      <c r="C129" s="9" t="str">
        <f>IF(VLOOKUP($A129,'I-Ligands'!$A:$G,5,FALSE)="","",VLOOKUP($A129,'I-Ligands'!$A:$G,5,FALSE))</f>
        <v>Guide to Pharmacology</v>
      </c>
      <c r="D129" s="9">
        <f>IF(VLOOKUP($A129,'I-Ligands'!$A:$G,6,FALSE)="","",VLOOKUP($A129,'I-Ligands'!$A:$G,6,FALSE))</f>
        <v>1712</v>
      </c>
      <c r="E129" s="9" t="str">
        <f>IF(VLOOKUP($A129,'I-Ligands'!$A:$G,7,FALSE)="","",VLOOKUP($A129,'I-Ligands'!$A:$G,7,FALSE))</f>
        <v>Phys</v>
      </c>
      <c r="F129" s="7" cm="1">
        <f t="array" ref="F129">_xlfn.IFS(T129=0,0,T129&gt;0,(LOG(0.01*T129/10^-AH129)))</f>
        <v>0</v>
      </c>
      <c r="G129" s="8" cm="1">
        <f t="array" ref="G129">_xlfn.IFS(U129=0,0,U129&gt;0,(LOG(0.01*U129/10^-AI129)))</f>
        <v>0</v>
      </c>
      <c r="H129" s="8" cm="1">
        <f t="array" ref="H129">_xlfn.IFS(V129=0,0,V129&gt;0,(LOG(0.01*V129/10^-AJ129)))</f>
        <v>4.5022712330395684</v>
      </c>
      <c r="I129" s="8" cm="1">
        <f t="array" ref="I129">_xlfn.IFS(W129=0,0,W129&gt;0,(LOG(0.01*W129/10^-AK129)))</f>
        <v>4.5022712330395684</v>
      </c>
      <c r="J129" s="8" cm="1">
        <f t="array" ref="J129">_xlfn.IFS(X129=0,0,X129&gt;0,(LOG(0.01*X129/10^-AL129)))</f>
        <v>4.3834279935629379</v>
      </c>
      <c r="K129" s="8" cm="1">
        <f t="array" ref="K129">_xlfn.IFS(Y129=0,0,Y129&gt;0,(LOG(0.01*Y129/10^-AM129)))</f>
        <v>4.9844826721501692</v>
      </c>
      <c r="L129" s="8" cm="1">
        <f t="array" ref="L129">_xlfn.IFS(Z129=0,0,Z129&gt;0,(LOG(0.01*Z129/10^-AN129)))</f>
        <v>4.9844826721501692</v>
      </c>
      <c r="M129" s="8" cm="1">
        <f t="array" ref="M129">_xlfn.IFS(AA129=0,0,AA129&gt;0,(LOG(0.01*AA129/10^-AO129)))</f>
        <v>4.1179400086720381</v>
      </c>
      <c r="N129" s="8" cm="1">
        <f t="array" ref="N129">_xlfn.IFS(AB129=0,0,AB129&gt;0,(LOG(0.01*AB129/10^-AP129)))</f>
        <v>5.7305492482826006</v>
      </c>
      <c r="O129" s="8" cm="1">
        <f t="array" ref="O129">_xlfn.IFS(AC129=0,0,AC129&gt;0,(LOG(0.01*AC129/10^-AQ129)))</f>
        <v>5.7305492482826006</v>
      </c>
      <c r="P129" s="8" cm="1">
        <f t="array" ref="P129">_xlfn.IFS(AD129=0,0,AD129&gt;0,(LOG(0.01*AD129/10^-AR129)))</f>
        <v>5.7748178230095375</v>
      </c>
      <c r="Q129" s="8" cm="1">
        <f t="array" ref="Q129">_xlfn.IFS(AE129=0,0,AE129&gt;0,(LOG(0.01*AE129/10^-AS129)))</f>
        <v>5.0620599913279625</v>
      </c>
      <c r="R129" s="8" cm="1">
        <f t="array" ref="R129">_xlfn.IFS(AF129=0,0,AF129&gt;0,(LOG(0.01*AF129/10^-AT129)))</f>
        <v>4.7827838567197363</v>
      </c>
      <c r="S129" s="8" cm="1">
        <f t="array" ref="S129">_xlfn.IFS(AG129=0,0,AG129&gt;0,(LOG(0.01*AG129/10^-AU129)))</f>
        <v>5.0593405494535819</v>
      </c>
      <c r="V129" s="17">
        <v>9.6</v>
      </c>
      <c r="W129" s="17">
        <v>9.6</v>
      </c>
      <c r="X129" s="17">
        <v>5.8</v>
      </c>
      <c r="Y129" s="17">
        <v>8.8000000000000007</v>
      </c>
      <c r="Z129" s="17">
        <v>8.8000000000000007</v>
      </c>
      <c r="AA129" s="17">
        <v>2.5</v>
      </c>
      <c r="AB129" s="17">
        <v>17.399999999999999</v>
      </c>
      <c r="AC129" s="17">
        <v>17.399999999999999</v>
      </c>
      <c r="AD129" s="17">
        <v>18.399999999999999</v>
      </c>
      <c r="AE129" s="17">
        <v>4</v>
      </c>
      <c r="AF129" s="17">
        <v>4.0999999999999996</v>
      </c>
      <c r="AG129" s="17">
        <v>6.3</v>
      </c>
      <c r="AJ129" s="15">
        <v>5.52</v>
      </c>
      <c r="AK129" s="15">
        <v>5.52</v>
      </c>
      <c r="AL129" s="15">
        <v>5.62</v>
      </c>
      <c r="AM129" s="15">
        <v>6.04</v>
      </c>
      <c r="AN129" s="15">
        <v>6.04</v>
      </c>
      <c r="AO129" s="15">
        <v>5.72</v>
      </c>
      <c r="AP129" s="15">
        <v>6.49</v>
      </c>
      <c r="AQ129" s="15">
        <v>6.49</v>
      </c>
      <c r="AR129" s="15">
        <v>6.51</v>
      </c>
      <c r="AS129" s="15">
        <v>6.46</v>
      </c>
      <c r="AT129" s="15">
        <v>6.17</v>
      </c>
      <c r="AU129" s="15">
        <v>6.26</v>
      </c>
      <c r="AW129" s="186" t="str">
        <f>IF(VLOOKUP($A129,'I-Ligands'!$A:$G,3,FALSE)="","",VLOOKUP($A129,'I-Ligands'!$A:$G,3,FALSE))</f>
        <v>ADP</v>
      </c>
      <c r="AX129" s="187" t="str">
        <f>IF(VLOOKUP($A129,'I-Ligands'!$A:$G,4,FALSE)="","",VLOOKUP($A129,'I-Ligands'!$A:$G,4,FALSE))</f>
        <v>Adenosine 5'-Diphosphate Sodium Salt</v>
      </c>
      <c r="AY129" s="98">
        <v>0.47</v>
      </c>
      <c r="AZ129" s="99">
        <v>0.89</v>
      </c>
      <c r="BA129" s="99">
        <v>2.81</v>
      </c>
      <c r="BB129" s="99">
        <v>2.81</v>
      </c>
      <c r="BC129" s="99">
        <v>3.4</v>
      </c>
      <c r="BD129" s="99">
        <v>2.38</v>
      </c>
      <c r="BE129" s="99">
        <v>2.38</v>
      </c>
      <c r="BF129" s="99">
        <v>3.15</v>
      </c>
      <c r="BG129" s="99">
        <v>2.34</v>
      </c>
      <c r="BH129" s="99">
        <v>2.34</v>
      </c>
      <c r="BI129" s="99">
        <v>4.8099999999999996</v>
      </c>
      <c r="BJ129" s="99">
        <v>2.14</v>
      </c>
      <c r="BK129" s="99">
        <v>4.2</v>
      </c>
      <c r="BL129" s="99">
        <v>4.0199999999999996</v>
      </c>
      <c r="BM129" s="98">
        <f t="shared" si="42"/>
        <v>0</v>
      </c>
      <c r="BN129" s="99">
        <f t="shared" si="43"/>
        <v>0</v>
      </c>
      <c r="BO129" s="99">
        <f t="shared" si="44"/>
        <v>3.4163701067615655</v>
      </c>
      <c r="BP129" s="99">
        <f t="shared" si="45"/>
        <v>3.4163701067615655</v>
      </c>
      <c r="BQ129" s="99">
        <f t="shared" si="46"/>
        <v>1.7058823529411764</v>
      </c>
      <c r="BR129" s="99">
        <f t="shared" si="47"/>
        <v>3.6974789915966393</v>
      </c>
      <c r="BS129" s="99">
        <f t="shared" si="48"/>
        <v>3.6974789915966393</v>
      </c>
      <c r="BT129" s="99">
        <f t="shared" si="49"/>
        <v>0.79365079365079372</v>
      </c>
      <c r="BU129" s="99">
        <f t="shared" si="50"/>
        <v>7.4358974358974361</v>
      </c>
      <c r="BV129" s="99">
        <f t="shared" si="51"/>
        <v>7.4358974358974361</v>
      </c>
      <c r="BW129" s="99">
        <f t="shared" si="52"/>
        <v>3.8253638253638256</v>
      </c>
      <c r="BX129" s="99">
        <f t="shared" si="53"/>
        <v>1.8691588785046729</v>
      </c>
      <c r="BY129" s="99">
        <f t="shared" si="54"/>
        <v>0.97619047619047605</v>
      </c>
      <c r="BZ129" s="99">
        <f t="shared" si="55"/>
        <v>1.5671641791044777</v>
      </c>
      <c r="CA129" s="18" t="e">
        <f>VLOOKUP(A129,'Bouvier-GEMTA'!A:C,4,FALSE)</f>
        <v>#N/A</v>
      </c>
      <c r="CB129" s="18" t="e">
        <f>VLOOKUP(A129,'Martemyanov-FreeGβγ-Nluc'!A:BG,4,FALSE)</f>
        <v>#N/A</v>
      </c>
      <c r="CC129" s="18" t="s">
        <v>5167</v>
      </c>
    </row>
    <row r="130" spans="1:81" ht="18">
      <c r="A130" s="12" t="s">
        <v>151</v>
      </c>
      <c r="B130" s="13" t="s">
        <v>2629</v>
      </c>
      <c r="C130" s="9" t="str">
        <f>IF(VLOOKUP($A130,'I-Ligands'!$A:$G,5,FALSE)="","",VLOOKUP($A130,'I-Ligands'!$A:$G,5,FALSE))</f>
        <v>Guide to Pharmacology</v>
      </c>
      <c r="D130" s="9">
        <f>IF(VLOOKUP($A130,'I-Ligands'!$A:$G,6,FALSE)="","",VLOOKUP($A130,'I-Ligands'!$A:$G,6,FALSE))</f>
        <v>2906</v>
      </c>
      <c r="E130" s="9" t="str">
        <f>IF(VLOOKUP($A130,'I-Ligands'!$A:$G,7,FALSE)="","",VLOOKUP($A130,'I-Ligands'!$A:$G,7,FALSE))</f>
        <v>Phys</v>
      </c>
      <c r="F130" s="7" cm="1">
        <f t="array" ref="F130">_xlfn.IFS(T130=0,0,T130&gt;0,(LOG(0.01*T130/10^-AH130)))</f>
        <v>6.4622883443830572</v>
      </c>
      <c r="G130" s="8" cm="1">
        <f t="array" ref="G130">_xlfn.IFS(U130=0,0,U130&gt;0,(LOG(0.01*U130/10^-AI130)))</f>
        <v>6.3867205671564076</v>
      </c>
      <c r="H130" s="8" cm="1">
        <f t="array" ref="H130">_xlfn.IFS(V130=0,0,V130&gt;0,(LOG(0.01*V130/10^-AJ130)))</f>
        <v>6.2534216851622366</v>
      </c>
      <c r="I130" s="8" cm="1">
        <f t="array" ref="I130">_xlfn.IFS(W130=0,0,W130&gt;0,(LOG(0.01*W130/10^-AK130)))</f>
        <v>6.2534216851622366</v>
      </c>
      <c r="J130" s="8" cm="1">
        <f t="array" ref="J130">_xlfn.IFS(X130=0,0,X130&gt;0,(LOG(0.01*X130/10^-AL130)))</f>
        <v>6.1631278535996996</v>
      </c>
      <c r="K130" s="8" cm="1">
        <f t="array" ref="K130">_xlfn.IFS(Y130=0,0,Y130&gt;0,(LOG(0.01*Y130/10^-AM130)))</f>
        <v>6.2960912590556823</v>
      </c>
      <c r="L130" s="8" cm="1">
        <f t="array" ref="L130">_xlfn.IFS(Z130=0,0,Z130&gt;0,(LOG(0.01*Z130/10^-AN130)))</f>
        <v>6.2960912590556823</v>
      </c>
      <c r="M130" s="8" cm="1">
        <f t="array" ref="M130">_xlfn.IFS(AA130=0,0,AA130&gt;0,(LOG(0.01*AA130/10^-AO130)))</f>
        <v>6.1341199826559256</v>
      </c>
      <c r="N130" s="8" cm="1">
        <f t="array" ref="N130">_xlfn.IFS(AB130=0,0,AB130&gt;0,(LOG(0.01*AB130/10^-AP130)))</f>
        <v>5.7852725051033067</v>
      </c>
      <c r="O130" s="8" cm="1">
        <f t="array" ref="O130">_xlfn.IFS(AC130=0,0,AC130&gt;0,(LOG(0.01*AC130/10^-AQ130)))</f>
        <v>5.7852725051033067</v>
      </c>
      <c r="P130" s="8" cm="1">
        <f t="array" ref="P130">_xlfn.IFS(AD130=0,0,AD130&gt;0,(LOG(0.01*AD130/10^-AR130)))</f>
        <v>5.9992191126553802</v>
      </c>
      <c r="Q130" s="8" cm="1">
        <f t="array" ref="Q130">_xlfn.IFS(AE130=0,0,AE130&gt;0,(LOG(0.01*AE130/10^-AS130)))</f>
        <v>6.0605492482826007</v>
      </c>
      <c r="R130" s="8" cm="1">
        <f t="array" ref="R130">_xlfn.IFS(AF130=0,0,AF130&gt;0,(LOG(0.01*AF130/10^-AT130)))</f>
        <v>5.8253298350107672</v>
      </c>
      <c r="S130" s="8" cm="1">
        <f t="array" ref="S130">_xlfn.IFS(AG130=0,0,AG130&gt;0,(LOG(0.01*AG130/10^-AU130)))</f>
        <v>6.2927853703164507</v>
      </c>
      <c r="T130" s="16">
        <v>14.2</v>
      </c>
      <c r="U130" s="17">
        <v>13.7</v>
      </c>
      <c r="V130" s="17">
        <v>12.4</v>
      </c>
      <c r="W130" s="17">
        <v>12.4</v>
      </c>
      <c r="X130" s="17">
        <v>9.4</v>
      </c>
      <c r="Y130" s="17">
        <v>15</v>
      </c>
      <c r="Z130" s="17">
        <v>15</v>
      </c>
      <c r="AA130" s="17">
        <v>16</v>
      </c>
      <c r="AB130" s="17">
        <v>18</v>
      </c>
      <c r="AC130" s="17">
        <v>18</v>
      </c>
      <c r="AD130" s="17">
        <v>14.1</v>
      </c>
      <c r="AE130" s="17">
        <v>17.399999999999999</v>
      </c>
      <c r="AF130" s="17">
        <v>6.1</v>
      </c>
      <c r="AG130" s="17">
        <v>12.1</v>
      </c>
      <c r="AH130" s="14">
        <v>7.31</v>
      </c>
      <c r="AI130" s="15">
        <v>7.25</v>
      </c>
      <c r="AJ130" s="15">
        <v>7.16</v>
      </c>
      <c r="AK130" s="15">
        <v>7.16</v>
      </c>
      <c r="AL130" s="15">
        <v>7.19</v>
      </c>
      <c r="AM130" s="15">
        <v>7.12</v>
      </c>
      <c r="AN130" s="15">
        <v>7.12</v>
      </c>
      <c r="AO130" s="15">
        <v>6.93</v>
      </c>
      <c r="AP130" s="15">
        <v>6.53</v>
      </c>
      <c r="AQ130" s="15">
        <v>6.53</v>
      </c>
      <c r="AR130" s="15">
        <v>6.85</v>
      </c>
      <c r="AS130" s="15">
        <v>6.82</v>
      </c>
      <c r="AT130" s="15">
        <v>7.04</v>
      </c>
      <c r="AU130" s="15">
        <v>7.21</v>
      </c>
      <c r="AW130" s="186" t="str">
        <f>IF(VLOOKUP($A130,'I-Ligands'!$A:$G,3,FALSE)="","",VLOOKUP($A130,'I-Ligands'!$A:$G,3,FALSE))</f>
        <v>Lysophosphatidic acid</v>
      </c>
      <c r="AX130" s="187" t="str">
        <f>IF(VLOOKUP($A130,'I-Ligands'!$A:$G,4,FALSE)="","",VLOOKUP($A130,'I-Ligands'!$A:$G,4,FALSE))</f>
        <v>1-oleoyl-2-hydroxy-sn-glycero-3-phosphate, sodium salt</v>
      </c>
      <c r="AY130" s="98">
        <v>4.2</v>
      </c>
      <c r="AZ130" s="99">
        <v>3.65</v>
      </c>
      <c r="BA130" s="99">
        <v>4.05</v>
      </c>
      <c r="BB130" s="99">
        <v>4.05</v>
      </c>
      <c r="BC130" s="99">
        <v>4.2300000000000004</v>
      </c>
      <c r="BD130" s="99">
        <v>4.71</v>
      </c>
      <c r="BE130" s="99">
        <v>4.71</v>
      </c>
      <c r="BF130" s="99">
        <v>4.5</v>
      </c>
      <c r="BG130" s="99">
        <v>4.76</v>
      </c>
      <c r="BH130" s="99">
        <v>4.76</v>
      </c>
      <c r="BI130" s="99">
        <v>5.65</v>
      </c>
      <c r="BJ130" s="99">
        <v>8.56</v>
      </c>
      <c r="BK130" s="99">
        <v>5.01</v>
      </c>
      <c r="BL130" s="99">
        <v>6.17</v>
      </c>
      <c r="BM130" s="98">
        <f t="shared" ref="BM130:BM151" si="56">IF(T130="",0,IFERROR(T130/AY130,""))</f>
        <v>3.3809523809523805</v>
      </c>
      <c r="BN130" s="99">
        <f t="shared" ref="BN130:BN151" si="57">IF(U130="",0,IFERROR(U130/AZ130,""))</f>
        <v>3.7534246575342465</v>
      </c>
      <c r="BO130" s="99">
        <f t="shared" ref="BO130:BO151" si="58">IF(V130="",0,IFERROR(V130/BA130,""))</f>
        <v>3.0617283950617287</v>
      </c>
      <c r="BP130" s="99">
        <f t="shared" ref="BP130:BP151" si="59">IF(W130="",0,IFERROR(W130/BB130,""))</f>
        <v>3.0617283950617287</v>
      </c>
      <c r="BQ130" s="99">
        <f t="shared" ref="BQ130:BQ151" si="60">IF(X130="",0,IFERROR(X130/BC130,""))</f>
        <v>2.2222222222222219</v>
      </c>
      <c r="BR130" s="99">
        <f t="shared" ref="BR130:BR151" si="61">IF(Y130="",0,IFERROR(Y130/BD130,""))</f>
        <v>3.1847133757961785</v>
      </c>
      <c r="BS130" s="99">
        <f t="shared" ref="BS130:BS151" si="62">IF(Z130="",0,IFERROR(Z130/BE130,""))</f>
        <v>3.1847133757961785</v>
      </c>
      <c r="BT130" s="99">
        <f t="shared" ref="BT130:BT151" si="63">IF(AA130="",0,IFERROR(AA130/BF130,""))</f>
        <v>3.5555555555555554</v>
      </c>
      <c r="BU130" s="99">
        <f t="shared" ref="BU130:BU151" si="64">IF(AB130="",0,IFERROR(AB130/BG130,""))</f>
        <v>3.7815126050420171</v>
      </c>
      <c r="BV130" s="99">
        <f t="shared" ref="BV130:BV151" si="65">IF(AC130="",0,IFERROR(AC130/BH130,""))</f>
        <v>3.7815126050420171</v>
      </c>
      <c r="BW130" s="99">
        <f t="shared" ref="BW130:BW151" si="66">IF(AD130="",0,IFERROR(AD130/BI130,""))</f>
        <v>2.4955752212389379</v>
      </c>
      <c r="BX130" s="99">
        <f t="shared" ref="BX130:BX151" si="67">IF(AE130="",0,IFERROR(AE130/BJ130,""))</f>
        <v>2.0327102803738315</v>
      </c>
      <c r="BY130" s="99">
        <f t="shared" ref="BY130:BY151" si="68">IF(AF130="",0,IFERROR(AF130/BK130,""))</f>
        <v>1.217564870259481</v>
      </c>
      <c r="BZ130" s="99">
        <f t="shared" ref="BZ130:BZ151" si="69">IF(AG130="",0,IFERROR(AG130/BL130,""))</f>
        <v>1.9611021069692058</v>
      </c>
      <c r="CA130" s="18" t="e">
        <f>VLOOKUP(A130,'Bouvier-GEMTA'!A:C,4,FALSE)</f>
        <v>#N/A</v>
      </c>
      <c r="CB130" s="18" t="e">
        <f>VLOOKUP(A130,'Martemyanov-FreeGβγ-Nluc'!A:BG,4,FALSE)</f>
        <v>#N/A</v>
      </c>
      <c r="CC130" s="18" t="s">
        <v>5167</v>
      </c>
    </row>
    <row r="131" spans="1:81">
      <c r="A131" s="12" t="s">
        <v>115</v>
      </c>
      <c r="B131" s="13" t="s">
        <v>1131</v>
      </c>
      <c r="C131" s="9" t="str">
        <f>IF(VLOOKUP($A131,'I-Ligands'!$A:$G,5,FALSE)="","",VLOOKUP($A131,'I-Ligands'!$A:$G,5,FALSE))</f>
        <v>Guide to Pharmacology</v>
      </c>
      <c r="D131" s="9">
        <f>IF(VLOOKUP($A131,'I-Ligands'!$A:$G,6,FALSE)="","",VLOOKUP($A131,'I-Ligands'!$A:$G,6,FALSE))</f>
        <v>1048</v>
      </c>
      <c r="E131" s="9" t="str">
        <f>IF(VLOOKUP($A131,'I-Ligands'!$A:$G,7,FALSE)="","",VLOOKUP($A131,'I-Ligands'!$A:$G,7,FALSE))</f>
        <v>Surr</v>
      </c>
      <c r="F131" s="7" cm="1">
        <f t="array" ref="F131">_xlfn.IFS(T131=0,0,T131&gt;0,(LOG(0.01*T131/10^-AH131)))</f>
        <v>4.6185139398778876</v>
      </c>
      <c r="G131" s="8" cm="1">
        <f t="array" ref="G131">_xlfn.IFS(U131=0,0,U131&gt;0,(LOG(0.01*U131/10^-AI131)))</f>
        <v>4.9663025007672879</v>
      </c>
      <c r="H131" s="8" cm="1">
        <f t="array" ref="H131">_xlfn.IFS(V131=0,0,V131&gt;0,(LOG(0.01*V131/10^-AJ131)))</f>
        <v>6.0373559210260197</v>
      </c>
      <c r="I131" s="8" cm="1">
        <f t="array" ref="I131">_xlfn.IFS(W131=0,0,W131&gt;0,(LOG(0.01*W131/10^-AK131)))</f>
        <v>6.0373559210260197</v>
      </c>
      <c r="J131" s="8" cm="1">
        <f t="array" ref="J131">_xlfn.IFS(X131=0,0,X131&gt;0,(LOG(0.01*X131/10^-AL131)))</f>
        <v>6.84466606425209</v>
      </c>
      <c r="K131" s="8" cm="1">
        <f t="array" ref="K131">_xlfn.IFS(Y131=0,0,Y131&gt;0,(LOG(0.01*Y131/10^-AM131)))</f>
        <v>5.7638672203691543</v>
      </c>
      <c r="L131" s="8" cm="1">
        <f t="array" ref="L131">_xlfn.IFS(Z131=0,0,Z131&gt;0,(LOG(0.01*Z131/10^-AN131)))</f>
        <v>5.7638672203691543</v>
      </c>
      <c r="M131" s="8" cm="1">
        <f t="array" ref="M131">_xlfn.IFS(AA131=0,0,AA131&gt;0,(LOG(0.01*AA131/10^-AO131)))</f>
        <v>5.6744826721501704</v>
      </c>
      <c r="N131" s="8" cm="1">
        <f t="array" ref="N131">_xlfn.IFS(AB131=0,0,AB131&gt;0,(LOG(0.01*AB131/10^-AP131)))</f>
        <v>5.6434237554869506</v>
      </c>
      <c r="O131" s="8" cm="1">
        <f t="array" ref="O131">_xlfn.IFS(AC131=0,0,AC131&gt;0,(LOG(0.01*AC131/10^-AQ131)))</f>
        <v>5.6434237554869506</v>
      </c>
      <c r="P131" s="8" cm="1">
        <f t="array" ref="P131">_xlfn.IFS(AD131=0,0,AD131&gt;0,(LOG(0.01*AD131/10^-AR131)))</f>
        <v>7.0253071164658252</v>
      </c>
      <c r="Q131" s="8" cm="1">
        <f t="array" ref="Q131">_xlfn.IFS(AE131=0,0,AE131&gt;0,(LOG(0.01*AE131/10^-AS131)))</f>
        <v>4.7932125137753436</v>
      </c>
      <c r="R131" s="8" cm="1">
        <f t="array" ref="R131">_xlfn.IFS(AF131=0,0,AF131&gt;0,(LOG(0.01*AF131/10^-AT131)))</f>
        <v>5.355874855672492</v>
      </c>
      <c r="S131" s="8" cm="1">
        <f t="array" ref="S131">_xlfn.IFS(AG131=0,0,AG131&gt;0,(LOG(0.01*AG131/10^-AU131)))</f>
        <v>5.4850980400142575</v>
      </c>
      <c r="T131" s="16">
        <v>3.3</v>
      </c>
      <c r="U131" s="17">
        <v>3.6</v>
      </c>
      <c r="V131" s="17">
        <v>23.3</v>
      </c>
      <c r="W131" s="17">
        <v>23.3</v>
      </c>
      <c r="X131" s="17">
        <v>36.700000000000003</v>
      </c>
      <c r="Y131" s="17">
        <v>20.6</v>
      </c>
      <c r="Z131" s="17">
        <v>20.6</v>
      </c>
      <c r="AA131" s="17">
        <v>8.8000000000000007</v>
      </c>
      <c r="AB131" s="17">
        <v>10.8</v>
      </c>
      <c r="AC131" s="17">
        <v>10.8</v>
      </c>
      <c r="AD131" s="17">
        <v>35.1</v>
      </c>
      <c r="AE131" s="17">
        <v>4.5</v>
      </c>
      <c r="AF131" s="17">
        <v>5.7</v>
      </c>
      <c r="AG131" s="17">
        <v>7</v>
      </c>
      <c r="AH131" s="14">
        <v>6.1</v>
      </c>
      <c r="AI131" s="15">
        <v>6.41</v>
      </c>
      <c r="AJ131" s="15">
        <v>6.67</v>
      </c>
      <c r="AK131" s="15">
        <v>6.67</v>
      </c>
      <c r="AL131" s="15">
        <v>7.28</v>
      </c>
      <c r="AM131" s="15">
        <v>6.45</v>
      </c>
      <c r="AN131" s="15">
        <v>6.45</v>
      </c>
      <c r="AO131" s="15">
        <v>6.73</v>
      </c>
      <c r="AP131" s="15">
        <v>6.61</v>
      </c>
      <c r="AQ131" s="15">
        <v>6.61</v>
      </c>
      <c r="AR131" s="15">
        <v>7.48</v>
      </c>
      <c r="AS131" s="15">
        <v>6.14</v>
      </c>
      <c r="AT131" s="15">
        <v>6.6</v>
      </c>
      <c r="AU131" s="15">
        <v>6.64</v>
      </c>
      <c r="AW131" s="186" t="str">
        <f>IF(VLOOKUP($A131,'I-Ligands'!$A:$G,3,FALSE)="","",VLOOKUP($A131,'I-Ligands'!$A:$G,3,FALSE))</f>
        <v>WKYMVM</v>
      </c>
      <c r="AX131" s="187" t="str">
        <f>IF(VLOOKUP($A131,'I-Ligands'!$A:$G,4,FALSE)="","",VLOOKUP($A131,'I-Ligands'!$A:$G,4,FALSE))</f>
        <v>WKYMVM-NH2</v>
      </c>
      <c r="AY131" s="98">
        <v>2.99</v>
      </c>
      <c r="AZ131" s="99">
        <v>3.09</v>
      </c>
      <c r="BA131" s="99">
        <v>2.41</v>
      </c>
      <c r="BB131" s="99">
        <v>2.41</v>
      </c>
      <c r="BC131" s="99">
        <v>4.82</v>
      </c>
      <c r="BD131" s="99">
        <v>2.41</v>
      </c>
      <c r="BE131" s="99">
        <v>2.41</v>
      </c>
      <c r="BF131" s="99">
        <v>4.1900000000000004</v>
      </c>
      <c r="BG131" s="99">
        <v>6.53</v>
      </c>
      <c r="BH131" s="99">
        <v>6.53</v>
      </c>
      <c r="BI131" s="99">
        <v>5.22</v>
      </c>
      <c r="BJ131" s="99">
        <v>1.86</v>
      </c>
      <c r="BK131" s="99">
        <v>0.69</v>
      </c>
      <c r="BL131" s="99">
        <v>1.52</v>
      </c>
      <c r="BM131" s="98">
        <f t="shared" si="56"/>
        <v>1.1036789297658862</v>
      </c>
      <c r="BN131" s="99">
        <f t="shared" si="57"/>
        <v>1.1650485436893205</v>
      </c>
      <c r="BO131" s="99">
        <f t="shared" si="58"/>
        <v>9.6680497925311197</v>
      </c>
      <c r="BP131" s="99">
        <f t="shared" si="59"/>
        <v>9.6680497925311197</v>
      </c>
      <c r="BQ131" s="99">
        <f t="shared" si="60"/>
        <v>7.6141078838174279</v>
      </c>
      <c r="BR131" s="99">
        <f t="shared" si="61"/>
        <v>8.5477178423236513</v>
      </c>
      <c r="BS131" s="99">
        <f t="shared" si="62"/>
        <v>8.5477178423236513</v>
      </c>
      <c r="BT131" s="99">
        <f t="shared" si="63"/>
        <v>2.100238663484487</v>
      </c>
      <c r="BU131" s="99">
        <f t="shared" si="64"/>
        <v>1.6539050535987749</v>
      </c>
      <c r="BV131" s="99">
        <f t="shared" si="65"/>
        <v>1.6539050535987749</v>
      </c>
      <c r="BW131" s="99">
        <f t="shared" si="66"/>
        <v>6.7241379310344831</v>
      </c>
      <c r="BX131" s="99">
        <f t="shared" si="67"/>
        <v>2.4193548387096775</v>
      </c>
      <c r="BY131" s="99">
        <f t="shared" si="68"/>
        <v>8.2608695652173925</v>
      </c>
      <c r="BZ131" s="99">
        <f t="shared" si="69"/>
        <v>4.6052631578947372</v>
      </c>
      <c r="CA131" s="18" t="e">
        <f>VLOOKUP(A131,'Bouvier-GEMTA'!A:C,4,FALSE)</f>
        <v>#N/A</v>
      </c>
      <c r="CB131" s="18" t="e">
        <f>VLOOKUP(A131,'Martemyanov-FreeGβγ-Nluc'!A:BG,4,FALSE)</f>
        <v>#N/A</v>
      </c>
      <c r="CC131" s="18" t="s">
        <v>5167</v>
      </c>
    </row>
    <row r="132" spans="1:81" ht="18">
      <c r="A132" s="12" t="s">
        <v>150</v>
      </c>
      <c r="B132" s="13" t="s">
        <v>2628</v>
      </c>
      <c r="C132" s="9" t="str">
        <f>IF(VLOOKUP($A132,'I-Ligands'!$A:$G,5,FALSE)="","",VLOOKUP($A132,'I-Ligands'!$A:$G,5,FALSE))</f>
        <v>Guide to Pharmacology</v>
      </c>
      <c r="D132" s="9">
        <f>IF(VLOOKUP($A132,'I-Ligands'!$A:$G,6,FALSE)="","",VLOOKUP($A132,'I-Ligands'!$A:$G,6,FALSE))</f>
        <v>2906</v>
      </c>
      <c r="E132" s="9" t="str">
        <f>IF(VLOOKUP($A132,'I-Ligands'!$A:$G,7,FALSE)="","",VLOOKUP($A132,'I-Ligands'!$A:$G,7,FALSE))</f>
        <v>Phys</v>
      </c>
      <c r="F132" s="7" cm="1">
        <f t="array" ref="F132">_xlfn.IFS(T132=0,0,T132&gt;0,(LOG(0.01*T132/10^-AH132)))</f>
        <v>5.41959440922522</v>
      </c>
      <c r="G132" s="8" cm="1">
        <f t="array" ref="G132">_xlfn.IFS(U132=0,0,U132&gt;0,(LOG(0.01*U132/10^-AI132)))</f>
        <v>5.5537464668115648</v>
      </c>
      <c r="H132" s="8" cm="1">
        <f t="array" ref="H132">_xlfn.IFS(V132=0,0,V132&gt;0,(LOG(0.01*V132/10^-AJ132)))</f>
        <v>6.2183105537896015</v>
      </c>
      <c r="I132" s="8" cm="1">
        <f t="array" ref="I132">_xlfn.IFS(W132=0,0,W132&gt;0,(LOG(0.01*W132/10^-AK132)))</f>
        <v>6.2183105537896015</v>
      </c>
      <c r="J132" s="8" cm="1">
        <f t="array" ref="J132">_xlfn.IFS(X132=0,0,X132&gt;0,(LOG(0.01*X132/10^-AL132)))</f>
        <v>6.3861993470957366</v>
      </c>
      <c r="K132" s="8" cm="1">
        <f t="array" ref="K132">_xlfn.IFS(Y132=0,0,Y132&gt;0,(LOG(0.01*Y132/10^-AM132)))</f>
        <v>6.3713637641589882</v>
      </c>
      <c r="L132" s="8" cm="1">
        <f t="array" ref="L132">_xlfn.IFS(Z132=0,0,Z132&gt;0,(LOG(0.01*Z132/10^-AN132)))</f>
        <v>6.3713637641589882</v>
      </c>
      <c r="M132" s="8" cm="1">
        <f t="array" ref="M132">_xlfn.IFS(AA132=0,0,AA132&gt;0,(LOG(0.01*AA132/10^-AO132)))</f>
        <v>6.4618416065364999</v>
      </c>
      <c r="N132" s="8" cm="1">
        <f t="array" ref="N132">_xlfn.IFS(AB132=0,0,AB132&gt;0,(LOG(0.01*AB132/10^-AP132)))</f>
        <v>5.9992158574101433</v>
      </c>
      <c r="O132" s="8" cm="1">
        <f t="array" ref="O132">_xlfn.IFS(AC132=0,0,AC132&gt;0,(LOG(0.01*AC132/10^-AQ132)))</f>
        <v>5.9992158574101433</v>
      </c>
      <c r="P132" s="8" cm="1">
        <f t="array" ref="P132">_xlfn.IFS(AD132=0,0,AD132&gt;0,(LOG(0.01*AD132/10^-AR132)))</f>
        <v>6.0955573090077744</v>
      </c>
      <c r="Q132" s="8" cm="1">
        <f t="array" ref="Q132">_xlfn.IFS(AE132=0,0,AE132&gt;0,(LOG(0.01*AE132/10^-AS132)))</f>
        <v>5.8769296480732152</v>
      </c>
      <c r="R132" s="8" cm="1">
        <f t="array" ref="R132">_xlfn.IFS(AF132=0,0,AF132&gt;0,(LOG(0.01*AF132/10^-AT132)))</f>
        <v>5.7248337166199388</v>
      </c>
      <c r="S132" s="8" cm="1">
        <f t="array" ref="S132">_xlfn.IFS(AG132=0,0,AG132&gt;0,(LOG(0.01*AG132/10^-AU132)))</f>
        <v>6.0038929889859078</v>
      </c>
      <c r="T132" s="16">
        <v>40.700000000000003</v>
      </c>
      <c r="U132" s="17">
        <v>33.4</v>
      </c>
      <c r="V132" s="17">
        <v>31.5</v>
      </c>
      <c r="W132" s="17">
        <v>31.5</v>
      </c>
      <c r="X132" s="17">
        <v>24.9</v>
      </c>
      <c r="Y132" s="17">
        <v>27</v>
      </c>
      <c r="Z132" s="17">
        <v>27</v>
      </c>
      <c r="AA132" s="17">
        <v>18.7</v>
      </c>
      <c r="AB132" s="17">
        <v>23.4</v>
      </c>
      <c r="AC132" s="17">
        <v>23.4</v>
      </c>
      <c r="AD132" s="17">
        <v>19.3</v>
      </c>
      <c r="AE132" s="17">
        <v>31.4</v>
      </c>
      <c r="AF132" s="17">
        <v>25.4</v>
      </c>
      <c r="AG132" s="17">
        <v>29.1</v>
      </c>
      <c r="AH132" s="14">
        <v>5.81</v>
      </c>
      <c r="AI132" s="15">
        <v>6.03</v>
      </c>
      <c r="AJ132" s="15">
        <v>6.72</v>
      </c>
      <c r="AK132" s="15">
        <v>6.72</v>
      </c>
      <c r="AL132" s="15">
        <v>6.99</v>
      </c>
      <c r="AM132" s="15">
        <v>6.94</v>
      </c>
      <c r="AN132" s="15">
        <v>6.94</v>
      </c>
      <c r="AO132" s="15">
        <v>7.19</v>
      </c>
      <c r="AP132" s="15">
        <v>6.63</v>
      </c>
      <c r="AQ132" s="15">
        <v>6.63</v>
      </c>
      <c r="AR132" s="15">
        <v>6.81</v>
      </c>
      <c r="AS132" s="15">
        <v>6.38</v>
      </c>
      <c r="AT132" s="15">
        <v>6.32</v>
      </c>
      <c r="AU132" s="15">
        <v>6.54</v>
      </c>
      <c r="AW132" s="186" t="str">
        <f>IF(VLOOKUP($A132,'I-Ligands'!$A:$G,3,FALSE)="","",VLOOKUP($A132,'I-Ligands'!$A:$G,3,FALSE))</f>
        <v>Lysophosphatidic acid</v>
      </c>
      <c r="AX132" s="187" t="str">
        <f>IF(VLOOKUP($A132,'I-Ligands'!$A:$G,4,FALSE)="","",VLOOKUP($A132,'I-Ligands'!$A:$G,4,FALSE))</f>
        <v>1-oleoyl-2-hydroxy-sn-glycero-3-phosphate, sodium salt</v>
      </c>
      <c r="AY132" s="98">
        <v>10.119999999999999</v>
      </c>
      <c r="AZ132" s="99">
        <v>7.83</v>
      </c>
      <c r="BA132" s="99">
        <v>11</v>
      </c>
      <c r="BB132" s="99">
        <v>11</v>
      </c>
      <c r="BC132" s="99">
        <v>9.2899999999999991</v>
      </c>
      <c r="BD132" s="99">
        <v>8.99</v>
      </c>
      <c r="BE132" s="99">
        <v>8.99</v>
      </c>
      <c r="BF132" s="99">
        <v>6.42</v>
      </c>
      <c r="BG132" s="99">
        <v>10.210000000000001</v>
      </c>
      <c r="BH132" s="99">
        <v>10.210000000000001</v>
      </c>
      <c r="BI132" s="99">
        <v>8.92</v>
      </c>
      <c r="BJ132" s="99">
        <v>8.89</v>
      </c>
      <c r="BK132" s="99">
        <v>8.18</v>
      </c>
      <c r="BL132" s="99">
        <v>9.32</v>
      </c>
      <c r="BM132" s="98">
        <f t="shared" si="56"/>
        <v>4.0217391304347831</v>
      </c>
      <c r="BN132" s="99">
        <f t="shared" si="57"/>
        <v>4.2656449553001279</v>
      </c>
      <c r="BO132" s="99">
        <f t="shared" si="58"/>
        <v>2.8636363636363638</v>
      </c>
      <c r="BP132" s="99">
        <f t="shared" si="59"/>
        <v>2.8636363636363638</v>
      </c>
      <c r="BQ132" s="99">
        <f t="shared" si="60"/>
        <v>2.6803013993541445</v>
      </c>
      <c r="BR132" s="99">
        <f t="shared" si="61"/>
        <v>3.0033370411568407</v>
      </c>
      <c r="BS132" s="99">
        <f t="shared" si="62"/>
        <v>3.0033370411568407</v>
      </c>
      <c r="BT132" s="99">
        <f t="shared" si="63"/>
        <v>2.9127725856697819</v>
      </c>
      <c r="BU132" s="99">
        <f t="shared" si="64"/>
        <v>2.2918707149853081</v>
      </c>
      <c r="BV132" s="99">
        <f t="shared" si="65"/>
        <v>2.2918707149853081</v>
      </c>
      <c r="BW132" s="99">
        <f t="shared" si="66"/>
        <v>2.1636771300448432</v>
      </c>
      <c r="BX132" s="99">
        <f t="shared" si="67"/>
        <v>3.5320584926884138</v>
      </c>
      <c r="BY132" s="99">
        <f t="shared" si="68"/>
        <v>3.1051344743276283</v>
      </c>
      <c r="BZ132" s="99">
        <f t="shared" si="69"/>
        <v>3.1223175965665235</v>
      </c>
      <c r="CA132" s="18" t="e">
        <f>VLOOKUP(A132,'Bouvier-GEMTA'!A:C,4,FALSE)</f>
        <v>#N/A</v>
      </c>
      <c r="CB132" s="18" t="e">
        <f>VLOOKUP(A132,'Martemyanov-FreeGβγ-Nluc'!A:BG,4,FALSE)</f>
        <v>#N/A</v>
      </c>
      <c r="CC132" s="18" t="s">
        <v>5167</v>
      </c>
    </row>
    <row r="133" spans="1:81" ht="18">
      <c r="A133" s="12" t="s">
        <v>194</v>
      </c>
      <c r="B133" s="13" t="s">
        <v>2654</v>
      </c>
      <c r="C133" s="9" t="str">
        <f>IF(VLOOKUP($A133,'I-Ligands'!$A:$G,5,FALSE)="","",VLOOKUP($A133,'I-Ligands'!$A:$G,5,FALSE))</f>
        <v>Guide to Pharmacology</v>
      </c>
      <c r="D133" s="9">
        <f>IF(VLOOKUP($A133,'I-Ligands'!$A:$G,6,FALSE)="","",VLOOKUP($A133,'I-Ligands'!$A:$G,6,FALSE))</f>
        <v>1713</v>
      </c>
      <c r="E133" s="9" t="str">
        <f>IF(VLOOKUP($A133,'I-Ligands'!$A:$G,7,FALSE)="","",VLOOKUP($A133,'I-Ligands'!$A:$G,7,FALSE))</f>
        <v>Phys</v>
      </c>
      <c r="F133" s="7" cm="1">
        <f t="array" ref="F133">_xlfn.IFS(T133=0,0,T133&gt;0,(LOG(0.01*T133/10^-AH133)))</f>
        <v>5.7973324964312694</v>
      </c>
      <c r="G133" s="8" cm="1">
        <f t="array" ref="G133">_xlfn.IFS(U133=0,0,U133&gt;0,(LOG(0.01*U133/10^-AI133)))</f>
        <v>5.7706978403536127</v>
      </c>
      <c r="H133" s="8" cm="1">
        <f t="array" ref="H133">_xlfn.IFS(V133=0,0,V133&gt;0,(LOG(0.01*V133/10^-AJ133)))</f>
        <v>5.9948438480476991</v>
      </c>
      <c r="I133" s="8" cm="1">
        <f t="array" ref="I133">_xlfn.IFS(W133=0,0,W133&gt;0,(LOG(0.01*W133/10^-AK133)))</f>
        <v>5.9948438480476991</v>
      </c>
      <c r="J133" s="8" cm="1">
        <f t="array" ref="J133">_xlfn.IFS(X133=0,0,X133&gt;0,(LOG(0.01*X133/10^-AL133)))</f>
        <v>6.0643528557844375</v>
      </c>
      <c r="K133" s="8" cm="1">
        <f t="array" ref="K133">_xlfn.IFS(Y133=0,0,Y133&gt;0,(LOG(0.01*Y133/10^-AM133)))</f>
        <v>5.8300069429571506</v>
      </c>
      <c r="L133" s="8" cm="1">
        <f t="array" ref="L133">_xlfn.IFS(Z133=0,0,Z133&gt;0,(LOG(0.01*Z133/10^-AN133)))</f>
        <v>5.8300069429571506</v>
      </c>
      <c r="M133" s="8" cm="1">
        <f t="array" ref="M133">_xlfn.IFS(AA133=0,0,AA133&gt;0,(LOG(0.01*AA133/10^-AO133)))</f>
        <v>5.4863529744506385</v>
      </c>
      <c r="N133" s="8" cm="1">
        <f t="array" ref="N133">_xlfn.IFS(AB133=0,0,AB133&gt;0,(LOG(0.01*AB133/10^-AP133)))</f>
        <v>5.9253229787866584</v>
      </c>
      <c r="O133" s="8" cm="1">
        <f t="array" ref="O133">_xlfn.IFS(AC133=0,0,AC133&gt;0,(LOG(0.01*AC133/10^-AQ133)))</f>
        <v>5.9253229787866584</v>
      </c>
      <c r="P133" s="8" cm="1">
        <f t="array" ref="P133">_xlfn.IFS(AD133=0,0,AD133&gt;0,(LOG(0.01*AD133/10^-AR133)))</f>
        <v>5.7294189257142927</v>
      </c>
      <c r="Q133" s="8" cm="1">
        <f t="array" ref="Q133">_xlfn.IFS(AE133=0,0,AE133&gt;0,(LOG(0.01*AE133/10^-AS133)))</f>
        <v>5.2182017240669962</v>
      </c>
      <c r="R133" s="8" cm="1">
        <f t="array" ref="R133">_xlfn.IFS(AF133=0,0,AF133&gt;0,(LOG(0.01*AF133/10^-AT133)))</f>
        <v>5.9424510897304295</v>
      </c>
      <c r="S133" s="8" cm="1">
        <f t="array" ref="S133">_xlfn.IFS(AG133=0,0,AG133&gt;0,(LOG(0.01*AG133/10^-AU133)))</f>
        <v>5.9999051114393991</v>
      </c>
      <c r="T133" s="16">
        <v>7.2</v>
      </c>
      <c r="U133" s="17">
        <v>11.5</v>
      </c>
      <c r="V133" s="17">
        <v>16.399999999999999</v>
      </c>
      <c r="W133" s="17">
        <v>16.399999999999999</v>
      </c>
      <c r="X133" s="17">
        <v>14.6</v>
      </c>
      <c r="Y133" s="17">
        <v>30.2</v>
      </c>
      <c r="Z133" s="17">
        <v>30.2</v>
      </c>
      <c r="AA133" s="17">
        <v>22.2</v>
      </c>
      <c r="AB133" s="17">
        <v>11.1</v>
      </c>
      <c r="AC133" s="17">
        <v>11.1</v>
      </c>
      <c r="AD133" s="17">
        <v>8.5</v>
      </c>
      <c r="AE133" s="17">
        <v>37</v>
      </c>
      <c r="AF133" s="17">
        <v>18.3</v>
      </c>
      <c r="AG133" s="17">
        <v>12.3</v>
      </c>
      <c r="AH133" s="14">
        <v>6.94</v>
      </c>
      <c r="AI133" s="15">
        <v>6.71</v>
      </c>
      <c r="AJ133" s="15">
        <v>6.78</v>
      </c>
      <c r="AK133" s="15">
        <v>6.78</v>
      </c>
      <c r="AL133" s="15">
        <v>6.9</v>
      </c>
      <c r="AM133" s="15">
        <v>6.35</v>
      </c>
      <c r="AN133" s="15">
        <v>6.35</v>
      </c>
      <c r="AO133" s="15">
        <v>6.14</v>
      </c>
      <c r="AP133" s="15">
        <v>6.88</v>
      </c>
      <c r="AQ133" s="15">
        <v>6.88</v>
      </c>
      <c r="AR133" s="15">
        <v>6.8</v>
      </c>
      <c r="AS133" s="15">
        <v>5.65</v>
      </c>
      <c r="AT133" s="15">
        <v>6.68</v>
      </c>
      <c r="AU133" s="15">
        <v>6.91</v>
      </c>
      <c r="AW133" s="186" t="str">
        <f>IF(VLOOKUP($A133,'I-Ligands'!$A:$G,3,FALSE)="","",VLOOKUP($A133,'I-Ligands'!$A:$G,3,FALSE))</f>
        <v>ATP</v>
      </c>
      <c r="AX133" s="187" t="str">
        <f>IF(VLOOKUP($A133,'I-Ligands'!$A:$G,4,FALSE)="","",VLOOKUP($A133,'I-Ligands'!$A:$G,4,FALSE))</f>
        <v>Adenosine 5'-Triphosphate Disodium Salt</v>
      </c>
      <c r="AY133" s="98">
        <v>6.89</v>
      </c>
      <c r="AZ133" s="99">
        <v>3.46</v>
      </c>
      <c r="BA133" s="99">
        <v>3.7</v>
      </c>
      <c r="BB133" s="99">
        <v>3.7</v>
      </c>
      <c r="BC133" s="99">
        <v>3.38</v>
      </c>
      <c r="BD133" s="99">
        <v>2.46</v>
      </c>
      <c r="BE133" s="99">
        <v>2.46</v>
      </c>
      <c r="BF133" s="99">
        <v>6.48</v>
      </c>
      <c r="BG133" s="99">
        <v>3.32</v>
      </c>
      <c r="BH133" s="99">
        <v>3.32</v>
      </c>
      <c r="BI133" s="99">
        <v>2.94</v>
      </c>
      <c r="BJ133" s="99">
        <v>4.5599999999999996</v>
      </c>
      <c r="BK133" s="99">
        <v>3.04</v>
      </c>
      <c r="BL133" s="99">
        <v>2.66</v>
      </c>
      <c r="BM133" s="98">
        <f t="shared" si="56"/>
        <v>1.0449927431059507</v>
      </c>
      <c r="BN133" s="99">
        <f t="shared" si="57"/>
        <v>3.3236994219653178</v>
      </c>
      <c r="BO133" s="99">
        <f t="shared" si="58"/>
        <v>4.4324324324324316</v>
      </c>
      <c r="BP133" s="99">
        <f t="shared" si="59"/>
        <v>4.4324324324324316</v>
      </c>
      <c r="BQ133" s="99">
        <f t="shared" si="60"/>
        <v>4.3195266272189352</v>
      </c>
      <c r="BR133" s="99">
        <f t="shared" si="61"/>
        <v>12.276422764227641</v>
      </c>
      <c r="BS133" s="99">
        <f t="shared" si="62"/>
        <v>12.276422764227641</v>
      </c>
      <c r="BT133" s="99">
        <f t="shared" si="63"/>
        <v>3.4259259259259256</v>
      </c>
      <c r="BU133" s="99">
        <f t="shared" si="64"/>
        <v>3.3433734939759039</v>
      </c>
      <c r="BV133" s="99">
        <f t="shared" si="65"/>
        <v>3.3433734939759039</v>
      </c>
      <c r="BW133" s="99">
        <f t="shared" si="66"/>
        <v>2.8911564625850339</v>
      </c>
      <c r="BX133" s="99">
        <f t="shared" si="67"/>
        <v>8.1140350877192997</v>
      </c>
      <c r="BY133" s="99">
        <f t="shared" si="68"/>
        <v>6.0197368421052637</v>
      </c>
      <c r="BZ133" s="99">
        <f t="shared" si="69"/>
        <v>4.6240601503759402</v>
      </c>
      <c r="CA133" s="18" t="e">
        <f>VLOOKUP(A133,'Bouvier-GEMTA'!A:C,4,FALSE)</f>
        <v>#N/A</v>
      </c>
      <c r="CB133" s="18" t="e">
        <f>VLOOKUP(A133,'Martemyanov-FreeGβγ-Nluc'!A:BG,4,FALSE)</f>
        <v>#N/A</v>
      </c>
      <c r="CC133" s="18" t="s">
        <v>5167</v>
      </c>
    </row>
    <row r="134" spans="1:81">
      <c r="A134" s="12" t="s">
        <v>94</v>
      </c>
      <c r="B134" s="13" t="s">
        <v>95</v>
      </c>
      <c r="C134" s="9" t="str">
        <f>IF(VLOOKUP($A134,'I-Ligands'!$A:$G,5,FALSE)="","",VLOOKUP($A134,'I-Ligands'!$A:$G,5,FALSE))</f>
        <v>Guide to Pharmacology</v>
      </c>
      <c r="D134" s="9">
        <f>IF(VLOOKUP($A134,'I-Ligands'!$A:$G,6,FALSE)="","",VLOOKUP($A134,'I-Ligands'!$A:$G,6,FALSE))</f>
        <v>4058</v>
      </c>
      <c r="E134" s="9" t="str">
        <f>IF(VLOOKUP($A134,'I-Ligands'!$A:$G,7,FALSE)="","",VLOOKUP($A134,'I-Ligands'!$A:$G,7,FALSE))</f>
        <v>Phys</v>
      </c>
      <c r="F134" s="7" cm="1">
        <f t="array" ref="F134">_xlfn.IFS(T134=0,0,T134&gt;0,(LOG(0.01*T134/10^-AH134)))</f>
        <v>6.4217864355242904</v>
      </c>
      <c r="G134" s="8" cm="1">
        <f t="array" ref="G134">_xlfn.IFS(U134=0,0,U134&gt;0,(LOG(0.01*U134/10^-AI134)))</f>
        <v>6.4314426285023059</v>
      </c>
      <c r="H134" s="8" cm="1">
        <f t="array" ref="H134">_xlfn.IFS(V134=0,0,V134&gt;0,(LOG(0.01*V134/10^-AJ134)))</f>
        <v>5.9792191126553806</v>
      </c>
      <c r="I134" s="8" cm="1">
        <f t="array" ref="I134">_xlfn.IFS(W134=0,0,W134&gt;0,(LOG(0.01*W134/10^-AK134)))</f>
        <v>5.9792191126553806</v>
      </c>
      <c r="J134" s="8" cm="1">
        <f t="array" ref="J134">_xlfn.IFS(X134=0,0,X134&gt;0,(LOG(0.01*X134/10^-AL134)))</f>
        <v>6.0656351945975517</v>
      </c>
      <c r="K134" s="8" cm="1">
        <f t="array" ref="K134">_xlfn.IFS(Y134=0,0,Y134&gt;0,(LOG(0.01*Y134/10^-AM134)))</f>
        <v>6.2687536009528291</v>
      </c>
      <c r="L134" s="8" cm="1">
        <f t="array" ref="L134">_xlfn.IFS(Z134=0,0,Z134&gt;0,(LOG(0.01*Z134/10^-AN134)))</f>
        <v>6.2687536009528291</v>
      </c>
      <c r="M134" s="8" cm="1">
        <f t="array" ref="M134">_xlfn.IFS(AA134=0,0,AA134&gt;0,(LOG(0.01*AA134/10^-AO134)))</f>
        <v>6.100331698170292</v>
      </c>
      <c r="N134" s="8" cm="1">
        <f t="array" ref="N134">_xlfn.IFS(AB134=0,0,AB134&gt;0,(LOG(0.01*AB134/10^-AP134)))</f>
        <v>6.3027164711475852</v>
      </c>
      <c r="O134" s="8" cm="1">
        <f t="array" ref="O134">_xlfn.IFS(AC134=0,0,AC134&gt;0,(LOG(0.01*AC134/10^-AQ134)))</f>
        <v>6.3027164711475852</v>
      </c>
      <c r="P134" s="8" cm="1">
        <f t="array" ref="P134">_xlfn.IFS(AD134=0,0,AD134&gt;0,(LOG(0.01*AD134/10^-AR134)))</f>
        <v>6.0169100130080571</v>
      </c>
      <c r="Q134" s="8" cm="1">
        <f t="array" ref="Q134">_xlfn.IFS(AE134=0,0,AE134&gt;0,(LOG(0.01*AE134/10^-AS134)))</f>
        <v>6.2363392773898445</v>
      </c>
      <c r="R134" s="8" cm="1">
        <f t="array" ref="R134">_xlfn.IFS(AF134=0,0,AF134&gt;0,(LOG(0.01*AF134/10^-AT134)))</f>
        <v>6.3802480183341626</v>
      </c>
      <c r="S134" s="8" cm="1">
        <f t="array" ref="S134">_xlfn.IFS(AG134=0,0,AG134&gt;0,(LOG(0.01*AG134/10^-AU134)))</f>
        <v>6.2542162640762564</v>
      </c>
      <c r="T134" s="16">
        <v>28.3</v>
      </c>
      <c r="U134" s="17">
        <v>30.3</v>
      </c>
      <c r="V134" s="17">
        <v>14.1</v>
      </c>
      <c r="W134" s="17">
        <v>14.1</v>
      </c>
      <c r="X134" s="17">
        <v>9.9</v>
      </c>
      <c r="Y134" s="17">
        <v>19</v>
      </c>
      <c r="Z134" s="17">
        <v>19</v>
      </c>
      <c r="AA134" s="17">
        <v>15.5</v>
      </c>
      <c r="AB134" s="17">
        <v>16.7</v>
      </c>
      <c r="AC134" s="17">
        <v>16.7</v>
      </c>
      <c r="AD134" s="17">
        <v>12.5</v>
      </c>
      <c r="AE134" s="17">
        <v>33.6</v>
      </c>
      <c r="AF134" s="17">
        <v>22.4</v>
      </c>
      <c r="AG134" s="17">
        <v>29.8</v>
      </c>
      <c r="AH134" s="14">
        <v>6.97</v>
      </c>
      <c r="AI134" s="15">
        <v>6.95</v>
      </c>
      <c r="AJ134" s="15">
        <v>6.83</v>
      </c>
      <c r="AK134" s="15">
        <v>6.83</v>
      </c>
      <c r="AL134" s="15">
        <v>7.07</v>
      </c>
      <c r="AM134" s="15">
        <v>6.99</v>
      </c>
      <c r="AN134" s="15">
        <v>6.99</v>
      </c>
      <c r="AO134" s="15">
        <v>6.91</v>
      </c>
      <c r="AP134" s="15">
        <v>7.08</v>
      </c>
      <c r="AQ134" s="15">
        <v>7.08</v>
      </c>
      <c r="AR134" s="15">
        <v>6.92</v>
      </c>
      <c r="AS134" s="15">
        <v>6.71</v>
      </c>
      <c r="AT134" s="15">
        <v>7.03</v>
      </c>
      <c r="AU134" s="15">
        <v>6.78</v>
      </c>
      <c r="AW134" s="186" t="str">
        <f>IF(VLOOKUP($A134,'I-Ligands'!$A:$G,3,FALSE)="","",VLOOKUP($A134,'I-Ligands'!$A:$G,3,FALSE))</f>
        <v>BAM-22P</v>
      </c>
      <c r="AX134" s="187" t="str">
        <f>IF(VLOOKUP($A134,'I-Ligands'!$A:$G,4,FALSE)="","",VLOOKUP($A134,'I-Ligands'!$A:$G,4,FALSE))</f>
        <v>YGGFMRRVGRPEWWMDYQKRYG</v>
      </c>
      <c r="AY134" s="98">
        <v>9.76</v>
      </c>
      <c r="AZ134" s="99">
        <v>9.3000000000000007</v>
      </c>
      <c r="BA134" s="99">
        <v>6.31</v>
      </c>
      <c r="BB134" s="99">
        <v>6.31</v>
      </c>
      <c r="BC134" s="99">
        <v>6.17</v>
      </c>
      <c r="BD134" s="99">
        <v>9.49</v>
      </c>
      <c r="BE134" s="99">
        <v>9.49</v>
      </c>
      <c r="BF134" s="99">
        <v>8.09</v>
      </c>
      <c r="BG134" s="99">
        <v>8.83</v>
      </c>
      <c r="BH134" s="99">
        <v>8.83</v>
      </c>
      <c r="BI134" s="99">
        <v>6.16</v>
      </c>
      <c r="BJ134" s="99">
        <v>9.31</v>
      </c>
      <c r="BK134" s="99">
        <v>9.23</v>
      </c>
      <c r="BL134" s="99">
        <v>8.32</v>
      </c>
      <c r="BM134" s="98">
        <f t="shared" si="56"/>
        <v>2.8995901639344264</v>
      </c>
      <c r="BN134" s="99">
        <f t="shared" si="57"/>
        <v>3.258064516129032</v>
      </c>
      <c r="BO134" s="99">
        <f t="shared" si="58"/>
        <v>2.2345483359746434</v>
      </c>
      <c r="BP134" s="99">
        <f t="shared" si="59"/>
        <v>2.2345483359746434</v>
      </c>
      <c r="BQ134" s="99">
        <f t="shared" si="60"/>
        <v>1.6045380875202595</v>
      </c>
      <c r="BR134" s="99">
        <f t="shared" si="61"/>
        <v>2.0021074815595363</v>
      </c>
      <c r="BS134" s="99">
        <f t="shared" si="62"/>
        <v>2.0021074815595363</v>
      </c>
      <c r="BT134" s="99">
        <f t="shared" si="63"/>
        <v>1.9159456118665019</v>
      </c>
      <c r="BU134" s="99">
        <f t="shared" si="64"/>
        <v>1.8912797281993203</v>
      </c>
      <c r="BV134" s="99">
        <f t="shared" si="65"/>
        <v>1.8912797281993203</v>
      </c>
      <c r="BW134" s="99">
        <f t="shared" si="66"/>
        <v>2.029220779220779</v>
      </c>
      <c r="BX134" s="99">
        <f t="shared" si="67"/>
        <v>3.6090225563909772</v>
      </c>
      <c r="BY134" s="99">
        <f t="shared" si="68"/>
        <v>2.4268689057421451</v>
      </c>
      <c r="BZ134" s="99">
        <f t="shared" si="69"/>
        <v>3.5817307692307692</v>
      </c>
      <c r="CA134" s="18" t="e">
        <f>VLOOKUP(A134,'Bouvier-GEMTA'!A:C,4,FALSE)</f>
        <v>#N/A</v>
      </c>
      <c r="CB134" s="18" t="e">
        <f>VLOOKUP(A134,'Martemyanov-FreeGβγ-Nluc'!A:BG,4,FALSE)</f>
        <v>#N/A</v>
      </c>
      <c r="CC134" s="18" t="s">
        <v>5167</v>
      </c>
    </row>
    <row r="135" spans="1:81">
      <c r="A135" s="12" t="s">
        <v>88</v>
      </c>
      <c r="B135" s="13" t="s">
        <v>88</v>
      </c>
      <c r="C135" s="9" t="str">
        <f>IF(VLOOKUP($A135,'I-Ligands'!$A:$G,5,FALSE)="","",VLOOKUP($A135,'I-Ligands'!$A:$G,5,FALSE))</f>
        <v>CAS registry number</v>
      </c>
      <c r="D135" s="9" t="str">
        <f>IF(VLOOKUP($A135,'I-Ligands'!$A:$G,6,FALSE)="","",VLOOKUP($A135,'I-Ligands'!$A:$G,6,FALSE))</f>
        <v>130798-51-5</v>
      </c>
      <c r="E135" s="9" t="str">
        <f>IF(VLOOKUP($A135,'I-Ligands'!$A:$G,7,FALSE)="","",VLOOKUP($A135,'I-Ligands'!$A:$G,7,FALSE))</f>
        <v>Surr</v>
      </c>
      <c r="F135" s="7" cm="1">
        <f t="array" ref="F135">_xlfn.IFS(T135=0,0,T135&gt;0,(LOG(0.01*T135/10^-AH135)))</f>
        <v>0</v>
      </c>
      <c r="G135" s="8" cm="1">
        <f t="array" ref="G135">_xlfn.IFS(U135=0,0,U135&gt;0,(LOG(0.01*U135/10^-AI135)))</f>
        <v>0</v>
      </c>
      <c r="H135" s="8" cm="1">
        <f t="array" ref="H135">_xlfn.IFS(V135=0,0,V135&gt;0,(LOG(0.01*V135/10^-AJ135)))</f>
        <v>6.8041545940184429</v>
      </c>
      <c r="I135" s="8" cm="1">
        <f t="array" ref="I135">_xlfn.IFS(W135=0,0,W135&gt;0,(LOG(0.01*W135/10^-AK135)))</f>
        <v>6.8041545940184429</v>
      </c>
      <c r="J135" s="8" cm="1">
        <f t="array" ref="J135">_xlfn.IFS(X135=0,0,X135&gt;0,(LOG(0.01*X135/10^-AL135)))</f>
        <v>6.7201462861110555</v>
      </c>
      <c r="K135" s="8" cm="1">
        <f t="array" ref="K135">_xlfn.IFS(Y135=0,0,Y135&gt;0,(LOG(0.01*Y135/10^-AM135)))</f>
        <v>5.989373909615046</v>
      </c>
      <c r="L135" s="8" cm="1">
        <f t="array" ref="L135">_xlfn.IFS(Z135=0,0,Z135&gt;0,(LOG(0.01*Z135/10^-AN135)))</f>
        <v>5.989373909615046</v>
      </c>
      <c r="M135" s="8" cm="1">
        <f t="array" ref="M135">_xlfn.IFS(AA135=0,0,AA135&gt;0,(LOG(0.01*AA135/10^-AO135)))</f>
        <v>4.6930380486862946</v>
      </c>
      <c r="N135" s="8" cm="1">
        <f t="array" ref="N135">_xlfn.IFS(AB135=0,0,AB135&gt;0,(LOG(0.01*AB135/10^-AP135)))</f>
        <v>6.5827603890268378</v>
      </c>
      <c r="O135" s="8" cm="1">
        <f t="array" ref="O135">_xlfn.IFS(AC135=0,0,AC135&gt;0,(LOG(0.01*AC135/10^-AQ135)))</f>
        <v>6.5827603890268378</v>
      </c>
      <c r="P135" s="8" cm="1">
        <f t="array" ref="P135">_xlfn.IFS(AD135=0,0,AD135&gt;0,(LOG(0.01*AD135/10^-AR135)))</f>
        <v>5.4359703454569184</v>
      </c>
      <c r="Q135" s="8" cm="1">
        <f t="array" ref="Q135">_xlfn.IFS(AE135=0,0,AE135&gt;0,(LOG(0.01*AE135/10^-AS135)))</f>
        <v>0</v>
      </c>
      <c r="R135" s="8" cm="1">
        <f t="array" ref="R135">_xlfn.IFS(AF135=0,0,AF135&gt;0,(LOG(0.01*AF135/10^-AT135)))</f>
        <v>5.1963413502057936</v>
      </c>
      <c r="S135" s="8" cm="1">
        <f t="array" ref="S135">_xlfn.IFS(AG135=0,0,AG135&gt;0,(LOG(0.01*AG135/10^-AU135)))</f>
        <v>4.8714426285023054</v>
      </c>
      <c r="V135" s="17">
        <v>31.2</v>
      </c>
      <c r="W135" s="17">
        <v>31.2</v>
      </c>
      <c r="X135" s="17">
        <v>20.9</v>
      </c>
      <c r="Y135" s="17">
        <v>37.1</v>
      </c>
      <c r="Z135" s="17">
        <v>37.1</v>
      </c>
      <c r="AA135" s="17">
        <v>17.5</v>
      </c>
      <c r="AB135" s="17">
        <v>31.1</v>
      </c>
      <c r="AC135" s="17">
        <v>31.1</v>
      </c>
      <c r="AD135" s="17">
        <v>20.7</v>
      </c>
      <c r="AF135" s="17">
        <v>37.700000000000003</v>
      </c>
      <c r="AG135" s="17">
        <v>30.3</v>
      </c>
      <c r="AJ135" s="15">
        <v>7.31</v>
      </c>
      <c r="AK135" s="15">
        <v>7.31</v>
      </c>
      <c r="AL135" s="15">
        <v>7.4</v>
      </c>
      <c r="AM135" s="15">
        <v>6.42</v>
      </c>
      <c r="AN135" s="15">
        <v>6.42</v>
      </c>
      <c r="AO135" s="15">
        <v>5.45</v>
      </c>
      <c r="AP135" s="15">
        <v>7.09</v>
      </c>
      <c r="AQ135" s="15">
        <v>7.09</v>
      </c>
      <c r="AR135" s="15">
        <v>6.12</v>
      </c>
      <c r="AT135" s="15">
        <v>5.62</v>
      </c>
      <c r="AU135" s="15">
        <v>5.39</v>
      </c>
      <c r="AW135" s="186" t="str">
        <f>IF(VLOOKUP($A135,'I-Ligands'!$A:$G,3,FALSE)="","",VLOOKUP($A135,'I-Ligands'!$A:$G,3,FALSE))</f>
        <v>MDL 29951</v>
      </c>
      <c r="AX135" s="187" t="str">
        <f>IF(VLOOKUP($A135,'I-Ligands'!$A:$G,4,FALSE)="","",VLOOKUP($A135,'I-Ligands'!$A:$G,4,FALSE))</f>
        <v>MDL 29951</v>
      </c>
      <c r="AY135" s="98">
        <v>3.87</v>
      </c>
      <c r="AZ135" s="99">
        <v>3.64</v>
      </c>
      <c r="BA135" s="99">
        <v>8.75</v>
      </c>
      <c r="BB135" s="99">
        <v>8.75</v>
      </c>
      <c r="BC135" s="99">
        <v>10.41</v>
      </c>
      <c r="BD135" s="99">
        <v>4.91</v>
      </c>
      <c r="BE135" s="99">
        <v>4.91</v>
      </c>
      <c r="BF135" s="99">
        <v>6.86</v>
      </c>
      <c r="BG135" s="99">
        <v>12.11</v>
      </c>
      <c r="BH135" s="99">
        <v>12.11</v>
      </c>
      <c r="BI135" s="99">
        <v>8.91</v>
      </c>
      <c r="BJ135" s="99">
        <v>5.07</v>
      </c>
      <c r="BK135" s="99">
        <v>4.59</v>
      </c>
      <c r="BL135" s="99">
        <v>5.33</v>
      </c>
      <c r="BM135" s="98">
        <f t="shared" si="56"/>
        <v>0</v>
      </c>
      <c r="BN135" s="99">
        <f t="shared" si="57"/>
        <v>0</v>
      </c>
      <c r="BO135" s="99">
        <f t="shared" si="58"/>
        <v>3.5657142857142858</v>
      </c>
      <c r="BP135" s="99">
        <f t="shared" si="59"/>
        <v>3.5657142857142858</v>
      </c>
      <c r="BQ135" s="99">
        <f t="shared" si="60"/>
        <v>2.0076849183477425</v>
      </c>
      <c r="BR135" s="99">
        <f t="shared" si="61"/>
        <v>7.5560081466395115</v>
      </c>
      <c r="BS135" s="99">
        <f t="shared" si="62"/>
        <v>7.5560081466395115</v>
      </c>
      <c r="BT135" s="99">
        <f t="shared" si="63"/>
        <v>2.5510204081632653</v>
      </c>
      <c r="BU135" s="99">
        <f t="shared" si="64"/>
        <v>2.5681255161023948</v>
      </c>
      <c r="BV135" s="99">
        <f t="shared" si="65"/>
        <v>2.5681255161023948</v>
      </c>
      <c r="BW135" s="99">
        <f t="shared" si="66"/>
        <v>2.3232323232323231</v>
      </c>
      <c r="BX135" s="99">
        <f t="shared" si="67"/>
        <v>0</v>
      </c>
      <c r="BY135" s="99">
        <f t="shared" si="68"/>
        <v>8.2135076252723316</v>
      </c>
      <c r="BZ135" s="99">
        <f t="shared" si="69"/>
        <v>5.6848030018761726</v>
      </c>
      <c r="CA135" s="18" t="e">
        <f>VLOOKUP(A135,'Bouvier-GEMTA'!A:C,4,FALSE)</f>
        <v>#N/A</v>
      </c>
      <c r="CB135" s="18" t="e">
        <f>VLOOKUP(A135,'Martemyanov-FreeGβγ-Nluc'!A:BG,4,FALSE)</f>
        <v>#N/A</v>
      </c>
      <c r="CC135" s="18" t="s">
        <v>5167</v>
      </c>
    </row>
    <row r="136" spans="1:81">
      <c r="A136" s="12" t="s">
        <v>96</v>
      </c>
      <c r="B136" s="13" t="s">
        <v>97</v>
      </c>
      <c r="C136" s="9" t="str">
        <f>IF(VLOOKUP($A136,'I-Ligands'!$A:$G,5,FALSE)="","",VLOOKUP($A136,'I-Ligands'!$A:$G,5,FALSE))</f>
        <v>Guide to Pharmacology</v>
      </c>
      <c r="D136" s="9">
        <f>IF(VLOOKUP($A136,'I-Ligands'!$A:$G,6,FALSE)="","",VLOOKUP($A136,'I-Ligands'!$A:$G,6,FALSE))</f>
        <v>2007</v>
      </c>
      <c r="E136" s="9" t="str">
        <f>IF(VLOOKUP($A136,'I-Ligands'!$A:$G,7,FALSE)="","",VLOOKUP($A136,'I-Ligands'!$A:$G,7,FALSE))</f>
        <v>Phys</v>
      </c>
      <c r="F136" s="7" cm="1">
        <f t="array" ref="F136">_xlfn.IFS(T136=0,0,T136&gt;0,(LOG(0.01*T136/10^-AH136)))</f>
        <v>6.4168676203541102</v>
      </c>
      <c r="G136" s="8" cm="1">
        <f t="array" ref="G136">_xlfn.IFS(U136=0,0,U136&gt;0,(LOG(0.01*U136/10^-AI136)))</f>
        <v>6.4302491083193614</v>
      </c>
      <c r="H136" s="8" cm="1">
        <f t="array" ref="H136">_xlfn.IFS(V136=0,0,V136&gt;0,(LOG(0.01*V136/10^-AJ136)))</f>
        <v>6.6484564936046056</v>
      </c>
      <c r="I136" s="8" cm="1">
        <f t="array" ref="I136">_xlfn.IFS(W136=0,0,W136&gt;0,(LOG(0.01*W136/10^-AK136)))</f>
        <v>6.6484564936046056</v>
      </c>
      <c r="J136" s="8" cm="1">
        <f t="array" ref="J136">_xlfn.IFS(X136=0,0,X136&gt;0,(LOG(0.01*X136/10^-AL136)))</f>
        <v>6.590034611362519</v>
      </c>
      <c r="K136" s="8" cm="1">
        <f t="array" ref="K136">_xlfn.IFS(Y136=0,0,Y136&gt;0,(LOG(0.01*Y136/10^-AM136)))</f>
        <v>6.524568904034199</v>
      </c>
      <c r="L136" s="8" cm="1">
        <f t="array" ref="L136">_xlfn.IFS(Z136=0,0,Z136&gt;0,(LOG(0.01*Z136/10^-AN136)))</f>
        <v>6.524568904034199</v>
      </c>
      <c r="M136" s="8" cm="1">
        <f t="array" ref="M136">_xlfn.IFS(AA136=0,0,AA136&gt;0,(LOG(0.01*AA136/10^-AO136)))</f>
        <v>6.1853092817258633</v>
      </c>
      <c r="N136" s="8" cm="1">
        <f t="array" ref="N136">_xlfn.IFS(AB136=0,0,AB136&gt;0,(LOG(0.01*AB136/10^-AP136)))</f>
        <v>6.5516039268698325</v>
      </c>
      <c r="O136" s="8" cm="1">
        <f t="array" ref="O136">_xlfn.IFS(AC136=0,0,AC136&gt;0,(LOG(0.01*AC136/10^-AQ136)))</f>
        <v>6.5516039268698325</v>
      </c>
      <c r="P136" s="8" cm="1">
        <f t="array" ref="P136">_xlfn.IFS(AD136=0,0,AD136&gt;0,(LOG(0.01*AD136/10^-AR136)))</f>
        <v>6.5831960574204897</v>
      </c>
      <c r="Q136" s="8" cm="1">
        <f t="array" ref="Q136">_xlfn.IFS(AE136=0,0,AE136&gt;0,(LOG(0.01*AE136/10^-AS136)))</f>
        <v>6.0663529744506395</v>
      </c>
      <c r="R136" s="8" cm="1">
        <f t="array" ref="R136">_xlfn.IFS(AF136=0,0,AF136&gt;0,(LOG(0.01*AF136/10^-AT136)))</f>
        <v>6.3020170425748692</v>
      </c>
      <c r="S136" s="8" cm="1">
        <f t="array" ref="S136">_xlfn.IFS(AG136=0,0,AG136&gt;0,(LOG(0.01*AG136/10^-AU136)))</f>
        <v>6.0053092817258644</v>
      </c>
      <c r="T136" s="16">
        <v>29.3</v>
      </c>
      <c r="U136" s="17">
        <v>28.2</v>
      </c>
      <c r="V136" s="17">
        <v>21.8</v>
      </c>
      <c r="W136" s="17">
        <v>21.8</v>
      </c>
      <c r="X136" s="17">
        <v>19.5</v>
      </c>
      <c r="Y136" s="17">
        <v>27.2</v>
      </c>
      <c r="Z136" s="17">
        <v>27.2</v>
      </c>
      <c r="AA136" s="17">
        <v>16.8</v>
      </c>
      <c r="AB136" s="17">
        <v>26.4</v>
      </c>
      <c r="AC136" s="17">
        <v>26.4</v>
      </c>
      <c r="AD136" s="17">
        <v>20.100000000000001</v>
      </c>
      <c r="AE136" s="17">
        <v>22.2</v>
      </c>
      <c r="AF136" s="17">
        <v>24.1</v>
      </c>
      <c r="AG136" s="17">
        <v>16.8</v>
      </c>
      <c r="AH136" s="14">
        <v>6.95</v>
      </c>
      <c r="AI136" s="15">
        <v>6.98</v>
      </c>
      <c r="AJ136" s="15">
        <v>7.31</v>
      </c>
      <c r="AK136" s="15">
        <v>7.31</v>
      </c>
      <c r="AL136" s="15">
        <v>7.3</v>
      </c>
      <c r="AM136" s="15">
        <v>7.09</v>
      </c>
      <c r="AN136" s="15">
        <v>7.09</v>
      </c>
      <c r="AO136" s="15">
        <v>6.96</v>
      </c>
      <c r="AP136" s="15">
        <v>7.13</v>
      </c>
      <c r="AQ136" s="15">
        <v>7.13</v>
      </c>
      <c r="AR136" s="15">
        <v>7.28</v>
      </c>
      <c r="AS136" s="15">
        <v>6.72</v>
      </c>
      <c r="AT136" s="15">
        <v>6.92</v>
      </c>
      <c r="AU136" s="15">
        <v>6.78</v>
      </c>
      <c r="AW136" s="186" t="str">
        <f>IF(VLOOKUP($A136,'I-Ligands'!$A:$G,3,FALSE)="","",VLOOKUP($A136,'I-Ligands'!$A:$G,3,FALSE))</f>
        <v>Cortistatin-14</v>
      </c>
      <c r="AX136" s="187" t="str">
        <f>IF(VLOOKUP($A136,'I-Ligands'!$A:$G,4,FALSE)="","",VLOOKUP($A136,'I-Ligands'!$A:$G,4,FALSE))</f>
        <v>PCKNFFWKTFSSCK</v>
      </c>
      <c r="AY136" s="98">
        <v>5.07</v>
      </c>
      <c r="AZ136" s="99">
        <v>3.73</v>
      </c>
      <c r="BA136" s="99">
        <v>5.29</v>
      </c>
      <c r="BB136" s="99">
        <v>5.29</v>
      </c>
      <c r="BC136" s="99">
        <v>6.79</v>
      </c>
      <c r="BD136" s="99">
        <v>4.1100000000000003</v>
      </c>
      <c r="BE136" s="99">
        <v>4.1100000000000003</v>
      </c>
      <c r="BF136" s="99">
        <v>3.54</v>
      </c>
      <c r="BG136" s="99">
        <v>6.91</v>
      </c>
      <c r="BH136" s="99">
        <v>6.91</v>
      </c>
      <c r="BI136" s="99">
        <v>7.3</v>
      </c>
      <c r="BJ136" s="99">
        <v>4.68</v>
      </c>
      <c r="BK136" s="99">
        <v>4.6100000000000003</v>
      </c>
      <c r="BL136" s="99">
        <v>4.51</v>
      </c>
      <c r="BM136" s="98">
        <f t="shared" si="56"/>
        <v>5.779092702169625</v>
      </c>
      <c r="BN136" s="99">
        <f t="shared" si="57"/>
        <v>7.5603217158176941</v>
      </c>
      <c r="BO136" s="99">
        <f t="shared" si="58"/>
        <v>4.1209829867674861</v>
      </c>
      <c r="BP136" s="99">
        <f t="shared" si="59"/>
        <v>4.1209829867674861</v>
      </c>
      <c r="BQ136" s="99">
        <f t="shared" si="60"/>
        <v>2.8718703976435935</v>
      </c>
      <c r="BR136" s="99">
        <f t="shared" si="61"/>
        <v>6.6180048661800477</v>
      </c>
      <c r="BS136" s="99">
        <f t="shared" si="62"/>
        <v>6.6180048661800477</v>
      </c>
      <c r="BT136" s="99">
        <f t="shared" si="63"/>
        <v>4.7457627118644066</v>
      </c>
      <c r="BU136" s="99">
        <f t="shared" si="64"/>
        <v>3.8205499276410997</v>
      </c>
      <c r="BV136" s="99">
        <f t="shared" si="65"/>
        <v>3.8205499276410997</v>
      </c>
      <c r="BW136" s="99">
        <f t="shared" si="66"/>
        <v>2.7534246575342469</v>
      </c>
      <c r="BX136" s="99">
        <f t="shared" si="67"/>
        <v>4.7435897435897436</v>
      </c>
      <c r="BY136" s="99">
        <f t="shared" si="68"/>
        <v>5.2277657266811275</v>
      </c>
      <c r="BZ136" s="99">
        <f t="shared" si="69"/>
        <v>3.725055432372506</v>
      </c>
      <c r="CA136" s="18" t="e">
        <f>VLOOKUP(A136,'Bouvier-GEMTA'!A:C,4,FALSE)</f>
        <v>#N/A</v>
      </c>
      <c r="CB136" s="18" t="e">
        <f>VLOOKUP(A136,'Martemyanov-FreeGβγ-Nluc'!A:BG,4,FALSE)</f>
        <v>#N/A</v>
      </c>
      <c r="CC136" s="18" t="s">
        <v>5167</v>
      </c>
    </row>
    <row r="137" spans="1:81" ht="18">
      <c r="A137" s="12" t="s">
        <v>156</v>
      </c>
      <c r="B137" s="13" t="s">
        <v>2666</v>
      </c>
      <c r="C137" s="9" t="str">
        <f>IF(VLOOKUP($A137,'I-Ligands'!$A:$G,5,FALSE)="","",VLOOKUP($A137,'I-Ligands'!$A:$G,5,FALSE))</f>
        <v>Guide to Pharmacology</v>
      </c>
      <c r="D137" s="9">
        <f>IF(VLOOKUP($A137,'I-Ligands'!$A:$G,6,FALSE)="","",VLOOKUP($A137,'I-Ligands'!$A:$G,6,FALSE))</f>
        <v>911</v>
      </c>
      <c r="E137" s="9" t="str">
        <f>IF(VLOOKUP($A137,'I-Ligands'!$A:$G,7,FALSE)="","",VLOOKUP($A137,'I-Ligands'!$A:$G,7,FALSE))</f>
        <v>Phys</v>
      </c>
      <c r="F137" s="7" cm="1">
        <f t="array" ref="F137">_xlfn.IFS(T137=0,0,T137&gt;0,(LOG(0.01*T137/10^-AH137)))</f>
        <v>6.1328254269591804</v>
      </c>
      <c r="G137" s="8" cm="1">
        <f t="array" ref="G137">_xlfn.IFS(U137=0,0,U137&gt;0,(LOG(0.01*U137/10^-AI137)))</f>
        <v>6.0952941200427713</v>
      </c>
      <c r="H137" s="8" cm="1">
        <f t="array" ref="H137">_xlfn.IFS(V137=0,0,V137&gt;0,(LOG(0.01*V137/10^-AJ137)))</f>
        <v>6.9941084391474018</v>
      </c>
      <c r="I137" s="8" cm="1">
        <f t="array" ref="I137">_xlfn.IFS(W137=0,0,W137&gt;0,(LOG(0.01*W137/10^-AK137)))</f>
        <v>6.9941084391474018</v>
      </c>
      <c r="J137" s="8" cm="1">
        <f t="array" ref="J137">_xlfn.IFS(X137=0,0,X137&gt;0,(LOG(0.01*X137/10^-AL137)))</f>
        <v>7.1067205671564073</v>
      </c>
      <c r="K137" s="8" cm="1">
        <f t="array" ref="K137">_xlfn.IFS(Y137=0,0,Y137&gt;0,(LOG(0.01*Y137/10^-AM137)))</f>
        <v>7.0586570869544243</v>
      </c>
      <c r="L137" s="8" cm="1">
        <f t="array" ref="L137">_xlfn.IFS(Z137=0,0,Z137&gt;0,(LOG(0.01*Z137/10^-AN137)))</f>
        <v>7.0586570869544243</v>
      </c>
      <c r="M137" s="8" cm="1">
        <f t="array" ref="M137">_xlfn.IFS(AA137=0,0,AA137&gt;0,(LOG(0.01*AA137/10^-AO137)))</f>
        <v>6.8584829485539345</v>
      </c>
      <c r="N137" s="8" cm="1">
        <f t="array" ref="N137">_xlfn.IFS(AB137=0,0,AB137&gt;0,(LOG(0.01*AB137/10^-AP137)))</f>
        <v>6.7544516808262163</v>
      </c>
      <c r="O137" s="8" cm="1">
        <f t="array" ref="O137">_xlfn.IFS(AC137=0,0,AC137&gt;0,(LOG(0.01*AC137/10^-AQ137)))</f>
        <v>6.7544516808262163</v>
      </c>
      <c r="P137" s="8" cm="1">
        <f t="array" ref="P137">_xlfn.IFS(AD137=0,0,AD137&gt;0,(LOG(0.01*AD137/10^-AR137)))</f>
        <v>6.8356711883244303</v>
      </c>
      <c r="Q137" s="8" cm="1">
        <f t="array" ref="Q137">_xlfn.IFS(AE137=0,0,AE137&gt;0,(LOG(0.01*AE137/10^-AS137)))</f>
        <v>7.0117864355242912</v>
      </c>
      <c r="R137" s="8" cm="1">
        <f t="array" ref="R137">_xlfn.IFS(AF137=0,0,AF137&gt;0,(LOG(0.01*AF137/10^-AT137)))</f>
        <v>7.0883624920952508</v>
      </c>
      <c r="S137" s="8" cm="1">
        <f t="array" ref="S137">_xlfn.IFS(AG137=0,0,AG137&gt;0,(LOG(0.01*AG137/10^-AU137)))</f>
        <v>6.9122883443830565</v>
      </c>
      <c r="T137" s="16">
        <v>34.9</v>
      </c>
      <c r="U137" s="17">
        <v>34.299999999999997</v>
      </c>
      <c r="V137" s="17">
        <v>22.6</v>
      </c>
      <c r="W137" s="17">
        <v>22.6</v>
      </c>
      <c r="X137" s="17">
        <v>13.7</v>
      </c>
      <c r="Y137" s="17">
        <v>15.8</v>
      </c>
      <c r="Z137" s="17">
        <v>15.8</v>
      </c>
      <c r="AA137" s="17">
        <v>9.3000000000000007</v>
      </c>
      <c r="AB137" s="17">
        <v>24.8</v>
      </c>
      <c r="AC137" s="17">
        <v>24.8</v>
      </c>
      <c r="AD137" s="17">
        <v>29.9</v>
      </c>
      <c r="AE137" s="17">
        <v>28.3</v>
      </c>
      <c r="AF137" s="17">
        <v>14.4</v>
      </c>
      <c r="AG137" s="17">
        <v>14.2</v>
      </c>
      <c r="AH137" s="14">
        <v>6.59</v>
      </c>
      <c r="AI137" s="15">
        <v>6.56</v>
      </c>
      <c r="AJ137" s="15">
        <v>7.64</v>
      </c>
      <c r="AK137" s="15">
        <v>7.64</v>
      </c>
      <c r="AL137" s="15">
        <v>7.97</v>
      </c>
      <c r="AM137" s="15">
        <v>7.86</v>
      </c>
      <c r="AN137" s="15">
        <v>7.86</v>
      </c>
      <c r="AO137" s="15">
        <v>7.89</v>
      </c>
      <c r="AP137" s="15">
        <v>7.36</v>
      </c>
      <c r="AQ137" s="15">
        <v>7.36</v>
      </c>
      <c r="AR137" s="15">
        <v>7.36</v>
      </c>
      <c r="AS137" s="15">
        <v>7.56</v>
      </c>
      <c r="AT137" s="15">
        <v>7.93</v>
      </c>
      <c r="AU137" s="15">
        <v>7.76</v>
      </c>
      <c r="AW137" s="186" t="str">
        <f>IF(VLOOKUP($A137,'I-Ligands'!$A:$G,3,FALSE)="","",VLOOKUP($A137,'I-Ligands'!$A:$G,3,FALSE))</f>
        <v>Sphingosine 1-phosphate</v>
      </c>
      <c r="AX137" s="187" t="str">
        <f>IF(VLOOKUP($A137,'I-Ligands'!$A:$G,4,FALSE)="","",VLOOKUP($A137,'I-Ligands'!$A:$G,4,FALSE))</f>
        <v>Sphingosine-1-Phosphate</v>
      </c>
      <c r="AY137" s="98">
        <v>4.67</v>
      </c>
      <c r="AZ137" s="99">
        <v>2.86</v>
      </c>
      <c r="BA137" s="99">
        <v>3.74</v>
      </c>
      <c r="BB137" s="99">
        <v>3.74</v>
      </c>
      <c r="BC137" s="99">
        <v>4.3899999999999997</v>
      </c>
      <c r="BD137" s="99">
        <v>6.42</v>
      </c>
      <c r="BE137" s="99">
        <v>6.42</v>
      </c>
      <c r="BF137" s="99">
        <v>4.51</v>
      </c>
      <c r="BG137" s="99">
        <v>6.36</v>
      </c>
      <c r="BH137" s="99">
        <v>6.36</v>
      </c>
      <c r="BI137" s="99">
        <v>8.27</v>
      </c>
      <c r="BJ137" s="99">
        <v>1.8</v>
      </c>
      <c r="BK137" s="99">
        <v>1.78</v>
      </c>
      <c r="BL137" s="99">
        <v>4.46</v>
      </c>
      <c r="BM137" s="98">
        <f t="shared" si="56"/>
        <v>7.4732334047109203</v>
      </c>
      <c r="BN137" s="99">
        <f t="shared" si="57"/>
        <v>11.993006993006993</v>
      </c>
      <c r="BO137" s="99">
        <f t="shared" si="58"/>
        <v>6.0427807486631018</v>
      </c>
      <c r="BP137" s="99">
        <f t="shared" si="59"/>
        <v>6.0427807486631018</v>
      </c>
      <c r="BQ137" s="99">
        <f t="shared" si="60"/>
        <v>3.120728929384966</v>
      </c>
      <c r="BR137" s="99">
        <f t="shared" si="61"/>
        <v>2.4610591900311527</v>
      </c>
      <c r="BS137" s="99">
        <f t="shared" si="62"/>
        <v>2.4610591900311527</v>
      </c>
      <c r="BT137" s="99">
        <f t="shared" si="63"/>
        <v>2.0620842572062088</v>
      </c>
      <c r="BU137" s="99">
        <f t="shared" si="64"/>
        <v>3.89937106918239</v>
      </c>
      <c r="BV137" s="99">
        <f t="shared" si="65"/>
        <v>3.89937106918239</v>
      </c>
      <c r="BW137" s="99">
        <f t="shared" si="66"/>
        <v>3.6154776299879083</v>
      </c>
      <c r="BX137" s="99">
        <f t="shared" si="67"/>
        <v>15.722222222222221</v>
      </c>
      <c r="BY137" s="99">
        <f t="shared" si="68"/>
        <v>8.0898876404494384</v>
      </c>
      <c r="BZ137" s="99">
        <f t="shared" si="69"/>
        <v>3.1838565022421523</v>
      </c>
      <c r="CA137" s="18" t="e">
        <f>VLOOKUP(A137,'Bouvier-GEMTA'!A:C,4,FALSE)</f>
        <v>#N/A</v>
      </c>
      <c r="CB137" s="18" t="e">
        <f>VLOOKUP(A137,'Martemyanov-FreeGβγ-Nluc'!A:BG,4,FALSE)</f>
        <v>#N/A</v>
      </c>
      <c r="CC137" s="18" t="s">
        <v>5167</v>
      </c>
    </row>
    <row r="138" spans="1:81" ht="18">
      <c r="A138" s="12" t="s">
        <v>155</v>
      </c>
      <c r="B138" s="13" t="s">
        <v>2665</v>
      </c>
      <c r="C138" s="9" t="str">
        <f>IF(VLOOKUP($A138,'I-Ligands'!$A:$G,5,FALSE)="","",VLOOKUP($A138,'I-Ligands'!$A:$G,5,FALSE))</f>
        <v>Guide to Pharmacology</v>
      </c>
      <c r="D138" s="9">
        <f>IF(VLOOKUP($A138,'I-Ligands'!$A:$G,6,FALSE)="","",VLOOKUP($A138,'I-Ligands'!$A:$G,6,FALSE))</f>
        <v>911</v>
      </c>
      <c r="E138" s="9" t="str">
        <f>IF(VLOOKUP($A138,'I-Ligands'!$A:$G,7,FALSE)="","",VLOOKUP($A138,'I-Ligands'!$A:$G,7,FALSE))</f>
        <v>Phys</v>
      </c>
      <c r="F138" s="7" cm="1">
        <f t="array" ref="F138">_xlfn.IFS(T138=0,0,T138&gt;0,(LOG(0.01*T138/10^-AH138)))</f>
        <v>6.1375207208364637</v>
      </c>
      <c r="G138" s="8" cm="1">
        <f t="array" ref="G138">_xlfn.IFS(U138=0,0,U138&gt;0,(LOG(0.01*U138/10^-AI138)))</f>
        <v>6.0213680022349756</v>
      </c>
      <c r="H138" s="8" cm="1">
        <f t="array" ref="H138">_xlfn.IFS(V138=0,0,V138&gt;0,(LOG(0.01*V138/10^-AJ138)))</f>
        <v>7.3316039268698319</v>
      </c>
      <c r="I138" s="8" cm="1">
        <f t="array" ref="I138">_xlfn.IFS(W138=0,0,W138&gt;0,(LOG(0.01*W138/10^-AK138)))</f>
        <v>7.3316039268698319</v>
      </c>
      <c r="J138" s="8" cm="1">
        <f t="array" ref="J138">_xlfn.IFS(X138=0,0,X138&gt;0,(LOG(0.01*X138/10^-AL138)))</f>
        <v>7.7896301674259005</v>
      </c>
      <c r="K138" s="8" cm="1">
        <f t="array" ref="K138">_xlfn.IFS(Y138=0,0,Y138&gt;0,(LOG(0.01*Y138/10^-AM138)))</f>
        <v>7.5532997640812534</v>
      </c>
      <c r="L138" s="8" cm="1">
        <f t="array" ref="L138">_xlfn.IFS(Z138=0,0,Z138&gt;0,(LOG(0.01*Z138/10^-AN138)))</f>
        <v>7.5532997640812534</v>
      </c>
      <c r="M138" s="8" cm="1">
        <f t="array" ref="M138">_xlfn.IFS(AA138=0,0,AA138&gt;0,(LOG(0.01*AA138/10^-AO138)))</f>
        <v>7.826720567156408</v>
      </c>
      <c r="N138" s="8" cm="1">
        <f t="array" ref="N138">_xlfn.IFS(AB138=0,0,AB138&gt;0,(LOG(0.01*AB138/10^-AP138)))</f>
        <v>7.1632997640812519</v>
      </c>
      <c r="O138" s="8" cm="1">
        <f t="array" ref="O138">_xlfn.IFS(AC138=0,0,AC138&gt;0,(LOG(0.01*AC138/10^-AQ138)))</f>
        <v>7.1632997640812519</v>
      </c>
      <c r="P138" s="8" cm="1">
        <f t="array" ref="P138">_xlfn.IFS(AD138=0,0,AD138&gt;0,(LOG(0.01*AD138/10^-AR138)))</f>
        <v>7.5620170425748681</v>
      </c>
      <c r="Q138" s="8" cm="1">
        <f t="array" ref="Q138">_xlfn.IFS(AE138=0,0,AE138&gt;0,(LOG(0.01*AE138/10^-AS138)))</f>
        <v>6.879955748489758</v>
      </c>
      <c r="R138" s="8" cm="1">
        <f t="array" ref="R138">_xlfn.IFS(AF138=0,0,AF138&gt;0,(LOG(0.01*AF138/10^-AT138)))</f>
        <v>7.9779348470004532</v>
      </c>
      <c r="S138" s="8" cm="1">
        <f t="array" ref="S138">_xlfn.IFS(AG138=0,0,AG138&gt;0,(LOG(0.01*AG138/10^-AU138)))</f>
        <v>7.7573324964312702</v>
      </c>
      <c r="T138" s="16">
        <v>15.4</v>
      </c>
      <c r="U138" s="17">
        <v>14.5</v>
      </c>
      <c r="V138" s="17">
        <v>26.4</v>
      </c>
      <c r="W138" s="17">
        <v>26.4</v>
      </c>
      <c r="X138" s="17">
        <v>20.399999999999999</v>
      </c>
      <c r="Y138" s="17">
        <v>25.9</v>
      </c>
      <c r="Z138" s="17">
        <v>25.9</v>
      </c>
      <c r="AA138" s="17">
        <v>13.7</v>
      </c>
      <c r="AB138" s="17">
        <v>25.9</v>
      </c>
      <c r="AC138" s="17">
        <v>25.9</v>
      </c>
      <c r="AD138" s="17">
        <v>24.1</v>
      </c>
      <c r="AE138" s="17">
        <v>26.3</v>
      </c>
      <c r="AF138" s="17">
        <v>22.8</v>
      </c>
      <c r="AG138" s="17">
        <v>7.2</v>
      </c>
      <c r="AH138" s="14">
        <v>6.95</v>
      </c>
      <c r="AI138" s="15">
        <v>6.86</v>
      </c>
      <c r="AJ138" s="15">
        <v>7.91</v>
      </c>
      <c r="AK138" s="15">
        <v>7.91</v>
      </c>
      <c r="AL138" s="15">
        <v>8.48</v>
      </c>
      <c r="AM138" s="15">
        <v>8.14</v>
      </c>
      <c r="AN138" s="15">
        <v>8.14</v>
      </c>
      <c r="AO138" s="15">
        <v>8.69</v>
      </c>
      <c r="AP138" s="15">
        <v>7.75</v>
      </c>
      <c r="AQ138" s="15">
        <v>7.75</v>
      </c>
      <c r="AR138" s="15">
        <v>8.18</v>
      </c>
      <c r="AS138" s="15">
        <v>7.46</v>
      </c>
      <c r="AT138" s="15">
        <v>8.6199999999999992</v>
      </c>
      <c r="AU138" s="15">
        <v>8.9</v>
      </c>
      <c r="AW138" s="186" t="str">
        <f>IF(VLOOKUP($A138,'I-Ligands'!$A:$G,3,FALSE)="","",VLOOKUP($A138,'I-Ligands'!$A:$G,3,FALSE))</f>
        <v>Sphingosine 1-phosphate</v>
      </c>
      <c r="AX138" s="187" t="str">
        <f>IF(VLOOKUP($A138,'I-Ligands'!$A:$G,4,FALSE)="","",VLOOKUP($A138,'I-Ligands'!$A:$G,4,FALSE))</f>
        <v>Sphingosine-1-Phosphate</v>
      </c>
      <c r="AY138" s="98">
        <v>4.3600000000000003</v>
      </c>
      <c r="AZ138" s="99">
        <v>5.05</v>
      </c>
      <c r="BA138" s="99">
        <v>2.8</v>
      </c>
      <c r="BB138" s="99">
        <v>2.8</v>
      </c>
      <c r="BC138" s="99">
        <v>3.15</v>
      </c>
      <c r="BD138" s="99">
        <v>3.82</v>
      </c>
      <c r="BE138" s="99">
        <v>3.82</v>
      </c>
      <c r="BF138" s="99">
        <v>3.25</v>
      </c>
      <c r="BG138" s="99">
        <v>5.82</v>
      </c>
      <c r="BH138" s="99">
        <v>5.82</v>
      </c>
      <c r="BI138" s="99">
        <v>2.74</v>
      </c>
      <c r="BJ138" s="99">
        <v>4.5999999999999996</v>
      </c>
      <c r="BK138" s="99">
        <v>5.03</v>
      </c>
      <c r="BL138" s="99">
        <v>6.01</v>
      </c>
      <c r="BM138" s="98">
        <f t="shared" si="56"/>
        <v>3.5321100917431192</v>
      </c>
      <c r="BN138" s="99">
        <f t="shared" si="57"/>
        <v>2.8712871287128712</v>
      </c>
      <c r="BO138" s="99">
        <f t="shared" si="58"/>
        <v>9.4285714285714288</v>
      </c>
      <c r="BP138" s="99">
        <f t="shared" si="59"/>
        <v>9.4285714285714288</v>
      </c>
      <c r="BQ138" s="99">
        <f t="shared" si="60"/>
        <v>6.4761904761904763</v>
      </c>
      <c r="BR138" s="99">
        <f t="shared" si="61"/>
        <v>6.7801047120418847</v>
      </c>
      <c r="BS138" s="99">
        <f t="shared" si="62"/>
        <v>6.7801047120418847</v>
      </c>
      <c r="BT138" s="99">
        <f t="shared" si="63"/>
        <v>4.2153846153846155</v>
      </c>
      <c r="BU138" s="99">
        <f t="shared" si="64"/>
        <v>4.4501718213058412</v>
      </c>
      <c r="BV138" s="99">
        <f t="shared" si="65"/>
        <v>4.4501718213058412</v>
      </c>
      <c r="BW138" s="99">
        <f t="shared" si="66"/>
        <v>8.7956204379562042</v>
      </c>
      <c r="BX138" s="99">
        <f t="shared" si="67"/>
        <v>5.7173913043478271</v>
      </c>
      <c r="BY138" s="99">
        <f t="shared" si="68"/>
        <v>4.5328031809145131</v>
      </c>
      <c r="BZ138" s="99">
        <f t="shared" si="69"/>
        <v>1.1980033277870217</v>
      </c>
      <c r="CA138" s="18" t="e">
        <f>VLOOKUP(A138,'Bouvier-GEMTA'!A:C,4,FALSE)</f>
        <v>#N/A</v>
      </c>
      <c r="CB138" s="18" t="e">
        <f>VLOOKUP(A138,'Martemyanov-FreeGβγ-Nluc'!A:BG,4,FALSE)</f>
        <v>#N/A</v>
      </c>
      <c r="CC138" s="18" t="s">
        <v>5167</v>
      </c>
    </row>
    <row r="139" spans="1:81">
      <c r="A139" s="12" t="s">
        <v>212</v>
      </c>
      <c r="B139" s="13" t="s">
        <v>212</v>
      </c>
      <c r="C139" s="9" t="str">
        <f>IF(VLOOKUP($A139,'I-Ligands'!$A:$G,5,FALSE)="","",VLOOKUP($A139,'I-Ligands'!$A:$G,5,FALSE))</f>
        <v>Guide to Pharmacology</v>
      </c>
      <c r="D139" s="9">
        <f>IF(VLOOKUP($A139,'I-Ligands'!$A:$G,6,FALSE)="","",VLOOKUP($A139,'I-Ligands'!$A:$G,6,FALSE))</f>
        <v>4453</v>
      </c>
      <c r="E139" s="9" t="str">
        <f>IF(VLOOKUP($A139,'I-Ligands'!$A:$G,7,FALSE)="","",VLOOKUP($A139,'I-Ligands'!$A:$G,7,FALSE))</f>
        <v>Phys</v>
      </c>
      <c r="F139" s="7" cm="1">
        <f t="array" ref="F139">_xlfn.IFS(T139=0,0,T139&gt;0,(LOG(0.01*T139/10^-AH139)))</f>
        <v>7.9250944485783217</v>
      </c>
      <c r="G139" s="8" cm="1">
        <f t="array" ref="G139">_xlfn.IFS(U139=0,0,U139&gt;0,(LOG(0.01*U139/10^-AI139)))</f>
        <v>7.7187085705331677</v>
      </c>
      <c r="H139" s="8" cm="1">
        <f t="array" ref="H139">_xlfn.IFS(V139=0,0,V139&gt;0,(LOG(0.01*V139/10^-AJ139)))</f>
        <v>7.9787905067631142</v>
      </c>
      <c r="I139" s="8" cm="1">
        <f t="array" ref="I139">_xlfn.IFS(W139=0,0,W139&gt;0,(LOG(0.01*W139/10^-AK139)))</f>
        <v>7.9787905067631142</v>
      </c>
      <c r="J139" s="8" cm="1">
        <f t="array" ref="J139">_xlfn.IFS(X139=0,0,X139&gt;0,(LOG(0.01*X139/10^-AL139)))</f>
        <v>8.3289167002776576</v>
      </c>
      <c r="K139" s="8" cm="1">
        <f t="array" ref="K139">_xlfn.IFS(Y139=0,0,Y139&gt;0,(LOG(0.01*Y139/10^-AM139)))</f>
        <v>7.7424271199844341</v>
      </c>
      <c r="L139" s="8" cm="1">
        <f t="array" ref="L139">_xlfn.IFS(Z139=0,0,Z139&gt;0,(LOG(0.01*Z139/10^-AN139)))</f>
        <v>7.7424271199844341</v>
      </c>
      <c r="M139" s="8" cm="1">
        <f t="array" ref="M139">_xlfn.IFS(AA139=0,0,AA139&gt;0,(LOG(0.01*AA139/10^-AO139)))</f>
        <v>7.274453751150932</v>
      </c>
      <c r="N139" s="8" cm="1">
        <f t="array" ref="N139">_xlfn.IFS(AB139=0,0,AB139&gt;0,(LOG(0.01*AB139/10^-AP139)))</f>
        <v>7.2045689040341987</v>
      </c>
      <c r="O139" s="8" cm="1">
        <f t="array" ref="O139">_xlfn.IFS(AC139=0,0,AC139&gt;0,(LOG(0.01*AC139/10^-AQ139)))</f>
        <v>7.2045689040341987</v>
      </c>
      <c r="P139" s="8" cm="1">
        <f t="array" ref="P139">_xlfn.IFS(AD139=0,0,AD139&gt;0,(LOG(0.01*AD139/10^-AR139)))</f>
        <v>7.7909090820652187</v>
      </c>
      <c r="Q139" s="8" cm="1">
        <f t="array" ref="Q139">_xlfn.IFS(AE139=0,0,AE139&gt;0,(LOG(0.01*AE139/10^-AS139)))</f>
        <v>8.2546660642520902</v>
      </c>
      <c r="R139" s="8" cm="1">
        <f t="array" ref="R139">_xlfn.IFS(AF139=0,0,AF139&gt;0,(LOG(0.01*AF139/10^-AT139)))</f>
        <v>8.4705429398818985</v>
      </c>
      <c r="S139" s="8" cm="1">
        <f t="array" ref="S139">_xlfn.IFS(AG139=0,0,AG139&gt;0,(LOG(0.01*AG139/10^-AU139)))</f>
        <v>7.8552941200427711</v>
      </c>
      <c r="T139" s="16">
        <v>35.9</v>
      </c>
      <c r="U139" s="17">
        <v>36.200000000000003</v>
      </c>
      <c r="V139" s="17">
        <v>39.700000000000003</v>
      </c>
      <c r="W139" s="17">
        <v>39.700000000000003</v>
      </c>
      <c r="X139" s="17">
        <v>33.799999999999997</v>
      </c>
      <c r="Y139" s="17">
        <v>31.8</v>
      </c>
      <c r="Z139" s="17">
        <v>31.8</v>
      </c>
      <c r="AA139" s="17">
        <v>21.6</v>
      </c>
      <c r="AB139" s="17">
        <v>27.2</v>
      </c>
      <c r="AC139" s="17">
        <v>27.2</v>
      </c>
      <c r="AD139" s="17">
        <v>27.6</v>
      </c>
      <c r="AE139" s="17">
        <v>36.700000000000003</v>
      </c>
      <c r="AF139" s="17">
        <v>37.200000000000003</v>
      </c>
      <c r="AG139" s="17">
        <v>34.299999999999997</v>
      </c>
      <c r="AH139" s="14">
        <v>8.370000000000001</v>
      </c>
      <c r="AI139" s="15">
        <v>8.16</v>
      </c>
      <c r="AJ139" s="15">
        <v>8.379999999999999</v>
      </c>
      <c r="AK139" s="15">
        <v>8.379999999999999</v>
      </c>
      <c r="AL139" s="15">
        <v>8.8000000000000007</v>
      </c>
      <c r="AM139" s="15">
        <v>8.24</v>
      </c>
      <c r="AN139" s="15">
        <v>8.24</v>
      </c>
      <c r="AO139" s="15">
        <v>7.9399999999999995</v>
      </c>
      <c r="AP139" s="15">
        <v>7.77</v>
      </c>
      <c r="AQ139" s="15">
        <v>7.77</v>
      </c>
      <c r="AR139" s="15">
        <v>8.35</v>
      </c>
      <c r="AS139" s="15">
        <v>8.69</v>
      </c>
      <c r="AT139" s="15">
        <v>8.9</v>
      </c>
      <c r="AU139" s="15">
        <v>8.32</v>
      </c>
      <c r="AW139" s="186" t="str">
        <f>IF(VLOOKUP($A139,'I-Ligands'!$A:$G,3,FALSE)="","",VLOOKUP($A139,'I-Ligands'!$A:$G,3,FALSE))</f>
        <v>Thrombin</v>
      </c>
      <c r="AX139" s="187" t="str">
        <f>IF(VLOOKUP($A139,'I-Ligands'!$A:$G,4,FALSE)="","",VLOOKUP($A139,'I-Ligands'!$A:$G,4,FALSE))</f>
        <v>Thrombin from bovine plasma</v>
      </c>
      <c r="AY139" s="98">
        <v>8.06</v>
      </c>
      <c r="AZ139" s="99">
        <v>7.5</v>
      </c>
      <c r="BA139" s="99">
        <v>5.27</v>
      </c>
      <c r="BB139" s="99">
        <v>5.27</v>
      </c>
      <c r="BC139" s="99">
        <v>4.6100000000000003</v>
      </c>
      <c r="BD139" s="99">
        <v>8.66</v>
      </c>
      <c r="BE139" s="99">
        <v>8.66</v>
      </c>
      <c r="BF139" s="99">
        <v>6.44</v>
      </c>
      <c r="BG139" s="99">
        <v>9.89</v>
      </c>
      <c r="BH139" s="99">
        <v>9.89</v>
      </c>
      <c r="BI139" s="99">
        <v>7.3</v>
      </c>
      <c r="BJ139" s="99">
        <v>5.53</v>
      </c>
      <c r="BK139" s="99">
        <v>3.1</v>
      </c>
      <c r="BL139" s="99">
        <v>9.18</v>
      </c>
      <c r="BM139" s="98">
        <f t="shared" si="56"/>
        <v>4.45409429280397</v>
      </c>
      <c r="BN139" s="99">
        <f t="shared" si="57"/>
        <v>4.8266666666666671</v>
      </c>
      <c r="BO139" s="99">
        <f t="shared" si="58"/>
        <v>7.5332068311195455</v>
      </c>
      <c r="BP139" s="99">
        <f t="shared" si="59"/>
        <v>7.5332068311195455</v>
      </c>
      <c r="BQ139" s="99">
        <f t="shared" si="60"/>
        <v>7.3318872017353565</v>
      </c>
      <c r="BR139" s="99">
        <f t="shared" si="61"/>
        <v>3.6720554272517321</v>
      </c>
      <c r="BS139" s="99">
        <f t="shared" si="62"/>
        <v>3.6720554272517321</v>
      </c>
      <c r="BT139" s="99">
        <f t="shared" si="63"/>
        <v>3.3540372670807455</v>
      </c>
      <c r="BU139" s="99">
        <f t="shared" si="64"/>
        <v>2.7502527805864507</v>
      </c>
      <c r="BV139" s="99">
        <f t="shared" si="65"/>
        <v>2.7502527805864507</v>
      </c>
      <c r="BW139" s="99">
        <f t="shared" si="66"/>
        <v>3.7808219178082196</v>
      </c>
      <c r="BX139" s="99">
        <f t="shared" si="67"/>
        <v>6.6365280289330926</v>
      </c>
      <c r="BY139" s="99">
        <f t="shared" si="68"/>
        <v>12</v>
      </c>
      <c r="BZ139" s="99">
        <f t="shared" si="69"/>
        <v>3.7363834422657951</v>
      </c>
      <c r="CA139" s="18" t="e">
        <f>VLOOKUP(A139,'Bouvier-GEMTA'!A:C,4,FALSE)</f>
        <v>#N/A</v>
      </c>
      <c r="CB139" s="18" t="e">
        <f>VLOOKUP(A139,'Martemyanov-FreeGβγ-Nluc'!A:BG,4,FALSE)</f>
        <v>#N/A</v>
      </c>
      <c r="CC139" s="18" t="s">
        <v>5167</v>
      </c>
    </row>
    <row r="140" spans="1:81">
      <c r="A140" s="12" t="s">
        <v>213</v>
      </c>
      <c r="B140" s="13" t="s">
        <v>213</v>
      </c>
      <c r="C140" s="9" t="str">
        <f>IF(VLOOKUP($A140,'I-Ligands'!$A:$G,5,FALSE)="","",VLOOKUP($A140,'I-Ligands'!$A:$G,5,FALSE))</f>
        <v>Guide to Pharmacology</v>
      </c>
      <c r="D140" s="9">
        <f>IF(VLOOKUP($A140,'I-Ligands'!$A:$G,6,FALSE)="","",VLOOKUP($A140,'I-Ligands'!$A:$G,6,FALSE))</f>
        <v>4453</v>
      </c>
      <c r="E140" s="9" t="str">
        <f>IF(VLOOKUP($A140,'I-Ligands'!$A:$G,7,FALSE)="","",VLOOKUP($A140,'I-Ligands'!$A:$G,7,FALSE))</f>
        <v>Phys</v>
      </c>
      <c r="F140" s="7" cm="1">
        <f t="array" ref="F140">_xlfn.IFS(T140=0,0,T140&gt;0,(LOG(0.01*T140/10^-AH140)))</f>
        <v>6.8874917998372256</v>
      </c>
      <c r="G140" s="8" cm="1">
        <f t="array" ref="G140">_xlfn.IFS(U140=0,0,U140&gt;0,(LOG(0.01*U140/10^-AI140)))</f>
        <v>6.8587085705331665</v>
      </c>
      <c r="H140" s="8" cm="1">
        <f t="array" ref="H140">_xlfn.IFS(V140=0,0,V140&gt;0,(LOG(0.01*V140/10^-AJ140)))</f>
        <v>7.4178190950732752</v>
      </c>
      <c r="I140" s="8" cm="1">
        <f t="array" ref="I140">_xlfn.IFS(W140=0,0,W140&gt;0,(LOG(0.01*W140/10^-AK140)))</f>
        <v>7.4178190950732752</v>
      </c>
      <c r="J140" s="8" cm="1">
        <f t="array" ref="J140">_xlfn.IFS(X140=0,0,X140&gt;0,(LOG(0.01*X140/10^-AL140)))</f>
        <v>7.5104200023088952</v>
      </c>
      <c r="K140" s="8" cm="1">
        <f t="array" ref="K140">_xlfn.IFS(Y140=0,0,Y140&gt;0,(LOG(0.01*Y140/10^-AM140)))</f>
        <v>7.0724442335063209</v>
      </c>
      <c r="L140" s="8" cm="1">
        <f t="array" ref="L140">_xlfn.IFS(Z140=0,0,Z140&gt;0,(LOG(0.01*Z140/10^-AN140)))</f>
        <v>7.0724442335063209</v>
      </c>
      <c r="M140" s="8" cm="1">
        <f t="array" ref="M140">_xlfn.IFS(AA140=0,0,AA140&gt;0,(LOG(0.01*AA140/10^-AO140)))</f>
        <v>6.5377505628203876</v>
      </c>
      <c r="N140" s="8" cm="1">
        <f t="array" ref="N140">_xlfn.IFS(AB140=0,0,AB140&gt;0,(LOG(0.01*AB140/10^-AP140)))</f>
        <v>7.3964597338485296</v>
      </c>
      <c r="O140" s="8" cm="1">
        <f t="array" ref="O140">_xlfn.IFS(AC140=0,0,AC140&gt;0,(LOG(0.01*AC140/10^-AQ140)))</f>
        <v>7.3964597338485296</v>
      </c>
      <c r="P140" s="8" cm="1">
        <f t="array" ref="P140">_xlfn.IFS(AD140=0,0,AD140&gt;0,(LOG(0.01*AD140/10^-AR140)))</f>
        <v>7.1686570869544237</v>
      </c>
      <c r="Q140" s="8" cm="1">
        <f t="array" ref="Q140">_xlfn.IFS(AE140=0,0,AE140&gt;0,(LOG(0.01*AE140/10^-AS140)))</f>
        <v>6.3850079593333362</v>
      </c>
      <c r="R140" s="8" cm="1">
        <f t="array" ref="R140">_xlfn.IFS(AF140=0,0,AF140&gt;0,(LOG(0.01*AF140/10^-AT140)))</f>
        <v>7.3414789170422567</v>
      </c>
      <c r="S140" s="8" cm="1">
        <f t="array" ref="S140">_xlfn.IFS(AG140=0,0,AG140&gt;0,(LOG(0.01*AG140/10^-AU140)))</f>
        <v>7.4982399653118499</v>
      </c>
      <c r="T140" s="16">
        <v>37.799999999999997</v>
      </c>
      <c r="U140" s="17">
        <v>36.200000000000003</v>
      </c>
      <c r="V140" s="17">
        <v>34.5</v>
      </c>
      <c r="W140" s="17">
        <v>34.5</v>
      </c>
      <c r="X140" s="17">
        <v>17.8</v>
      </c>
      <c r="Y140" s="17">
        <v>33.299999999999997</v>
      </c>
      <c r="Z140" s="17">
        <v>33.299999999999997</v>
      </c>
      <c r="AA140" s="17">
        <v>27.4</v>
      </c>
      <c r="AB140" s="17">
        <v>21.7</v>
      </c>
      <c r="AC140" s="17">
        <v>21.7</v>
      </c>
      <c r="AD140" s="17">
        <v>15.8</v>
      </c>
      <c r="AE140" s="17">
        <v>50.7</v>
      </c>
      <c r="AF140" s="17">
        <v>34</v>
      </c>
      <c r="AG140" s="17">
        <v>25.6</v>
      </c>
      <c r="AH140" s="14">
        <v>7.3100000000000005</v>
      </c>
      <c r="AI140" s="15">
        <v>7.3</v>
      </c>
      <c r="AJ140" s="15">
        <v>7.88</v>
      </c>
      <c r="AK140" s="15">
        <v>7.88</v>
      </c>
      <c r="AL140" s="15">
        <v>8.26</v>
      </c>
      <c r="AM140" s="15">
        <v>7.55</v>
      </c>
      <c r="AN140" s="15">
        <v>7.55</v>
      </c>
      <c r="AO140" s="15">
        <v>7.1</v>
      </c>
      <c r="AP140" s="15">
        <v>8.06</v>
      </c>
      <c r="AQ140" s="15">
        <v>8.06</v>
      </c>
      <c r="AR140" s="15">
        <v>7.9700000000000006</v>
      </c>
      <c r="AS140" s="15">
        <v>6.68</v>
      </c>
      <c r="AT140" s="15">
        <v>7.8100000000000005</v>
      </c>
      <c r="AU140" s="15">
        <v>8.09</v>
      </c>
      <c r="AW140" s="186" t="str">
        <f>IF(VLOOKUP($A140,'I-Ligands'!$A:$G,3,FALSE)="","",VLOOKUP($A140,'I-Ligands'!$A:$G,3,FALSE))</f>
        <v>Thrombin</v>
      </c>
      <c r="AX140" s="187" t="str">
        <f>IF(VLOOKUP($A140,'I-Ligands'!$A:$G,4,FALSE)="","",VLOOKUP($A140,'I-Ligands'!$A:$G,4,FALSE))</f>
        <v>Thrombin from bovine plasma</v>
      </c>
      <c r="AY140" s="98">
        <v>9.77</v>
      </c>
      <c r="AZ140" s="99">
        <v>10.029999999999999</v>
      </c>
      <c r="BA140" s="99">
        <v>7.12</v>
      </c>
      <c r="BB140" s="99">
        <v>7.12</v>
      </c>
      <c r="BC140" s="99">
        <v>3.09</v>
      </c>
      <c r="BD140" s="99">
        <v>8.0500000000000007</v>
      </c>
      <c r="BE140" s="99">
        <v>8.0500000000000007</v>
      </c>
      <c r="BF140" s="99">
        <v>7.74</v>
      </c>
      <c r="BG140" s="99">
        <v>5.7</v>
      </c>
      <c r="BH140" s="99">
        <v>5.7</v>
      </c>
      <c r="BI140" s="99">
        <v>5.45</v>
      </c>
      <c r="BJ140" s="99">
        <v>11</v>
      </c>
      <c r="BK140" s="99">
        <v>7.25</v>
      </c>
      <c r="BL140" s="99">
        <v>4.16</v>
      </c>
      <c r="BM140" s="98">
        <f t="shared" si="56"/>
        <v>3.8689866939611055</v>
      </c>
      <c r="BN140" s="99">
        <f t="shared" si="57"/>
        <v>3.6091724825523435</v>
      </c>
      <c r="BO140" s="99">
        <f t="shared" si="58"/>
        <v>4.845505617977528</v>
      </c>
      <c r="BP140" s="99">
        <f t="shared" si="59"/>
        <v>4.845505617977528</v>
      </c>
      <c r="BQ140" s="99">
        <f t="shared" si="60"/>
        <v>5.7605177993527512</v>
      </c>
      <c r="BR140" s="99">
        <f t="shared" si="61"/>
        <v>4.1366459627329188</v>
      </c>
      <c r="BS140" s="99">
        <f t="shared" si="62"/>
        <v>4.1366459627329188</v>
      </c>
      <c r="BT140" s="99">
        <f t="shared" si="63"/>
        <v>3.5400516795865631</v>
      </c>
      <c r="BU140" s="99">
        <f t="shared" si="64"/>
        <v>3.807017543859649</v>
      </c>
      <c r="BV140" s="99">
        <f t="shared" si="65"/>
        <v>3.807017543859649</v>
      </c>
      <c r="BW140" s="99">
        <f t="shared" si="66"/>
        <v>2.8990825688073394</v>
      </c>
      <c r="BX140" s="99">
        <f t="shared" si="67"/>
        <v>4.6090909090909093</v>
      </c>
      <c r="BY140" s="99">
        <f t="shared" si="68"/>
        <v>4.6896551724137927</v>
      </c>
      <c r="BZ140" s="99">
        <f t="shared" si="69"/>
        <v>6.1538461538461542</v>
      </c>
      <c r="CA140" s="18" t="e">
        <f>VLOOKUP(A140,'Bouvier-GEMTA'!A:C,4,FALSE)</f>
        <v>#N/A</v>
      </c>
      <c r="CB140" s="18" t="e">
        <f>VLOOKUP(A140,'Martemyanov-FreeGβγ-Nluc'!A:BG,4,FALSE)</f>
        <v>#N/A</v>
      </c>
      <c r="CC140" s="18" t="s">
        <v>5167</v>
      </c>
    </row>
    <row r="141" spans="1:81">
      <c r="A141" s="12" t="s">
        <v>132</v>
      </c>
      <c r="B141" s="13" t="s">
        <v>133</v>
      </c>
      <c r="C141" s="9" t="str">
        <f>IF(VLOOKUP($A141,'I-Ligands'!$A:$G,5,FALSE)="","",VLOOKUP($A141,'I-Ligands'!$A:$G,5,FALSE))</f>
        <v>CAS registry number</v>
      </c>
      <c r="D141" s="9" t="str">
        <f>IF(VLOOKUP($A141,'I-Ligands'!$A:$G,6,FALSE)="","",VLOOKUP($A141,'I-Ligands'!$A:$G,6,FALSE))</f>
        <v>1032823-75-8</v>
      </c>
      <c r="E141" s="9" t="str">
        <f>IF(VLOOKUP($A141,'I-Ligands'!$A:$G,7,FALSE)="","",VLOOKUP($A141,'I-Ligands'!$A:$G,7,FALSE))</f>
        <v>Surr</v>
      </c>
      <c r="F141" s="7" cm="1">
        <f t="array" ref="F141">_xlfn.IFS(T141=0,0,T141&gt;0,(LOG(0.01*T141/10^-AH141)))</f>
        <v>7.5266651902615322</v>
      </c>
      <c r="G141" s="8" cm="1">
        <f t="array" ref="G141">_xlfn.IFS(U141=0,0,U141&gt;0,(LOG(0.01*U141/10^-AI141)))</f>
        <v>7.3400346113625199</v>
      </c>
      <c r="H141" s="8" cm="1">
        <f t="array" ref="H141">_xlfn.IFS(V141=0,0,V141&gt;0,(LOG(0.01*V141/10^-AJ141)))</f>
        <v>6.5244826721501701</v>
      </c>
      <c r="I141" s="8" cm="1">
        <f t="array" ref="I141">_xlfn.IFS(W141=0,0,W141&gt;0,(LOG(0.01*W141/10^-AK141)))</f>
        <v>6.5244826721501701</v>
      </c>
      <c r="J141" s="8" cm="1">
        <f t="array" ref="J141">_xlfn.IFS(X141=0,0,X141&gt;0,(LOG(0.01*X141/10^-AL141)))</f>
        <v>6.777426497940624</v>
      </c>
      <c r="K141" s="8" cm="1">
        <f t="array" ref="K141">_xlfn.IFS(Y141=0,0,Y141&gt;0,(LOG(0.01*Y141/10^-AM141)))</f>
        <v>7.0192191126553807</v>
      </c>
      <c r="L141" s="8" cm="1">
        <f t="array" ref="L141">_xlfn.IFS(Z141=0,0,Z141&gt;0,(LOG(0.01*Z141/10^-AN141)))</f>
        <v>7.0192191126553807</v>
      </c>
      <c r="M141" s="8" cm="1">
        <f t="array" ref="M141">_xlfn.IFS(AA141=0,0,AA141&gt;0,(LOG(0.01*AA141/10^-AO141)))</f>
        <v>7.470573931205851</v>
      </c>
      <c r="N141" s="8" cm="1">
        <f t="array" ref="N141">_xlfn.IFS(AB141=0,0,AB141&gt;0,(LOG(0.01*AB141/10^-AP141)))</f>
        <v>7.3195150145426311</v>
      </c>
      <c r="O141" s="8" cm="1">
        <f t="array" ref="O141">_xlfn.IFS(AC141=0,0,AC141&gt;0,(LOG(0.01*AC141/10^-AQ141)))</f>
        <v>7.3195150145426311</v>
      </c>
      <c r="P141" s="8" cm="1">
        <f t="array" ref="P141">_xlfn.IFS(AD141=0,0,AD141&gt;0,(LOG(0.01*AD141/10^-AR141)))</f>
        <v>7.4502617153949569</v>
      </c>
      <c r="Q141" s="8" cm="1">
        <f t="array" ref="Q141">_xlfn.IFS(AE141=0,0,AE141&gt;0,(LOG(0.01*AE141/10^-AS141)))</f>
        <v>5.4250612633917008</v>
      </c>
      <c r="R141" s="8" cm="1">
        <f t="array" ref="R141">_xlfn.IFS(AF141=0,0,AF141&gt;0,(LOG(0.01*AF141/10^-AT141)))</f>
        <v>5.568849090737257</v>
      </c>
      <c r="S141" s="8" cm="1">
        <f t="array" ref="S141">_xlfn.IFS(AG141=0,0,AG141&gt;0,(LOG(0.01*AG141/10^-AU141)))</f>
        <v>6.1353298350107677</v>
      </c>
      <c r="T141" s="16">
        <v>19.8</v>
      </c>
      <c r="U141" s="17">
        <v>19.5</v>
      </c>
      <c r="V141" s="17">
        <v>8.8000000000000007</v>
      </c>
      <c r="W141" s="17">
        <v>8.8000000000000007</v>
      </c>
      <c r="X141" s="17">
        <v>10.9</v>
      </c>
      <c r="Y141" s="17">
        <v>14.1</v>
      </c>
      <c r="Z141" s="17">
        <v>14.1</v>
      </c>
      <c r="AA141" s="17">
        <v>13.2</v>
      </c>
      <c r="AB141" s="17">
        <v>16.2</v>
      </c>
      <c r="AC141" s="17">
        <v>16.2</v>
      </c>
      <c r="AD141" s="17">
        <v>14.8</v>
      </c>
      <c r="AE141" s="17">
        <v>7.5</v>
      </c>
      <c r="AF141" s="17">
        <v>6.9</v>
      </c>
      <c r="AG141" s="17">
        <v>6.1</v>
      </c>
      <c r="AH141" s="14">
        <v>8.23</v>
      </c>
      <c r="AI141" s="15">
        <v>8.0500000000000007</v>
      </c>
      <c r="AJ141" s="15">
        <v>7.58</v>
      </c>
      <c r="AK141" s="15">
        <v>7.58</v>
      </c>
      <c r="AL141" s="15">
        <v>7.74</v>
      </c>
      <c r="AM141" s="15">
        <v>7.87</v>
      </c>
      <c r="AN141" s="15">
        <v>7.87</v>
      </c>
      <c r="AO141" s="15">
        <v>8.35</v>
      </c>
      <c r="AP141" s="15">
        <v>8.11</v>
      </c>
      <c r="AQ141" s="15">
        <v>8.11</v>
      </c>
      <c r="AR141" s="15">
        <v>8.2799999999999994</v>
      </c>
      <c r="AS141" s="15">
        <v>6.55</v>
      </c>
      <c r="AT141" s="15">
        <v>6.73</v>
      </c>
      <c r="AU141" s="15">
        <v>7.35</v>
      </c>
      <c r="AW141" s="186" t="str">
        <f>IF(VLOOKUP($A141,'I-Ligands'!$A:$G,3,FALSE)="","",VLOOKUP($A141,'I-Ligands'!$A:$G,3,FALSE))</f>
        <v>GSK1292263</v>
      </c>
      <c r="AX141" s="187" t="str">
        <f>IF(VLOOKUP($A141,'I-Ligands'!$A:$G,4,FALSE)="","",VLOOKUP($A141,'I-Ligands'!$A:$G,4,FALSE))</f>
        <v>GSK1292263</v>
      </c>
      <c r="AY141" s="98">
        <v>3.93</v>
      </c>
      <c r="AZ141" s="99">
        <v>2.88</v>
      </c>
      <c r="BA141" s="99">
        <v>3.56</v>
      </c>
      <c r="BB141" s="99">
        <v>3.56</v>
      </c>
      <c r="BC141" s="99">
        <v>3.59</v>
      </c>
      <c r="BD141" s="99">
        <v>3.48</v>
      </c>
      <c r="BE141" s="99">
        <v>3.48</v>
      </c>
      <c r="BF141" s="99">
        <v>2.67</v>
      </c>
      <c r="BG141" s="99">
        <v>4.4400000000000004</v>
      </c>
      <c r="BH141" s="99">
        <v>4.4400000000000004</v>
      </c>
      <c r="BI141" s="99">
        <v>3.53</v>
      </c>
      <c r="BJ141" s="99">
        <v>2.27</v>
      </c>
      <c r="BK141" s="99">
        <v>3.32</v>
      </c>
      <c r="BL141" s="99">
        <v>4.42</v>
      </c>
      <c r="BM141" s="98">
        <f t="shared" si="56"/>
        <v>5.0381679389312977</v>
      </c>
      <c r="BN141" s="99">
        <f t="shared" si="57"/>
        <v>6.7708333333333339</v>
      </c>
      <c r="BO141" s="99">
        <f t="shared" si="58"/>
        <v>2.4719101123595508</v>
      </c>
      <c r="BP141" s="99">
        <f t="shared" si="59"/>
        <v>2.4719101123595508</v>
      </c>
      <c r="BQ141" s="99">
        <f t="shared" si="60"/>
        <v>3.0362116991643457</v>
      </c>
      <c r="BR141" s="99">
        <f t="shared" si="61"/>
        <v>4.0517241379310347</v>
      </c>
      <c r="BS141" s="99">
        <f t="shared" si="62"/>
        <v>4.0517241379310347</v>
      </c>
      <c r="BT141" s="99">
        <f t="shared" si="63"/>
        <v>4.9438202247191008</v>
      </c>
      <c r="BU141" s="99">
        <f t="shared" si="64"/>
        <v>3.6486486486486482</v>
      </c>
      <c r="BV141" s="99">
        <f t="shared" si="65"/>
        <v>3.6486486486486482</v>
      </c>
      <c r="BW141" s="99">
        <f t="shared" si="66"/>
        <v>4.1926345609065159</v>
      </c>
      <c r="BX141" s="99">
        <f t="shared" si="67"/>
        <v>3.303964757709251</v>
      </c>
      <c r="BY141" s="99">
        <f t="shared" si="68"/>
        <v>2.0783132530120483</v>
      </c>
      <c r="BZ141" s="99">
        <f t="shared" si="69"/>
        <v>1.3800904977375565</v>
      </c>
      <c r="CA141" s="18" t="e">
        <f>VLOOKUP(A141,'Bouvier-GEMTA'!A:C,4,FALSE)</f>
        <v>#N/A</v>
      </c>
      <c r="CB141" s="18" t="e">
        <f>VLOOKUP(A141,'Martemyanov-FreeGβγ-Nluc'!A:BG,4,FALSE)</f>
        <v>#N/A</v>
      </c>
      <c r="CC141" s="18" t="s">
        <v>5167</v>
      </c>
    </row>
    <row r="142" spans="1:81">
      <c r="A142" s="12" t="s">
        <v>201</v>
      </c>
      <c r="B142" s="13" t="s">
        <v>2545</v>
      </c>
      <c r="C142" s="9" t="str">
        <f>IF(VLOOKUP($A142,'I-Ligands'!$A:$G,5,FALSE)="","",VLOOKUP($A142,'I-Ligands'!$A:$G,5,FALSE))</f>
        <v>Guide to Pharmacology</v>
      </c>
      <c r="D142" s="9">
        <f>IF(VLOOKUP($A142,'I-Ligands'!$A:$G,6,FALSE)="","",VLOOKUP($A142,'I-Ligands'!$A:$G,6,FALSE))</f>
        <v>1871</v>
      </c>
      <c r="E142" s="9" t="str">
        <f>IF(VLOOKUP($A142,'I-Ligands'!$A:$G,7,FALSE)="","",VLOOKUP($A142,'I-Ligands'!$A:$G,7,FALSE))</f>
        <v>Phys</v>
      </c>
      <c r="F142" s="7" cm="1">
        <f t="array" ref="F142">_xlfn.IFS(T142=0,0,T142&gt;0,(LOG(0.01*T142/10^-AH142)))</f>
        <v>0</v>
      </c>
      <c r="G142" s="8" cm="1">
        <f t="array" ref="G142">_xlfn.IFS(U142=0,0,U142&gt;0,(LOG(0.01*U142/10^-AI142)))</f>
        <v>0</v>
      </c>
      <c r="H142" s="8" cm="1">
        <f t="array" ref="H142">_xlfn.IFS(V142=0,0,V142&gt;0,(LOG(0.01*V142/10^-AJ142)))</f>
        <v>6.9930380486862944</v>
      </c>
      <c r="I142" s="8" cm="1">
        <f t="array" ref="I142">_xlfn.IFS(W142=0,0,W142&gt;0,(LOG(0.01*W142/10^-AK142)))</f>
        <v>6.9930380486862944</v>
      </c>
      <c r="J142" s="8" cm="1">
        <f t="array" ref="J142">_xlfn.IFS(X142=0,0,X142&gt;0,(LOG(0.01*X142/10^-AL142)))</f>
        <v>7.3779400086720388</v>
      </c>
      <c r="K142" s="8" cm="1">
        <f t="array" ref="K142">_xlfn.IFS(Y142=0,0,Y142&gt;0,(LOG(0.01*Y142/10^-AM142)))</f>
        <v>7.1030380486862956</v>
      </c>
      <c r="L142" s="8" cm="1">
        <f t="array" ref="L142">_xlfn.IFS(Z142=0,0,Z142&gt;0,(LOG(0.01*Z142/10^-AN142)))</f>
        <v>7.1030380486862956</v>
      </c>
      <c r="M142" s="8" cm="1">
        <f t="array" ref="M142">_xlfn.IFS(AA142=0,0,AA142&gt;0,(LOG(0.01*AA142/10^-AO142)))</f>
        <v>0</v>
      </c>
      <c r="N142" s="8" cm="1">
        <f t="array" ref="N142">_xlfn.IFS(AB142=0,0,AB142&gt;0,(LOG(0.01*AB142/10^-AP142)))</f>
        <v>7.809827993775718</v>
      </c>
      <c r="O142" s="8" cm="1">
        <f t="array" ref="O142">_xlfn.IFS(AC142=0,0,AC142&gt;0,(LOG(0.01*AC142/10^-AQ142)))</f>
        <v>7.809827993775718</v>
      </c>
      <c r="P142" s="8" cm="1">
        <f t="array" ref="P142">_xlfn.IFS(AD142=0,0,AD142&gt;0,(LOG(0.01*AD142/10^-AR142)))</f>
        <v>7.7283105537896022</v>
      </c>
      <c r="Q142" s="8" cm="1">
        <f t="array" ref="Q142">_xlfn.IFS(AE142=0,0,AE142&gt;0,(LOG(0.01*AE142/10^-AS142)))</f>
        <v>0</v>
      </c>
      <c r="R142" s="8" cm="1">
        <f t="array" ref="R142">_xlfn.IFS(AF142=0,0,AF142&gt;0,(LOG(0.01*AF142/10^-AT142)))</f>
        <v>0</v>
      </c>
      <c r="S142" s="8" cm="1">
        <f t="array" ref="S142">_xlfn.IFS(AG142=0,0,AG142&gt;0,(LOG(0.01*AG142/10^-AU142)))</f>
        <v>6.9775207208364636</v>
      </c>
      <c r="V142" s="17">
        <v>17.5</v>
      </c>
      <c r="W142" s="17">
        <v>17.5</v>
      </c>
      <c r="X142" s="17">
        <v>25</v>
      </c>
      <c r="Y142" s="17">
        <v>17.5</v>
      </c>
      <c r="Z142" s="17">
        <v>17.5</v>
      </c>
      <c r="AB142" s="17">
        <v>33.1</v>
      </c>
      <c r="AC142" s="17">
        <v>33.1</v>
      </c>
      <c r="AD142" s="17">
        <v>31.5</v>
      </c>
      <c r="AG142" s="17">
        <v>15.4</v>
      </c>
      <c r="AJ142" s="15">
        <v>7.75</v>
      </c>
      <c r="AK142" s="15">
        <v>7.75</v>
      </c>
      <c r="AL142" s="15">
        <v>7.98</v>
      </c>
      <c r="AM142" s="15">
        <v>7.86</v>
      </c>
      <c r="AN142" s="15">
        <v>7.86</v>
      </c>
      <c r="AP142" s="15">
        <v>8.2899999999999991</v>
      </c>
      <c r="AQ142" s="15">
        <v>8.2899999999999991</v>
      </c>
      <c r="AR142" s="15">
        <v>8.23</v>
      </c>
      <c r="AU142" s="15">
        <v>7.79</v>
      </c>
      <c r="AW142" s="186" t="str">
        <f>IF(VLOOKUP($A142,'I-Ligands'!$A:$G,3,FALSE)="","",VLOOKUP($A142,'I-Ligands'!$A:$G,3,FALSE))</f>
        <v>Prolactin-Releasing Peptide-20</v>
      </c>
      <c r="AX142" s="187" t="str">
        <f>IF(VLOOKUP($A142,'I-Ligands'!$A:$G,4,FALSE)="","",VLOOKUP($A142,'I-Ligands'!$A:$G,4,FALSE))</f>
        <v>TPDINPAWYASRGIRPVGRF-NH2</v>
      </c>
      <c r="AY142" s="98">
        <v>3.09</v>
      </c>
      <c r="AZ142" s="99">
        <v>3.33</v>
      </c>
      <c r="BA142" s="99">
        <v>1.99</v>
      </c>
      <c r="BB142" s="99">
        <v>1.99</v>
      </c>
      <c r="BC142" s="99">
        <v>3.05</v>
      </c>
      <c r="BD142" s="99">
        <v>1.91</v>
      </c>
      <c r="BE142" s="99">
        <v>1.91</v>
      </c>
      <c r="BF142" s="99">
        <v>0.88</v>
      </c>
      <c r="BG142" s="99">
        <v>4.3600000000000003</v>
      </c>
      <c r="BH142" s="99">
        <v>4.3600000000000003</v>
      </c>
      <c r="BI142" s="99">
        <v>2.99</v>
      </c>
      <c r="BJ142" s="99">
        <v>1.57</v>
      </c>
      <c r="BK142" s="99">
        <v>2.74</v>
      </c>
      <c r="BL142" s="99">
        <v>3.31</v>
      </c>
      <c r="BM142" s="98">
        <f t="shared" si="56"/>
        <v>0</v>
      </c>
      <c r="BN142" s="99">
        <f t="shared" si="57"/>
        <v>0</v>
      </c>
      <c r="BO142" s="99">
        <f t="shared" si="58"/>
        <v>8.7939698492462313</v>
      </c>
      <c r="BP142" s="99">
        <f t="shared" si="59"/>
        <v>8.7939698492462313</v>
      </c>
      <c r="BQ142" s="99">
        <f t="shared" si="60"/>
        <v>8.1967213114754109</v>
      </c>
      <c r="BR142" s="99">
        <f t="shared" si="61"/>
        <v>9.1623036649214669</v>
      </c>
      <c r="BS142" s="99">
        <f t="shared" si="62"/>
        <v>9.1623036649214669</v>
      </c>
      <c r="BT142" s="99">
        <f t="shared" si="63"/>
        <v>0</v>
      </c>
      <c r="BU142" s="99">
        <f t="shared" si="64"/>
        <v>7.5917431192660549</v>
      </c>
      <c r="BV142" s="99">
        <f t="shared" si="65"/>
        <v>7.5917431192660549</v>
      </c>
      <c r="BW142" s="99">
        <f t="shared" si="66"/>
        <v>10.535117056856187</v>
      </c>
      <c r="BX142" s="99">
        <f t="shared" si="67"/>
        <v>0</v>
      </c>
      <c r="BY142" s="99">
        <f t="shared" si="68"/>
        <v>0</v>
      </c>
      <c r="BZ142" s="99">
        <f t="shared" si="69"/>
        <v>4.6525679758308156</v>
      </c>
      <c r="CA142" s="18" t="e">
        <f>VLOOKUP(A142,'Bouvier-GEMTA'!A:C,4,FALSE)</f>
        <v>#N/A</v>
      </c>
      <c r="CB142" s="18" t="e">
        <f>VLOOKUP(A142,'Martemyanov-FreeGβγ-Nluc'!A:BG,4,FALSE)</f>
        <v>#N/A</v>
      </c>
      <c r="CC142" s="18" t="s">
        <v>5167</v>
      </c>
    </row>
    <row r="143" spans="1:81">
      <c r="A143" s="12" t="s">
        <v>208</v>
      </c>
      <c r="B143" s="13" t="s">
        <v>2546</v>
      </c>
      <c r="C143" s="9" t="str">
        <f>IF(VLOOKUP($A143,'I-Ligands'!$A:$G,5,FALSE)="","",VLOOKUP($A143,'I-Ligands'!$A:$G,5,FALSE))</f>
        <v>Guide to Pharmacology</v>
      </c>
      <c r="D143" s="9">
        <f>IF(VLOOKUP($A143,'I-Ligands'!$A:$G,6,FALSE)="","",VLOOKUP($A143,'I-Ligands'!$A:$G,6,FALSE))</f>
        <v>1895</v>
      </c>
      <c r="E143" s="9" t="str">
        <f>IF(VLOOKUP($A143,'I-Ligands'!$A:$G,7,FALSE)="","",VLOOKUP($A143,'I-Ligands'!$A:$G,7,FALSE))</f>
        <v>Surr</v>
      </c>
      <c r="F143" s="7" cm="1">
        <f t="array" ref="F143">_xlfn.IFS(T143=0,0,T143&gt;0,(LOG(0.01*T143/10^-AH143)))</f>
        <v>8.8583600109809328</v>
      </c>
      <c r="G143" s="8" cm="1">
        <f t="array" ref="G143">_xlfn.IFS(U143=0,0,U143&gt;0,(LOG(0.01*U143/10^-AI143)))</f>
        <v>8.6093348587121437</v>
      </c>
      <c r="H143" s="8" cm="1">
        <f t="array" ref="H143">_xlfn.IFS(V143=0,0,V143&gt;0,(LOG(0.01*V143/10^-AJ143)))</f>
        <v>0</v>
      </c>
      <c r="I143" s="8" cm="1">
        <f t="array" ref="I143">_xlfn.IFS(W143=0,0,W143&gt;0,(LOG(0.01*W143/10^-AK143)))</f>
        <v>0</v>
      </c>
      <c r="J143" s="8" cm="1">
        <f t="array" ref="J143">_xlfn.IFS(X143=0,0,X143&gt;0,(LOG(0.01*X143/10^-AL143)))</f>
        <v>0</v>
      </c>
      <c r="K143" s="8" cm="1">
        <f t="array" ref="K143">_xlfn.IFS(Y143=0,0,Y143&gt;0,(LOG(0.01*Y143/10^-AM143)))</f>
        <v>0</v>
      </c>
      <c r="L143" s="8" cm="1">
        <f t="array" ref="L143">_xlfn.IFS(Z143=0,0,Z143&gt;0,(LOG(0.01*Z143/10^-AN143)))</f>
        <v>0</v>
      </c>
      <c r="M143" s="8" cm="1">
        <f t="array" ref="M143">_xlfn.IFS(AA143=0,0,AA143&gt;0,(LOG(0.01*AA143/10^-AO143)))</f>
        <v>0</v>
      </c>
      <c r="N143" s="8" cm="1">
        <f t="array" ref="N143">_xlfn.IFS(AB143=0,0,AB143&gt;0,(LOG(0.01*AB143/10^-AP143)))</f>
        <v>8.0222928644564764</v>
      </c>
      <c r="O143" s="8" cm="1">
        <f t="array" ref="O143">_xlfn.IFS(AC143=0,0,AC143&gt;0,(LOG(0.01*AC143/10^-AQ143)))</f>
        <v>8.0222928644564764</v>
      </c>
      <c r="P143" s="8" cm="1">
        <f t="array" ref="P143">_xlfn.IFS(AD143=0,0,AD143&gt;0,(LOG(0.01*AD143/10^-AR143)))</f>
        <v>6.8942792860618827</v>
      </c>
      <c r="Q143" s="8" cm="1">
        <f t="array" ref="Q143">_xlfn.IFS(AE143=0,0,AE143&gt;0,(LOG(0.01*AE143/10^-AS143)))</f>
        <v>0</v>
      </c>
      <c r="R143" s="8" cm="1">
        <f t="array" ref="R143">_xlfn.IFS(AF143=0,0,AF143&gt;0,(LOG(0.01*AF143/10^-AT143)))</f>
        <v>6.6695192526186204</v>
      </c>
      <c r="S143" s="8" cm="1">
        <f t="array" ref="S143">_xlfn.IFS(AG143=0,0,AG143&gt;0,(LOG(0.01*AG143/10^-AU143)))</f>
        <v>0</v>
      </c>
      <c r="T143" s="16">
        <v>44.5</v>
      </c>
      <c r="U143" s="17">
        <v>44.6</v>
      </c>
      <c r="AB143" s="17">
        <v>36.5</v>
      </c>
      <c r="AC143" s="17">
        <v>36.5</v>
      </c>
      <c r="AD143" s="17">
        <v>8.4</v>
      </c>
      <c r="AF143" s="17">
        <v>8.6999999999999993</v>
      </c>
      <c r="AH143" s="14">
        <v>9.2100000000000009</v>
      </c>
      <c r="AI143" s="15">
        <v>8.9600000000000009</v>
      </c>
      <c r="AP143" s="15">
        <v>8.4600000000000009</v>
      </c>
      <c r="AQ143" s="15">
        <v>8.4600000000000009</v>
      </c>
      <c r="AR143" s="15">
        <v>7.97</v>
      </c>
      <c r="AT143" s="15">
        <v>7.73</v>
      </c>
      <c r="AW143" s="186" t="str">
        <f>IF(VLOOKUP($A143,'I-Ligands'!$A:$G,3,FALSE)="","",VLOOKUP($A143,'I-Ligands'!$A:$G,3,FALSE))</f>
        <v>Iloprost</v>
      </c>
      <c r="AX143" s="187" t="str">
        <f>IF(VLOOKUP($A143,'I-Ligands'!$A:$G,4,FALSE)="","",VLOOKUP($A143,'I-Ligands'!$A:$G,4,FALSE))</f>
        <v>Iloprost</v>
      </c>
      <c r="AY143" s="98">
        <v>4.0999999999999996</v>
      </c>
      <c r="AZ143" s="99">
        <v>4.66</v>
      </c>
      <c r="BA143" s="99">
        <v>4.87</v>
      </c>
      <c r="BB143" s="99">
        <v>4.87</v>
      </c>
      <c r="BC143" s="99">
        <v>4.25</v>
      </c>
      <c r="BD143" s="99">
        <v>4.6900000000000004</v>
      </c>
      <c r="BE143" s="99">
        <v>4.6900000000000004</v>
      </c>
      <c r="BF143" s="99">
        <v>4.28</v>
      </c>
      <c r="BG143" s="99">
        <v>7.11</v>
      </c>
      <c r="BH143" s="99">
        <v>7.11</v>
      </c>
      <c r="BI143" s="99">
        <v>7.28</v>
      </c>
      <c r="BJ143" s="99">
        <v>3.41</v>
      </c>
      <c r="BK143" s="99">
        <v>4.8099999999999996</v>
      </c>
      <c r="BL143" s="99">
        <v>4.38</v>
      </c>
      <c r="BM143" s="98">
        <f t="shared" si="56"/>
        <v>10.853658536585368</v>
      </c>
      <c r="BN143" s="99">
        <f t="shared" si="57"/>
        <v>9.5708154506437761</v>
      </c>
      <c r="BO143" s="99">
        <f t="shared" si="58"/>
        <v>0</v>
      </c>
      <c r="BP143" s="99">
        <f t="shared" si="59"/>
        <v>0</v>
      </c>
      <c r="BQ143" s="99">
        <f t="shared" si="60"/>
        <v>0</v>
      </c>
      <c r="BR143" s="99">
        <f t="shared" si="61"/>
        <v>0</v>
      </c>
      <c r="BS143" s="99">
        <f t="shared" si="62"/>
        <v>0</v>
      </c>
      <c r="BT143" s="99">
        <f t="shared" si="63"/>
        <v>0</v>
      </c>
      <c r="BU143" s="99">
        <f t="shared" si="64"/>
        <v>5.133614627285513</v>
      </c>
      <c r="BV143" s="99">
        <f t="shared" si="65"/>
        <v>5.133614627285513</v>
      </c>
      <c r="BW143" s="99">
        <f t="shared" si="66"/>
        <v>1.153846153846154</v>
      </c>
      <c r="BX143" s="99">
        <f t="shared" si="67"/>
        <v>0</v>
      </c>
      <c r="BY143" s="99">
        <f t="shared" si="68"/>
        <v>1.8087318087318087</v>
      </c>
      <c r="BZ143" s="99">
        <f t="shared" si="69"/>
        <v>0</v>
      </c>
      <c r="CA143" s="18" t="e">
        <f>VLOOKUP(A143,'Bouvier-GEMTA'!A:C,4,FALSE)</f>
        <v>#N/A</v>
      </c>
      <c r="CB143" s="18" t="e">
        <f>VLOOKUP(A143,'Martemyanov-FreeGβγ-Nluc'!A:BG,4,FALSE)</f>
        <v>#N/A</v>
      </c>
      <c r="CC143" s="18" t="s">
        <v>5167</v>
      </c>
    </row>
    <row r="144" spans="1:81" ht="18">
      <c r="A144" s="12" t="s">
        <v>158</v>
      </c>
      <c r="B144" s="13" t="s">
        <v>2637</v>
      </c>
      <c r="C144" s="9" t="str">
        <f>IF(VLOOKUP($A144,'I-Ligands'!$A:$G,5,FALSE)="","",VLOOKUP($A144,'I-Ligands'!$A:$G,5,FALSE))</f>
        <v>Guide to Pharmacology</v>
      </c>
      <c r="D144" s="9">
        <f>IF(VLOOKUP($A144,'I-Ligands'!$A:$G,6,FALSE)="","",VLOOKUP($A144,'I-Ligands'!$A:$G,6,FALSE))</f>
        <v>1298</v>
      </c>
      <c r="E144" s="9" t="str">
        <f>IF(VLOOKUP($A144,'I-Ligands'!$A:$G,7,FALSE)="","",VLOOKUP($A144,'I-Ligands'!$A:$G,7,FALSE))</f>
        <v>Phys</v>
      </c>
      <c r="F144" s="7" cm="1">
        <f t="array" ref="F144">_xlfn.IFS(T144=0,0,T144&gt;0,(LOG(0.01*T144/10^-AH144)))</f>
        <v>7.336098202012832</v>
      </c>
      <c r="G144" s="8" cm="1">
        <f t="array" ref="G144">_xlfn.IFS(U144=0,0,U144&gt;0,(LOG(0.01*U144/10^-AI144)))</f>
        <v>7.3454222693490925</v>
      </c>
      <c r="H144" s="8" cm="1">
        <f t="array" ref="H144">_xlfn.IFS(V144=0,0,V144&gt;0,(LOG(0.01*V144/10^-AJ144)))</f>
        <v>7.7932125137753454</v>
      </c>
      <c r="I144" s="8" cm="1">
        <f t="array" ref="I144">_xlfn.IFS(W144=0,0,W144&gt;0,(LOG(0.01*W144/10^-AK144)))</f>
        <v>7.7932125137753454</v>
      </c>
      <c r="J144" s="8" cm="1">
        <f t="array" ref="J144">_xlfn.IFS(X144=0,0,X144&gt;0,(LOG(0.01*X144/10^-AL144)))</f>
        <v>8.287528961214635</v>
      </c>
      <c r="K144" s="8" cm="1">
        <f t="array" ref="K144">_xlfn.IFS(Y144=0,0,Y144&gt;0,(LOG(0.01*Y144/10^-AM144)))</f>
        <v>7.479409599102719</v>
      </c>
      <c r="L144" s="8" cm="1">
        <f t="array" ref="L144">_xlfn.IFS(Z144=0,0,Z144&gt;0,(LOG(0.01*Z144/10^-AN144)))</f>
        <v>7.479409599102719</v>
      </c>
      <c r="M144" s="8" cm="1">
        <f t="array" ref="M144">_xlfn.IFS(AA144=0,0,AA144&gt;0,(LOG(0.01*AA144/10^-AO144)))</f>
        <v>6.3971717284030154</v>
      </c>
      <c r="N144" s="8" cm="1">
        <f t="array" ref="N144">_xlfn.IFS(AB144=0,0,AB144&gt;0,(LOG(0.01*AB144/10^-AP144)))</f>
        <v>8.1975289612146351</v>
      </c>
      <c r="O144" s="8" cm="1">
        <f t="array" ref="O144">_xlfn.IFS(AC144=0,0,AC144&gt;0,(LOG(0.01*AC144/10^-AQ144)))</f>
        <v>8.1975289612146351</v>
      </c>
      <c r="P144" s="8" cm="1">
        <f t="array" ref="P144">_xlfn.IFS(AD144=0,0,AD144&gt;0,(LOG(0.01*AD144/10^-AR144)))</f>
        <v>6.7485664955938445</v>
      </c>
      <c r="Q144" s="8" cm="1">
        <f t="array" ref="Q144">_xlfn.IFS(AE144=0,0,AE144&gt;0,(LOG(0.01*AE144/10^-AS144)))</f>
        <v>5.68058971029925</v>
      </c>
      <c r="R144" s="8" cm="1">
        <f t="array" ref="R144">_xlfn.IFS(AF144=0,0,AF144&gt;0,(LOG(0.01*AF144/10^-AT144)))</f>
        <v>6.7414426285023055</v>
      </c>
      <c r="S144" s="8" cm="1">
        <f t="array" ref="S144">_xlfn.IFS(AG144=0,0,AG144&gt;0,(LOG(0.01*AG144/10^-AU144)))</f>
        <v>6.896505032404872</v>
      </c>
      <c r="T144" s="16">
        <v>45.3</v>
      </c>
      <c r="U144" s="17">
        <v>44.2</v>
      </c>
      <c r="V144" s="17">
        <v>45</v>
      </c>
      <c r="W144" s="17">
        <v>45</v>
      </c>
      <c r="X144" s="17">
        <v>48.7</v>
      </c>
      <c r="Y144" s="17">
        <v>42.6</v>
      </c>
      <c r="Z144" s="17">
        <v>42.6</v>
      </c>
      <c r="AA144" s="17">
        <v>18.5</v>
      </c>
      <c r="AB144" s="17">
        <v>48.7</v>
      </c>
      <c r="AC144" s="17">
        <v>48.7</v>
      </c>
      <c r="AD144" s="17">
        <v>30.1</v>
      </c>
      <c r="AE144" s="17">
        <v>12.9</v>
      </c>
      <c r="AF144" s="17">
        <v>30.3</v>
      </c>
      <c r="AG144" s="17">
        <v>32.1</v>
      </c>
      <c r="AH144" s="14">
        <v>7.68</v>
      </c>
      <c r="AI144" s="15">
        <v>7.7</v>
      </c>
      <c r="AJ144" s="15">
        <v>8.14</v>
      </c>
      <c r="AK144" s="15">
        <v>8.14</v>
      </c>
      <c r="AL144" s="15">
        <v>8.6</v>
      </c>
      <c r="AM144" s="15">
        <v>7.85</v>
      </c>
      <c r="AN144" s="15">
        <v>7.85</v>
      </c>
      <c r="AO144" s="15">
        <v>7.13</v>
      </c>
      <c r="AP144" s="15">
        <v>8.51</v>
      </c>
      <c r="AQ144" s="15">
        <v>8.51</v>
      </c>
      <c r="AR144" s="15">
        <v>7.27</v>
      </c>
      <c r="AS144" s="15">
        <v>6.57</v>
      </c>
      <c r="AT144" s="15">
        <v>7.26</v>
      </c>
      <c r="AU144" s="15">
        <v>7.39</v>
      </c>
      <c r="AW144" s="186" t="str">
        <f>IF(VLOOKUP($A144,'I-Ligands'!$A:$G,3,FALSE)="","",VLOOKUP($A144,'I-Ligands'!$A:$G,3,FALSE))</f>
        <v>MCH</v>
      </c>
      <c r="AX144" s="187" t="str">
        <f>IF(VLOOKUP($A144,'I-Ligands'!$A:$G,4,FALSE)="","",VLOOKUP($A144,'I-Ligands'!$A:$G,4,FALSE))</f>
        <v>DFDMLRCMLGRVYRPCWQV</v>
      </c>
      <c r="AY144" s="98">
        <v>6.17</v>
      </c>
      <c r="AZ144" s="99">
        <v>3.97</v>
      </c>
      <c r="BA144" s="99">
        <v>11.37</v>
      </c>
      <c r="BB144" s="99">
        <v>11.37</v>
      </c>
      <c r="BC144" s="99">
        <v>5.22</v>
      </c>
      <c r="BD144" s="99">
        <v>4.91</v>
      </c>
      <c r="BE144" s="99">
        <v>4.91</v>
      </c>
      <c r="BF144" s="99">
        <v>4.25</v>
      </c>
      <c r="BG144" s="99">
        <v>7.8</v>
      </c>
      <c r="BH144" s="99">
        <v>7.8</v>
      </c>
      <c r="BI144" s="99">
        <v>7.46</v>
      </c>
      <c r="BJ144" s="99">
        <v>6.82</v>
      </c>
      <c r="BK144" s="99">
        <v>5.95</v>
      </c>
      <c r="BL144" s="99">
        <v>5.5</v>
      </c>
      <c r="BM144" s="98">
        <f t="shared" si="56"/>
        <v>7.3419773095623979</v>
      </c>
      <c r="BN144" s="99">
        <f t="shared" si="57"/>
        <v>11.133501259445843</v>
      </c>
      <c r="BO144" s="99">
        <f t="shared" si="58"/>
        <v>3.9577836411609502</v>
      </c>
      <c r="BP144" s="99">
        <f t="shared" si="59"/>
        <v>3.9577836411609502</v>
      </c>
      <c r="BQ144" s="99">
        <f t="shared" si="60"/>
        <v>9.3295019157088124</v>
      </c>
      <c r="BR144" s="99">
        <f t="shared" si="61"/>
        <v>8.6761710794297358</v>
      </c>
      <c r="BS144" s="99">
        <f t="shared" si="62"/>
        <v>8.6761710794297358</v>
      </c>
      <c r="BT144" s="99">
        <f t="shared" si="63"/>
        <v>4.3529411764705879</v>
      </c>
      <c r="BU144" s="99">
        <f t="shared" si="64"/>
        <v>6.2435897435897445</v>
      </c>
      <c r="BV144" s="99">
        <f t="shared" si="65"/>
        <v>6.2435897435897445</v>
      </c>
      <c r="BW144" s="99">
        <f t="shared" si="66"/>
        <v>4.0348525469168903</v>
      </c>
      <c r="BX144" s="99">
        <f t="shared" si="67"/>
        <v>1.8914956011730204</v>
      </c>
      <c r="BY144" s="99">
        <f t="shared" si="68"/>
        <v>5.0924369747899156</v>
      </c>
      <c r="BZ144" s="99">
        <f t="shared" si="69"/>
        <v>5.8363636363636369</v>
      </c>
      <c r="CA144" s="18" t="e">
        <f>VLOOKUP(A144,'Bouvier-GEMTA'!A:C,4,FALSE)</f>
        <v>#N/A</v>
      </c>
      <c r="CB144" s="18" t="e">
        <f>VLOOKUP(A144,'Martemyanov-FreeGβγ-Nluc'!A:BG,4,FALSE)</f>
        <v>#N/A</v>
      </c>
      <c r="CC144" s="18" t="s">
        <v>5167</v>
      </c>
    </row>
    <row r="145" spans="1:81" ht="18">
      <c r="A145" s="12" t="s">
        <v>159</v>
      </c>
      <c r="B145" s="13" t="s">
        <v>2638</v>
      </c>
      <c r="C145" s="9" t="str">
        <f>IF(VLOOKUP($A145,'I-Ligands'!$A:$G,5,FALSE)="","",VLOOKUP($A145,'I-Ligands'!$A:$G,5,FALSE))</f>
        <v>Guide to Pharmacology</v>
      </c>
      <c r="D145" s="9">
        <f>IF(VLOOKUP($A145,'I-Ligands'!$A:$G,6,FALSE)="","",VLOOKUP($A145,'I-Ligands'!$A:$G,6,FALSE))</f>
        <v>1298</v>
      </c>
      <c r="E145" s="9" t="str">
        <f>IF(VLOOKUP($A145,'I-Ligands'!$A:$G,7,FALSE)="","",VLOOKUP($A145,'I-Ligands'!$A:$G,7,FALSE))</f>
        <v>Phys</v>
      </c>
      <c r="F145" s="7" cm="1">
        <f t="array" ref="F145">_xlfn.IFS(T145=0,0,T145&gt;0,(LOG(0.01*T145/10^-AH145)))</f>
        <v>7.5617233080073429</v>
      </c>
      <c r="G145" s="8" cm="1">
        <f t="array" ref="G145">_xlfn.IFS(U145=0,0,U145&gt;0,(LOG(0.01*U145/10^-AI145)))</f>
        <v>7.5954962218255737</v>
      </c>
      <c r="H145" s="8" cm="1">
        <f t="array" ref="H145">_xlfn.IFS(V145=0,0,V145&gt;0,(LOG(0.01*V145/10^-AJ145)))</f>
        <v>7.7276951859255139</v>
      </c>
      <c r="I145" s="8" cm="1">
        <f t="array" ref="I145">_xlfn.IFS(W145=0,0,W145&gt;0,(LOG(0.01*W145/10^-AK145)))</f>
        <v>7.7276951859255139</v>
      </c>
      <c r="J145" s="8" cm="1">
        <f t="array" ref="J145">_xlfn.IFS(X145=0,0,X145&gt;0,(LOG(0.01*X145/10^-AL145)))</f>
        <v>8.2859500516564015</v>
      </c>
      <c r="K145" s="8" cm="1">
        <f t="array" ref="K145">_xlfn.IFS(Y145=0,0,Y145&gt;0,(LOG(0.01*Y145/10^-AM145)))</f>
        <v>6.9942162640762549</v>
      </c>
      <c r="L145" s="8" cm="1">
        <f t="array" ref="L145">_xlfn.IFS(Z145=0,0,Z145&gt;0,(LOG(0.01*Z145/10^-AN145)))</f>
        <v>6.9942162640762549</v>
      </c>
      <c r="M145" s="8" cm="1">
        <f t="array" ref="M145">_xlfn.IFS(AA145=0,0,AA145&gt;0,(LOG(0.01*AA145/10^-AO145)))</f>
        <v>6.9217538610557554</v>
      </c>
      <c r="N145" s="8" cm="1">
        <f t="array" ref="N145">_xlfn.IFS(AB145=0,0,AB145&gt;0,(LOG(0.01*AB145/10^-AP145)))</f>
        <v>8.3863025007672878</v>
      </c>
      <c r="O145" s="8" cm="1">
        <f t="array" ref="O145">_xlfn.IFS(AC145=0,0,AC145&gt;0,(LOG(0.01*AC145/10^-AQ145)))</f>
        <v>8.3863025007672878</v>
      </c>
      <c r="P145" s="8" cm="1">
        <f t="array" ref="P145">_xlfn.IFS(AD145=0,0,AD145&gt;0,(LOG(0.01*AD145/10^-AR145)))</f>
        <v>7.6442162640762552</v>
      </c>
      <c r="Q145" s="8" cm="1">
        <f t="array" ref="Q145">_xlfn.IFS(AE145=0,0,AE145&gt;0,(LOG(0.01*AE145/10^-AS145)))</f>
        <v>7.5217088318086889</v>
      </c>
      <c r="R145" s="8" cm="1">
        <f t="array" ref="R145">_xlfn.IFS(AF145=0,0,AF145&gt;0,(LOG(0.01*AF145/10^-AT145)))</f>
        <v>7.4786392099680734</v>
      </c>
      <c r="S145" s="8" cm="1">
        <f t="array" ref="S145">_xlfn.IFS(AG145=0,0,AG145&gt;0,(LOG(0.01*AG145/10^-AU145)))</f>
        <v>7.316558442571532</v>
      </c>
      <c r="T145" s="16">
        <v>40.9</v>
      </c>
      <c r="U145" s="17">
        <v>39.4</v>
      </c>
      <c r="V145" s="17">
        <v>39.6</v>
      </c>
      <c r="W145" s="17">
        <v>39.6</v>
      </c>
      <c r="X145" s="17">
        <v>41.3</v>
      </c>
      <c r="Y145" s="17">
        <v>29.8</v>
      </c>
      <c r="Z145" s="17">
        <v>29.8</v>
      </c>
      <c r="AA145" s="17">
        <v>20.5</v>
      </c>
      <c r="AB145" s="17">
        <v>36</v>
      </c>
      <c r="AC145" s="17">
        <v>36</v>
      </c>
      <c r="AD145" s="17">
        <v>29.8</v>
      </c>
      <c r="AE145" s="17">
        <v>37.299999999999997</v>
      </c>
      <c r="AF145" s="17">
        <v>37.9</v>
      </c>
      <c r="AG145" s="17">
        <v>34.4</v>
      </c>
      <c r="AH145" s="14">
        <v>7.95</v>
      </c>
      <c r="AI145" s="15">
        <v>8</v>
      </c>
      <c r="AJ145" s="15">
        <v>8.1300000000000008</v>
      </c>
      <c r="AK145" s="15">
        <v>8.1300000000000008</v>
      </c>
      <c r="AL145" s="15">
        <v>8.67</v>
      </c>
      <c r="AM145" s="15">
        <v>7.52</v>
      </c>
      <c r="AN145" s="15">
        <v>7.52</v>
      </c>
      <c r="AO145" s="15">
        <v>7.61</v>
      </c>
      <c r="AP145" s="15">
        <v>8.83</v>
      </c>
      <c r="AQ145" s="15">
        <v>8.83</v>
      </c>
      <c r="AR145" s="15">
        <v>8.17</v>
      </c>
      <c r="AS145" s="15">
        <v>7.95</v>
      </c>
      <c r="AT145" s="15">
        <v>7.9</v>
      </c>
      <c r="AU145" s="15">
        <v>7.78</v>
      </c>
      <c r="AW145" s="186" t="str">
        <f>IF(VLOOKUP($A145,'I-Ligands'!$A:$G,3,FALSE)="","",VLOOKUP($A145,'I-Ligands'!$A:$G,3,FALSE))</f>
        <v>MCH</v>
      </c>
      <c r="AX145" s="187" t="str">
        <f>IF(VLOOKUP($A145,'I-Ligands'!$A:$G,4,FALSE)="","",VLOOKUP($A145,'I-Ligands'!$A:$G,4,FALSE))</f>
        <v>DFDMLRCMLGRVYRPCWQV</v>
      </c>
      <c r="AY145" s="98">
        <v>3.66</v>
      </c>
      <c r="AZ145" s="99">
        <v>1.58</v>
      </c>
      <c r="BA145" s="99">
        <v>4.0999999999999996</v>
      </c>
      <c r="BB145" s="99">
        <v>4.0999999999999996</v>
      </c>
      <c r="BC145" s="99">
        <v>1.57</v>
      </c>
      <c r="BD145" s="99">
        <v>2.4</v>
      </c>
      <c r="BE145" s="99">
        <v>2.4</v>
      </c>
      <c r="BF145" s="99">
        <v>3.05</v>
      </c>
      <c r="BG145" s="99">
        <v>3.31</v>
      </c>
      <c r="BH145" s="99">
        <v>3.31</v>
      </c>
      <c r="BI145" s="99">
        <v>1.78</v>
      </c>
      <c r="BJ145" s="99">
        <v>2.06</v>
      </c>
      <c r="BK145" s="99">
        <v>1.67</v>
      </c>
      <c r="BL145" s="99">
        <v>2.35</v>
      </c>
      <c r="BM145" s="98">
        <f t="shared" si="56"/>
        <v>11.17486338797814</v>
      </c>
      <c r="BN145" s="99">
        <f t="shared" si="57"/>
        <v>24.936708860759492</v>
      </c>
      <c r="BO145" s="99">
        <f t="shared" si="58"/>
        <v>9.6585365853658551</v>
      </c>
      <c r="BP145" s="99">
        <f t="shared" si="59"/>
        <v>9.6585365853658551</v>
      </c>
      <c r="BQ145" s="99">
        <f t="shared" si="60"/>
        <v>26.30573248407643</v>
      </c>
      <c r="BR145" s="99">
        <f t="shared" si="61"/>
        <v>12.416666666666668</v>
      </c>
      <c r="BS145" s="99">
        <f t="shared" si="62"/>
        <v>12.416666666666668</v>
      </c>
      <c r="BT145" s="99">
        <f t="shared" si="63"/>
        <v>6.7213114754098369</v>
      </c>
      <c r="BU145" s="99">
        <f t="shared" si="64"/>
        <v>10.876132930513595</v>
      </c>
      <c r="BV145" s="99">
        <f t="shared" si="65"/>
        <v>10.876132930513595</v>
      </c>
      <c r="BW145" s="99">
        <f t="shared" si="66"/>
        <v>16.741573033707866</v>
      </c>
      <c r="BX145" s="99">
        <f t="shared" si="67"/>
        <v>18.106796116504853</v>
      </c>
      <c r="BY145" s="99">
        <f t="shared" si="68"/>
        <v>22.694610778443113</v>
      </c>
      <c r="BZ145" s="99">
        <f t="shared" si="69"/>
        <v>14.638297872340424</v>
      </c>
      <c r="CA145" s="18" t="e">
        <f>VLOOKUP(A145,'Bouvier-GEMTA'!A:C,4,FALSE)</f>
        <v>#N/A</v>
      </c>
      <c r="CB145" s="18" t="e">
        <f>VLOOKUP(A145,'Martemyanov-FreeGβγ-Nluc'!A:BG,4,FALSE)</f>
        <v>#N/A</v>
      </c>
      <c r="CC145" s="18" t="s">
        <v>5167</v>
      </c>
    </row>
    <row r="146" spans="1:81">
      <c r="A146" s="12" t="s">
        <v>172</v>
      </c>
      <c r="B146" s="13" t="s">
        <v>2553</v>
      </c>
      <c r="C146" s="9" t="str">
        <f>IF(VLOOKUP($A146,'I-Ligands'!$A:$G,5,FALSE)="","",VLOOKUP($A146,'I-Ligands'!$A:$G,5,FALSE))</f>
        <v>Guide to Pharmacology</v>
      </c>
      <c r="D146" s="9">
        <f>IF(VLOOKUP($A146,'I-Ligands'!$A:$G,6,FALSE)="","",VLOOKUP($A146,'I-Ligands'!$A:$G,6,FALSE))</f>
        <v>1470</v>
      </c>
      <c r="E146" s="9" t="str">
        <f>IF(VLOOKUP($A146,'I-Ligands'!$A:$G,7,FALSE)="","",VLOOKUP($A146,'I-Ligands'!$A:$G,7,FALSE))</f>
        <v>Phys</v>
      </c>
      <c r="F146" s="7" cm="1">
        <f t="array" ref="F146">_xlfn.IFS(T146=0,0,T146&gt;0,(LOG(0.01*T146/10^-AH146)))</f>
        <v>7.1579348470004538</v>
      </c>
      <c r="G146" s="8" cm="1">
        <f t="array" ref="G146">_xlfn.IFS(U146=0,0,U146&gt;0,(LOG(0.01*U146/10^-AI146)))</f>
        <v>7.2261993470957382</v>
      </c>
      <c r="H146" s="8" cm="1">
        <f t="array" ref="H146">_xlfn.IFS(V146=0,0,V146&gt;0,(LOG(0.01*V146/10^-AJ146)))</f>
        <v>7.1564597338485312</v>
      </c>
      <c r="I146" s="8" cm="1">
        <f t="array" ref="I146">_xlfn.IFS(W146=0,0,W146&gt;0,(LOG(0.01*W146/10^-AK146)))</f>
        <v>7.1564597338485312</v>
      </c>
      <c r="J146" s="8" cm="1">
        <f t="array" ref="J146">_xlfn.IFS(X146=0,0,X146&gt;0,(LOG(0.01*X146/10^-AL146)))</f>
        <v>7.5608978427565479</v>
      </c>
      <c r="K146" s="8" cm="1">
        <f t="array" ref="K146">_xlfn.IFS(Y146=0,0,Y146&gt;0,(LOG(0.01*Y146/10^-AM146)))</f>
        <v>6.3333228601204556</v>
      </c>
      <c r="L146" s="8" cm="1">
        <f t="array" ref="L146">_xlfn.IFS(Z146=0,0,Z146&gt;0,(LOG(0.01*Z146/10^-AN146)))</f>
        <v>6.3333228601204556</v>
      </c>
      <c r="M146" s="8" cm="1">
        <f t="array" ref="M146">_xlfn.IFS(AA146=0,0,AA146&gt;0,(LOG(0.01*AA146/10^-AO146)))</f>
        <v>6.6690780923760737</v>
      </c>
      <c r="N146" s="8" cm="1">
        <f t="array" ref="N146">_xlfn.IFS(AB146=0,0,AB146&gt;0,(LOG(0.01*AB146/10^-AP146)))</f>
        <v>8.6174917998372251</v>
      </c>
      <c r="O146" s="8" cm="1">
        <f t="array" ref="O146">_xlfn.IFS(AC146=0,0,AC146&gt;0,(LOG(0.01*AC146/10^-AQ146)))</f>
        <v>8.6174917998372251</v>
      </c>
      <c r="P146" s="8" cm="1">
        <f t="array" ref="P146">_xlfn.IFS(AD146=0,0,AD146&gt;0,(LOG(0.01*AD146/10^-AR146)))</f>
        <v>8.4563025007672881</v>
      </c>
      <c r="Q146" s="8" cm="1">
        <f t="array" ref="Q146">_xlfn.IFS(AE146=0,0,AE146&gt;0,(LOG(0.01*AE146/10^-AS146)))</f>
        <v>6.1688490907372557</v>
      </c>
      <c r="R146" s="8" cm="1">
        <f t="array" ref="R146">_xlfn.IFS(AF146=0,0,AF146&gt;0,(LOG(0.01*AF146/10^-AT146)))</f>
        <v>6.7239433523068373</v>
      </c>
      <c r="S146" s="8" cm="1">
        <f t="array" ref="S146">_xlfn.IFS(AG146=0,0,AG146&gt;0,(LOG(0.01*AG146/10^-AU146)))</f>
        <v>6.7605897102992492</v>
      </c>
      <c r="T146" s="16">
        <v>22.8</v>
      </c>
      <c r="U146" s="17">
        <v>24.9</v>
      </c>
      <c r="V146" s="17">
        <v>21.7</v>
      </c>
      <c r="W146" s="17">
        <v>21.7</v>
      </c>
      <c r="X146" s="17">
        <v>28.9</v>
      </c>
      <c r="Y146" s="17">
        <v>7.3</v>
      </c>
      <c r="Z146" s="17">
        <v>7.3</v>
      </c>
      <c r="AA146" s="17">
        <v>8.3000000000000007</v>
      </c>
      <c r="AB146" s="17">
        <v>37.799999999999997</v>
      </c>
      <c r="AC146" s="17">
        <v>37.799999999999997</v>
      </c>
      <c r="AD146" s="17">
        <v>36</v>
      </c>
      <c r="AE146" s="17">
        <v>6.9</v>
      </c>
      <c r="AF146" s="17">
        <v>13</v>
      </c>
      <c r="AG146" s="17">
        <v>12.9</v>
      </c>
      <c r="AH146" s="14">
        <v>7.8</v>
      </c>
      <c r="AI146" s="15">
        <v>7.83</v>
      </c>
      <c r="AJ146" s="15">
        <v>7.82</v>
      </c>
      <c r="AK146" s="15">
        <v>7.82</v>
      </c>
      <c r="AL146" s="15">
        <v>8.1</v>
      </c>
      <c r="AM146" s="15">
        <v>7.47</v>
      </c>
      <c r="AN146" s="15">
        <v>7.47</v>
      </c>
      <c r="AO146" s="15">
        <v>7.75</v>
      </c>
      <c r="AP146" s="15">
        <v>9.0399999999999991</v>
      </c>
      <c r="AQ146" s="15">
        <v>9.0399999999999991</v>
      </c>
      <c r="AR146" s="15">
        <v>8.9</v>
      </c>
      <c r="AS146" s="15">
        <v>7.33</v>
      </c>
      <c r="AT146" s="15">
        <v>7.61</v>
      </c>
      <c r="AU146" s="15">
        <v>7.65</v>
      </c>
      <c r="AW146" s="186" t="str">
        <f>IF(VLOOKUP($A146,'I-Ligands'!$A:$G,3,FALSE)="","",VLOOKUP($A146,'I-Ligands'!$A:$G,3,FALSE))</f>
        <v>Neuromedin-U25</v>
      </c>
      <c r="AX146" s="187" t="str">
        <f>IF(VLOOKUP($A146,'I-Ligands'!$A:$G,4,FALSE)="","",VLOOKUP($A146,'I-Ligands'!$A:$G,4,FALSE))</f>
        <v>FRVDEEFQSPFASQSRGYFLFRPRN-NH2</v>
      </c>
      <c r="AY146" s="98">
        <v>4.9800000000000004</v>
      </c>
      <c r="AZ146" s="99">
        <v>3.6</v>
      </c>
      <c r="BA146" s="99">
        <v>4.74</v>
      </c>
      <c r="BB146" s="99">
        <v>4.74</v>
      </c>
      <c r="BC146" s="99">
        <v>4.6900000000000004</v>
      </c>
      <c r="BD146" s="99">
        <v>4.67</v>
      </c>
      <c r="BE146" s="99">
        <v>4.67</v>
      </c>
      <c r="BF146" s="99">
        <v>6.69</v>
      </c>
      <c r="BG146" s="99">
        <v>7.13</v>
      </c>
      <c r="BH146" s="99">
        <v>7.13</v>
      </c>
      <c r="BI146" s="99">
        <v>7.48</v>
      </c>
      <c r="BJ146" s="99">
        <v>4.1399999999999997</v>
      </c>
      <c r="BK146" s="99">
        <v>4.62</v>
      </c>
      <c r="BL146" s="99">
        <v>6.04</v>
      </c>
      <c r="BM146" s="98">
        <f t="shared" si="56"/>
        <v>4.5783132530120483</v>
      </c>
      <c r="BN146" s="99">
        <f t="shared" si="57"/>
        <v>6.9166666666666661</v>
      </c>
      <c r="BO146" s="99">
        <f t="shared" si="58"/>
        <v>4.5780590717299576</v>
      </c>
      <c r="BP146" s="99">
        <f t="shared" si="59"/>
        <v>4.5780590717299576</v>
      </c>
      <c r="BQ146" s="99">
        <f t="shared" si="60"/>
        <v>6.1620469083155642</v>
      </c>
      <c r="BR146" s="99">
        <f t="shared" si="61"/>
        <v>1.563169164882227</v>
      </c>
      <c r="BS146" s="99">
        <f t="shared" si="62"/>
        <v>1.563169164882227</v>
      </c>
      <c r="BT146" s="99">
        <f t="shared" si="63"/>
        <v>1.2406576980568012</v>
      </c>
      <c r="BU146" s="99">
        <f t="shared" si="64"/>
        <v>5.3015427769985974</v>
      </c>
      <c r="BV146" s="99">
        <f t="shared" si="65"/>
        <v>5.3015427769985974</v>
      </c>
      <c r="BW146" s="99">
        <f t="shared" si="66"/>
        <v>4.8128342245989302</v>
      </c>
      <c r="BX146" s="99">
        <f t="shared" si="67"/>
        <v>1.666666666666667</v>
      </c>
      <c r="BY146" s="99">
        <f t="shared" si="68"/>
        <v>2.8138528138528138</v>
      </c>
      <c r="BZ146" s="99">
        <f t="shared" si="69"/>
        <v>2.1357615894039736</v>
      </c>
      <c r="CA146" s="18" t="e">
        <f>VLOOKUP(A146,'Bouvier-GEMTA'!A:C,4,FALSE)</f>
        <v>#N/A</v>
      </c>
      <c r="CB146" s="18" t="e">
        <f>VLOOKUP(A146,'Martemyanov-FreeGβγ-Nluc'!A:BG,4,FALSE)</f>
        <v>#N/A</v>
      </c>
      <c r="CC146" s="18" t="s">
        <v>5167</v>
      </c>
    </row>
    <row r="147" spans="1:81">
      <c r="A147" s="12" t="s">
        <v>173</v>
      </c>
      <c r="B147" s="13" t="s">
        <v>2552</v>
      </c>
      <c r="C147" s="9" t="str">
        <f>IF(VLOOKUP($A147,'I-Ligands'!$A:$G,5,FALSE)="","",VLOOKUP($A147,'I-Ligands'!$A:$G,5,FALSE))</f>
        <v>Guide to Pharmacology</v>
      </c>
      <c r="D147" s="9">
        <f>IF(VLOOKUP($A147,'I-Ligands'!$A:$G,6,FALSE)="","",VLOOKUP($A147,'I-Ligands'!$A:$G,6,FALSE))</f>
        <v>1470</v>
      </c>
      <c r="E147" s="9" t="str">
        <f>IF(VLOOKUP($A147,'I-Ligands'!$A:$G,7,FALSE)="","",VLOOKUP($A147,'I-Ligands'!$A:$G,7,FALSE))</f>
        <v>Phys</v>
      </c>
      <c r="F147" s="7" cm="1">
        <f t="array" ref="F147">_xlfn.IFS(T147=0,0,T147&gt;0,(LOG(0.01*T147/10^-AH147)))</f>
        <v>7.1863358609287529</v>
      </c>
      <c r="G147" s="8" cm="1">
        <f t="array" ref="G147">_xlfn.IFS(U147=0,0,U147&gt;0,(LOG(0.01*U147/10^-AI147)))</f>
        <v>7.1544662261615946</v>
      </c>
      <c r="H147" s="8" cm="1">
        <f t="array" ref="H147">_xlfn.IFS(V147=0,0,V147&gt;0,(LOG(0.01*V147/10^-AJ147)))</f>
        <v>8.4817088318086888</v>
      </c>
      <c r="I147" s="8" cm="1">
        <f t="array" ref="I147">_xlfn.IFS(W147=0,0,W147&gt;0,(LOG(0.01*W147/10^-AK147)))</f>
        <v>8.4817088318086888</v>
      </c>
      <c r="J147" s="8" cm="1">
        <f t="array" ref="J147">_xlfn.IFS(X147=0,0,X147&gt;0,(LOG(0.01*X147/10^-AL147)))</f>
        <v>8.9071958979499755</v>
      </c>
      <c r="K147" s="8" cm="1">
        <f t="array" ref="K147">_xlfn.IFS(Y147=0,0,Y147&gt;0,(LOG(0.01*Y147/10^-AM147)))</f>
        <v>7.9245477526602865</v>
      </c>
      <c r="L147" s="8" cm="1">
        <f t="array" ref="L147">_xlfn.IFS(Z147=0,0,Z147&gt;0,(LOG(0.01*Z147/10^-AN147)))</f>
        <v>7.9245477526602865</v>
      </c>
      <c r="M147" s="8" cm="1">
        <f t="array" ref="M147">_xlfn.IFS(AA147=0,0,AA147&gt;0,(LOG(0.01*AA147/10^-AO147)))</f>
        <v>7.9591660843645338</v>
      </c>
      <c r="N147" s="8" cm="1">
        <f t="array" ref="N147">_xlfn.IFS(AB147=0,0,AB147&gt;0,(LOG(0.01*AB147/10^-AP147)))</f>
        <v>8.8613616938342723</v>
      </c>
      <c r="O147" s="8" cm="1">
        <f t="array" ref="O147">_xlfn.IFS(AC147=0,0,AC147&gt;0,(LOG(0.01*AC147/10^-AQ147)))</f>
        <v>8.8613616938342723</v>
      </c>
      <c r="P147" s="8" cm="1">
        <f t="array" ref="P147">_xlfn.IFS(AD147=0,0,AD147&gt;0,(LOG(0.01*AD147/10^-AR147)))</f>
        <v>8.7823979978989577</v>
      </c>
      <c r="Q147" s="8" cm="1">
        <f t="array" ref="Q147">_xlfn.IFS(AE147=0,0,AE147&gt;0,(LOG(0.01*AE147/10^-AS147)))</f>
        <v>8.6540312677277189</v>
      </c>
      <c r="R147" s="8" cm="1">
        <f t="array" ref="R147">_xlfn.IFS(AF147=0,0,AF147&gt;0,(LOG(0.01*AF147/10^-AT147)))</f>
        <v>8.2574917998372257</v>
      </c>
      <c r="S147" s="8" cm="1">
        <f t="array" ref="S147">_xlfn.IFS(AG147=0,0,AG147&gt;0,(LOG(0.01*AG147/10^-AU147)))</f>
        <v>7.3002112417116072</v>
      </c>
      <c r="T147" s="16">
        <v>21.2</v>
      </c>
      <c r="U147" s="17">
        <v>19.7</v>
      </c>
      <c r="V147" s="17">
        <v>37.299999999999997</v>
      </c>
      <c r="W147" s="17">
        <v>37.299999999999997</v>
      </c>
      <c r="X147" s="17">
        <v>32.9</v>
      </c>
      <c r="Y147" s="17">
        <v>32.700000000000003</v>
      </c>
      <c r="Z147" s="17">
        <v>32.700000000000003</v>
      </c>
      <c r="AA147" s="17">
        <v>24.5</v>
      </c>
      <c r="AB147" s="17">
        <v>31</v>
      </c>
      <c r="AC147" s="17">
        <v>31</v>
      </c>
      <c r="AD147" s="17">
        <v>29</v>
      </c>
      <c r="AE147" s="17">
        <v>37.5</v>
      </c>
      <c r="AF147" s="17">
        <v>37.799999999999997</v>
      </c>
      <c r="AG147" s="17">
        <v>24</v>
      </c>
      <c r="AH147" s="14">
        <v>7.86</v>
      </c>
      <c r="AI147" s="15">
        <v>7.86</v>
      </c>
      <c r="AJ147" s="15">
        <v>8.91</v>
      </c>
      <c r="AK147" s="15">
        <v>8.91</v>
      </c>
      <c r="AL147" s="15">
        <v>9.39</v>
      </c>
      <c r="AM147" s="15">
        <v>8.41</v>
      </c>
      <c r="AN147" s="15">
        <v>8.41</v>
      </c>
      <c r="AO147" s="15">
        <v>8.57</v>
      </c>
      <c r="AP147" s="15">
        <v>9.3699999999999992</v>
      </c>
      <c r="AQ147" s="15">
        <v>9.3699999999999992</v>
      </c>
      <c r="AR147" s="15">
        <v>9.32</v>
      </c>
      <c r="AS147" s="15">
        <v>9.08</v>
      </c>
      <c r="AT147" s="15">
        <v>8.68</v>
      </c>
      <c r="AU147" s="15">
        <v>7.92</v>
      </c>
      <c r="AW147" s="186" t="str">
        <f>IF(VLOOKUP($A147,'I-Ligands'!$A:$G,3,FALSE)="","",VLOOKUP($A147,'I-Ligands'!$A:$G,3,FALSE))</f>
        <v>Neuromedin-U25</v>
      </c>
      <c r="AX147" s="187" t="str">
        <f>IF(VLOOKUP($A147,'I-Ligands'!$A:$G,4,FALSE)="","",VLOOKUP($A147,'I-Ligands'!$A:$G,4,FALSE))</f>
        <v>FRVDEEFQSPFASQSRGYFLFRPRN-NH2</v>
      </c>
      <c r="AY147" s="98">
        <v>3.18</v>
      </c>
      <c r="AZ147" s="99">
        <v>1.73</v>
      </c>
      <c r="BA147" s="99">
        <v>3.51</v>
      </c>
      <c r="BB147" s="99">
        <v>3.51</v>
      </c>
      <c r="BC147" s="99">
        <v>3.48</v>
      </c>
      <c r="BD147" s="99">
        <v>2.36</v>
      </c>
      <c r="BE147" s="99">
        <v>2.36</v>
      </c>
      <c r="BF147" s="99">
        <v>2.2999999999999998</v>
      </c>
      <c r="BG147" s="99">
        <v>4.83</v>
      </c>
      <c r="BH147" s="99">
        <v>4.83</v>
      </c>
      <c r="BI147" s="99">
        <v>2.59</v>
      </c>
      <c r="BJ147" s="99">
        <v>3.82</v>
      </c>
      <c r="BK147" s="99">
        <v>1.75</v>
      </c>
      <c r="BL147" s="99">
        <v>3.06</v>
      </c>
      <c r="BM147" s="98">
        <f t="shared" si="56"/>
        <v>6.6666666666666661</v>
      </c>
      <c r="BN147" s="99">
        <f t="shared" si="57"/>
        <v>11.38728323699422</v>
      </c>
      <c r="BO147" s="99">
        <f t="shared" si="58"/>
        <v>10.626780626780626</v>
      </c>
      <c r="BP147" s="99">
        <f t="shared" si="59"/>
        <v>10.626780626780626</v>
      </c>
      <c r="BQ147" s="99">
        <f t="shared" si="60"/>
        <v>9.4540229885057467</v>
      </c>
      <c r="BR147" s="99">
        <f t="shared" si="61"/>
        <v>13.855932203389832</v>
      </c>
      <c r="BS147" s="99">
        <f t="shared" si="62"/>
        <v>13.855932203389832</v>
      </c>
      <c r="BT147" s="99">
        <f t="shared" si="63"/>
        <v>10.652173913043478</v>
      </c>
      <c r="BU147" s="99">
        <f t="shared" si="64"/>
        <v>6.4182194616977224</v>
      </c>
      <c r="BV147" s="99">
        <f t="shared" si="65"/>
        <v>6.4182194616977224</v>
      </c>
      <c r="BW147" s="99">
        <f t="shared" si="66"/>
        <v>11.196911196911197</v>
      </c>
      <c r="BX147" s="99">
        <f t="shared" si="67"/>
        <v>9.8167539267015709</v>
      </c>
      <c r="BY147" s="99">
        <f t="shared" si="68"/>
        <v>21.599999999999998</v>
      </c>
      <c r="BZ147" s="99">
        <f t="shared" si="69"/>
        <v>7.8431372549019605</v>
      </c>
      <c r="CA147" s="18" t="e">
        <f>VLOOKUP(A147,'Bouvier-GEMTA'!A:C,4,FALSE)</f>
        <v>#N/A</v>
      </c>
      <c r="CB147" s="18" t="e">
        <f>VLOOKUP(A147,'Martemyanov-FreeGβγ-Nluc'!A:BG,4,FALSE)</f>
        <v>#N/A</v>
      </c>
      <c r="CC147" s="18" t="s">
        <v>5167</v>
      </c>
    </row>
    <row r="148" spans="1:81" ht="18">
      <c r="A148" s="12" t="s">
        <v>225</v>
      </c>
      <c r="B148" s="13" t="s">
        <v>2668</v>
      </c>
      <c r="C148" s="9" t="str">
        <f>IF(VLOOKUP($A148,'I-Ligands'!$A:$G,5,FALSE)="","",VLOOKUP($A148,'I-Ligands'!$A:$G,5,FALSE))</f>
        <v>Guide to Pharmacology</v>
      </c>
      <c r="D148" s="9">
        <f>IF(VLOOKUP($A148,'I-Ligands'!$A:$G,6,FALSE)="","",VLOOKUP($A148,'I-Ligands'!$A:$G,6,FALSE))</f>
        <v>2139</v>
      </c>
      <c r="E148" s="9" t="str">
        <f>IF(VLOOKUP($A148,'I-Ligands'!$A:$G,7,FALSE)="","",VLOOKUP($A148,'I-Ligands'!$A:$G,7,FALSE))</f>
        <v>Phys</v>
      </c>
      <c r="F148" s="7" cm="1">
        <f t="array" ref="F148">_xlfn.IFS(T148=0,0,T148&gt;0,(LOG(0.01*T148/10^-AH148)))</f>
        <v>7.9924572921847252</v>
      </c>
      <c r="G148" s="8" cm="1">
        <f t="array" ref="G148">_xlfn.IFS(U148=0,0,U148&gt;0,(LOG(0.01*U148/10^-AI148)))</f>
        <v>7.9397835966168113</v>
      </c>
      <c r="H148" s="8" cm="1">
        <f t="array" ref="H148">_xlfn.IFS(V148=0,0,V148&gt;0,(LOG(0.01*V148/10^-AJ148)))</f>
        <v>7.9965584425715317</v>
      </c>
      <c r="I148" s="8" cm="1">
        <f t="array" ref="I148">_xlfn.IFS(W148=0,0,W148&gt;0,(LOG(0.01*W148/10^-AK148)))</f>
        <v>7.9965584425715317</v>
      </c>
      <c r="J148" s="8" cm="1">
        <f t="array" ref="J148">_xlfn.IFS(X148=0,0,X148&gt;0,(LOG(0.01*X148/10^-AL148)))</f>
        <v>8.4563413502057951</v>
      </c>
      <c r="K148" s="8" cm="1">
        <f t="array" ref="K148">_xlfn.IFS(Y148=0,0,Y148&gt;0,(LOG(0.01*Y148/10^-AM148)))</f>
        <v>7.4496870826184045</v>
      </c>
      <c r="L148" s="8" cm="1">
        <f t="array" ref="L148">_xlfn.IFS(Z148=0,0,Z148&gt;0,(LOG(0.01*Z148/10^-AN148)))</f>
        <v>7.4496870826184045</v>
      </c>
      <c r="M148" s="8" cm="1">
        <f t="array" ref="M148">_xlfn.IFS(AA148=0,0,AA148&gt;0,(LOG(0.01*AA148/10^-AO148)))</f>
        <v>6.7748178230095375</v>
      </c>
      <c r="N148" s="8" cm="1">
        <f t="array" ref="N148">_xlfn.IFS(AB148=0,0,AB148&gt;0,(LOG(0.01*AB148/10^-AP148)))</f>
        <v>9.5765179805548808</v>
      </c>
      <c r="O148" s="8" cm="1">
        <f t="array" ref="O148">_xlfn.IFS(AC148=0,0,AC148&gt;0,(LOG(0.01*AC148/10^-AQ148)))</f>
        <v>9.5765179805548808</v>
      </c>
      <c r="P148" s="8" cm="1">
        <f t="array" ref="P148">_xlfn.IFS(AD148=0,0,AD148&gt;0,(LOG(0.01*AD148/10^-AR148)))</f>
        <v>9.7522140229662959</v>
      </c>
      <c r="Q148" s="8" cm="1">
        <f t="array" ref="Q148">_xlfn.IFS(AE148=0,0,AE148&gt;0,(LOG(0.01*AE148/10^-AS148)))</f>
        <v>7.2048816366310691</v>
      </c>
      <c r="R148" s="8" cm="1">
        <f t="array" ref="R148">_xlfn.IFS(AF148=0,0,AF148&gt;0,(LOG(0.01*AF148/10^-AT148)))</f>
        <v>6.7814005407815445</v>
      </c>
      <c r="S148" s="8" cm="1">
        <f t="array" ref="S148">_xlfn.IFS(AG148=0,0,AG148&gt;0,(LOG(0.01*AG148/10^-AU148)))</f>
        <v>7.1756042032735996</v>
      </c>
      <c r="T148" s="16">
        <v>42.9</v>
      </c>
      <c r="U148" s="17">
        <v>38</v>
      </c>
      <c r="V148" s="17">
        <v>34.4</v>
      </c>
      <c r="W148" s="17">
        <v>34.4</v>
      </c>
      <c r="X148" s="17">
        <v>37.700000000000003</v>
      </c>
      <c r="Y148" s="17">
        <v>31.6</v>
      </c>
      <c r="Z148" s="17">
        <v>31.6</v>
      </c>
      <c r="AA148" s="17">
        <v>18.399999999999999</v>
      </c>
      <c r="AB148" s="17">
        <v>46.4</v>
      </c>
      <c r="AC148" s="17">
        <v>46.4</v>
      </c>
      <c r="AD148" s="17">
        <v>41.9</v>
      </c>
      <c r="AE148" s="17">
        <v>26.6</v>
      </c>
      <c r="AF148" s="17">
        <v>25.2</v>
      </c>
      <c r="AG148" s="17">
        <v>27.9</v>
      </c>
      <c r="AH148" s="14">
        <v>8.36</v>
      </c>
      <c r="AI148" s="15">
        <v>8.36</v>
      </c>
      <c r="AJ148" s="15">
        <v>8.4600000000000009</v>
      </c>
      <c r="AK148" s="15">
        <v>8.4600000000000009</v>
      </c>
      <c r="AL148" s="15">
        <v>8.8800000000000008</v>
      </c>
      <c r="AM148" s="15">
        <v>7.95</v>
      </c>
      <c r="AN148" s="15">
        <v>7.95</v>
      </c>
      <c r="AO148" s="15">
        <v>7.51</v>
      </c>
      <c r="AP148" s="15">
        <v>9.91</v>
      </c>
      <c r="AQ148" s="15">
        <v>9.91</v>
      </c>
      <c r="AR148" s="15">
        <v>10.130000000000001</v>
      </c>
      <c r="AS148" s="15">
        <v>7.78</v>
      </c>
      <c r="AT148" s="15">
        <v>7.38</v>
      </c>
      <c r="AU148" s="15">
        <v>7.73</v>
      </c>
      <c r="AW148" s="186" t="str">
        <f>IF(VLOOKUP($A148,'I-Ligands'!$A:$G,3,FALSE)="","",VLOOKUP($A148,'I-Ligands'!$A:$G,3,FALSE))</f>
        <v>TRH</v>
      </c>
      <c r="AX148" s="187" t="str">
        <f>IF(VLOOKUP($A148,'I-Ligands'!$A:$G,4,FALSE)="","",VLOOKUP($A148,'I-Ligands'!$A:$G,4,FALSE))</f>
        <v>Thyrotropin releasing hormone</v>
      </c>
      <c r="AY148" s="98">
        <v>5.49</v>
      </c>
      <c r="AZ148" s="99">
        <v>7.26</v>
      </c>
      <c r="BA148" s="99">
        <v>13.73</v>
      </c>
      <c r="BB148" s="99">
        <v>13.73</v>
      </c>
      <c r="BC148" s="99">
        <v>7.89</v>
      </c>
      <c r="BD148" s="99">
        <v>7.07</v>
      </c>
      <c r="BE148" s="99">
        <v>7.07</v>
      </c>
      <c r="BF148" s="99">
        <v>8.65</v>
      </c>
      <c r="BG148" s="99">
        <v>7.81</v>
      </c>
      <c r="BH148" s="99">
        <v>7.81</v>
      </c>
      <c r="BI148" s="99">
        <v>8.25</v>
      </c>
      <c r="BJ148" s="99">
        <v>2.11</v>
      </c>
      <c r="BK148" s="99">
        <v>8.7200000000000006</v>
      </c>
      <c r="BL148" s="99">
        <v>9.64</v>
      </c>
      <c r="BM148" s="98">
        <f t="shared" si="56"/>
        <v>7.8142076502732234</v>
      </c>
      <c r="BN148" s="99">
        <f t="shared" si="57"/>
        <v>5.2341597796143251</v>
      </c>
      <c r="BO148" s="99">
        <f t="shared" si="58"/>
        <v>2.5054624908958485</v>
      </c>
      <c r="BP148" s="99">
        <f t="shared" si="59"/>
        <v>2.5054624908958485</v>
      </c>
      <c r="BQ148" s="99">
        <f t="shared" si="60"/>
        <v>4.7782002534854255</v>
      </c>
      <c r="BR148" s="99">
        <f t="shared" si="61"/>
        <v>4.4695898161244694</v>
      </c>
      <c r="BS148" s="99">
        <f t="shared" si="62"/>
        <v>4.4695898161244694</v>
      </c>
      <c r="BT148" s="99">
        <f t="shared" si="63"/>
        <v>2.1271676300578033</v>
      </c>
      <c r="BU148" s="99">
        <f t="shared" si="64"/>
        <v>5.9411011523687582</v>
      </c>
      <c r="BV148" s="99">
        <f t="shared" si="65"/>
        <v>5.9411011523687582</v>
      </c>
      <c r="BW148" s="99">
        <f t="shared" si="66"/>
        <v>5.0787878787878782</v>
      </c>
      <c r="BX148" s="99">
        <f t="shared" si="67"/>
        <v>12.606635071090048</v>
      </c>
      <c r="BY148" s="99">
        <f t="shared" si="68"/>
        <v>2.8899082568807337</v>
      </c>
      <c r="BZ148" s="99">
        <f t="shared" si="69"/>
        <v>2.8941908713692941</v>
      </c>
      <c r="CA148" s="18" t="e">
        <f>VLOOKUP(A148,'Bouvier-GEMTA'!A:C,4,FALSE)</f>
        <v>#N/A</v>
      </c>
      <c r="CB148" s="18" t="e">
        <f>VLOOKUP(A148,'Martemyanov-FreeGβγ-Nluc'!A:BG,4,FALSE)</f>
        <v>#N/A</v>
      </c>
      <c r="CC148" s="18" t="s">
        <v>5167</v>
      </c>
    </row>
    <row r="149" spans="1:81">
      <c r="A149" s="12" t="s">
        <v>171</v>
      </c>
      <c r="B149" s="13" t="s">
        <v>1743</v>
      </c>
      <c r="C149" s="9" t="str">
        <f>IF(VLOOKUP($A149,'I-Ligands'!$A:$G,5,FALSE)="","",VLOOKUP($A149,'I-Ligands'!$A:$G,5,FALSE))</f>
        <v>Guide to Pharmacology</v>
      </c>
      <c r="D149" s="9">
        <f>IF(VLOOKUP($A149,'I-Ligands'!$A:$G,6,FALSE)="","",VLOOKUP($A149,'I-Ligands'!$A:$G,6,FALSE))</f>
        <v>1458</v>
      </c>
      <c r="E149" s="9" t="str">
        <f>IF(VLOOKUP($A149,'I-Ligands'!$A:$G,7,FALSE)="","",VLOOKUP($A149,'I-Ligands'!$A:$G,7,FALSE))</f>
        <v>Phys</v>
      </c>
      <c r="F149" s="7" cm="1">
        <f t="array" ref="F149">_xlfn.IFS(T149=0,0,T149&gt;0,(LOG(0.01*T149/10^-AH149)))</f>
        <v>8.503746466811565</v>
      </c>
      <c r="G149" s="8" cm="1">
        <f t="array" ref="G149">_xlfn.IFS(U149=0,0,U149&gt;0,(LOG(0.01*U149/10^-AI149)))</f>
        <v>8.4357214264815799</v>
      </c>
      <c r="H149" s="8" cm="1">
        <f t="array" ref="H149">_xlfn.IFS(V149=0,0,V149&gt;0,(LOG(0.01*V149/10^-AJ149)))</f>
        <v>8.8746660642520911</v>
      </c>
      <c r="I149" s="8" cm="1">
        <f t="array" ref="I149">_xlfn.IFS(W149=0,0,W149&gt;0,(LOG(0.01*W149/10^-AK149)))</f>
        <v>8.8746660642520911</v>
      </c>
      <c r="J149" s="8" cm="1">
        <f t="array" ref="J149">_xlfn.IFS(X149=0,0,X149&gt;0,(LOG(0.01*X149/10^-AL149)))</f>
        <v>9.2863413502057952</v>
      </c>
      <c r="K149" s="8" cm="1">
        <f t="array" ref="K149">_xlfn.IFS(Y149=0,0,Y149&gt;0,(LOG(0.01*Y149/10^-AM149)))</f>
        <v>8.4517278360175929</v>
      </c>
      <c r="L149" s="8" cm="1">
        <f t="array" ref="L149">_xlfn.IFS(Z149=0,0,Z149&gt;0,(LOG(0.01*Z149/10^-AN149)))</f>
        <v>8.4517278360175929</v>
      </c>
      <c r="M149" s="8" cm="1">
        <f t="array" ref="M149">_xlfn.IFS(AA149=0,0,AA149&gt;0,(LOG(0.01*AA149/10^-AO149)))</f>
        <v>8.3866651902615317</v>
      </c>
      <c r="N149" s="8" cm="1">
        <f t="array" ref="N149">_xlfn.IFS(AB149=0,0,AB149&gt;0,(LOG(0.01*AB149/10^-AP149)))</f>
        <v>9.6860982020128326</v>
      </c>
      <c r="O149" s="8" cm="1">
        <f t="array" ref="O149">_xlfn.IFS(AC149=0,0,AC149&gt;0,(LOG(0.01*AC149/10^-AQ149)))</f>
        <v>9.6860982020128326</v>
      </c>
      <c r="P149" s="8" cm="1">
        <f t="array" ref="P149">_xlfn.IFS(AD149=0,0,AD149&gt;0,(LOG(0.01*AD149/10^-AR149)))</f>
        <v>9.1242260530844703</v>
      </c>
      <c r="Q149" s="8" cm="1">
        <f t="array" ref="Q149">_xlfn.IFS(AE149=0,0,AE149&gt;0,(LOG(0.01*AE149/10^-AS149)))</f>
        <v>8.036025857193124</v>
      </c>
      <c r="R149" s="8" cm="1">
        <f t="array" ref="R149">_xlfn.IFS(AF149=0,0,AF149&gt;0,(LOG(0.01*AF149/10^-AT149)))</f>
        <v>8.8124442335063193</v>
      </c>
      <c r="S149" s="8" cm="1">
        <f t="array" ref="S149">_xlfn.IFS(AG149=0,0,AG149&gt;0,(LOG(0.01*AG149/10^-AU149)))</f>
        <v>8.5326969532596681</v>
      </c>
      <c r="T149" s="16">
        <v>33.4</v>
      </c>
      <c r="U149" s="17">
        <v>30.6</v>
      </c>
      <c r="V149" s="17">
        <v>36.700000000000003</v>
      </c>
      <c r="W149" s="17">
        <v>36.700000000000003</v>
      </c>
      <c r="X149" s="17">
        <v>37.700000000000003</v>
      </c>
      <c r="Y149" s="17">
        <v>23</v>
      </c>
      <c r="Z149" s="17">
        <v>23</v>
      </c>
      <c r="AA149" s="17">
        <v>19.8</v>
      </c>
      <c r="AB149" s="17">
        <v>45.3</v>
      </c>
      <c r="AC149" s="17">
        <v>45.3</v>
      </c>
      <c r="AD149" s="17">
        <v>40.200000000000003</v>
      </c>
      <c r="AE149" s="17">
        <v>22.7</v>
      </c>
      <c r="AF149" s="17">
        <v>33.299999999999997</v>
      </c>
      <c r="AG149" s="17">
        <v>24.7</v>
      </c>
      <c r="AH149" s="14">
        <v>8.98</v>
      </c>
      <c r="AI149" s="15">
        <v>8.9499999999999993</v>
      </c>
      <c r="AJ149" s="15">
        <v>9.31</v>
      </c>
      <c r="AK149" s="15">
        <v>9.31</v>
      </c>
      <c r="AL149" s="15">
        <v>9.7100000000000009</v>
      </c>
      <c r="AM149" s="15">
        <v>9.09</v>
      </c>
      <c r="AN149" s="15">
        <v>9.09</v>
      </c>
      <c r="AO149" s="15">
        <v>9.09</v>
      </c>
      <c r="AP149" s="15">
        <v>10.029999999999999</v>
      </c>
      <c r="AQ149" s="15">
        <v>10.029999999999999</v>
      </c>
      <c r="AR149" s="15">
        <v>9.52</v>
      </c>
      <c r="AS149" s="15">
        <v>8.68</v>
      </c>
      <c r="AT149" s="15">
        <v>9.2899999999999991</v>
      </c>
      <c r="AU149" s="15">
        <v>9.14</v>
      </c>
      <c r="AW149" s="186" t="str">
        <f>IF(VLOOKUP($A149,'I-Ligands'!$A:$G,3,FALSE)="","",VLOOKUP($A149,'I-Ligands'!$A:$G,3,FALSE))</f>
        <v>Motilin</v>
      </c>
      <c r="AX149" s="187" t="str">
        <f>IF(VLOOKUP($A149,'I-Ligands'!$A:$G,4,FALSE)="","",VLOOKUP($A149,'I-Ligands'!$A:$G,4,FALSE))</f>
        <v>FVPIFTYGELQRMQEKERNKGQ</v>
      </c>
      <c r="AY149" s="98">
        <v>4.09</v>
      </c>
      <c r="AZ149" s="99">
        <v>2.2999999999999998</v>
      </c>
      <c r="BA149" s="99">
        <v>4.6900000000000004</v>
      </c>
      <c r="BB149" s="99">
        <v>4.6900000000000004</v>
      </c>
      <c r="BC149" s="99">
        <v>2.56</v>
      </c>
      <c r="BD149" s="99">
        <v>2.62</v>
      </c>
      <c r="BE149" s="99">
        <v>2.62</v>
      </c>
      <c r="BF149" s="99">
        <v>3.78</v>
      </c>
      <c r="BG149" s="99">
        <v>2.72</v>
      </c>
      <c r="BH149" s="99">
        <v>2.72</v>
      </c>
      <c r="BI149" s="99">
        <v>1.8</v>
      </c>
      <c r="BJ149" s="99">
        <v>2.41</v>
      </c>
      <c r="BK149" s="99">
        <v>1.3</v>
      </c>
      <c r="BL149" s="99">
        <v>2.29</v>
      </c>
      <c r="BM149" s="98">
        <f t="shared" si="56"/>
        <v>8.1662591687041566</v>
      </c>
      <c r="BN149" s="99">
        <f t="shared" si="57"/>
        <v>13.304347826086959</v>
      </c>
      <c r="BO149" s="99">
        <f t="shared" si="58"/>
        <v>7.8251599147121533</v>
      </c>
      <c r="BP149" s="99">
        <f t="shared" si="59"/>
        <v>7.8251599147121533</v>
      </c>
      <c r="BQ149" s="99">
        <f t="shared" si="60"/>
        <v>14.7265625</v>
      </c>
      <c r="BR149" s="99">
        <f t="shared" si="61"/>
        <v>8.778625954198473</v>
      </c>
      <c r="BS149" s="99">
        <f t="shared" si="62"/>
        <v>8.778625954198473</v>
      </c>
      <c r="BT149" s="99">
        <f t="shared" si="63"/>
        <v>5.2380952380952381</v>
      </c>
      <c r="BU149" s="99">
        <f t="shared" si="64"/>
        <v>16.65441176470588</v>
      </c>
      <c r="BV149" s="99">
        <f t="shared" si="65"/>
        <v>16.65441176470588</v>
      </c>
      <c r="BW149" s="99">
        <f t="shared" si="66"/>
        <v>22.333333333333336</v>
      </c>
      <c r="BX149" s="99">
        <f t="shared" si="67"/>
        <v>9.4190871369294591</v>
      </c>
      <c r="BY149" s="99">
        <f t="shared" si="68"/>
        <v>25.615384615384613</v>
      </c>
      <c r="BZ149" s="99">
        <f t="shared" si="69"/>
        <v>10.786026200873362</v>
      </c>
      <c r="CA149" s="18" t="e">
        <f>VLOOKUP(A149,'Bouvier-GEMTA'!A:C,4,FALSE)</f>
        <v>#N/A</v>
      </c>
      <c r="CB149" s="18" t="e">
        <f>VLOOKUP(A149,'Martemyanov-FreeGβγ-Nluc'!A:BG,4,FALSE)</f>
        <v>#N/A</v>
      </c>
      <c r="CC149" s="18" t="s">
        <v>5167</v>
      </c>
    </row>
    <row r="150" spans="1:81">
      <c r="A150" s="12" t="s">
        <v>226</v>
      </c>
      <c r="B150" s="13" t="s">
        <v>2536</v>
      </c>
      <c r="C150" s="9" t="str">
        <f>IF(VLOOKUP($A150,'I-Ligands'!$A:$G,5,FALSE)="","",VLOOKUP($A150,'I-Ligands'!$A:$G,5,FALSE))</f>
        <v>Guide to Pharmacology</v>
      </c>
      <c r="D150" s="9">
        <f>IF(VLOOKUP($A150,'I-Ligands'!$A:$G,6,FALSE)="","",VLOOKUP($A150,'I-Ligands'!$A:$G,6,FALSE))</f>
        <v>2153</v>
      </c>
      <c r="E150" s="9" t="str">
        <f>IF(VLOOKUP($A150,'I-Ligands'!$A:$G,7,FALSE)="","",VLOOKUP($A150,'I-Ligands'!$A:$G,7,FALSE))</f>
        <v>Phys</v>
      </c>
      <c r="F150" s="7" cm="1">
        <f t="array" ref="F150">_xlfn.IFS(T150=0,0,T150&gt;0,(LOG(0.01*T150/10^-AH150)))</f>
        <v>9.1312917110589407</v>
      </c>
      <c r="G150" s="8" cm="1">
        <f t="array" ref="G150">_xlfn.IFS(U150=0,0,U150&gt;0,(LOG(0.01*U150/10^-AI150)))</f>
        <v>9.09572142648158</v>
      </c>
      <c r="H150" s="8" cm="1">
        <f t="array" ref="H150">_xlfn.IFS(V150=0,0,V150&gt;0,(LOG(0.01*V150/10^-AJ150)))</f>
        <v>9.4855284469075496</v>
      </c>
      <c r="I150" s="8" cm="1">
        <f t="array" ref="I150">_xlfn.IFS(W150=0,0,W150&gt;0,(LOG(0.01*W150/10^-AK150)))</f>
        <v>9.4855284469075496</v>
      </c>
      <c r="J150" s="8" cm="1">
        <f t="array" ref="J150">_xlfn.IFS(X150=0,0,X150&gt;0,(LOG(0.01*X150/10^-AL150)))</f>
        <v>9.2393837776852124</v>
      </c>
      <c r="K150" s="8" cm="1">
        <f t="array" ref="K150">_xlfn.IFS(Y150=0,0,Y150&gt;0,(LOG(0.01*Y150/10^-AM150)))</f>
        <v>9.2192191126553809</v>
      </c>
      <c r="L150" s="8" cm="1">
        <f t="array" ref="L150">_xlfn.IFS(Z150=0,0,Z150&gt;0,(LOG(0.01*Z150/10^-AN150)))</f>
        <v>9.2192191126553809</v>
      </c>
      <c r="M150" s="8" cm="1">
        <f t="array" ref="M150">_xlfn.IFS(AA150=0,0,AA150&gt;0,(LOG(0.01*AA150/10^-AO150)))</f>
        <v>9.3118416065364986</v>
      </c>
      <c r="N150" s="8" cm="1">
        <f t="array" ref="N150">_xlfn.IFS(AB150=0,0,AB150&gt;0,(LOG(0.01*AB150/10^-AP150)))</f>
        <v>9.1753229787866584</v>
      </c>
      <c r="O150" s="8" cm="1">
        <f t="array" ref="O150">_xlfn.IFS(AC150=0,0,AC150&gt;0,(LOG(0.01*AC150/10^-AQ150)))</f>
        <v>9.1753229787866584</v>
      </c>
      <c r="P150" s="8" cm="1">
        <f t="array" ref="P150">_xlfn.IFS(AD150=0,0,AD150&gt;0,(LOG(0.01*AD150/10^-AR150)))</f>
        <v>9.2202617153949582</v>
      </c>
      <c r="Q150" s="8" cm="1">
        <f t="array" ref="Q150">_xlfn.IFS(AE150=0,0,AE150&gt;0,(LOG(0.01*AE150/10^-AS150)))</f>
        <v>8.6017538610557551</v>
      </c>
      <c r="R150" s="8" cm="1">
        <f t="array" ref="R150">_xlfn.IFS(AF150=0,0,AF150&gt;0,(LOG(0.01*AF150/10^-AT150)))</f>
        <v>9.1783105537896006</v>
      </c>
      <c r="S150" s="8" cm="1">
        <f t="array" ref="S150">_xlfn.IFS(AG150=0,0,AG150&gt;0,(LOG(0.01*AG150/10^-AU150)))</f>
        <v>8.4678867046136759</v>
      </c>
      <c r="T150" s="16">
        <v>29.6</v>
      </c>
      <c r="U150" s="17">
        <v>30.6</v>
      </c>
      <c r="V150" s="17">
        <v>17.2</v>
      </c>
      <c r="W150" s="17">
        <v>17.2</v>
      </c>
      <c r="X150" s="17">
        <v>10.7</v>
      </c>
      <c r="Y150" s="17">
        <v>14.1</v>
      </c>
      <c r="Z150" s="17">
        <v>14.1</v>
      </c>
      <c r="AA150" s="17">
        <v>18.7</v>
      </c>
      <c r="AB150" s="17">
        <v>11.1</v>
      </c>
      <c r="AC150" s="17">
        <v>11.1</v>
      </c>
      <c r="AD150" s="17">
        <v>14.8</v>
      </c>
      <c r="AE150" s="17">
        <v>20.5</v>
      </c>
      <c r="AF150" s="17">
        <v>31.5</v>
      </c>
      <c r="AG150" s="17">
        <v>16.899999999999999</v>
      </c>
      <c r="AH150" s="14">
        <v>9.66</v>
      </c>
      <c r="AI150" s="15">
        <v>9.61</v>
      </c>
      <c r="AJ150" s="15">
        <v>10.25</v>
      </c>
      <c r="AK150" s="15">
        <v>10.25</v>
      </c>
      <c r="AL150" s="15">
        <v>10.210000000000001</v>
      </c>
      <c r="AM150" s="15">
        <v>10.07</v>
      </c>
      <c r="AN150" s="15">
        <v>10.07</v>
      </c>
      <c r="AO150" s="15">
        <v>10.039999999999999</v>
      </c>
      <c r="AP150" s="15">
        <v>10.130000000000001</v>
      </c>
      <c r="AQ150" s="15">
        <v>10.130000000000001</v>
      </c>
      <c r="AR150" s="15">
        <v>10.050000000000001</v>
      </c>
      <c r="AS150" s="15">
        <v>9.2899999999999991</v>
      </c>
      <c r="AT150" s="15">
        <v>9.68</v>
      </c>
      <c r="AU150" s="15">
        <v>9.24</v>
      </c>
      <c r="AW150" s="186" t="str">
        <f>IF(VLOOKUP($A150,'I-Ligands'!$A:$G,3,FALSE)="","",VLOOKUP($A150,'I-Ligands'!$A:$G,3,FALSE))</f>
        <v>Urotensin II</v>
      </c>
      <c r="AX150" s="187" t="str">
        <f>IF(VLOOKUP($A150,'I-Ligands'!$A:$G,4,FALSE)="","",VLOOKUP($A150,'I-Ligands'!$A:$G,4,FALSE))</f>
        <v>ETPDCFWKYCV</v>
      </c>
      <c r="AY150" s="98">
        <v>3.69</v>
      </c>
      <c r="AZ150" s="99">
        <v>5.23</v>
      </c>
      <c r="BA150" s="99">
        <v>6.21</v>
      </c>
      <c r="BB150" s="99">
        <v>6.21</v>
      </c>
      <c r="BC150" s="99">
        <v>5.24</v>
      </c>
      <c r="BD150" s="99">
        <v>6.41</v>
      </c>
      <c r="BE150" s="99">
        <v>6.41</v>
      </c>
      <c r="BF150" s="99">
        <v>4.72</v>
      </c>
      <c r="BG150" s="99">
        <v>6.81</v>
      </c>
      <c r="BH150" s="99">
        <v>6.81</v>
      </c>
      <c r="BI150" s="99">
        <v>5.56</v>
      </c>
      <c r="BJ150" s="99">
        <v>3.78</v>
      </c>
      <c r="BK150" s="99">
        <v>3.53</v>
      </c>
      <c r="BL150" s="99">
        <v>1.91</v>
      </c>
      <c r="BM150" s="98">
        <f t="shared" si="56"/>
        <v>8.021680216802169</v>
      </c>
      <c r="BN150" s="99">
        <f t="shared" si="57"/>
        <v>5.8508604206500952</v>
      </c>
      <c r="BO150" s="99">
        <f t="shared" si="58"/>
        <v>2.7697262479871174</v>
      </c>
      <c r="BP150" s="99">
        <f t="shared" si="59"/>
        <v>2.7697262479871174</v>
      </c>
      <c r="BQ150" s="99">
        <f t="shared" si="60"/>
        <v>2.0419847328244272</v>
      </c>
      <c r="BR150" s="99">
        <f t="shared" si="61"/>
        <v>2.1996879875195008</v>
      </c>
      <c r="BS150" s="99">
        <f t="shared" si="62"/>
        <v>2.1996879875195008</v>
      </c>
      <c r="BT150" s="99">
        <f t="shared" si="63"/>
        <v>3.9618644067796609</v>
      </c>
      <c r="BU150" s="99">
        <f t="shared" si="64"/>
        <v>1.6299559471365639</v>
      </c>
      <c r="BV150" s="99">
        <f t="shared" si="65"/>
        <v>1.6299559471365639</v>
      </c>
      <c r="BW150" s="99">
        <f t="shared" si="66"/>
        <v>2.6618705035971226</v>
      </c>
      <c r="BX150" s="99">
        <f t="shared" si="67"/>
        <v>5.4232804232804233</v>
      </c>
      <c r="BY150" s="99">
        <f t="shared" si="68"/>
        <v>8.9235127478753551</v>
      </c>
      <c r="BZ150" s="99">
        <f t="shared" si="69"/>
        <v>8.8481675392670152</v>
      </c>
      <c r="CA150" s="18" t="e">
        <f>VLOOKUP(A150,'Bouvier-GEMTA'!A:C,4,FALSE)</f>
        <v>#N/A</v>
      </c>
      <c r="CB150" s="18" t="e">
        <f>VLOOKUP(A150,'Martemyanov-FreeGβγ-Nluc'!A:BG,4,FALSE)</f>
        <v>#N/A</v>
      </c>
      <c r="CC150" s="18" t="s">
        <v>5167</v>
      </c>
    </row>
    <row r="151" spans="1:81" ht="18">
      <c r="A151" s="12" t="s">
        <v>51</v>
      </c>
      <c r="B151" s="13" t="s">
        <v>2645</v>
      </c>
      <c r="C151" s="9" t="str">
        <f>IF(VLOOKUP($A151,'I-Ligands'!$A:$G,5,FALSE)="","",VLOOKUP($A151,'I-Ligands'!$A:$G,5,FALSE))</f>
        <v>Guide to Pharmacology</v>
      </c>
      <c r="D151" s="9">
        <f>IF(VLOOKUP($A151,'I-Ligands'!$A:$G,6,FALSE)="","",VLOOKUP($A151,'I-Ligands'!$A:$G,6,FALSE))</f>
        <v>613</v>
      </c>
      <c r="E151" s="9" t="str">
        <f>IF(VLOOKUP($A151,'I-Ligands'!$A:$G,7,FALSE)="","",VLOOKUP($A151,'I-Ligands'!$A:$G,7,FALSE))</f>
        <v>Phys</v>
      </c>
      <c r="F151" s="7" cm="1">
        <f t="array" ref="F151">_xlfn.IFS(T151=0,0,T151&gt;0,(LOG(0.01*T151/10^-AH151)))</f>
        <v>9.4952941200427716</v>
      </c>
      <c r="G151" s="8" cm="1">
        <f t="array" ref="G151">_xlfn.IFS(U151=0,0,U151&gt;0,(LOG(0.01*U151/10^-AI151)))</f>
        <v>9.5614789170422547</v>
      </c>
      <c r="H151" s="8" cm="1">
        <f t="array" ref="H151">_xlfn.IFS(V151=0,0,V151&gt;0,(LOG(0.01*V151/10^-AJ151)))</f>
        <v>9.7128254269591814</v>
      </c>
      <c r="I151" s="8" cm="1">
        <f t="array" ref="I151">_xlfn.IFS(W151=0,0,W151&gt;0,(LOG(0.01*W151/10^-AK151)))</f>
        <v>9.7128254269591814</v>
      </c>
      <c r="J151" s="8" cm="1">
        <f t="array" ref="J151">_xlfn.IFS(X151=0,0,X151&gt;0,(LOG(0.01*X151/10^-AL151)))</f>
        <v>9.9740680443502754</v>
      </c>
      <c r="K151" s="8" cm="1">
        <f t="array" ref="K151">_xlfn.IFS(Y151=0,0,Y151&gt;0,(LOG(0.01*Y151/10^-AM151)))</f>
        <v>9.5468676203541101</v>
      </c>
      <c r="L151" s="8" cm="1">
        <f t="array" ref="L151">_xlfn.IFS(Z151=0,0,Z151&gt;0,(LOG(0.01*Z151/10^-AN151)))</f>
        <v>9.5468676203541101</v>
      </c>
      <c r="M151" s="8" cm="1">
        <f t="array" ref="M151">_xlfn.IFS(AA151=0,0,AA151&gt;0,(LOG(0.01*AA151/10^-AO151)))</f>
        <v>9.7483048630481619</v>
      </c>
      <c r="N151" s="8" cm="1">
        <f t="array" ref="N151">_xlfn.IFS(AB151=0,0,AB151&gt;0,(LOG(0.01*AB151/10^-AP151)))</f>
        <v>10.423198773968624</v>
      </c>
      <c r="O151" s="8" cm="1">
        <f t="array" ref="O151">_xlfn.IFS(AC151=0,0,AC151&gt;0,(LOG(0.01*AC151/10^-AQ151)))</f>
        <v>10.423198773968624</v>
      </c>
      <c r="P151" s="8" cm="1">
        <f t="array" ref="P151">_xlfn.IFS(AD151=0,0,AD151&gt;0,(LOG(0.01*AD151/10^-AR151)))</f>
        <v>10.234547752660287</v>
      </c>
      <c r="Q151" s="8" cm="1">
        <f t="array" ref="Q151">_xlfn.IFS(AE151=0,0,AE151&gt;0,(LOG(0.01*AE151/10^-AS151)))</f>
        <v>7.8322712330395685</v>
      </c>
      <c r="R151" s="8" cm="1">
        <f t="array" ref="R151">_xlfn.IFS(AF151=0,0,AF151&gt;0,(LOG(0.01*AF151/10^-AT151)))</f>
        <v>9.5285507165004439</v>
      </c>
      <c r="S151" s="8" cm="1">
        <f t="array" ref="S151">_xlfn.IFS(AG151=0,0,AG151&gt;0,(LOG(0.01*AG151/10^-AU151)))</f>
        <v>9.9924442335063208</v>
      </c>
      <c r="T151" s="16">
        <v>34.299999999999997</v>
      </c>
      <c r="U151" s="17">
        <v>34</v>
      </c>
      <c r="V151" s="17">
        <v>34.9</v>
      </c>
      <c r="W151" s="17">
        <v>34.9</v>
      </c>
      <c r="X151" s="17">
        <v>35</v>
      </c>
      <c r="Y151" s="17">
        <v>29.3</v>
      </c>
      <c r="Z151" s="17">
        <v>29.3</v>
      </c>
      <c r="AA151" s="17">
        <v>22.3</v>
      </c>
      <c r="AB151" s="17">
        <v>38.299999999999997</v>
      </c>
      <c r="AC151" s="17">
        <v>38.299999999999997</v>
      </c>
      <c r="AD151" s="17">
        <v>32.700000000000003</v>
      </c>
      <c r="AE151" s="17">
        <v>9.6</v>
      </c>
      <c r="AF151" s="17">
        <v>30.8</v>
      </c>
      <c r="AG151" s="17">
        <v>33.299999999999997</v>
      </c>
      <c r="AH151" s="14">
        <v>9.9600000000000009</v>
      </c>
      <c r="AI151" s="15">
        <v>10.029999999999999</v>
      </c>
      <c r="AJ151" s="15">
        <v>10.17</v>
      </c>
      <c r="AK151" s="15">
        <v>10.17</v>
      </c>
      <c r="AL151" s="15">
        <v>10.43</v>
      </c>
      <c r="AM151" s="15">
        <v>10.08</v>
      </c>
      <c r="AN151" s="15">
        <v>10.08</v>
      </c>
      <c r="AO151" s="15">
        <v>10.4</v>
      </c>
      <c r="AP151" s="15">
        <v>10.84</v>
      </c>
      <c r="AQ151" s="15">
        <v>10.84</v>
      </c>
      <c r="AR151" s="15">
        <v>10.72</v>
      </c>
      <c r="AS151" s="15">
        <v>8.85</v>
      </c>
      <c r="AT151" s="15">
        <v>10.039999999999999</v>
      </c>
      <c r="AU151" s="15">
        <v>10.47</v>
      </c>
      <c r="AW151" s="186" t="str">
        <f>IF(VLOOKUP($A151,'I-Ligands'!$A:$G,3,FALSE)="","",VLOOKUP($A151,'I-Ligands'!$A:$G,3,FALSE))</f>
        <v>Neuromedin B</v>
      </c>
      <c r="AX151" s="187" t="str">
        <f>IF(VLOOKUP($A151,'I-Ligands'!$A:$G,4,FALSE)="","",VLOOKUP($A151,'I-Ligands'!$A:$G,4,FALSE))</f>
        <v>GNLWATGHFM-NH2</v>
      </c>
      <c r="AY151" s="98">
        <v>3.61</v>
      </c>
      <c r="AZ151" s="99">
        <v>3.66</v>
      </c>
      <c r="BA151" s="99">
        <v>3.17</v>
      </c>
      <c r="BB151" s="99">
        <v>3.17</v>
      </c>
      <c r="BC151" s="99">
        <v>2.99</v>
      </c>
      <c r="BD151" s="99">
        <v>4.84</v>
      </c>
      <c r="BE151" s="99">
        <v>4.84</v>
      </c>
      <c r="BF151" s="99">
        <v>4.57</v>
      </c>
      <c r="BG151" s="99">
        <v>6.1</v>
      </c>
      <c r="BH151" s="99">
        <v>6.1</v>
      </c>
      <c r="BI151" s="99">
        <v>6.07</v>
      </c>
      <c r="BJ151" s="99">
        <v>4.84</v>
      </c>
      <c r="BK151" s="99">
        <v>3.91</v>
      </c>
      <c r="BL151" s="99">
        <v>4.78</v>
      </c>
      <c r="BM151" s="98">
        <f t="shared" si="56"/>
        <v>9.5013850415512469</v>
      </c>
      <c r="BN151" s="99">
        <f t="shared" si="57"/>
        <v>9.2896174863387966</v>
      </c>
      <c r="BO151" s="99">
        <f t="shared" si="58"/>
        <v>11.009463722397475</v>
      </c>
      <c r="BP151" s="99">
        <f t="shared" si="59"/>
        <v>11.009463722397475</v>
      </c>
      <c r="BQ151" s="99">
        <f t="shared" si="60"/>
        <v>11.705685618729095</v>
      </c>
      <c r="BR151" s="99">
        <f t="shared" si="61"/>
        <v>6.053719008264463</v>
      </c>
      <c r="BS151" s="99">
        <f t="shared" si="62"/>
        <v>6.053719008264463</v>
      </c>
      <c r="BT151" s="99">
        <f t="shared" si="63"/>
        <v>4.8796498905908097</v>
      </c>
      <c r="BU151" s="99">
        <f t="shared" si="64"/>
        <v>6.278688524590164</v>
      </c>
      <c r="BV151" s="99">
        <f t="shared" si="65"/>
        <v>6.278688524590164</v>
      </c>
      <c r="BW151" s="99">
        <f t="shared" si="66"/>
        <v>5.3871499176276769</v>
      </c>
      <c r="BX151" s="99">
        <f t="shared" si="67"/>
        <v>1.9834710743801653</v>
      </c>
      <c r="BY151" s="99">
        <f t="shared" si="68"/>
        <v>7.8772378516624038</v>
      </c>
      <c r="BZ151" s="99">
        <f t="shared" si="69"/>
        <v>6.9665271966527191</v>
      </c>
      <c r="CA151" s="18" t="e">
        <f>VLOOKUP(A151,'Bouvier-GEMTA'!A:C,4,FALSE)</f>
        <v>#N/A</v>
      </c>
      <c r="CB151" s="18" t="e">
        <f>VLOOKUP(A151,'Martemyanov-FreeGβγ-Nluc'!A:BG,4,FALSE)</f>
        <v>#N/A</v>
      </c>
      <c r="CC151" s="18" t="s">
        <v>5167</v>
      </c>
    </row>
  </sheetData>
  <sortState xmlns:xlrd2="http://schemas.microsoft.com/office/spreadsheetml/2017/richdata2" ref="A126:CC151">
    <sortCondition ref="AP126:AP151"/>
  </sortState>
  <conditionalFormatting sqref="AP126:AP1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Z1048576">
    <cfRule type="cellIs" dxfId="0" priority="3" operator="lessThan">
      <formula>1.35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E2BC-A08E-C249-AA8C-DB8FDEC2899D}">
  <sheetPr>
    <tabColor theme="4" tint="0.79998168889431442"/>
  </sheetPr>
  <dimension ref="A1:BR3"/>
  <sheetViews>
    <sheetView zoomScale="137" workbookViewId="0">
      <pane xSplit="1" ySplit="1" topLeftCell="B2" activePane="bottomRight" state="frozen"/>
      <selection activeCell="S11" sqref="S11"/>
      <selection pane="topRight" activeCell="S11" sqref="S11"/>
      <selection pane="bottomLeft" activeCell="S11" sqref="S11"/>
      <selection pane="bottomRight" activeCell="AL80" sqref="AL80"/>
    </sheetView>
  </sheetViews>
  <sheetFormatPr baseColWidth="10" defaultColWidth="8.83203125" defaultRowHeight="16"/>
  <cols>
    <col min="1" max="1" width="19.1640625" style="89" bestFit="1" customWidth="1"/>
    <col min="2" max="2" width="11.5" customWidth="1"/>
    <col min="3" max="3" width="6.33203125" style="19" customWidth="1"/>
    <col min="4" max="4" width="5.83203125" style="9" bestFit="1" customWidth="1"/>
    <col min="5" max="5" width="5.6640625" style="72" bestFit="1" customWidth="1"/>
    <col min="6" max="7" width="6.6640625" style="90" bestFit="1" customWidth="1"/>
    <col min="8" max="9" width="5.6640625" style="90" bestFit="1" customWidth="1"/>
    <col min="10" max="10" width="6" style="140" bestFit="1" customWidth="1"/>
    <col min="11" max="14" width="6" style="141" bestFit="1" customWidth="1"/>
    <col min="15" max="15" width="5.6640625" style="140" bestFit="1" customWidth="1"/>
    <col min="16" max="19" width="5.6640625" style="141" bestFit="1" customWidth="1"/>
    <col min="20" max="20" width="6" style="140" bestFit="1" customWidth="1"/>
    <col min="21" max="24" width="6" style="141" bestFit="1" customWidth="1"/>
    <col min="25" max="25" width="8.83203125" style="74"/>
    <col min="26" max="26" width="6" style="144" bestFit="1" customWidth="1"/>
    <col min="27" max="29" width="6" style="145" bestFit="1" customWidth="1"/>
    <col min="30" max="30" width="6" style="87" bestFit="1" customWidth="1"/>
    <col min="31" max="31" width="5.33203125" style="86" bestFit="1" customWidth="1"/>
    <col min="32" max="34" width="5.33203125" style="87" bestFit="1" customWidth="1"/>
    <col min="35" max="35" width="5.6640625" style="87" bestFit="1" customWidth="1"/>
    <col min="36" max="36" width="10.6640625" style="74" bestFit="1" customWidth="1"/>
    <col min="37" max="37" width="8.6640625" style="52" bestFit="1" customWidth="1"/>
    <col min="38" max="38" width="22.1640625" style="52" bestFit="1" customWidth="1"/>
    <col min="39" max="43" width="5.1640625" style="52" bestFit="1" customWidth="1"/>
    <col min="44" max="44" width="12.83203125" style="74" bestFit="1" customWidth="1"/>
    <col min="45" max="45" width="9.33203125" style="52" bestFit="1" customWidth="1"/>
    <col min="46" max="48" width="8" style="52" bestFit="1" customWidth="1"/>
    <col min="49" max="49" width="8.1640625" style="74" bestFit="1" customWidth="1"/>
    <col min="50" max="53" width="8.1640625" style="52" bestFit="1" customWidth="1"/>
    <col min="54" max="54" width="8.83203125" style="49"/>
    <col min="55" max="55" width="14.83203125" style="52" customWidth="1"/>
    <col min="56" max="56" width="16.5" style="52" customWidth="1"/>
    <col min="57" max="57" width="3" style="53" customWidth="1"/>
    <col min="58" max="58" width="8.1640625" style="168" customWidth="1"/>
    <col min="59" max="59" width="10.6640625" style="169" customWidth="1"/>
    <col min="60" max="60" width="15" style="52" bestFit="1" customWidth="1"/>
    <col min="61" max="61" width="9" style="52" bestFit="1" customWidth="1"/>
    <col min="62" max="62" width="14.5" style="52" bestFit="1" customWidth="1"/>
    <col min="63" max="63" width="15.1640625" style="52" customWidth="1"/>
    <col min="64" max="64" width="12.6640625" style="52" bestFit="1" customWidth="1"/>
    <col min="65" max="65" width="29.6640625" style="52" bestFit="1" customWidth="1"/>
    <col min="66" max="66" width="13" style="52" bestFit="1" customWidth="1"/>
    <col min="67" max="67" width="22.1640625" style="52" bestFit="1" customWidth="1"/>
    <col min="68" max="68" width="6.6640625" style="52" bestFit="1" customWidth="1"/>
    <col min="69" max="69" width="17.1640625" style="52" bestFit="1" customWidth="1"/>
    <col min="70" max="70" width="34.1640625" style="52" bestFit="1" customWidth="1"/>
    <col min="71" max="16384" width="8.83203125" style="49"/>
  </cols>
  <sheetData>
    <row r="1" spans="1:70" s="75" customFormat="1" ht="74" customHeight="1">
      <c r="A1" s="159" t="s">
        <v>5152</v>
      </c>
      <c r="B1" s="158" t="s">
        <v>5403</v>
      </c>
      <c r="C1" s="150" t="s">
        <v>5404</v>
      </c>
      <c r="D1" s="158" t="s">
        <v>5199</v>
      </c>
      <c r="E1" s="154" t="s">
        <v>3278</v>
      </c>
      <c r="F1" s="155" t="s">
        <v>3272</v>
      </c>
      <c r="G1" s="155" t="s">
        <v>3274</v>
      </c>
      <c r="H1" s="155" t="s">
        <v>3276</v>
      </c>
      <c r="I1" s="155" t="s">
        <v>3280</v>
      </c>
      <c r="J1" s="136" t="s">
        <v>5154</v>
      </c>
      <c r="K1" s="137" t="s">
        <v>5155</v>
      </c>
      <c r="L1" s="137" t="s">
        <v>5156</v>
      </c>
      <c r="M1" s="137" t="s">
        <v>5157</v>
      </c>
      <c r="N1" s="137" t="s">
        <v>5158</v>
      </c>
      <c r="O1" s="136" t="s">
        <v>3279</v>
      </c>
      <c r="P1" s="137" t="s">
        <v>3273</v>
      </c>
      <c r="Q1" s="137" t="s">
        <v>3275</v>
      </c>
      <c r="R1" s="137" t="s">
        <v>3277</v>
      </c>
      <c r="S1" s="137" t="s">
        <v>3281</v>
      </c>
      <c r="T1" s="136" t="s">
        <v>3270</v>
      </c>
      <c r="U1" s="137" t="s">
        <v>3267</v>
      </c>
      <c r="V1" s="137" t="s">
        <v>3268</v>
      </c>
      <c r="W1" s="137" t="s">
        <v>3269</v>
      </c>
      <c r="X1" s="137" t="s">
        <v>3271</v>
      </c>
      <c r="Y1" s="77"/>
      <c r="Z1" s="138" t="s">
        <v>4445</v>
      </c>
      <c r="AA1" s="139" t="s">
        <v>4446</v>
      </c>
      <c r="AB1" s="139" t="s">
        <v>4447</v>
      </c>
      <c r="AC1" s="139" t="s">
        <v>4448</v>
      </c>
      <c r="AD1" s="85" t="s">
        <v>4449</v>
      </c>
      <c r="AE1" s="84" t="s">
        <v>4450</v>
      </c>
      <c r="AF1" s="85" t="s">
        <v>4451</v>
      </c>
      <c r="AG1" s="85" t="s">
        <v>4452</v>
      </c>
      <c r="AH1" s="85" t="s">
        <v>4453</v>
      </c>
      <c r="AI1" s="85" t="s">
        <v>4454</v>
      </c>
      <c r="AJ1" s="77" t="s">
        <v>3262</v>
      </c>
      <c r="AK1" s="78" t="s">
        <v>4455</v>
      </c>
      <c r="AL1" s="79" t="s">
        <v>4456</v>
      </c>
      <c r="AM1" s="78" t="s">
        <v>4459</v>
      </c>
      <c r="AN1" s="78" t="s">
        <v>4458</v>
      </c>
      <c r="AO1" s="78" t="s">
        <v>4457</v>
      </c>
      <c r="AP1" s="78" t="s">
        <v>4460</v>
      </c>
      <c r="AQ1" s="78" t="s">
        <v>4461</v>
      </c>
      <c r="AR1" s="80" t="s">
        <v>4439</v>
      </c>
      <c r="AS1" s="78" t="s">
        <v>4440</v>
      </c>
      <c r="AT1" s="78" t="s">
        <v>4441</v>
      </c>
      <c r="AU1" s="78" t="s">
        <v>4442</v>
      </c>
      <c r="AV1" s="78" t="s">
        <v>4443</v>
      </c>
      <c r="AW1" s="80" t="s">
        <v>4435</v>
      </c>
      <c r="AX1" s="78" t="s">
        <v>4436</v>
      </c>
      <c r="AY1" s="78" t="s">
        <v>4437</v>
      </c>
      <c r="AZ1" s="78" t="s">
        <v>4438</v>
      </c>
      <c r="BA1" s="78" t="s">
        <v>4444</v>
      </c>
      <c r="BC1" s="78" t="s">
        <v>5153</v>
      </c>
      <c r="BD1" s="78" t="s">
        <v>3266</v>
      </c>
      <c r="BE1" s="79" t="s">
        <v>13</v>
      </c>
      <c r="BF1" s="167" t="s">
        <v>580</v>
      </c>
      <c r="BG1" s="178" t="s">
        <v>581</v>
      </c>
      <c r="BH1" s="78" t="s">
        <v>4462</v>
      </c>
      <c r="BI1" s="78" t="s">
        <v>5203</v>
      </c>
      <c r="BJ1" s="78" t="s">
        <v>3257</v>
      </c>
      <c r="BK1" s="79" t="s">
        <v>3256</v>
      </c>
      <c r="BL1" s="79" t="s">
        <v>3255</v>
      </c>
      <c r="BM1" s="79" t="s">
        <v>3261</v>
      </c>
      <c r="BN1" s="79" t="s">
        <v>3255</v>
      </c>
      <c r="BO1" s="79" t="s">
        <v>3260</v>
      </c>
      <c r="BP1" s="78" t="s">
        <v>4463</v>
      </c>
      <c r="BQ1" s="79" t="s">
        <v>3259</v>
      </c>
      <c r="BR1" s="79" t="s">
        <v>3258</v>
      </c>
    </row>
    <row r="2" spans="1:70" ht="18.75" customHeight="1">
      <c r="A2" s="188" t="s">
        <v>5405</v>
      </c>
      <c r="B2" t="s">
        <v>583</v>
      </c>
      <c r="C2" s="19">
        <v>5</v>
      </c>
      <c r="D2" s="9" t="s">
        <v>5200</v>
      </c>
      <c r="E2" s="72">
        <v>0.9587</v>
      </c>
      <c r="F2" s="90">
        <v>0</v>
      </c>
      <c r="G2" s="90">
        <v>0</v>
      </c>
      <c r="H2" s="90">
        <v>0</v>
      </c>
      <c r="I2" s="90">
        <v>0</v>
      </c>
      <c r="J2" s="140">
        <v>2.8000000000000001E-2</v>
      </c>
      <c r="K2" s="141">
        <v>0</v>
      </c>
      <c r="L2" s="141">
        <v>0</v>
      </c>
      <c r="M2" s="141">
        <v>0</v>
      </c>
      <c r="N2" s="141">
        <v>0</v>
      </c>
      <c r="O2" s="140">
        <v>8.4384999999999998E-3</v>
      </c>
      <c r="P2" s="141">
        <v>0</v>
      </c>
      <c r="Q2" s="141">
        <v>0</v>
      </c>
      <c r="R2" s="141">
        <v>0</v>
      </c>
      <c r="S2" s="141">
        <v>0</v>
      </c>
      <c r="T2" s="140">
        <v>2.6673000000000001E-3</v>
      </c>
      <c r="U2" s="141">
        <v>0</v>
      </c>
      <c r="V2" s="141">
        <v>0</v>
      </c>
      <c r="W2" s="141">
        <v>0</v>
      </c>
      <c r="X2" s="141">
        <v>0</v>
      </c>
      <c r="Z2" s="144">
        <v>0</v>
      </c>
      <c r="AA2" s="145">
        <v>0</v>
      </c>
      <c r="AB2" s="145">
        <v>0</v>
      </c>
      <c r="AC2" s="145">
        <v>100</v>
      </c>
      <c r="AD2" s="87">
        <v>0</v>
      </c>
      <c r="AE2" s="86">
        <v>0</v>
      </c>
      <c r="AF2" s="87">
        <v>0</v>
      </c>
      <c r="AG2" s="87">
        <v>0</v>
      </c>
      <c r="AH2" s="87">
        <v>100</v>
      </c>
      <c r="AI2" s="87">
        <v>0</v>
      </c>
      <c r="AJ2" s="73">
        <f>1/5</f>
        <v>0.2</v>
      </c>
      <c r="AK2" s="52" t="s">
        <v>3264</v>
      </c>
      <c r="AL2" s="52" t="s">
        <v>3264</v>
      </c>
      <c r="AP2" s="52" t="s">
        <v>3264</v>
      </c>
      <c r="AR2" s="74" t="s">
        <v>3264</v>
      </c>
      <c r="AS2" s="52" t="s">
        <v>2861</v>
      </c>
      <c r="AT2" s="52" t="s">
        <v>2869</v>
      </c>
      <c r="AU2" s="53" t="s">
        <v>2869</v>
      </c>
      <c r="AV2" s="53" t="s">
        <v>2869</v>
      </c>
      <c r="AW2" s="73" t="s">
        <v>2870</v>
      </c>
      <c r="AX2" s="53" t="s">
        <v>2870</v>
      </c>
      <c r="AY2" s="53" t="s">
        <v>3264</v>
      </c>
      <c r="AZ2" s="53" t="s">
        <v>2870</v>
      </c>
      <c r="BA2" s="53" t="s">
        <v>2869</v>
      </c>
      <c r="BB2" s="50"/>
      <c r="BC2" s="179" t="s">
        <v>5293</v>
      </c>
      <c r="BD2" s="179" t="s">
        <v>3213</v>
      </c>
      <c r="BE2" s="53" t="s">
        <v>15</v>
      </c>
      <c r="BF2" s="74" t="s">
        <v>2749</v>
      </c>
      <c r="BG2" s="169" t="s">
        <v>243</v>
      </c>
      <c r="BH2" s="52" t="s">
        <v>2854</v>
      </c>
      <c r="BI2" s="179">
        <v>100</v>
      </c>
      <c r="BJ2" s="179" t="s">
        <v>3212</v>
      </c>
      <c r="BK2" s="179" t="s">
        <v>2851</v>
      </c>
      <c r="BL2" s="179">
        <v>3547</v>
      </c>
      <c r="BM2" s="52" t="s">
        <v>3136</v>
      </c>
      <c r="BN2" s="179" t="s">
        <v>3211</v>
      </c>
      <c r="BO2" s="52" t="s">
        <v>3210</v>
      </c>
      <c r="BP2" s="179">
        <v>1</v>
      </c>
      <c r="BQ2" s="179" t="s">
        <v>2848</v>
      </c>
      <c r="BR2" s="52" t="s">
        <v>3209</v>
      </c>
    </row>
    <row r="3" spans="1:70" ht="18.75" customHeight="1">
      <c r="A3" s="188" t="s">
        <v>5406</v>
      </c>
      <c r="B3" t="s">
        <v>583</v>
      </c>
      <c r="C3" s="19">
        <v>1067</v>
      </c>
      <c r="D3" s="9" t="s">
        <v>5200</v>
      </c>
      <c r="E3" s="72">
        <v>0</v>
      </c>
      <c r="F3" s="90">
        <v>1.3264</v>
      </c>
      <c r="G3" s="90">
        <v>0</v>
      </c>
      <c r="H3" s="90">
        <v>0</v>
      </c>
      <c r="I3" s="90">
        <v>0</v>
      </c>
      <c r="J3" s="140">
        <v>0</v>
      </c>
      <c r="K3" s="141">
        <v>5.4699999999999999E-2</v>
      </c>
      <c r="L3" s="141">
        <v>0</v>
      </c>
      <c r="M3" s="141">
        <v>0</v>
      </c>
      <c r="N3" s="141">
        <v>0</v>
      </c>
      <c r="O3" s="140">
        <v>0</v>
      </c>
      <c r="P3" s="141">
        <v>0.1056</v>
      </c>
      <c r="Q3" s="141">
        <v>0</v>
      </c>
      <c r="R3" s="141">
        <v>0</v>
      </c>
      <c r="S3" s="141">
        <v>0</v>
      </c>
      <c r="T3" s="140">
        <v>0</v>
      </c>
      <c r="U3" s="141">
        <v>6.8323999999999998E-3</v>
      </c>
      <c r="V3" s="141">
        <v>0</v>
      </c>
      <c r="W3" s="141">
        <v>0</v>
      </c>
      <c r="X3" s="141">
        <v>0</v>
      </c>
      <c r="Z3" s="144">
        <v>100</v>
      </c>
      <c r="AA3" s="145">
        <v>0</v>
      </c>
      <c r="AB3" s="145">
        <v>0</v>
      </c>
      <c r="AC3" s="145">
        <v>0</v>
      </c>
      <c r="AD3" s="87">
        <v>0</v>
      </c>
      <c r="AE3" s="86">
        <v>100</v>
      </c>
      <c r="AF3" s="87">
        <v>0</v>
      </c>
      <c r="AG3" s="87">
        <v>0</v>
      </c>
      <c r="AH3" s="87">
        <v>0</v>
      </c>
      <c r="AI3" s="87">
        <v>0</v>
      </c>
      <c r="AJ3" s="73">
        <f>1/5</f>
        <v>0.2</v>
      </c>
      <c r="AK3" s="52" t="s">
        <v>3263</v>
      </c>
      <c r="AL3" s="52" t="s">
        <v>3263</v>
      </c>
      <c r="AM3" s="52" t="s">
        <v>3263</v>
      </c>
      <c r="AR3" s="74" t="s">
        <v>2861</v>
      </c>
      <c r="AS3" s="52" t="s">
        <v>2861</v>
      </c>
      <c r="AT3" s="52" t="s">
        <v>2860</v>
      </c>
      <c r="AU3" s="53" t="s">
        <v>2860</v>
      </c>
      <c r="AV3" s="53" t="s">
        <v>2860</v>
      </c>
      <c r="AW3" s="73"/>
      <c r="AX3" s="53"/>
      <c r="AY3" s="53"/>
      <c r="AZ3" s="53"/>
      <c r="BA3" s="53" t="s">
        <v>2849</v>
      </c>
      <c r="BB3" s="50"/>
      <c r="BC3" s="179" t="s">
        <v>5328</v>
      </c>
      <c r="BD3" s="179" t="s">
        <v>2862</v>
      </c>
      <c r="BE3" s="53" t="s">
        <v>57</v>
      </c>
      <c r="BG3" s="52" t="s">
        <v>1204</v>
      </c>
      <c r="BH3" s="52" t="s">
        <v>2859</v>
      </c>
      <c r="BI3" s="179">
        <v>100</v>
      </c>
      <c r="BJ3" s="179" t="s">
        <v>5329</v>
      </c>
      <c r="BK3" s="179" t="s">
        <v>2851</v>
      </c>
      <c r="BL3" s="179">
        <v>344</v>
      </c>
      <c r="BM3" s="52" t="s">
        <v>2858</v>
      </c>
      <c r="BN3" s="179" t="s">
        <v>2857</v>
      </c>
      <c r="BO3" s="52" t="s">
        <v>2856</v>
      </c>
      <c r="BP3" s="179">
        <v>1</v>
      </c>
      <c r="BQ3" s="179" t="s">
        <v>2848</v>
      </c>
    </row>
  </sheetData>
  <conditionalFormatting sqref="AJ2:AJ3">
    <cfRule type="dataBar" priority="3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{11D38F9C-072A-2F4E-A8A5-F3D3BC3D327A}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38F9C-072A-2F4E-A8A5-F3D3BC3D3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AJ2:AJ3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2A07-1EF9-BF46-829B-608E8982A309}">
  <sheetPr>
    <tabColor rgb="FF92D050"/>
  </sheetPr>
  <dimension ref="A1:J178"/>
  <sheetViews>
    <sheetView zoomScale="130" zoomScaleNormal="130" workbookViewId="0">
      <pane ySplit="1" topLeftCell="A53" activePane="bottomLeft" state="frozen"/>
      <selection sqref="A1:XFD1"/>
      <selection pane="bottomLeft" activeCell="A69" sqref="A1:A1048576"/>
    </sheetView>
  </sheetViews>
  <sheetFormatPr baseColWidth="10" defaultRowHeight="16"/>
  <cols>
    <col min="1" max="1" width="12.83203125" bestFit="1" customWidth="1"/>
    <col min="2" max="2" width="3.33203125" bestFit="1" customWidth="1"/>
    <col min="7" max="7" width="6" bestFit="1" customWidth="1"/>
    <col min="9" max="10" width="23.83203125" bestFit="1" customWidth="1"/>
  </cols>
  <sheetData>
    <row r="1" spans="1:10" s="117" customFormat="1" ht="51">
      <c r="A1" s="118" t="s">
        <v>254</v>
      </c>
      <c r="B1" s="119" t="s">
        <v>13</v>
      </c>
      <c r="C1" s="120" t="s">
        <v>580</v>
      </c>
      <c r="D1" s="120" t="s">
        <v>581</v>
      </c>
      <c r="E1" s="121" t="s">
        <v>11</v>
      </c>
      <c r="F1" s="122" t="s">
        <v>12</v>
      </c>
      <c r="G1" s="122" t="s">
        <v>5199</v>
      </c>
      <c r="I1" s="119" t="s">
        <v>2746</v>
      </c>
      <c r="J1" s="118" t="s">
        <v>2745</v>
      </c>
    </row>
    <row r="2" spans="1:10">
      <c r="A2" t="s">
        <v>92</v>
      </c>
      <c r="B2" s="2" t="s">
        <v>15</v>
      </c>
      <c r="D2" t="s">
        <v>2744</v>
      </c>
      <c r="E2" t="s">
        <v>2678</v>
      </c>
      <c r="F2">
        <v>2346</v>
      </c>
      <c r="G2" t="s">
        <v>5200</v>
      </c>
      <c r="I2" s="1" t="s">
        <v>2744</v>
      </c>
      <c r="J2" t="str">
        <f>I2</f>
        <v>pH (proton)</v>
      </c>
    </row>
    <row r="3" spans="1:10">
      <c r="A3" t="s">
        <v>99</v>
      </c>
      <c r="B3" s="2" t="s">
        <v>15</v>
      </c>
      <c r="D3" t="s">
        <v>2744</v>
      </c>
      <c r="E3" t="s">
        <v>2678</v>
      </c>
      <c r="F3">
        <v>2346</v>
      </c>
      <c r="G3" t="s">
        <v>5200</v>
      </c>
      <c r="I3" s="1" t="s">
        <v>2744</v>
      </c>
      <c r="J3" t="str">
        <f>I3</f>
        <v>pH (proton)</v>
      </c>
    </row>
    <row r="4" spans="1:10">
      <c r="A4" t="s">
        <v>102</v>
      </c>
      <c r="B4" s="2" t="s">
        <v>15</v>
      </c>
      <c r="D4" t="s">
        <v>2744</v>
      </c>
      <c r="E4" t="s">
        <v>2678</v>
      </c>
      <c r="F4">
        <v>2346</v>
      </c>
      <c r="G4" t="s">
        <v>5200</v>
      </c>
      <c r="I4" s="1" t="s">
        <v>2744</v>
      </c>
      <c r="J4" t="str">
        <f>I4</f>
        <v>pH (proton)</v>
      </c>
    </row>
    <row r="5" spans="1:10">
      <c r="A5" t="s">
        <v>76</v>
      </c>
      <c r="B5" s="2" t="s">
        <v>15</v>
      </c>
      <c r="C5" t="s">
        <v>2742</v>
      </c>
      <c r="D5" t="s">
        <v>2743</v>
      </c>
      <c r="E5" t="s">
        <v>2678</v>
      </c>
      <c r="F5">
        <v>4358</v>
      </c>
      <c r="G5" t="s">
        <v>5200</v>
      </c>
      <c r="I5" s="1" t="s">
        <v>2742</v>
      </c>
      <c r="J5" t="str">
        <f>I5</f>
        <v>CXCL12</v>
      </c>
    </row>
    <row r="6" spans="1:10">
      <c r="A6" t="s">
        <v>93</v>
      </c>
      <c r="B6" s="2" t="s">
        <v>15</v>
      </c>
      <c r="C6" t="s">
        <v>2741</v>
      </c>
      <c r="D6" t="s">
        <v>250</v>
      </c>
      <c r="E6" t="s">
        <v>2678</v>
      </c>
      <c r="F6">
        <v>5533</v>
      </c>
      <c r="G6" t="s">
        <v>5200</v>
      </c>
      <c r="I6" s="1" t="s">
        <v>2741</v>
      </c>
      <c r="J6" t="s">
        <v>250</v>
      </c>
    </row>
    <row r="7" spans="1:10">
      <c r="A7" t="s">
        <v>198</v>
      </c>
      <c r="B7" s="2" t="s">
        <v>53</v>
      </c>
      <c r="C7" t="s">
        <v>2740</v>
      </c>
      <c r="D7" t="s">
        <v>249</v>
      </c>
      <c r="E7" t="s">
        <v>2678</v>
      </c>
      <c r="F7">
        <v>4448</v>
      </c>
      <c r="G7" t="s">
        <v>5200</v>
      </c>
      <c r="I7" s="1" t="s">
        <v>2740</v>
      </c>
      <c r="J7" t="s">
        <v>249</v>
      </c>
    </row>
    <row r="8" spans="1:10">
      <c r="A8" t="s">
        <v>86</v>
      </c>
      <c r="B8" s="2" t="s">
        <v>15</v>
      </c>
      <c r="D8" t="s">
        <v>233</v>
      </c>
      <c r="E8" t="s">
        <v>2678</v>
      </c>
      <c r="F8">
        <v>4350</v>
      </c>
      <c r="G8" t="s">
        <v>5200</v>
      </c>
      <c r="I8" s="1" t="s">
        <v>2739</v>
      </c>
      <c r="J8" t="s">
        <v>233</v>
      </c>
    </row>
    <row r="9" spans="1:10">
      <c r="A9" t="s">
        <v>174</v>
      </c>
      <c r="B9" s="2" t="s">
        <v>15</v>
      </c>
      <c r="C9" t="s">
        <v>1823</v>
      </c>
      <c r="D9" t="s">
        <v>2738</v>
      </c>
      <c r="E9" t="s">
        <v>2678</v>
      </c>
      <c r="F9">
        <v>4016</v>
      </c>
      <c r="G9" t="s">
        <v>5200</v>
      </c>
      <c r="I9" s="1" t="s">
        <v>2737</v>
      </c>
      <c r="J9" t="str">
        <f>I9</f>
        <v>RFRP3</v>
      </c>
    </row>
    <row r="10" spans="1:10">
      <c r="A10" t="s">
        <v>210</v>
      </c>
      <c r="B10" s="2" t="s">
        <v>15</v>
      </c>
      <c r="D10" t="s">
        <v>247</v>
      </c>
      <c r="E10" t="s">
        <v>2678</v>
      </c>
      <c r="F10">
        <v>3742</v>
      </c>
      <c r="G10" t="s">
        <v>5200</v>
      </c>
      <c r="I10" s="1" t="s">
        <v>246</v>
      </c>
      <c r="J10" t="s">
        <v>247</v>
      </c>
    </row>
    <row r="11" spans="1:10">
      <c r="A11" t="s">
        <v>211</v>
      </c>
      <c r="B11" s="2" t="s">
        <v>15</v>
      </c>
      <c r="D11" t="s">
        <v>244</v>
      </c>
      <c r="E11" t="s">
        <v>2678</v>
      </c>
      <c r="F11">
        <v>3740</v>
      </c>
      <c r="G11" t="s">
        <v>5200</v>
      </c>
      <c r="I11" s="1" t="s">
        <v>2736</v>
      </c>
      <c r="J11" t="s">
        <v>244</v>
      </c>
    </row>
    <row r="12" spans="1:10">
      <c r="A12" t="s">
        <v>77</v>
      </c>
      <c r="B12" s="2" t="s">
        <v>15</v>
      </c>
      <c r="C12" t="s">
        <v>1028</v>
      </c>
      <c r="D12" t="s">
        <v>1028</v>
      </c>
      <c r="E12" t="s">
        <v>2678</v>
      </c>
      <c r="F12">
        <v>3645</v>
      </c>
      <c r="G12" t="s">
        <v>5200</v>
      </c>
      <c r="I12" s="1" t="s">
        <v>1028</v>
      </c>
      <c r="J12" t="str">
        <f>I12</f>
        <v>CXCL13</v>
      </c>
    </row>
    <row r="13" spans="1:10">
      <c r="A13" t="s">
        <v>128</v>
      </c>
      <c r="B13" s="2" t="s">
        <v>53</v>
      </c>
      <c r="C13" t="s">
        <v>2734</v>
      </c>
      <c r="D13" t="s">
        <v>2735</v>
      </c>
      <c r="E13" t="s">
        <v>2678</v>
      </c>
      <c r="F13">
        <v>3544</v>
      </c>
      <c r="G13" t="s">
        <v>5200</v>
      </c>
      <c r="I13" s="1" t="s">
        <v>2734</v>
      </c>
      <c r="J13" t="str">
        <f>I13</f>
        <v>GLP-1 (7-36)</v>
      </c>
    </row>
    <row r="14" spans="1:10">
      <c r="A14" t="s">
        <v>127</v>
      </c>
      <c r="B14" s="2" t="s">
        <v>53</v>
      </c>
      <c r="C14" t="s">
        <v>2554</v>
      </c>
      <c r="D14" t="s">
        <v>2733</v>
      </c>
      <c r="E14" t="s">
        <v>2678</v>
      </c>
      <c r="F14">
        <v>3542</v>
      </c>
      <c r="G14" t="s">
        <v>5200</v>
      </c>
      <c r="I14" s="1" t="s">
        <v>2554</v>
      </c>
      <c r="J14" t="s">
        <v>426</v>
      </c>
    </row>
    <row r="15" spans="1:10">
      <c r="A15" t="s">
        <v>148</v>
      </c>
      <c r="B15" s="2" t="s">
        <v>15</v>
      </c>
      <c r="C15" t="s">
        <v>2732</v>
      </c>
      <c r="D15" t="s">
        <v>238</v>
      </c>
      <c r="E15" t="s">
        <v>2678</v>
      </c>
      <c r="F15">
        <v>2936</v>
      </c>
      <c r="G15" t="s">
        <v>5200</v>
      </c>
      <c r="I15" s="1" t="s">
        <v>2732</v>
      </c>
      <c r="J15" t="s">
        <v>238</v>
      </c>
    </row>
    <row r="16" spans="1:10">
      <c r="A16" t="s">
        <v>149</v>
      </c>
      <c r="B16" s="2" t="s">
        <v>15</v>
      </c>
      <c r="C16" t="s">
        <v>2732</v>
      </c>
      <c r="D16" t="s">
        <v>238</v>
      </c>
      <c r="E16" t="s">
        <v>2678</v>
      </c>
      <c r="F16">
        <v>2936</v>
      </c>
      <c r="G16" t="s">
        <v>5200</v>
      </c>
      <c r="I16" s="1" t="s">
        <v>2732</v>
      </c>
      <c r="J16" t="s">
        <v>238</v>
      </c>
    </row>
    <row r="17" spans="1:10">
      <c r="A17" t="s">
        <v>141</v>
      </c>
      <c r="B17" s="2" t="s">
        <v>15</v>
      </c>
      <c r="C17" t="s">
        <v>2730</v>
      </c>
      <c r="D17" t="s">
        <v>2731</v>
      </c>
      <c r="E17" t="s">
        <v>2678</v>
      </c>
      <c r="F17">
        <v>2933</v>
      </c>
      <c r="G17" t="s">
        <v>5200</v>
      </c>
      <c r="I17" s="1" t="s">
        <v>2730</v>
      </c>
      <c r="J17" t="str">
        <f t="shared" ref="J17:J24" si="0">I17</f>
        <v>3-HOA</v>
      </c>
    </row>
    <row r="18" spans="1:10">
      <c r="A18" t="s">
        <v>31</v>
      </c>
      <c r="B18" s="2" t="s">
        <v>15</v>
      </c>
      <c r="D18" t="s">
        <v>2</v>
      </c>
      <c r="E18" t="s">
        <v>2678</v>
      </c>
      <c r="F18">
        <v>2844</v>
      </c>
      <c r="G18" t="s">
        <v>5200</v>
      </c>
      <c r="I18" s="1" t="s">
        <v>2</v>
      </c>
      <c r="J18" t="str">
        <f t="shared" si="0"/>
        <v>Adenosine</v>
      </c>
    </row>
    <row r="19" spans="1:10">
      <c r="A19" t="s">
        <v>1</v>
      </c>
      <c r="B19" s="2" t="s">
        <v>15</v>
      </c>
      <c r="D19" t="s">
        <v>2</v>
      </c>
      <c r="E19" t="s">
        <v>2678</v>
      </c>
      <c r="F19">
        <v>2844</v>
      </c>
      <c r="G19" t="s">
        <v>5200</v>
      </c>
      <c r="I19" s="1" t="s">
        <v>2</v>
      </c>
      <c r="J19" t="str">
        <f t="shared" si="0"/>
        <v>Adenosine</v>
      </c>
    </row>
    <row r="20" spans="1:10">
      <c r="A20" t="s">
        <v>32</v>
      </c>
      <c r="B20" s="2" t="s">
        <v>15</v>
      </c>
      <c r="D20" t="s">
        <v>2</v>
      </c>
      <c r="E20" t="s">
        <v>2678</v>
      </c>
      <c r="F20">
        <v>2844</v>
      </c>
      <c r="G20" t="s">
        <v>5200</v>
      </c>
      <c r="I20" s="1" t="s">
        <v>2</v>
      </c>
      <c r="J20" t="str">
        <f t="shared" si="0"/>
        <v>Adenosine</v>
      </c>
    </row>
    <row r="21" spans="1:10">
      <c r="A21" t="s">
        <v>33</v>
      </c>
      <c r="B21" s="2" t="s">
        <v>15</v>
      </c>
      <c r="D21" t="s">
        <v>2</v>
      </c>
      <c r="E21" t="s">
        <v>2678</v>
      </c>
      <c r="F21">
        <v>2844</v>
      </c>
      <c r="G21" t="s">
        <v>5200</v>
      </c>
      <c r="I21" s="1" t="s">
        <v>2</v>
      </c>
      <c r="J21" t="str">
        <f t="shared" si="0"/>
        <v>Adenosine</v>
      </c>
    </row>
    <row r="22" spans="1:10">
      <c r="A22" t="s">
        <v>43</v>
      </c>
      <c r="B22" s="2" t="s">
        <v>15</v>
      </c>
      <c r="D22" t="s">
        <v>2729</v>
      </c>
      <c r="E22" t="s">
        <v>2678</v>
      </c>
      <c r="F22">
        <v>2504</v>
      </c>
      <c r="G22" t="s">
        <v>5200</v>
      </c>
      <c r="I22" s="1" t="s">
        <v>2729</v>
      </c>
      <c r="J22" t="str">
        <f t="shared" si="0"/>
        <v>Angiotensin II</v>
      </c>
    </row>
    <row r="23" spans="1:10">
      <c r="A23" t="s">
        <v>146</v>
      </c>
      <c r="B23" s="2" t="s">
        <v>15</v>
      </c>
      <c r="C23" t="s">
        <v>2728</v>
      </c>
      <c r="D23" t="s">
        <v>251</v>
      </c>
      <c r="E23" t="s">
        <v>2678</v>
      </c>
      <c r="F23">
        <v>2487</v>
      </c>
      <c r="G23" t="s">
        <v>5200</v>
      </c>
      <c r="I23" s="1" t="s">
        <v>2728</v>
      </c>
      <c r="J23" t="str">
        <f t="shared" si="0"/>
        <v>LTB4</v>
      </c>
    </row>
    <row r="24" spans="1:10">
      <c r="A24" t="s">
        <v>147</v>
      </c>
      <c r="B24" s="2" t="s">
        <v>15</v>
      </c>
      <c r="C24" t="s">
        <v>2728</v>
      </c>
      <c r="D24" t="s">
        <v>251</v>
      </c>
      <c r="E24" t="s">
        <v>2678</v>
      </c>
      <c r="F24">
        <v>2487</v>
      </c>
      <c r="G24" t="s">
        <v>5200</v>
      </c>
      <c r="I24" s="1" t="s">
        <v>2728</v>
      </c>
      <c r="J24" t="str">
        <f t="shared" si="0"/>
        <v>LTB4</v>
      </c>
    </row>
    <row r="25" spans="1:10">
      <c r="A25" t="s">
        <v>144</v>
      </c>
      <c r="B25" s="2" t="s">
        <v>15</v>
      </c>
      <c r="C25" t="s">
        <v>2727</v>
      </c>
      <c r="D25" t="s">
        <v>236</v>
      </c>
      <c r="E25" t="s">
        <v>2678</v>
      </c>
      <c r="F25">
        <v>2487</v>
      </c>
      <c r="G25" t="s">
        <v>5200</v>
      </c>
      <c r="I25" s="1" t="s">
        <v>2727</v>
      </c>
      <c r="J25" t="s">
        <v>236</v>
      </c>
    </row>
    <row r="26" spans="1:10">
      <c r="A26" t="s">
        <v>145</v>
      </c>
      <c r="B26" s="2" t="s">
        <v>15</v>
      </c>
      <c r="C26" t="s">
        <v>2727</v>
      </c>
      <c r="D26" t="s">
        <v>236</v>
      </c>
      <c r="E26" t="s">
        <v>2678</v>
      </c>
      <c r="F26">
        <v>2487</v>
      </c>
      <c r="G26" t="s">
        <v>5200</v>
      </c>
      <c r="I26" s="1" t="s">
        <v>2727</v>
      </c>
      <c r="J26" t="s">
        <v>236</v>
      </c>
    </row>
    <row r="27" spans="1:10">
      <c r="A27" t="s">
        <v>227</v>
      </c>
      <c r="B27" s="2" t="s">
        <v>15</v>
      </c>
      <c r="D27" t="s">
        <v>2726</v>
      </c>
      <c r="E27" t="s">
        <v>2678</v>
      </c>
      <c r="F27">
        <v>2174</v>
      </c>
      <c r="G27" t="s">
        <v>5200</v>
      </c>
      <c r="I27" s="1" t="s">
        <v>2726</v>
      </c>
      <c r="J27" t="str">
        <f>I27</f>
        <v>Oxytocin</v>
      </c>
    </row>
    <row r="28" spans="1:10">
      <c r="A28" t="s">
        <v>228</v>
      </c>
      <c r="B28" s="2" t="s">
        <v>15</v>
      </c>
      <c r="C28" t="s">
        <v>2725</v>
      </c>
      <c r="D28" t="s">
        <v>234</v>
      </c>
      <c r="E28" t="s">
        <v>2678</v>
      </c>
      <c r="F28">
        <v>2168</v>
      </c>
      <c r="G28" t="s">
        <v>5200</v>
      </c>
      <c r="I28" s="1" t="s">
        <v>2725</v>
      </c>
      <c r="J28" t="s">
        <v>234</v>
      </c>
    </row>
    <row r="29" spans="1:10">
      <c r="A29" t="s">
        <v>230</v>
      </c>
      <c r="B29" s="2" t="s">
        <v>15</v>
      </c>
      <c r="C29" t="s">
        <v>2725</v>
      </c>
      <c r="D29" t="s">
        <v>234</v>
      </c>
      <c r="E29" t="s">
        <v>2678</v>
      </c>
      <c r="F29">
        <v>2168</v>
      </c>
      <c r="G29" t="s">
        <v>5200</v>
      </c>
      <c r="I29" s="1" t="s">
        <v>2725</v>
      </c>
      <c r="J29" t="s">
        <v>234</v>
      </c>
    </row>
    <row r="30" spans="1:10">
      <c r="A30" t="s">
        <v>218</v>
      </c>
      <c r="B30" s="2" t="s">
        <v>15</v>
      </c>
      <c r="D30" t="s">
        <v>2724</v>
      </c>
      <c r="E30" t="s">
        <v>2678</v>
      </c>
      <c r="F30">
        <v>2019</v>
      </c>
      <c r="G30" t="s">
        <v>5200</v>
      </c>
      <c r="I30" s="1" t="s">
        <v>2724</v>
      </c>
      <c r="J30" t="s">
        <v>217</v>
      </c>
    </row>
    <row r="31" spans="1:10">
      <c r="A31" t="s">
        <v>203</v>
      </c>
      <c r="B31" s="2" t="s">
        <v>15</v>
      </c>
      <c r="C31" t="s">
        <v>2721</v>
      </c>
      <c r="D31" t="s">
        <v>241</v>
      </c>
      <c r="E31" t="s">
        <v>2678</v>
      </c>
      <c r="F31">
        <v>1883</v>
      </c>
      <c r="G31" t="s">
        <v>5200</v>
      </c>
      <c r="I31" s="1" t="s">
        <v>2721</v>
      </c>
      <c r="J31" t="s">
        <v>241</v>
      </c>
    </row>
    <row r="32" spans="1:10">
      <c r="A32" t="s">
        <v>204</v>
      </c>
      <c r="B32" s="2" t="s">
        <v>15</v>
      </c>
      <c r="C32" t="s">
        <v>2721</v>
      </c>
      <c r="D32" t="s">
        <v>2723</v>
      </c>
      <c r="E32" t="s">
        <v>2678</v>
      </c>
      <c r="F32">
        <v>1883</v>
      </c>
      <c r="G32" t="s">
        <v>5200</v>
      </c>
      <c r="I32" s="1" t="s">
        <v>2721</v>
      </c>
      <c r="J32" t="s">
        <v>2723</v>
      </c>
    </row>
    <row r="33" spans="1:10">
      <c r="A33" t="s">
        <v>205</v>
      </c>
      <c r="B33" s="2" t="s">
        <v>15</v>
      </c>
      <c r="C33" t="s">
        <v>2721</v>
      </c>
      <c r="D33" t="s">
        <v>2722</v>
      </c>
      <c r="E33" t="s">
        <v>2678</v>
      </c>
      <c r="F33">
        <v>1883</v>
      </c>
      <c r="G33" t="s">
        <v>5200</v>
      </c>
      <c r="I33" s="1" t="s">
        <v>2721</v>
      </c>
      <c r="J33" t="s">
        <v>2722</v>
      </c>
    </row>
    <row r="34" spans="1:10">
      <c r="A34" t="s">
        <v>206</v>
      </c>
      <c r="B34" s="2" t="s">
        <v>15</v>
      </c>
      <c r="C34" t="s">
        <v>2721</v>
      </c>
      <c r="D34" t="s">
        <v>2720</v>
      </c>
      <c r="E34" t="s">
        <v>2678</v>
      </c>
      <c r="F34">
        <v>1883</v>
      </c>
      <c r="G34" t="s">
        <v>5200</v>
      </c>
      <c r="I34" s="1" t="s">
        <v>2721</v>
      </c>
      <c r="J34" t="s">
        <v>2720</v>
      </c>
    </row>
    <row r="35" spans="1:10">
      <c r="A35" t="s">
        <v>207</v>
      </c>
      <c r="B35" s="2" t="s">
        <v>15</v>
      </c>
      <c r="C35" t="s">
        <v>2719</v>
      </c>
      <c r="D35" t="s">
        <v>240</v>
      </c>
      <c r="E35" t="s">
        <v>2678</v>
      </c>
      <c r="F35">
        <v>1881</v>
      </c>
      <c r="G35" t="s">
        <v>5200</v>
      </c>
      <c r="I35" s="1" t="s">
        <v>2719</v>
      </c>
      <c r="J35" t="s">
        <v>240</v>
      </c>
    </row>
    <row r="36" spans="1:10">
      <c r="A36" t="s">
        <v>191</v>
      </c>
      <c r="B36" s="2" t="s">
        <v>15</v>
      </c>
      <c r="C36" t="s">
        <v>2717</v>
      </c>
      <c r="D36" t="s">
        <v>2718</v>
      </c>
      <c r="E36" t="s">
        <v>2678</v>
      </c>
      <c r="F36">
        <v>1734</v>
      </c>
      <c r="G36" t="s">
        <v>5200</v>
      </c>
      <c r="I36" s="1" t="s">
        <v>2717</v>
      </c>
      <c r="J36" t="str">
        <f t="shared" ref="J36:J44" si="1">I36</f>
        <v>UTP</v>
      </c>
    </row>
    <row r="37" spans="1:10">
      <c r="A37" t="s">
        <v>187</v>
      </c>
      <c r="B37" s="2" t="s">
        <v>15</v>
      </c>
      <c r="D37" t="s">
        <v>239</v>
      </c>
      <c r="E37" t="s">
        <v>2678</v>
      </c>
      <c r="F37">
        <v>1697</v>
      </c>
      <c r="G37" t="s">
        <v>5200</v>
      </c>
      <c r="I37" s="1" t="s">
        <v>239</v>
      </c>
      <c r="J37" t="str">
        <f t="shared" si="1"/>
        <v>Orexin-A</v>
      </c>
    </row>
    <row r="38" spans="1:10">
      <c r="A38" t="s">
        <v>184</v>
      </c>
      <c r="B38" s="2" t="s">
        <v>15</v>
      </c>
      <c r="D38" t="s">
        <v>2716</v>
      </c>
      <c r="E38" t="s">
        <v>2678</v>
      </c>
      <c r="F38">
        <v>1681</v>
      </c>
      <c r="G38" t="s">
        <v>5200</v>
      </c>
      <c r="I38" s="1" t="s">
        <v>2716</v>
      </c>
      <c r="J38" t="str">
        <f t="shared" si="1"/>
        <v>Nociceptin</v>
      </c>
    </row>
    <row r="39" spans="1:10">
      <c r="A39" t="s">
        <v>183</v>
      </c>
      <c r="B39" s="2" t="s">
        <v>15</v>
      </c>
      <c r="C39" t="s">
        <v>2714</v>
      </c>
      <c r="D39" t="s">
        <v>2715</v>
      </c>
      <c r="E39" t="s">
        <v>2678</v>
      </c>
      <c r="F39">
        <v>1647</v>
      </c>
      <c r="G39" t="s">
        <v>5201</v>
      </c>
      <c r="I39" s="1" t="s">
        <v>2714</v>
      </c>
      <c r="J39" t="str">
        <f t="shared" si="1"/>
        <v>DAMGO</v>
      </c>
    </row>
    <row r="40" spans="1:10">
      <c r="A40" t="s">
        <v>182</v>
      </c>
      <c r="B40" s="2" t="s">
        <v>15</v>
      </c>
      <c r="D40" t="s">
        <v>2713</v>
      </c>
      <c r="E40" t="s">
        <v>2678</v>
      </c>
      <c r="F40">
        <v>1620</v>
      </c>
      <c r="G40" t="s">
        <v>5200</v>
      </c>
      <c r="I40" s="1" t="s">
        <v>2713</v>
      </c>
      <c r="J40" t="str">
        <f t="shared" si="1"/>
        <v>Dynorphin A</v>
      </c>
    </row>
    <row r="41" spans="1:10">
      <c r="A41" t="s">
        <v>181</v>
      </c>
      <c r="B41" s="2" t="s">
        <v>15</v>
      </c>
      <c r="C41" t="s">
        <v>2711</v>
      </c>
      <c r="D41" t="s">
        <v>2712</v>
      </c>
      <c r="E41" t="s">
        <v>2678</v>
      </c>
      <c r="F41">
        <v>1611</v>
      </c>
      <c r="G41" t="s">
        <v>5201</v>
      </c>
      <c r="I41" s="1" t="s">
        <v>2711</v>
      </c>
      <c r="J41" t="str">
        <f t="shared" si="1"/>
        <v>SNC-80</v>
      </c>
    </row>
    <row r="42" spans="1:10">
      <c r="A42" t="s">
        <v>140</v>
      </c>
      <c r="B42" s="2" t="s">
        <v>15</v>
      </c>
      <c r="D42" t="s">
        <v>2710</v>
      </c>
      <c r="E42" t="s">
        <v>2678</v>
      </c>
      <c r="F42">
        <v>1588</v>
      </c>
      <c r="G42" t="s">
        <v>5200</v>
      </c>
      <c r="I42" s="1" t="s">
        <v>2710</v>
      </c>
      <c r="J42" t="str">
        <f t="shared" si="1"/>
        <v>Nicotinic acid</v>
      </c>
    </row>
    <row r="43" spans="1:10">
      <c r="A43" t="s">
        <v>177</v>
      </c>
      <c r="B43" s="2" t="s">
        <v>15</v>
      </c>
      <c r="C43" t="s">
        <v>1837</v>
      </c>
      <c r="D43" t="s">
        <v>2709</v>
      </c>
      <c r="E43" t="s">
        <v>2678</v>
      </c>
      <c r="F43">
        <v>1504</v>
      </c>
      <c r="G43" t="s">
        <v>5200</v>
      </c>
      <c r="I43" s="1" t="s">
        <v>1837</v>
      </c>
      <c r="J43" t="str">
        <f t="shared" si="1"/>
        <v>NPY</v>
      </c>
    </row>
    <row r="44" spans="1:10">
      <c r="A44" t="s">
        <v>178</v>
      </c>
      <c r="B44" s="2" t="s">
        <v>15</v>
      </c>
      <c r="C44" t="s">
        <v>1837</v>
      </c>
      <c r="D44" t="s">
        <v>2709</v>
      </c>
      <c r="E44" t="s">
        <v>2678</v>
      </c>
      <c r="F44">
        <v>1504</v>
      </c>
      <c r="G44" t="s">
        <v>5200</v>
      </c>
      <c r="I44" s="1" t="s">
        <v>1837</v>
      </c>
      <c r="J44" t="str">
        <f t="shared" si="1"/>
        <v>NPY</v>
      </c>
    </row>
    <row r="45" spans="1:10">
      <c r="A45" t="s">
        <v>175</v>
      </c>
      <c r="B45" s="2" t="s">
        <v>15</v>
      </c>
      <c r="C45" t="s">
        <v>1811</v>
      </c>
      <c r="D45" t="s">
        <v>237</v>
      </c>
      <c r="E45" t="s">
        <v>2678</v>
      </c>
      <c r="F45">
        <v>1479</v>
      </c>
      <c r="G45" t="s">
        <v>5200</v>
      </c>
      <c r="I45" s="1" t="s">
        <v>1811</v>
      </c>
      <c r="J45" t="s">
        <v>237</v>
      </c>
    </row>
    <row r="46" spans="1:10">
      <c r="A46" t="s">
        <v>167</v>
      </c>
      <c r="B46" s="2" t="s">
        <v>57</v>
      </c>
      <c r="D46" t="s">
        <v>2708</v>
      </c>
      <c r="E46" t="s">
        <v>2678</v>
      </c>
      <c r="F46">
        <v>1369</v>
      </c>
      <c r="G46" t="s">
        <v>5200</v>
      </c>
      <c r="I46" s="1" t="s">
        <v>2708</v>
      </c>
      <c r="J46" t="str">
        <f t="shared" ref="J46:J59" si="2">I46</f>
        <v>Glutamate</v>
      </c>
    </row>
    <row r="47" spans="1:10">
      <c r="A47" t="s">
        <v>168</v>
      </c>
      <c r="B47" s="2" t="s">
        <v>57</v>
      </c>
      <c r="D47" t="s">
        <v>2708</v>
      </c>
      <c r="E47" t="s">
        <v>2678</v>
      </c>
      <c r="F47">
        <v>1369</v>
      </c>
      <c r="G47" t="s">
        <v>5200</v>
      </c>
      <c r="I47" s="1" t="s">
        <v>2708</v>
      </c>
      <c r="J47" t="str">
        <f t="shared" si="2"/>
        <v>Glutamate</v>
      </c>
    </row>
    <row r="48" spans="1:10">
      <c r="A48" t="s">
        <v>0</v>
      </c>
      <c r="B48" s="2" t="s">
        <v>57</v>
      </c>
      <c r="D48" t="s">
        <v>2708</v>
      </c>
      <c r="E48" t="s">
        <v>2678</v>
      </c>
      <c r="F48">
        <v>1369</v>
      </c>
      <c r="G48" t="s">
        <v>5200</v>
      </c>
      <c r="I48" s="1" t="s">
        <v>2708</v>
      </c>
      <c r="J48" t="str">
        <f t="shared" si="2"/>
        <v>Glutamate</v>
      </c>
    </row>
    <row r="49" spans="1:10">
      <c r="A49" t="s">
        <v>169</v>
      </c>
      <c r="B49" s="2" t="s">
        <v>57</v>
      </c>
      <c r="D49" t="s">
        <v>2708</v>
      </c>
      <c r="E49" t="s">
        <v>2678</v>
      </c>
      <c r="F49">
        <v>1369</v>
      </c>
      <c r="G49" t="s">
        <v>5200</v>
      </c>
      <c r="I49" s="1" t="s">
        <v>2708</v>
      </c>
      <c r="J49" t="str">
        <f t="shared" si="2"/>
        <v>Glutamate</v>
      </c>
    </row>
    <row r="50" spans="1:10">
      <c r="A50" t="s">
        <v>170</v>
      </c>
      <c r="B50" s="2" t="s">
        <v>57</v>
      </c>
      <c r="D50" t="s">
        <v>2708</v>
      </c>
      <c r="E50" t="s">
        <v>2678</v>
      </c>
      <c r="F50">
        <v>1369</v>
      </c>
      <c r="G50" t="s">
        <v>5200</v>
      </c>
      <c r="I50" s="1" t="s">
        <v>2708</v>
      </c>
      <c r="J50" t="str">
        <f t="shared" si="2"/>
        <v>Glutamate</v>
      </c>
    </row>
    <row r="51" spans="1:10">
      <c r="A51" t="s">
        <v>160</v>
      </c>
      <c r="B51" s="2" t="s">
        <v>15</v>
      </c>
      <c r="C51" t="s">
        <v>2706</v>
      </c>
      <c r="D51" t="s">
        <v>2707</v>
      </c>
      <c r="E51" t="s">
        <v>2678</v>
      </c>
      <c r="F51">
        <v>1333</v>
      </c>
      <c r="G51" t="s">
        <v>5200</v>
      </c>
      <c r="I51" s="1" t="s">
        <v>2706</v>
      </c>
      <c r="J51" t="str">
        <f t="shared" si="2"/>
        <v>γ-MSH</v>
      </c>
    </row>
    <row r="52" spans="1:10">
      <c r="A52" t="s">
        <v>161</v>
      </c>
      <c r="B52" s="2" t="s">
        <v>15</v>
      </c>
      <c r="C52" t="s">
        <v>248</v>
      </c>
      <c r="D52" t="s">
        <v>2705</v>
      </c>
      <c r="E52" t="s">
        <v>2678</v>
      </c>
      <c r="F52">
        <v>1320</v>
      </c>
      <c r="G52" t="s">
        <v>5200</v>
      </c>
      <c r="I52" s="1" t="s">
        <v>248</v>
      </c>
      <c r="J52" t="str">
        <f t="shared" si="2"/>
        <v>α-MSH</v>
      </c>
    </row>
    <row r="53" spans="1:10">
      <c r="A53" t="s">
        <v>135</v>
      </c>
      <c r="B53" s="2" t="s">
        <v>15</v>
      </c>
      <c r="D53" t="s">
        <v>136</v>
      </c>
      <c r="E53" t="s">
        <v>2678</v>
      </c>
      <c r="F53">
        <v>1204</v>
      </c>
      <c r="G53" t="s">
        <v>5200</v>
      </c>
      <c r="I53" s="1" t="s">
        <v>136</v>
      </c>
      <c r="J53" t="str">
        <f t="shared" si="2"/>
        <v>Histamine</v>
      </c>
    </row>
    <row r="54" spans="1:10">
      <c r="A54" t="s">
        <v>137</v>
      </c>
      <c r="B54" s="2" t="s">
        <v>15</v>
      </c>
      <c r="D54" t="s">
        <v>136</v>
      </c>
      <c r="E54" t="s">
        <v>2678</v>
      </c>
      <c r="F54">
        <v>1204</v>
      </c>
      <c r="G54" t="s">
        <v>5200</v>
      </c>
      <c r="I54" s="1" t="s">
        <v>136</v>
      </c>
      <c r="J54" t="str">
        <f t="shared" si="2"/>
        <v>Histamine</v>
      </c>
    </row>
    <row r="55" spans="1:10">
      <c r="A55" t="s">
        <v>131</v>
      </c>
      <c r="B55" s="2" t="s">
        <v>15</v>
      </c>
      <c r="C55" t="s">
        <v>1262</v>
      </c>
      <c r="D55" t="s">
        <v>2704</v>
      </c>
      <c r="E55" t="s">
        <v>2678</v>
      </c>
      <c r="F55">
        <v>1162</v>
      </c>
      <c r="G55" t="s">
        <v>5200</v>
      </c>
      <c r="I55" s="1" t="s">
        <v>2703</v>
      </c>
      <c r="J55" t="str">
        <f t="shared" si="2"/>
        <v>LH-RH</v>
      </c>
    </row>
    <row r="56" spans="1:10">
      <c r="A56" t="s">
        <v>232</v>
      </c>
      <c r="B56" s="2" t="s">
        <v>53</v>
      </c>
      <c r="C56" t="s">
        <v>2023</v>
      </c>
      <c r="D56" t="s">
        <v>2702</v>
      </c>
      <c r="E56" t="s">
        <v>2678</v>
      </c>
      <c r="F56">
        <v>1152</v>
      </c>
      <c r="G56" t="s">
        <v>5200</v>
      </c>
      <c r="I56" s="1" t="s">
        <v>2023</v>
      </c>
      <c r="J56" t="str">
        <f t="shared" si="2"/>
        <v>VIP</v>
      </c>
    </row>
    <row r="57" spans="1:10">
      <c r="A57" t="s">
        <v>129</v>
      </c>
      <c r="B57" s="2" t="s">
        <v>53</v>
      </c>
      <c r="C57" t="s">
        <v>2700</v>
      </c>
      <c r="D57" t="s">
        <v>2701</v>
      </c>
      <c r="E57" t="s">
        <v>2678</v>
      </c>
      <c r="F57">
        <v>1140</v>
      </c>
      <c r="G57" t="s">
        <v>5200</v>
      </c>
      <c r="I57" s="1" t="s">
        <v>2700</v>
      </c>
      <c r="J57" t="str">
        <f t="shared" si="2"/>
        <v>GLP-2 (1-33)</v>
      </c>
    </row>
    <row r="58" spans="1:10">
      <c r="A58" t="s">
        <v>130</v>
      </c>
      <c r="B58" s="2" t="s">
        <v>53</v>
      </c>
      <c r="D58" t="s">
        <v>2674</v>
      </c>
      <c r="E58" t="s">
        <v>2678</v>
      </c>
      <c r="F58">
        <v>1136</v>
      </c>
      <c r="G58" t="s">
        <v>5200</v>
      </c>
      <c r="I58" s="1" t="s">
        <v>2674</v>
      </c>
      <c r="J58" t="str">
        <f t="shared" si="2"/>
        <v>Glucagon</v>
      </c>
    </row>
    <row r="59" spans="1:10">
      <c r="A59" t="s">
        <v>125</v>
      </c>
      <c r="B59" s="2" t="s">
        <v>15</v>
      </c>
      <c r="D59" t="s">
        <v>126</v>
      </c>
      <c r="E59" t="s">
        <v>2678</v>
      </c>
      <c r="F59">
        <v>1099</v>
      </c>
      <c r="G59" t="s">
        <v>5200</v>
      </c>
      <c r="I59" s="1" t="s">
        <v>126</v>
      </c>
      <c r="J59" t="str">
        <f t="shared" si="2"/>
        <v>Ghrelin</v>
      </c>
    </row>
    <row r="60" spans="1:10">
      <c r="A60" t="s">
        <v>118</v>
      </c>
      <c r="B60" s="2" t="s">
        <v>15</v>
      </c>
      <c r="C60" t="s">
        <v>2699</v>
      </c>
      <c r="D60" t="s">
        <v>242</v>
      </c>
      <c r="E60" t="s">
        <v>2678</v>
      </c>
      <c r="F60" s="6">
        <v>1062</v>
      </c>
      <c r="G60" t="s">
        <v>5200</v>
      </c>
      <c r="I60" s="1" t="s">
        <v>2699</v>
      </c>
      <c r="J60" t="s">
        <v>242</v>
      </c>
    </row>
    <row r="61" spans="1:10">
      <c r="A61" t="s">
        <v>119</v>
      </c>
      <c r="B61" s="2" t="s">
        <v>15</v>
      </c>
      <c r="C61" t="s">
        <v>2699</v>
      </c>
      <c r="D61" t="s">
        <v>242</v>
      </c>
      <c r="E61" t="s">
        <v>2678</v>
      </c>
      <c r="F61" s="6">
        <v>1062</v>
      </c>
      <c r="G61" t="s">
        <v>5200</v>
      </c>
      <c r="I61" s="1" t="s">
        <v>2699</v>
      </c>
      <c r="J61" t="s">
        <v>242</v>
      </c>
    </row>
    <row r="62" spans="1:10">
      <c r="A62" t="s">
        <v>120</v>
      </c>
      <c r="B62" s="2" t="s">
        <v>15</v>
      </c>
      <c r="D62" t="s">
        <v>2698</v>
      </c>
      <c r="E62" t="s">
        <v>2678</v>
      </c>
      <c r="F62">
        <v>1049</v>
      </c>
      <c r="G62" t="s">
        <v>5200</v>
      </c>
      <c r="I62" s="1" t="s">
        <v>2698</v>
      </c>
      <c r="J62" t="str">
        <f t="shared" ref="J62:J69" si="3">I62</f>
        <v>α-linolenic acid</v>
      </c>
    </row>
    <row r="63" spans="1:10">
      <c r="A63" t="s">
        <v>112</v>
      </c>
      <c r="B63" s="2" t="s">
        <v>15</v>
      </c>
      <c r="D63" t="s">
        <v>235</v>
      </c>
      <c r="E63" t="s">
        <v>2678</v>
      </c>
      <c r="F63">
        <v>989</v>
      </c>
      <c r="G63" t="s">
        <v>5200</v>
      </c>
      <c r="I63" s="1" t="s">
        <v>235</v>
      </c>
      <c r="J63" t="str">
        <f t="shared" si="3"/>
        <v>Endothelin-1</v>
      </c>
    </row>
    <row r="64" spans="1:10">
      <c r="A64" t="s">
        <v>106</v>
      </c>
      <c r="B64" s="2" t="s">
        <v>15</v>
      </c>
      <c r="D64" t="s">
        <v>107</v>
      </c>
      <c r="E64" t="s">
        <v>2678</v>
      </c>
      <c r="F64">
        <v>940</v>
      </c>
      <c r="G64" t="s">
        <v>5200</v>
      </c>
      <c r="I64" s="1" t="s">
        <v>107</v>
      </c>
      <c r="J64" t="str">
        <f t="shared" si="3"/>
        <v>Dopamine</v>
      </c>
    </row>
    <row r="65" spans="1:10">
      <c r="A65" t="s">
        <v>108</v>
      </c>
      <c r="B65" s="2" t="s">
        <v>15</v>
      </c>
      <c r="D65" t="s">
        <v>107</v>
      </c>
      <c r="E65" t="s">
        <v>2678</v>
      </c>
      <c r="F65">
        <v>940</v>
      </c>
      <c r="G65" t="s">
        <v>5200</v>
      </c>
      <c r="I65" s="1" t="s">
        <v>107</v>
      </c>
      <c r="J65" t="str">
        <f t="shared" si="3"/>
        <v>Dopamine</v>
      </c>
    </row>
    <row r="66" spans="1:10">
      <c r="A66" t="s">
        <v>111</v>
      </c>
      <c r="B66" s="2" t="s">
        <v>15</v>
      </c>
      <c r="D66" t="s">
        <v>107</v>
      </c>
      <c r="E66" t="s">
        <v>2678</v>
      </c>
      <c r="F66">
        <v>940</v>
      </c>
      <c r="G66" t="s">
        <v>5200</v>
      </c>
      <c r="I66" s="1" t="s">
        <v>107</v>
      </c>
      <c r="J66" t="str">
        <f t="shared" si="3"/>
        <v>Dopamine</v>
      </c>
    </row>
    <row r="67" spans="1:10">
      <c r="A67" t="s">
        <v>2893</v>
      </c>
      <c r="B67" s="2" t="s">
        <v>53</v>
      </c>
      <c r="D67" t="s">
        <v>2697</v>
      </c>
      <c r="E67" t="s">
        <v>2678</v>
      </c>
      <c r="F67">
        <v>921</v>
      </c>
      <c r="G67" t="s">
        <v>5200</v>
      </c>
      <c r="I67" s="1" t="s">
        <v>2697</v>
      </c>
      <c r="J67" t="str">
        <f t="shared" si="3"/>
        <v>Urocortin II</v>
      </c>
    </row>
    <row r="68" spans="1:10">
      <c r="A68" t="s">
        <v>2896</v>
      </c>
      <c r="B68" s="2" t="s">
        <v>53</v>
      </c>
      <c r="C68" t="s">
        <v>983</v>
      </c>
      <c r="D68" t="s">
        <v>2696</v>
      </c>
      <c r="E68" t="s">
        <v>2678</v>
      </c>
      <c r="F68">
        <v>912</v>
      </c>
      <c r="G68" t="s">
        <v>5200</v>
      </c>
      <c r="I68" s="1" t="s">
        <v>983</v>
      </c>
      <c r="J68" t="str">
        <f t="shared" si="3"/>
        <v>CRF</v>
      </c>
    </row>
    <row r="69" spans="1:10">
      <c r="A69" t="s">
        <v>154</v>
      </c>
      <c r="B69" s="2" t="s">
        <v>15</v>
      </c>
      <c r="D69" t="s">
        <v>245</v>
      </c>
      <c r="E69" t="s">
        <v>2678</v>
      </c>
      <c r="F69">
        <v>911</v>
      </c>
      <c r="G69" t="s">
        <v>5200</v>
      </c>
      <c r="I69" s="1" t="s">
        <v>245</v>
      </c>
      <c r="J69" t="str">
        <f t="shared" si="3"/>
        <v>Sphingosine 1-phosphate</v>
      </c>
    </row>
    <row r="70" spans="1:10">
      <c r="A70" t="s">
        <v>80</v>
      </c>
      <c r="B70" s="2" t="s">
        <v>15</v>
      </c>
      <c r="C70" t="s">
        <v>854</v>
      </c>
      <c r="D70" t="s">
        <v>2695</v>
      </c>
      <c r="E70" t="s">
        <v>2678</v>
      </c>
      <c r="F70">
        <v>864</v>
      </c>
      <c r="G70" t="s">
        <v>5200</v>
      </c>
      <c r="I70" s="1" t="s">
        <v>2694</v>
      </c>
      <c r="J70" t="s">
        <v>854</v>
      </c>
    </row>
    <row r="71" spans="1:10">
      <c r="A71" t="s">
        <v>74</v>
      </c>
      <c r="B71" s="2" t="s">
        <v>15</v>
      </c>
      <c r="C71" t="s">
        <v>1004</v>
      </c>
      <c r="D71" t="s">
        <v>2693</v>
      </c>
      <c r="E71" t="s">
        <v>2678</v>
      </c>
      <c r="F71">
        <v>821</v>
      </c>
      <c r="G71" t="s">
        <v>5200</v>
      </c>
      <c r="I71" s="1" t="s">
        <v>1004</v>
      </c>
      <c r="J71" t="str">
        <f t="shared" ref="J71:J80" si="4">I71</f>
        <v>CXCL8</v>
      </c>
    </row>
    <row r="72" spans="1:10">
      <c r="A72" t="s">
        <v>68</v>
      </c>
      <c r="B72" s="2" t="s">
        <v>15</v>
      </c>
      <c r="C72" t="s">
        <v>907</v>
      </c>
      <c r="D72" t="s">
        <v>2692</v>
      </c>
      <c r="E72" t="s">
        <v>2678</v>
      </c>
      <c r="F72">
        <v>771</v>
      </c>
      <c r="G72" t="s">
        <v>5200</v>
      </c>
      <c r="I72" s="1" t="s">
        <v>928</v>
      </c>
      <c r="J72" t="str">
        <f t="shared" si="4"/>
        <v>CCL20</v>
      </c>
    </row>
    <row r="73" spans="1:10">
      <c r="A73" t="s">
        <v>67</v>
      </c>
      <c r="B73" s="2" t="s">
        <v>15</v>
      </c>
      <c r="C73" t="s">
        <v>879</v>
      </c>
      <c r="D73" t="s">
        <v>2691</v>
      </c>
      <c r="E73" t="s">
        <v>2678</v>
      </c>
      <c r="F73">
        <v>756</v>
      </c>
      <c r="G73" t="s">
        <v>5200</v>
      </c>
      <c r="I73" s="1" t="s">
        <v>2690</v>
      </c>
      <c r="J73" t="str">
        <f t="shared" si="4"/>
        <v>CCL3 (MIP-1a)</v>
      </c>
    </row>
    <row r="74" spans="1:10">
      <c r="A74" t="s">
        <v>58</v>
      </c>
      <c r="B74" s="2" t="s">
        <v>15</v>
      </c>
      <c r="D74" t="s">
        <v>2689</v>
      </c>
      <c r="E74" t="s">
        <v>2678</v>
      </c>
      <c r="F74">
        <v>733</v>
      </c>
      <c r="G74" t="s">
        <v>5201</v>
      </c>
      <c r="I74" s="1" t="s">
        <v>2688</v>
      </c>
      <c r="J74" t="str">
        <f t="shared" si="4"/>
        <v>WIN55,212-2</v>
      </c>
    </row>
    <row r="75" spans="1:10">
      <c r="A75" t="s">
        <v>59</v>
      </c>
      <c r="B75" s="2" t="s">
        <v>15</v>
      </c>
      <c r="C75" t="s">
        <v>2688</v>
      </c>
      <c r="D75" t="s">
        <v>2689</v>
      </c>
      <c r="E75" t="s">
        <v>2678</v>
      </c>
      <c r="F75">
        <v>733</v>
      </c>
      <c r="G75" t="s">
        <v>5201</v>
      </c>
      <c r="I75" s="1" t="s">
        <v>2688</v>
      </c>
      <c r="J75" t="str">
        <f t="shared" si="4"/>
        <v>WIN55,212-2</v>
      </c>
    </row>
    <row r="76" spans="1:10">
      <c r="A76" t="s">
        <v>252</v>
      </c>
      <c r="B76" s="2">
        <v>0</v>
      </c>
      <c r="D76" t="s">
        <v>2687</v>
      </c>
      <c r="E76" t="s">
        <v>2678</v>
      </c>
      <c r="F76">
        <v>687</v>
      </c>
      <c r="G76" t="s">
        <v>5200</v>
      </c>
      <c r="I76" s="1" t="s">
        <v>2687</v>
      </c>
      <c r="J76" t="str">
        <f t="shared" si="4"/>
        <v>Amylin</v>
      </c>
    </row>
    <row r="77" spans="1:10">
      <c r="A77" t="s">
        <v>55</v>
      </c>
      <c r="B77" s="2" t="s">
        <v>53</v>
      </c>
      <c r="D77" t="s">
        <v>56</v>
      </c>
      <c r="E77" t="s">
        <v>2678</v>
      </c>
      <c r="F77">
        <v>685</v>
      </c>
      <c r="G77" t="s">
        <v>5200</v>
      </c>
      <c r="I77" s="1" t="s">
        <v>56</v>
      </c>
      <c r="J77" t="str">
        <f t="shared" si="4"/>
        <v>Calcitonin</v>
      </c>
    </row>
    <row r="78" spans="1:10">
      <c r="A78" t="s">
        <v>52</v>
      </c>
      <c r="B78" s="2" t="s">
        <v>15</v>
      </c>
      <c r="D78" t="s">
        <v>2686</v>
      </c>
      <c r="E78" t="s">
        <v>2678</v>
      </c>
      <c r="F78">
        <v>650</v>
      </c>
      <c r="G78" t="s">
        <v>5200</v>
      </c>
      <c r="I78" s="1" t="s">
        <v>2686</v>
      </c>
      <c r="J78" t="str">
        <f t="shared" si="4"/>
        <v>Kallidin</v>
      </c>
    </row>
    <row r="79" spans="1:10">
      <c r="A79" t="s">
        <v>54</v>
      </c>
      <c r="B79" s="2" t="s">
        <v>15</v>
      </c>
      <c r="D79" t="s">
        <v>2686</v>
      </c>
      <c r="E79" t="s">
        <v>2678</v>
      </c>
      <c r="F79">
        <v>650</v>
      </c>
      <c r="G79" t="s">
        <v>5200</v>
      </c>
      <c r="I79" s="1" t="s">
        <v>2686</v>
      </c>
      <c r="J79" t="str">
        <f t="shared" si="4"/>
        <v>Kallidin</v>
      </c>
    </row>
    <row r="80" spans="1:10">
      <c r="A80" t="s">
        <v>48</v>
      </c>
      <c r="B80" s="2" t="s">
        <v>15</v>
      </c>
      <c r="D80" t="s">
        <v>2685</v>
      </c>
      <c r="E80" t="s">
        <v>2678</v>
      </c>
      <c r="F80">
        <v>611</v>
      </c>
      <c r="G80" t="s">
        <v>5200</v>
      </c>
      <c r="I80" s="1" t="s">
        <v>2685</v>
      </c>
      <c r="J80" t="str">
        <f t="shared" si="4"/>
        <v>Litocholic acid</v>
      </c>
    </row>
    <row r="81" spans="1:10">
      <c r="A81" t="s">
        <v>45</v>
      </c>
      <c r="B81" s="2" t="s">
        <v>15</v>
      </c>
      <c r="D81" t="s">
        <v>2684</v>
      </c>
      <c r="E81" t="s">
        <v>2678</v>
      </c>
      <c r="F81">
        <v>599</v>
      </c>
      <c r="G81" t="s">
        <v>5200</v>
      </c>
      <c r="I81" s="1" t="s">
        <v>2684</v>
      </c>
      <c r="J81" t="s">
        <v>47</v>
      </c>
    </row>
    <row r="82" spans="1:10">
      <c r="A82" t="s">
        <v>103</v>
      </c>
      <c r="B82" s="2" t="s">
        <v>15</v>
      </c>
      <c r="C82" t="s">
        <v>793</v>
      </c>
      <c r="D82" t="s">
        <v>2683</v>
      </c>
      <c r="E82" t="s">
        <v>2678</v>
      </c>
      <c r="F82">
        <v>573</v>
      </c>
      <c r="G82" t="s">
        <v>5200</v>
      </c>
      <c r="I82" s="1" t="s">
        <v>793</v>
      </c>
      <c r="J82" t="str">
        <f>I82</f>
        <v>C5a</v>
      </c>
    </row>
    <row r="83" spans="1:10">
      <c r="A83" t="s">
        <v>91</v>
      </c>
      <c r="B83" s="2" t="s">
        <v>15</v>
      </c>
      <c r="C83" t="s">
        <v>2681</v>
      </c>
      <c r="D83" t="s">
        <v>2682</v>
      </c>
      <c r="E83" t="s">
        <v>2678</v>
      </c>
      <c r="F83">
        <v>566</v>
      </c>
      <c r="G83" t="s">
        <v>5200</v>
      </c>
      <c r="I83" s="1" t="s">
        <v>2681</v>
      </c>
      <c r="J83" t="str">
        <f>I83</f>
        <v>Zn2+</v>
      </c>
    </row>
    <row r="84" spans="1:10">
      <c r="A84" t="s">
        <v>34</v>
      </c>
      <c r="B84" s="2" t="s">
        <v>15</v>
      </c>
      <c r="D84" t="s">
        <v>2680</v>
      </c>
      <c r="E84" t="s">
        <v>2678</v>
      </c>
      <c r="F84">
        <v>484</v>
      </c>
      <c r="G84" t="s">
        <v>5200</v>
      </c>
      <c r="I84" s="1" t="s">
        <v>2680</v>
      </c>
      <c r="J84" t="s">
        <v>389</v>
      </c>
    </row>
    <row r="85" spans="1:10">
      <c r="A85" t="s">
        <v>37</v>
      </c>
      <c r="B85" s="2" t="s">
        <v>15</v>
      </c>
      <c r="D85" t="s">
        <v>2680</v>
      </c>
      <c r="E85" t="s">
        <v>2678</v>
      </c>
      <c r="F85">
        <v>484</v>
      </c>
      <c r="G85" t="s">
        <v>5200</v>
      </c>
      <c r="I85" s="1" t="s">
        <v>2680</v>
      </c>
      <c r="J85" t="s">
        <v>389</v>
      </c>
    </row>
    <row r="86" spans="1:10">
      <c r="A86" t="s">
        <v>38</v>
      </c>
      <c r="B86" s="2" t="s">
        <v>15</v>
      </c>
      <c r="D86" t="s">
        <v>2680</v>
      </c>
      <c r="E86" t="s">
        <v>2678</v>
      </c>
      <c r="F86">
        <v>484</v>
      </c>
      <c r="G86" t="s">
        <v>5200</v>
      </c>
      <c r="I86" s="1" t="s">
        <v>2680</v>
      </c>
      <c r="J86" t="s">
        <v>389</v>
      </c>
    </row>
    <row r="87" spans="1:10">
      <c r="A87" t="s">
        <v>39</v>
      </c>
      <c r="B87" s="2" t="s">
        <v>15</v>
      </c>
      <c r="D87" t="s">
        <v>2680</v>
      </c>
      <c r="E87" t="s">
        <v>2678</v>
      </c>
      <c r="F87">
        <v>484</v>
      </c>
      <c r="G87" t="s">
        <v>5200</v>
      </c>
      <c r="I87" s="1" t="s">
        <v>2680</v>
      </c>
      <c r="J87" t="s">
        <v>389</v>
      </c>
    </row>
    <row r="88" spans="1:10">
      <c r="A88" t="s">
        <v>40</v>
      </c>
      <c r="B88" s="2" t="s">
        <v>15</v>
      </c>
      <c r="D88" t="s">
        <v>2680</v>
      </c>
      <c r="E88" t="s">
        <v>2678</v>
      </c>
      <c r="F88">
        <v>484</v>
      </c>
      <c r="G88" t="s">
        <v>5200</v>
      </c>
      <c r="I88" s="1" t="s">
        <v>2680</v>
      </c>
      <c r="J88" t="s">
        <v>389</v>
      </c>
    </row>
    <row r="89" spans="1:10">
      <c r="A89" t="s">
        <v>41</v>
      </c>
      <c r="B89" s="2" t="s">
        <v>15</v>
      </c>
      <c r="D89" t="s">
        <v>2680</v>
      </c>
      <c r="E89" t="s">
        <v>2678</v>
      </c>
      <c r="F89">
        <v>484</v>
      </c>
      <c r="G89" t="s">
        <v>5200</v>
      </c>
      <c r="I89" s="1" t="s">
        <v>2680</v>
      </c>
      <c r="J89" t="s">
        <v>389</v>
      </c>
    </row>
    <row r="90" spans="1:10">
      <c r="A90" t="s">
        <v>26</v>
      </c>
      <c r="B90" s="2" t="s">
        <v>15</v>
      </c>
      <c r="D90" t="s">
        <v>2679</v>
      </c>
      <c r="E90" t="s">
        <v>2678</v>
      </c>
      <c r="F90">
        <v>294</v>
      </c>
      <c r="G90" t="s">
        <v>5200</v>
      </c>
      <c r="I90" s="1" t="s">
        <v>2679</v>
      </c>
      <c r="J90" t="str">
        <f t="shared" ref="J90:J101" si="5">I90</f>
        <v>Acetylcholine</v>
      </c>
    </row>
    <row r="91" spans="1:10">
      <c r="A91" t="s">
        <v>27</v>
      </c>
      <c r="B91" s="2" t="s">
        <v>15</v>
      </c>
      <c r="D91" t="s">
        <v>2679</v>
      </c>
      <c r="E91" t="s">
        <v>2678</v>
      </c>
      <c r="F91">
        <v>294</v>
      </c>
      <c r="G91" t="s">
        <v>5200</v>
      </c>
      <c r="I91" s="1" t="s">
        <v>2679</v>
      </c>
      <c r="J91" t="str">
        <f t="shared" si="5"/>
        <v>Acetylcholine</v>
      </c>
    </row>
    <row r="92" spans="1:10">
      <c r="A92" t="s">
        <v>28</v>
      </c>
      <c r="B92" s="2" t="s">
        <v>15</v>
      </c>
      <c r="D92" t="s">
        <v>2679</v>
      </c>
      <c r="E92" t="s">
        <v>2678</v>
      </c>
      <c r="F92">
        <v>294</v>
      </c>
      <c r="G92" t="s">
        <v>5200</v>
      </c>
      <c r="I92" s="1" t="s">
        <v>2679</v>
      </c>
      <c r="J92" t="str">
        <f t="shared" si="5"/>
        <v>Acetylcholine</v>
      </c>
    </row>
    <row r="93" spans="1:10">
      <c r="A93" t="s">
        <v>29</v>
      </c>
      <c r="B93" s="2" t="s">
        <v>15</v>
      </c>
      <c r="D93" t="s">
        <v>2679</v>
      </c>
      <c r="E93" t="s">
        <v>2678</v>
      </c>
      <c r="F93">
        <v>294</v>
      </c>
      <c r="G93" t="s">
        <v>5200</v>
      </c>
      <c r="I93" s="1" t="s">
        <v>2679</v>
      </c>
      <c r="J93" t="str">
        <f t="shared" si="5"/>
        <v>Acetylcholine</v>
      </c>
    </row>
    <row r="94" spans="1:10">
      <c r="A94" t="s">
        <v>164</v>
      </c>
      <c r="B94" s="2" t="s">
        <v>15</v>
      </c>
      <c r="D94" t="s">
        <v>165</v>
      </c>
      <c r="E94" t="s">
        <v>2678</v>
      </c>
      <c r="F94">
        <v>224</v>
      </c>
      <c r="G94" t="s">
        <v>5200</v>
      </c>
      <c r="I94" s="1" t="s">
        <v>165</v>
      </c>
      <c r="J94" t="str">
        <f t="shared" si="5"/>
        <v>Melatonin</v>
      </c>
    </row>
    <row r="95" spans="1:10">
      <c r="A95" t="s">
        <v>166</v>
      </c>
      <c r="B95" s="2" t="s">
        <v>15</v>
      </c>
      <c r="D95" t="s">
        <v>165</v>
      </c>
      <c r="E95" t="s">
        <v>2678</v>
      </c>
      <c r="F95">
        <v>224</v>
      </c>
      <c r="G95" t="s">
        <v>5200</v>
      </c>
      <c r="I95" s="1" t="s">
        <v>165</v>
      </c>
      <c r="J95" t="str">
        <f t="shared" si="5"/>
        <v>Melatonin</v>
      </c>
    </row>
    <row r="96" spans="1:10">
      <c r="A96" t="s">
        <v>14</v>
      </c>
      <c r="B96" s="2" t="s">
        <v>15</v>
      </c>
      <c r="D96" t="s">
        <v>243</v>
      </c>
      <c r="E96" t="s">
        <v>2678</v>
      </c>
      <c r="F96">
        <v>5</v>
      </c>
      <c r="G96" t="s">
        <v>5200</v>
      </c>
      <c r="I96" s="1" t="s">
        <v>243</v>
      </c>
      <c r="J96" t="str">
        <f t="shared" si="5"/>
        <v>Serotonin</v>
      </c>
    </row>
    <row r="97" spans="1:10">
      <c r="A97" t="s">
        <v>16</v>
      </c>
      <c r="B97" s="2" t="s">
        <v>15</v>
      </c>
      <c r="D97" t="s">
        <v>243</v>
      </c>
      <c r="E97" t="s">
        <v>2678</v>
      </c>
      <c r="F97">
        <v>5</v>
      </c>
      <c r="G97" t="s">
        <v>5200</v>
      </c>
      <c r="I97" s="1" t="s">
        <v>243</v>
      </c>
      <c r="J97" t="str">
        <f t="shared" si="5"/>
        <v>Serotonin</v>
      </c>
    </row>
    <row r="98" spans="1:10">
      <c r="A98" t="s">
        <v>17</v>
      </c>
      <c r="B98" s="2" t="s">
        <v>15</v>
      </c>
      <c r="D98" t="s">
        <v>243</v>
      </c>
      <c r="E98" t="s">
        <v>2678</v>
      </c>
      <c r="F98">
        <v>5</v>
      </c>
      <c r="G98" t="s">
        <v>5200</v>
      </c>
      <c r="I98" s="1" t="s">
        <v>243</v>
      </c>
      <c r="J98" t="str">
        <f t="shared" si="5"/>
        <v>Serotonin</v>
      </c>
    </row>
    <row r="99" spans="1:10">
      <c r="A99" t="s">
        <v>20</v>
      </c>
      <c r="B99" s="2" t="s">
        <v>15</v>
      </c>
      <c r="D99" t="s">
        <v>243</v>
      </c>
      <c r="E99" t="s">
        <v>2678</v>
      </c>
      <c r="F99">
        <v>5</v>
      </c>
      <c r="G99" t="s">
        <v>5200</v>
      </c>
      <c r="I99" s="1" t="s">
        <v>243</v>
      </c>
      <c r="J99" t="str">
        <f t="shared" si="5"/>
        <v>Serotonin</v>
      </c>
    </row>
    <row r="100" spans="1:10">
      <c r="A100" t="s">
        <v>21</v>
      </c>
      <c r="B100" s="2" t="s">
        <v>15</v>
      </c>
      <c r="D100" t="s">
        <v>243</v>
      </c>
      <c r="E100" t="s">
        <v>2678</v>
      </c>
      <c r="F100">
        <v>5</v>
      </c>
      <c r="G100" t="s">
        <v>5200</v>
      </c>
      <c r="I100" s="1" t="s">
        <v>243</v>
      </c>
      <c r="J100" t="str">
        <f t="shared" si="5"/>
        <v>Serotonin</v>
      </c>
    </row>
    <row r="101" spans="1:10">
      <c r="A101" t="s">
        <v>22</v>
      </c>
      <c r="B101" s="2" t="s">
        <v>15</v>
      </c>
      <c r="D101" t="s">
        <v>243</v>
      </c>
      <c r="E101" t="s">
        <v>2678</v>
      </c>
      <c r="F101">
        <v>5</v>
      </c>
      <c r="G101" t="s">
        <v>5200</v>
      </c>
      <c r="I101" s="1" t="s">
        <v>243</v>
      </c>
      <c r="J101" t="str">
        <f t="shared" si="5"/>
        <v>Serotonin</v>
      </c>
    </row>
    <row r="102" spans="1:10">
      <c r="B102" s="2"/>
      <c r="I102" s="1"/>
    </row>
    <row r="103" spans="1:10">
      <c r="B103" s="2"/>
      <c r="I103" s="1"/>
    </row>
    <row r="104" spans="1:10">
      <c r="B104" s="2"/>
      <c r="I104" s="1"/>
    </row>
    <row r="105" spans="1:10">
      <c r="B105" s="2"/>
      <c r="I105" s="1"/>
    </row>
    <row r="106" spans="1:10">
      <c r="B106" s="2"/>
      <c r="I106" s="1"/>
    </row>
    <row r="107" spans="1:10">
      <c r="B107" s="2"/>
      <c r="I107" s="1"/>
    </row>
    <row r="108" spans="1:10">
      <c r="B108" s="2"/>
      <c r="I108" s="1"/>
    </row>
    <row r="109" spans="1:10">
      <c r="B109" s="2"/>
      <c r="I109" s="1"/>
    </row>
    <row r="110" spans="1:10">
      <c r="B110" s="2"/>
      <c r="I110" s="1"/>
    </row>
    <row r="111" spans="1:10">
      <c r="B111" s="2"/>
      <c r="I111" s="1"/>
    </row>
    <row r="112" spans="1:10">
      <c r="B112" s="2"/>
      <c r="I112" s="1"/>
    </row>
    <row r="113" spans="2:9">
      <c r="B113" s="2"/>
      <c r="I113" s="1"/>
    </row>
    <row r="114" spans="2:9">
      <c r="B114" s="2"/>
      <c r="I114" s="1"/>
    </row>
    <row r="115" spans="2:9">
      <c r="B115" s="2"/>
      <c r="I115" s="1"/>
    </row>
    <row r="116" spans="2:9">
      <c r="B116" s="2"/>
      <c r="I116" s="1"/>
    </row>
    <row r="117" spans="2:9">
      <c r="B117" s="2"/>
      <c r="I117" s="1"/>
    </row>
    <row r="118" spans="2:9">
      <c r="B118" s="2"/>
      <c r="I118" s="1"/>
    </row>
    <row r="119" spans="2:9">
      <c r="B119" s="2"/>
      <c r="I119" s="1"/>
    </row>
    <row r="120" spans="2:9">
      <c r="B120" s="2"/>
      <c r="I120" s="1"/>
    </row>
    <row r="121" spans="2:9">
      <c r="B121" s="2"/>
      <c r="I121" s="1"/>
    </row>
    <row r="122" spans="2:9">
      <c r="B122" s="2"/>
      <c r="I122" s="1"/>
    </row>
    <row r="123" spans="2:9">
      <c r="B123" s="2"/>
      <c r="I123" s="1"/>
    </row>
    <row r="124" spans="2:9">
      <c r="B124" s="2"/>
      <c r="I124" s="1"/>
    </row>
    <row r="125" spans="2:9">
      <c r="B125" s="2"/>
      <c r="I125" s="1"/>
    </row>
    <row r="126" spans="2:9">
      <c r="B126" s="2"/>
      <c r="I126" s="1"/>
    </row>
    <row r="127" spans="2:9">
      <c r="B127" s="2"/>
      <c r="I127" s="1"/>
    </row>
    <row r="128" spans="2:9">
      <c r="B128" s="2"/>
      <c r="I128" s="1"/>
    </row>
    <row r="129" spans="2:9">
      <c r="B129" s="2"/>
      <c r="I129" s="1"/>
    </row>
    <row r="130" spans="2:9">
      <c r="B130" s="2"/>
      <c r="I130" s="1"/>
    </row>
    <row r="131" spans="2:9">
      <c r="B131" s="2"/>
      <c r="I131" s="1"/>
    </row>
    <row r="132" spans="2:9">
      <c r="B132" s="2"/>
      <c r="I132" s="1"/>
    </row>
    <row r="133" spans="2:9">
      <c r="B133" s="2"/>
      <c r="I133" s="1"/>
    </row>
    <row r="134" spans="2:9">
      <c r="B134" s="2"/>
      <c r="I134" s="1"/>
    </row>
    <row r="135" spans="2:9">
      <c r="B135" s="2"/>
      <c r="I135" s="1"/>
    </row>
    <row r="136" spans="2:9">
      <c r="B136" s="2"/>
      <c r="I136" s="1"/>
    </row>
    <row r="137" spans="2:9">
      <c r="B137" s="2"/>
      <c r="I137" s="1"/>
    </row>
    <row r="138" spans="2:9">
      <c r="B138" s="2"/>
      <c r="I138" s="1"/>
    </row>
    <row r="139" spans="2:9">
      <c r="B139" s="2"/>
      <c r="I139" s="1"/>
    </row>
    <row r="140" spans="2:9">
      <c r="B140" s="2"/>
      <c r="I140" s="1"/>
    </row>
    <row r="141" spans="2:9">
      <c r="B141" s="2"/>
      <c r="I141" s="1"/>
    </row>
    <row r="142" spans="2:9">
      <c r="B142" s="2"/>
      <c r="I142" s="1"/>
    </row>
    <row r="143" spans="2:9">
      <c r="B143" s="2"/>
      <c r="I143" s="1"/>
    </row>
    <row r="144" spans="2:9">
      <c r="B144" s="2"/>
      <c r="I144" s="1"/>
    </row>
    <row r="145" spans="2:9">
      <c r="B145" s="2"/>
      <c r="I145" s="1"/>
    </row>
    <row r="146" spans="2:9">
      <c r="B146" s="2"/>
      <c r="I146" s="1"/>
    </row>
    <row r="147" spans="2:9">
      <c r="B147" s="2"/>
      <c r="I147" s="1"/>
    </row>
    <row r="148" spans="2:9">
      <c r="B148" s="2"/>
      <c r="I148" s="1"/>
    </row>
    <row r="149" spans="2:9">
      <c r="B149" s="2"/>
      <c r="I149" s="1"/>
    </row>
    <row r="150" spans="2:9">
      <c r="B150" s="2"/>
      <c r="I150" s="1"/>
    </row>
    <row r="151" spans="2:9">
      <c r="B151" s="2"/>
      <c r="I151" s="1"/>
    </row>
    <row r="152" spans="2:9">
      <c r="B152" s="2"/>
      <c r="I152" s="1"/>
    </row>
    <row r="153" spans="2:9">
      <c r="B153" s="2"/>
      <c r="I153" s="1"/>
    </row>
    <row r="154" spans="2:9">
      <c r="B154" s="2"/>
      <c r="I154" s="1"/>
    </row>
    <row r="155" spans="2:9">
      <c r="B155" s="2"/>
      <c r="I155" s="1"/>
    </row>
    <row r="156" spans="2:9">
      <c r="B156" s="2"/>
      <c r="I156" s="1"/>
    </row>
    <row r="157" spans="2:9">
      <c r="B157" s="2"/>
      <c r="I157" s="1"/>
    </row>
    <row r="158" spans="2:9">
      <c r="B158" s="2"/>
      <c r="I158" s="1"/>
    </row>
    <row r="159" spans="2:9">
      <c r="B159" s="2"/>
      <c r="I159" s="1"/>
    </row>
    <row r="160" spans="2:9">
      <c r="B160" s="2"/>
      <c r="I160" s="1"/>
    </row>
    <row r="161" spans="2:9">
      <c r="B161" s="2"/>
      <c r="I161" s="1"/>
    </row>
    <row r="162" spans="2:9">
      <c r="B162" s="2"/>
      <c r="I162" s="1"/>
    </row>
    <row r="163" spans="2:9">
      <c r="B163" s="2"/>
      <c r="I163" s="1"/>
    </row>
    <row r="164" spans="2:9">
      <c r="B164" s="2"/>
      <c r="I164" s="1"/>
    </row>
    <row r="165" spans="2:9">
      <c r="B165" s="2"/>
      <c r="I165" s="1"/>
    </row>
    <row r="166" spans="2:9">
      <c r="B166" s="2"/>
      <c r="I166" s="1"/>
    </row>
    <row r="167" spans="2:9">
      <c r="B167" s="2"/>
      <c r="I167" s="1"/>
    </row>
    <row r="168" spans="2:9">
      <c r="B168" s="2"/>
      <c r="I168" s="1"/>
    </row>
    <row r="169" spans="2:9">
      <c r="B169" s="2"/>
      <c r="I169" s="1"/>
    </row>
    <row r="170" spans="2:9">
      <c r="B170" s="2"/>
      <c r="I170" s="1"/>
    </row>
    <row r="171" spans="2:9">
      <c r="B171" s="2"/>
      <c r="I171" s="1"/>
    </row>
    <row r="172" spans="2:9">
      <c r="B172" s="2"/>
      <c r="I172" s="1"/>
    </row>
    <row r="173" spans="2:9">
      <c r="B173" s="2"/>
      <c r="I173" s="1"/>
    </row>
    <row r="174" spans="2:9">
      <c r="B174" s="2"/>
      <c r="I174" s="1"/>
    </row>
    <row r="175" spans="2:9">
      <c r="B175" s="2"/>
      <c r="I175" s="1"/>
    </row>
    <row r="176" spans="2:9">
      <c r="B176" s="2"/>
      <c r="I176" s="1"/>
    </row>
    <row r="177" spans="2:9">
      <c r="B177" s="2"/>
      <c r="I177" s="1"/>
    </row>
    <row r="178" spans="2:9">
      <c r="B178" s="2"/>
      <c r="I178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E66B-BCCD-3A4B-86ED-32539805C1D5}">
  <sheetPr>
    <tabColor rgb="FF92D050"/>
  </sheetPr>
  <dimension ref="A1:H151"/>
  <sheetViews>
    <sheetView zoomScale="140" zoomScaleNormal="140" workbookViewId="0">
      <pane ySplit="1" topLeftCell="A2" activePane="bottomLeft" state="frozen"/>
      <selection sqref="A1:XFD1"/>
      <selection pane="bottomLeft" sqref="A1:A1048576"/>
    </sheetView>
  </sheetViews>
  <sheetFormatPr baseColWidth="10" defaultRowHeight="16"/>
  <cols>
    <col min="1" max="1" width="12.83203125" bestFit="1" customWidth="1"/>
    <col min="2" max="2" width="3.33203125" style="9" bestFit="1" customWidth="1"/>
    <col min="3" max="3" width="20.5" customWidth="1"/>
    <col min="4" max="4" width="24.33203125" customWidth="1"/>
    <col min="5" max="5" width="7.1640625" bestFit="1" customWidth="1"/>
    <col min="6" max="6" width="5.5" bestFit="1" customWidth="1"/>
    <col min="7" max="7" width="5.83203125" bestFit="1" customWidth="1"/>
    <col min="8" max="8" width="12.5" bestFit="1" customWidth="1"/>
  </cols>
  <sheetData>
    <row r="1" spans="1:8" s="115" customFormat="1" ht="51">
      <c r="A1" s="118" t="s">
        <v>254</v>
      </c>
      <c r="B1" s="119" t="s">
        <v>13</v>
      </c>
      <c r="C1" s="120" t="s">
        <v>580</v>
      </c>
      <c r="D1" s="120" t="s">
        <v>581</v>
      </c>
      <c r="E1" s="121" t="s">
        <v>11</v>
      </c>
      <c r="F1" s="122" t="s">
        <v>12</v>
      </c>
      <c r="G1" s="122" t="s">
        <v>5199</v>
      </c>
      <c r="H1" s="123" t="s">
        <v>348</v>
      </c>
    </row>
    <row r="2" spans="1:8">
      <c r="A2" t="s">
        <v>188</v>
      </c>
      <c r="B2" s="2" t="s">
        <v>15</v>
      </c>
      <c r="C2" s="3" t="s">
        <v>534</v>
      </c>
      <c r="D2" s="4" t="s">
        <v>535</v>
      </c>
      <c r="E2" s="6" t="s">
        <v>583</v>
      </c>
      <c r="F2" s="6">
        <v>3636</v>
      </c>
      <c r="G2" t="s">
        <v>5200</v>
      </c>
      <c r="H2" s="5" t="s">
        <v>536</v>
      </c>
    </row>
    <row r="3" spans="1:8">
      <c r="A3" t="s">
        <v>86</v>
      </c>
      <c r="B3" s="2" t="s">
        <v>15</v>
      </c>
      <c r="C3" s="3" t="s">
        <v>233</v>
      </c>
      <c r="D3" s="4" t="s">
        <v>233</v>
      </c>
      <c r="E3" s="6" t="s">
        <v>583</v>
      </c>
      <c r="F3" s="11">
        <v>2752</v>
      </c>
      <c r="G3" t="s">
        <v>5200</v>
      </c>
      <c r="H3" s="5" t="s">
        <v>352</v>
      </c>
    </row>
    <row r="4" spans="1:8">
      <c r="A4" t="s">
        <v>45</v>
      </c>
      <c r="B4" s="2" t="s">
        <v>15</v>
      </c>
      <c r="C4" s="3" t="s">
        <v>349</v>
      </c>
      <c r="D4" s="4" t="s">
        <v>350</v>
      </c>
      <c r="E4" s="6" t="s">
        <v>583</v>
      </c>
      <c r="F4" s="11">
        <v>605</v>
      </c>
      <c r="G4" t="s">
        <v>5200</v>
      </c>
      <c r="H4" s="5" t="s">
        <v>351</v>
      </c>
    </row>
    <row r="5" spans="1:8">
      <c r="A5" t="s">
        <v>94</v>
      </c>
      <c r="B5" s="2" t="s">
        <v>15</v>
      </c>
      <c r="C5" s="3" t="s">
        <v>519</v>
      </c>
      <c r="D5" s="4" t="s">
        <v>520</v>
      </c>
      <c r="E5" s="6" t="s">
        <v>583</v>
      </c>
      <c r="F5" s="11">
        <v>4058</v>
      </c>
      <c r="G5" t="s">
        <v>5200</v>
      </c>
      <c r="H5" s="5" t="s">
        <v>521</v>
      </c>
    </row>
    <row r="6" spans="1:8">
      <c r="A6" t="s">
        <v>50</v>
      </c>
      <c r="B6" s="2" t="s">
        <v>15</v>
      </c>
      <c r="C6" s="3" t="s">
        <v>49</v>
      </c>
      <c r="D6" s="4" t="s">
        <v>502</v>
      </c>
      <c r="E6" s="6" t="s">
        <v>583</v>
      </c>
      <c r="F6" s="6">
        <v>616</v>
      </c>
      <c r="G6" t="s">
        <v>5200</v>
      </c>
      <c r="H6" s="5" t="s">
        <v>503</v>
      </c>
    </row>
    <row r="7" spans="1:8">
      <c r="A7" t="s">
        <v>93</v>
      </c>
      <c r="B7" s="2" t="s">
        <v>15</v>
      </c>
      <c r="C7" s="3" t="s">
        <v>451</v>
      </c>
      <c r="D7" s="4" t="s">
        <v>250</v>
      </c>
      <c r="E7" s="6" t="s">
        <v>583</v>
      </c>
      <c r="F7" s="6">
        <v>5532</v>
      </c>
      <c r="G7" t="s">
        <v>5200</v>
      </c>
      <c r="H7" s="5" t="s">
        <v>452</v>
      </c>
    </row>
    <row r="8" spans="1:8">
      <c r="A8" t="s">
        <v>80</v>
      </c>
      <c r="B8" s="2" t="s">
        <v>15</v>
      </c>
      <c r="C8" s="3" t="s">
        <v>365</v>
      </c>
      <c r="D8" s="4" t="s">
        <v>366</v>
      </c>
      <c r="E8" s="6" t="s">
        <v>583</v>
      </c>
      <c r="F8" s="6">
        <v>864</v>
      </c>
      <c r="G8" t="s">
        <v>5200</v>
      </c>
      <c r="H8" s="5" t="s">
        <v>367</v>
      </c>
    </row>
    <row r="9" spans="1:8">
      <c r="A9" t="s">
        <v>81</v>
      </c>
      <c r="B9" s="2" t="s">
        <v>15</v>
      </c>
      <c r="C9" s="3" t="s">
        <v>462</v>
      </c>
      <c r="D9" s="4" t="s">
        <v>366</v>
      </c>
      <c r="E9" s="6" t="s">
        <v>583</v>
      </c>
      <c r="F9" s="6">
        <v>864</v>
      </c>
      <c r="G9" t="s">
        <v>5200</v>
      </c>
      <c r="H9" s="5" t="s">
        <v>367</v>
      </c>
    </row>
    <row r="10" spans="1:8">
      <c r="A10" t="s">
        <v>96</v>
      </c>
      <c r="B10" s="2" t="s">
        <v>15</v>
      </c>
      <c r="C10" s="3" t="s">
        <v>522</v>
      </c>
      <c r="D10" s="4" t="s">
        <v>523</v>
      </c>
      <c r="E10" s="6" t="s">
        <v>583</v>
      </c>
      <c r="F10" s="6">
        <v>2007</v>
      </c>
      <c r="G10" t="s">
        <v>5200</v>
      </c>
      <c r="H10" s="5" t="s">
        <v>524</v>
      </c>
    </row>
    <row r="11" spans="1:8">
      <c r="A11" t="s">
        <v>114</v>
      </c>
      <c r="B11" s="2" t="s">
        <v>15</v>
      </c>
      <c r="C11" s="3" t="s">
        <v>472</v>
      </c>
      <c r="D11" s="4" t="s">
        <v>473</v>
      </c>
      <c r="E11" s="6" t="s">
        <v>583</v>
      </c>
      <c r="F11" s="6">
        <v>1022</v>
      </c>
      <c r="G11" t="s">
        <v>5200</v>
      </c>
      <c r="H11" s="5" t="s">
        <v>474</v>
      </c>
    </row>
    <row r="12" spans="1:8">
      <c r="A12" t="s">
        <v>124</v>
      </c>
      <c r="B12" s="2" t="s">
        <v>15</v>
      </c>
      <c r="C12" s="3" t="s">
        <v>482</v>
      </c>
      <c r="D12" s="4" t="s">
        <v>483</v>
      </c>
      <c r="E12" s="6" t="s">
        <v>583</v>
      </c>
      <c r="F12" s="6">
        <v>3593</v>
      </c>
      <c r="G12" t="s">
        <v>5200</v>
      </c>
      <c r="H12" s="5" t="s">
        <v>484</v>
      </c>
    </row>
    <row r="13" spans="1:8">
      <c r="A13" t="s">
        <v>127</v>
      </c>
      <c r="B13" s="2" t="s">
        <v>53</v>
      </c>
      <c r="C13" s="3" t="s">
        <v>426</v>
      </c>
      <c r="D13" s="4" t="s">
        <v>427</v>
      </c>
      <c r="E13" s="6" t="s">
        <v>583</v>
      </c>
      <c r="F13" s="6">
        <v>3542</v>
      </c>
      <c r="G13" t="s">
        <v>5200</v>
      </c>
      <c r="H13" s="5" t="s">
        <v>428</v>
      </c>
    </row>
    <row r="14" spans="1:8">
      <c r="A14" t="s">
        <v>142</v>
      </c>
      <c r="B14" s="2" t="s">
        <v>15</v>
      </c>
      <c r="C14" s="3" t="s">
        <v>505</v>
      </c>
      <c r="D14" s="4" t="s">
        <v>506</v>
      </c>
      <c r="E14" s="6" t="s">
        <v>583</v>
      </c>
      <c r="F14" s="6">
        <v>1283</v>
      </c>
      <c r="G14" t="s">
        <v>5200</v>
      </c>
      <c r="H14" s="5" t="s">
        <v>507</v>
      </c>
    </row>
    <row r="15" spans="1:8">
      <c r="A15" t="s">
        <v>146</v>
      </c>
      <c r="B15" s="2" t="s">
        <v>15</v>
      </c>
      <c r="C15" s="3" t="s">
        <v>509</v>
      </c>
      <c r="D15" s="4" t="s">
        <v>251</v>
      </c>
      <c r="E15" s="6" t="s">
        <v>583</v>
      </c>
      <c r="F15" s="6">
        <v>2487</v>
      </c>
      <c r="G15" t="s">
        <v>5200</v>
      </c>
      <c r="H15" s="5" t="s">
        <v>510</v>
      </c>
    </row>
    <row r="16" spans="1:8">
      <c r="A16" t="s">
        <v>144</v>
      </c>
      <c r="B16" s="2" t="s">
        <v>15</v>
      </c>
      <c r="C16" s="3" t="s">
        <v>236</v>
      </c>
      <c r="D16" s="4" t="s">
        <v>236</v>
      </c>
      <c r="E16" s="6" t="s">
        <v>583</v>
      </c>
      <c r="F16" s="6">
        <v>3353</v>
      </c>
      <c r="G16" t="s">
        <v>5200</v>
      </c>
      <c r="H16" s="5" t="s">
        <v>382</v>
      </c>
    </row>
    <row r="17" spans="1:8">
      <c r="A17" t="s">
        <v>145</v>
      </c>
      <c r="B17" s="2" t="s">
        <v>15</v>
      </c>
      <c r="C17" s="3" t="s">
        <v>383</v>
      </c>
      <c r="D17" s="4" t="s">
        <v>236</v>
      </c>
      <c r="E17" s="6" t="s">
        <v>583</v>
      </c>
      <c r="F17" s="6">
        <v>3353</v>
      </c>
      <c r="G17" t="s">
        <v>5200</v>
      </c>
      <c r="H17" s="5" t="s">
        <v>382</v>
      </c>
    </row>
    <row r="18" spans="1:8">
      <c r="A18" t="s">
        <v>148</v>
      </c>
      <c r="B18" s="2" t="s">
        <v>15</v>
      </c>
      <c r="C18" s="3" t="s">
        <v>238</v>
      </c>
      <c r="D18" s="4" t="s">
        <v>2530</v>
      </c>
      <c r="E18" s="6" t="s">
        <v>583</v>
      </c>
      <c r="F18" s="6">
        <v>2906</v>
      </c>
      <c r="G18" t="s">
        <v>5200</v>
      </c>
      <c r="H18" s="5" t="s">
        <v>396</v>
      </c>
    </row>
    <row r="19" spans="1:8">
      <c r="A19" t="s">
        <v>149</v>
      </c>
      <c r="B19" s="2" t="s">
        <v>15</v>
      </c>
      <c r="C19" s="3" t="s">
        <v>238</v>
      </c>
      <c r="D19" s="4" t="s">
        <v>395</v>
      </c>
      <c r="E19" s="6" t="s">
        <v>583</v>
      </c>
      <c r="F19" s="6">
        <v>2906</v>
      </c>
      <c r="G19" t="s">
        <v>5200</v>
      </c>
      <c r="H19" s="5" t="s">
        <v>396</v>
      </c>
    </row>
    <row r="20" spans="1:8">
      <c r="A20" t="s">
        <v>150</v>
      </c>
      <c r="B20" s="2" t="s">
        <v>15</v>
      </c>
      <c r="C20" s="3" t="s">
        <v>508</v>
      </c>
      <c r="D20" s="4" t="s">
        <v>395</v>
      </c>
      <c r="E20" s="6" t="s">
        <v>583</v>
      </c>
      <c r="F20" s="6">
        <v>2906</v>
      </c>
      <c r="G20" t="s">
        <v>5200</v>
      </c>
      <c r="H20" s="5" t="s">
        <v>396</v>
      </c>
    </row>
    <row r="21" spans="1:8">
      <c r="A21" t="s">
        <v>151</v>
      </c>
      <c r="B21" s="2" t="s">
        <v>15</v>
      </c>
      <c r="C21" s="3" t="s">
        <v>238</v>
      </c>
      <c r="D21" s="4" t="s">
        <v>395</v>
      </c>
      <c r="E21" s="6" t="s">
        <v>583</v>
      </c>
      <c r="F21" s="6">
        <v>2906</v>
      </c>
      <c r="G21" t="s">
        <v>5200</v>
      </c>
      <c r="H21" s="5" t="s">
        <v>396</v>
      </c>
    </row>
    <row r="22" spans="1:8">
      <c r="A22" t="s">
        <v>152</v>
      </c>
      <c r="B22" s="2" t="s">
        <v>15</v>
      </c>
      <c r="C22" s="3" t="s">
        <v>508</v>
      </c>
      <c r="D22" s="4" t="s">
        <v>395</v>
      </c>
      <c r="E22" s="6" t="s">
        <v>583</v>
      </c>
      <c r="F22" s="6">
        <v>2906</v>
      </c>
      <c r="G22" t="s">
        <v>5200</v>
      </c>
      <c r="H22" s="5" t="s">
        <v>396</v>
      </c>
    </row>
    <row r="23" spans="1:8">
      <c r="A23" t="s">
        <v>153</v>
      </c>
      <c r="B23" s="2" t="s">
        <v>15</v>
      </c>
      <c r="C23" s="3" t="s">
        <v>238</v>
      </c>
      <c r="D23" s="4" t="s">
        <v>395</v>
      </c>
      <c r="E23" s="6" t="s">
        <v>583</v>
      </c>
      <c r="F23" s="6">
        <v>2906</v>
      </c>
      <c r="G23" t="s">
        <v>5200</v>
      </c>
      <c r="H23" s="5" t="s">
        <v>396</v>
      </c>
    </row>
    <row r="24" spans="1:8">
      <c r="A24" t="s">
        <v>54</v>
      </c>
      <c r="B24" s="2" t="s">
        <v>15</v>
      </c>
      <c r="C24" s="3" t="s">
        <v>438</v>
      </c>
      <c r="D24" s="4" t="s">
        <v>439</v>
      </c>
      <c r="E24" s="6" t="s">
        <v>583</v>
      </c>
      <c r="F24" s="6">
        <v>650</v>
      </c>
      <c r="G24" t="s">
        <v>5200</v>
      </c>
      <c r="H24" s="5" t="s">
        <v>440</v>
      </c>
    </row>
    <row r="25" spans="1:8">
      <c r="A25" t="s">
        <v>158</v>
      </c>
      <c r="B25" s="2" t="s">
        <v>15</v>
      </c>
      <c r="C25" s="3" t="s">
        <v>511</v>
      </c>
      <c r="D25" s="4" t="s">
        <v>512</v>
      </c>
      <c r="E25" s="6" t="s">
        <v>583</v>
      </c>
      <c r="F25" s="6">
        <v>1298</v>
      </c>
      <c r="G25" t="s">
        <v>5200</v>
      </c>
      <c r="H25" s="5" t="s">
        <v>513</v>
      </c>
    </row>
    <row r="26" spans="1:8">
      <c r="A26" t="s">
        <v>159</v>
      </c>
      <c r="B26" s="2" t="s">
        <v>15</v>
      </c>
      <c r="C26" s="3" t="s">
        <v>514</v>
      </c>
      <c r="D26" s="4" t="s">
        <v>515</v>
      </c>
      <c r="E26" s="6" t="s">
        <v>583</v>
      </c>
      <c r="F26" s="6">
        <v>1298</v>
      </c>
      <c r="G26" t="s">
        <v>5200</v>
      </c>
      <c r="H26" s="5" t="s">
        <v>513</v>
      </c>
    </row>
    <row r="27" spans="1:8">
      <c r="A27" t="s">
        <v>183</v>
      </c>
      <c r="B27" s="2" t="s">
        <v>15</v>
      </c>
      <c r="C27" s="3" t="s">
        <v>430</v>
      </c>
      <c r="D27" s="4" t="s">
        <v>431</v>
      </c>
      <c r="E27" s="6" t="s">
        <v>583</v>
      </c>
      <c r="F27" s="6">
        <v>1614</v>
      </c>
      <c r="G27" t="s">
        <v>5200</v>
      </c>
      <c r="H27" s="5" t="s">
        <v>432</v>
      </c>
    </row>
    <row r="28" spans="1:8">
      <c r="A28" t="s">
        <v>181</v>
      </c>
      <c r="B28" s="2" t="s">
        <v>15</v>
      </c>
      <c r="C28" s="3" t="s">
        <v>449</v>
      </c>
      <c r="D28" s="4" t="s">
        <v>450</v>
      </c>
      <c r="E28" s="6" t="s">
        <v>583</v>
      </c>
      <c r="F28" s="6">
        <v>1614</v>
      </c>
      <c r="G28" t="s">
        <v>5200</v>
      </c>
      <c r="H28" s="5" t="s">
        <v>432</v>
      </c>
    </row>
    <row r="29" spans="1:8">
      <c r="A29" t="s">
        <v>172</v>
      </c>
      <c r="B29" s="2" t="s">
        <v>15</v>
      </c>
      <c r="C29" s="3" t="s">
        <v>528</v>
      </c>
      <c r="D29" s="4" t="s">
        <v>529</v>
      </c>
      <c r="E29" s="6" t="s">
        <v>583</v>
      </c>
      <c r="F29" s="6">
        <v>1470</v>
      </c>
      <c r="G29" t="s">
        <v>5200</v>
      </c>
      <c r="H29" s="5" t="s">
        <v>530</v>
      </c>
    </row>
    <row r="30" spans="1:8">
      <c r="A30" t="s">
        <v>173</v>
      </c>
      <c r="B30" s="2" t="s">
        <v>15</v>
      </c>
      <c r="C30" s="3" t="s">
        <v>528</v>
      </c>
      <c r="D30" s="4" t="s">
        <v>529</v>
      </c>
      <c r="E30" s="6" t="s">
        <v>583</v>
      </c>
      <c r="F30" s="6">
        <v>1470</v>
      </c>
      <c r="G30" t="s">
        <v>5200</v>
      </c>
      <c r="H30" s="5" t="s">
        <v>530</v>
      </c>
    </row>
    <row r="31" spans="1:8">
      <c r="A31" t="s">
        <v>184</v>
      </c>
      <c r="B31" s="2" t="s">
        <v>15</v>
      </c>
      <c r="C31" s="3" t="s">
        <v>386</v>
      </c>
      <c r="D31" s="4" t="s">
        <v>387</v>
      </c>
      <c r="E31" s="6" t="s">
        <v>583</v>
      </c>
      <c r="F31" s="6">
        <v>1681</v>
      </c>
      <c r="G31" t="s">
        <v>5200</v>
      </c>
      <c r="H31" s="5" t="s">
        <v>388</v>
      </c>
    </row>
    <row r="32" spans="1:8">
      <c r="A32" t="s">
        <v>34</v>
      </c>
      <c r="B32" s="2" t="s">
        <v>15</v>
      </c>
      <c r="C32" s="3" t="s">
        <v>389</v>
      </c>
      <c r="D32" s="4" t="s">
        <v>390</v>
      </c>
      <c r="E32" s="6" t="s">
        <v>583</v>
      </c>
      <c r="F32" s="6">
        <v>505</v>
      </c>
      <c r="G32" t="s">
        <v>5200</v>
      </c>
      <c r="H32" s="5" t="s">
        <v>391</v>
      </c>
    </row>
    <row r="33" spans="1:8">
      <c r="A33" t="s">
        <v>37</v>
      </c>
      <c r="B33" s="2" t="s">
        <v>15</v>
      </c>
      <c r="C33" s="3" t="s">
        <v>389</v>
      </c>
      <c r="D33" s="4" t="s">
        <v>390</v>
      </c>
      <c r="E33" s="6" t="s">
        <v>583</v>
      </c>
      <c r="F33" s="6">
        <v>505</v>
      </c>
      <c r="G33" t="s">
        <v>5200</v>
      </c>
      <c r="H33" s="5" t="s">
        <v>391</v>
      </c>
    </row>
    <row r="34" spans="1:8">
      <c r="A34" t="s">
        <v>38</v>
      </c>
      <c r="B34" s="2" t="s">
        <v>15</v>
      </c>
      <c r="C34" s="3" t="s">
        <v>392</v>
      </c>
      <c r="D34" s="4" t="s">
        <v>390</v>
      </c>
      <c r="E34" s="6" t="s">
        <v>583</v>
      </c>
      <c r="F34" s="6">
        <v>505</v>
      </c>
      <c r="G34" t="s">
        <v>5200</v>
      </c>
      <c r="H34" s="5" t="s">
        <v>391</v>
      </c>
    </row>
    <row r="35" spans="1:8">
      <c r="A35" t="s">
        <v>39</v>
      </c>
      <c r="B35" s="2" t="s">
        <v>15</v>
      </c>
      <c r="C35" s="3" t="s">
        <v>389</v>
      </c>
      <c r="D35" s="4" t="s">
        <v>390</v>
      </c>
      <c r="E35" s="6" t="s">
        <v>583</v>
      </c>
      <c r="F35" s="6">
        <v>505</v>
      </c>
      <c r="G35" t="s">
        <v>5200</v>
      </c>
      <c r="H35" s="5" t="s">
        <v>391</v>
      </c>
    </row>
    <row r="36" spans="1:8">
      <c r="A36" t="s">
        <v>35</v>
      </c>
      <c r="B36" s="2" t="s">
        <v>15</v>
      </c>
      <c r="C36" s="3" t="s">
        <v>389</v>
      </c>
      <c r="D36" s="4" t="s">
        <v>390</v>
      </c>
      <c r="E36" s="6" t="s">
        <v>583</v>
      </c>
      <c r="F36" s="6">
        <v>505</v>
      </c>
      <c r="G36" t="s">
        <v>5200</v>
      </c>
      <c r="H36" s="5" t="s">
        <v>391</v>
      </c>
    </row>
    <row r="37" spans="1:8">
      <c r="A37" t="s">
        <v>36</v>
      </c>
      <c r="B37" s="2" t="s">
        <v>15</v>
      </c>
      <c r="C37" s="3" t="s">
        <v>392</v>
      </c>
      <c r="D37" s="4" t="s">
        <v>390</v>
      </c>
      <c r="E37" s="6" t="s">
        <v>583</v>
      </c>
      <c r="F37" s="6">
        <v>505</v>
      </c>
      <c r="G37" t="s">
        <v>5200</v>
      </c>
      <c r="H37" s="5" t="s">
        <v>391</v>
      </c>
    </row>
    <row r="38" spans="1:8">
      <c r="A38" t="s">
        <v>231</v>
      </c>
      <c r="B38" s="2" t="s">
        <v>53</v>
      </c>
      <c r="C38" s="3" t="s">
        <v>573</v>
      </c>
      <c r="D38" s="4" t="s">
        <v>574</v>
      </c>
      <c r="E38" s="6" t="s">
        <v>583</v>
      </c>
      <c r="F38" s="6">
        <v>2257</v>
      </c>
      <c r="G38" t="s">
        <v>5200</v>
      </c>
      <c r="H38" s="5" t="s">
        <v>575</v>
      </c>
    </row>
    <row r="39" spans="1:8">
      <c r="A39" t="s">
        <v>117</v>
      </c>
      <c r="B39" s="2" t="s">
        <v>15</v>
      </c>
      <c r="C39" s="3" t="s">
        <v>469</v>
      </c>
      <c r="D39" s="4" t="s">
        <v>470</v>
      </c>
      <c r="E39" s="6" t="s">
        <v>583</v>
      </c>
      <c r="F39" s="6">
        <v>1055</v>
      </c>
      <c r="G39" t="s">
        <v>5200</v>
      </c>
      <c r="H39" s="5" t="s">
        <v>471</v>
      </c>
    </row>
    <row r="40" spans="1:8">
      <c r="A40" t="s">
        <v>210</v>
      </c>
      <c r="B40" s="2" t="s">
        <v>15</v>
      </c>
      <c r="C40" s="3" t="s">
        <v>247</v>
      </c>
      <c r="D40" s="4" t="s">
        <v>246</v>
      </c>
      <c r="E40" s="6" t="s">
        <v>583</v>
      </c>
      <c r="F40" s="6">
        <v>3742</v>
      </c>
      <c r="G40" t="s">
        <v>5200</v>
      </c>
      <c r="H40" s="5" t="s">
        <v>422</v>
      </c>
    </row>
    <row r="41" spans="1:8">
      <c r="A41" t="s">
        <v>211</v>
      </c>
      <c r="B41" s="2" t="s">
        <v>15</v>
      </c>
      <c r="C41" s="3" t="s">
        <v>244</v>
      </c>
      <c r="D41" s="4" t="s">
        <v>414</v>
      </c>
      <c r="E41" s="6" t="s">
        <v>583</v>
      </c>
      <c r="F41" s="6">
        <v>3741</v>
      </c>
      <c r="G41" t="s">
        <v>5200</v>
      </c>
      <c r="H41" s="5" t="s">
        <v>415</v>
      </c>
    </row>
    <row r="42" spans="1:8">
      <c r="A42" t="s">
        <v>198</v>
      </c>
      <c r="B42" s="2" t="s">
        <v>53</v>
      </c>
      <c r="C42" s="3" t="s">
        <v>249</v>
      </c>
      <c r="D42" s="4" t="s">
        <v>2531</v>
      </c>
      <c r="E42" s="6" t="s">
        <v>583</v>
      </c>
      <c r="F42" s="6">
        <v>4448</v>
      </c>
      <c r="G42" t="s">
        <v>5200</v>
      </c>
      <c r="H42" s="5" t="s">
        <v>429</v>
      </c>
    </row>
    <row r="43" spans="1:8">
      <c r="A43" t="s">
        <v>201</v>
      </c>
      <c r="B43" s="2" t="s">
        <v>15</v>
      </c>
      <c r="C43" s="3" t="s">
        <v>2532</v>
      </c>
      <c r="D43" s="4" t="s">
        <v>546</v>
      </c>
      <c r="E43" s="6" t="s">
        <v>583</v>
      </c>
      <c r="F43" s="6">
        <v>1871</v>
      </c>
      <c r="G43" t="s">
        <v>5200</v>
      </c>
      <c r="H43" s="5" t="s">
        <v>547</v>
      </c>
    </row>
    <row r="44" spans="1:8">
      <c r="A44" t="s">
        <v>118</v>
      </c>
      <c r="B44" s="2" t="s">
        <v>15</v>
      </c>
      <c r="C44" s="3" t="s">
        <v>242</v>
      </c>
      <c r="D44" s="4" t="s">
        <v>406</v>
      </c>
      <c r="E44" s="6" t="s">
        <v>583</v>
      </c>
      <c r="F44" s="6">
        <v>1062</v>
      </c>
      <c r="G44" t="s">
        <v>5200</v>
      </c>
      <c r="H44" s="5" t="s">
        <v>407</v>
      </c>
    </row>
    <row r="45" spans="1:8">
      <c r="A45" t="s">
        <v>119</v>
      </c>
      <c r="B45" s="2" t="s">
        <v>15</v>
      </c>
      <c r="C45" s="3" t="s">
        <v>408</v>
      </c>
      <c r="D45" s="4" t="s">
        <v>409</v>
      </c>
      <c r="E45" s="6" t="s">
        <v>583</v>
      </c>
      <c r="F45" s="6">
        <v>1062</v>
      </c>
      <c r="G45" t="s">
        <v>5200</v>
      </c>
      <c r="H45" s="5" t="s">
        <v>407</v>
      </c>
    </row>
    <row r="46" spans="1:8">
      <c r="A46" t="s">
        <v>202</v>
      </c>
      <c r="B46" s="2" t="s">
        <v>15</v>
      </c>
      <c r="C46" s="3" t="s">
        <v>551</v>
      </c>
      <c r="D46" s="4" t="s">
        <v>551</v>
      </c>
      <c r="E46" s="6" t="s">
        <v>583</v>
      </c>
      <c r="F46" s="6">
        <v>1881</v>
      </c>
      <c r="G46" t="s">
        <v>5200</v>
      </c>
      <c r="H46" s="5" t="s">
        <v>552</v>
      </c>
    </row>
    <row r="47" spans="1:8">
      <c r="A47" t="s">
        <v>204</v>
      </c>
      <c r="B47" s="2" t="s">
        <v>15</v>
      </c>
      <c r="C47" s="3" t="s">
        <v>404</v>
      </c>
      <c r="D47" s="4" t="s">
        <v>241</v>
      </c>
      <c r="E47" s="6" t="s">
        <v>583</v>
      </c>
      <c r="F47" s="6">
        <v>1883</v>
      </c>
      <c r="G47" t="s">
        <v>5200</v>
      </c>
      <c r="H47" s="5" t="s">
        <v>405</v>
      </c>
    </row>
    <row r="48" spans="1:8">
      <c r="A48" t="s">
        <v>205</v>
      </c>
      <c r="B48" s="2" t="s">
        <v>15</v>
      </c>
      <c r="C48" s="3" t="s">
        <v>241</v>
      </c>
      <c r="D48" s="4" t="s">
        <v>404</v>
      </c>
      <c r="E48" s="6" t="s">
        <v>583</v>
      </c>
      <c r="F48" s="6">
        <v>1883</v>
      </c>
      <c r="G48" t="s">
        <v>5200</v>
      </c>
      <c r="H48" s="5" t="s">
        <v>405</v>
      </c>
    </row>
    <row r="49" spans="1:8">
      <c r="A49" t="s">
        <v>206</v>
      </c>
      <c r="B49" s="2" t="s">
        <v>15</v>
      </c>
      <c r="C49" s="3" t="s">
        <v>404</v>
      </c>
      <c r="D49" s="4" t="s">
        <v>241</v>
      </c>
      <c r="E49" s="6" t="s">
        <v>583</v>
      </c>
      <c r="F49" s="6">
        <v>1883</v>
      </c>
      <c r="G49" t="s">
        <v>5200</v>
      </c>
      <c r="H49" s="5" t="s">
        <v>405</v>
      </c>
    </row>
    <row r="50" spans="1:8">
      <c r="A50" t="s">
        <v>203</v>
      </c>
      <c r="B50" s="2" t="s">
        <v>15</v>
      </c>
      <c r="C50" s="3" t="s">
        <v>241</v>
      </c>
      <c r="D50" s="4" t="s">
        <v>404</v>
      </c>
      <c r="E50" s="6" t="s">
        <v>583</v>
      </c>
      <c r="F50" s="6">
        <v>1883</v>
      </c>
      <c r="G50" t="s">
        <v>5200</v>
      </c>
      <c r="H50" s="5" t="s">
        <v>405</v>
      </c>
    </row>
    <row r="51" spans="1:8">
      <c r="A51" t="s">
        <v>207</v>
      </c>
      <c r="B51" s="2" t="s">
        <v>15</v>
      </c>
      <c r="C51" s="3" t="s">
        <v>240</v>
      </c>
      <c r="D51" s="4" t="s">
        <v>402</v>
      </c>
      <c r="E51" s="6" t="s">
        <v>583</v>
      </c>
      <c r="F51" s="6">
        <v>1884</v>
      </c>
      <c r="G51" t="s">
        <v>5200</v>
      </c>
      <c r="H51" s="5" t="s">
        <v>403</v>
      </c>
    </row>
    <row r="52" spans="1:8">
      <c r="A52" t="s">
        <v>14</v>
      </c>
      <c r="B52" s="2" t="s">
        <v>15</v>
      </c>
      <c r="C52" s="3" t="s">
        <v>410</v>
      </c>
      <c r="D52" s="4" t="s">
        <v>411</v>
      </c>
      <c r="E52" s="6" t="s">
        <v>583</v>
      </c>
      <c r="F52" s="6">
        <v>5</v>
      </c>
      <c r="G52" t="s">
        <v>5200</v>
      </c>
      <c r="H52" s="5" t="s">
        <v>412</v>
      </c>
    </row>
    <row r="53" spans="1:8">
      <c r="A53" t="s">
        <v>16</v>
      </c>
      <c r="B53" s="2" t="s">
        <v>15</v>
      </c>
      <c r="C53" s="3" t="s">
        <v>243</v>
      </c>
      <c r="D53" s="4" t="s">
        <v>413</v>
      </c>
      <c r="E53" s="6" t="s">
        <v>583</v>
      </c>
      <c r="F53" s="6">
        <v>5</v>
      </c>
      <c r="G53" t="s">
        <v>5200</v>
      </c>
      <c r="H53" s="5" t="s">
        <v>412</v>
      </c>
    </row>
    <row r="54" spans="1:8">
      <c r="A54" t="s">
        <v>17</v>
      </c>
      <c r="B54" s="2" t="s">
        <v>15</v>
      </c>
      <c r="C54" s="3" t="s">
        <v>410</v>
      </c>
      <c r="D54" s="4" t="s">
        <v>411</v>
      </c>
      <c r="E54" s="6" t="s">
        <v>583</v>
      </c>
      <c r="F54" s="6">
        <v>5</v>
      </c>
      <c r="G54" t="s">
        <v>5200</v>
      </c>
      <c r="H54" s="5" t="s">
        <v>412</v>
      </c>
    </row>
    <row r="55" spans="1:8">
      <c r="A55" t="s">
        <v>20</v>
      </c>
      <c r="B55" s="2" t="s">
        <v>15</v>
      </c>
      <c r="C55" s="3" t="s">
        <v>243</v>
      </c>
      <c r="D55" s="4" t="s">
        <v>413</v>
      </c>
      <c r="E55" s="6" t="s">
        <v>583</v>
      </c>
      <c r="F55" s="6">
        <v>5</v>
      </c>
      <c r="G55" t="s">
        <v>5200</v>
      </c>
      <c r="H55" s="5" t="s">
        <v>412</v>
      </c>
    </row>
    <row r="56" spans="1:8">
      <c r="A56" t="s">
        <v>21</v>
      </c>
      <c r="B56" s="2" t="s">
        <v>15</v>
      </c>
      <c r="C56" s="3" t="s">
        <v>410</v>
      </c>
      <c r="D56" s="4" t="s">
        <v>411</v>
      </c>
      <c r="E56" s="6" t="s">
        <v>583</v>
      </c>
      <c r="F56" s="6">
        <v>5</v>
      </c>
      <c r="G56" t="s">
        <v>5200</v>
      </c>
      <c r="H56" s="5" t="s">
        <v>412</v>
      </c>
    </row>
    <row r="57" spans="1:8">
      <c r="A57" t="s">
        <v>22</v>
      </c>
      <c r="B57" s="2" t="s">
        <v>15</v>
      </c>
      <c r="C57" s="3" t="s">
        <v>243</v>
      </c>
      <c r="D57" s="4" t="s">
        <v>413</v>
      </c>
      <c r="E57" s="6" t="s">
        <v>583</v>
      </c>
      <c r="F57" s="6">
        <v>5</v>
      </c>
      <c r="G57" t="s">
        <v>5200</v>
      </c>
      <c r="H57" s="5" t="s">
        <v>412</v>
      </c>
    </row>
    <row r="58" spans="1:8">
      <c r="A58" t="s">
        <v>18</v>
      </c>
      <c r="B58" s="2" t="s">
        <v>15</v>
      </c>
      <c r="C58" s="3" t="s">
        <v>243</v>
      </c>
      <c r="D58" s="4" t="s">
        <v>413</v>
      </c>
      <c r="E58" s="6" t="s">
        <v>583</v>
      </c>
      <c r="F58" s="6">
        <v>5</v>
      </c>
      <c r="G58" t="s">
        <v>5200</v>
      </c>
      <c r="H58" s="5" t="s">
        <v>412</v>
      </c>
    </row>
    <row r="59" spans="1:8">
      <c r="A59" t="s">
        <v>19</v>
      </c>
      <c r="B59" s="2" t="s">
        <v>15</v>
      </c>
      <c r="C59" s="3" t="s">
        <v>410</v>
      </c>
      <c r="D59" s="4" t="s">
        <v>411</v>
      </c>
      <c r="E59" s="6" t="s">
        <v>583</v>
      </c>
      <c r="F59" s="6">
        <v>5</v>
      </c>
      <c r="G59" t="s">
        <v>5200</v>
      </c>
      <c r="H59" s="5" t="s">
        <v>412</v>
      </c>
    </row>
    <row r="60" spans="1:8">
      <c r="A60" t="s">
        <v>23</v>
      </c>
      <c r="B60" s="2" t="s">
        <v>15</v>
      </c>
      <c r="C60" s="3" t="s">
        <v>410</v>
      </c>
      <c r="D60" s="4" t="s">
        <v>411</v>
      </c>
      <c r="E60" s="6" t="s">
        <v>583</v>
      </c>
      <c r="F60" s="6">
        <v>5</v>
      </c>
      <c r="G60" t="s">
        <v>5200</v>
      </c>
      <c r="H60" s="5" t="s">
        <v>412</v>
      </c>
    </row>
    <row r="61" spans="1:8">
      <c r="A61" t="s">
        <v>24</v>
      </c>
      <c r="B61" s="2" t="s">
        <v>15</v>
      </c>
      <c r="C61" s="3" t="s">
        <v>243</v>
      </c>
      <c r="D61" s="4" t="s">
        <v>413</v>
      </c>
      <c r="E61" s="6" t="s">
        <v>583</v>
      </c>
      <c r="F61" s="6">
        <v>5</v>
      </c>
      <c r="G61" t="s">
        <v>5200</v>
      </c>
      <c r="H61" s="5" t="s">
        <v>412</v>
      </c>
    </row>
    <row r="62" spans="1:8">
      <c r="A62" t="s">
        <v>25</v>
      </c>
      <c r="B62" s="2" t="s">
        <v>15</v>
      </c>
      <c r="C62" s="3" t="s">
        <v>410</v>
      </c>
      <c r="D62" s="4" t="s">
        <v>411</v>
      </c>
      <c r="E62" s="6" t="s">
        <v>583</v>
      </c>
      <c r="F62" s="6">
        <v>5</v>
      </c>
      <c r="G62" t="s">
        <v>5200</v>
      </c>
      <c r="H62" s="5" t="s">
        <v>412</v>
      </c>
    </row>
    <row r="63" spans="1:8">
      <c r="A63" t="s">
        <v>218</v>
      </c>
      <c r="B63" s="2" t="s">
        <v>15</v>
      </c>
      <c r="C63" s="3" t="s">
        <v>416</v>
      </c>
      <c r="D63" s="4" t="s">
        <v>557</v>
      </c>
      <c r="E63" s="6" t="s">
        <v>583</v>
      </c>
      <c r="F63" s="6">
        <v>2019</v>
      </c>
      <c r="G63" t="s">
        <v>5200</v>
      </c>
      <c r="H63" s="5" t="s">
        <v>418</v>
      </c>
    </row>
    <row r="64" spans="1:8">
      <c r="A64" t="s">
        <v>216</v>
      </c>
      <c r="B64" s="2" t="s">
        <v>15</v>
      </c>
      <c r="C64" s="3" t="s">
        <v>416</v>
      </c>
      <c r="D64" s="4" t="s">
        <v>557</v>
      </c>
      <c r="E64" s="6" t="s">
        <v>583</v>
      </c>
      <c r="F64" s="6">
        <v>2019</v>
      </c>
      <c r="G64" t="s">
        <v>5200</v>
      </c>
      <c r="H64" s="5" t="s">
        <v>418</v>
      </c>
    </row>
    <row r="65" spans="1:8">
      <c r="A65" t="s">
        <v>219</v>
      </c>
      <c r="B65" s="2" t="s">
        <v>15</v>
      </c>
      <c r="C65" s="3" t="s">
        <v>217</v>
      </c>
      <c r="D65" s="4" t="s">
        <v>557</v>
      </c>
      <c r="E65" s="6" t="s">
        <v>583</v>
      </c>
      <c r="F65" s="6">
        <v>2019</v>
      </c>
      <c r="G65" t="s">
        <v>5200</v>
      </c>
      <c r="H65" s="5" t="s">
        <v>418</v>
      </c>
    </row>
    <row r="66" spans="1:8">
      <c r="A66" t="s">
        <v>220</v>
      </c>
      <c r="B66" s="2" t="s">
        <v>15</v>
      </c>
      <c r="C66" s="3" t="s">
        <v>416</v>
      </c>
      <c r="D66" s="4" t="s">
        <v>417</v>
      </c>
      <c r="E66" s="6" t="s">
        <v>583</v>
      </c>
      <c r="F66" s="6">
        <v>2019</v>
      </c>
      <c r="G66" t="s">
        <v>5200</v>
      </c>
      <c r="H66" s="5" t="s">
        <v>418</v>
      </c>
    </row>
    <row r="67" spans="1:8">
      <c r="A67" t="s">
        <v>221</v>
      </c>
      <c r="B67" s="2" t="s">
        <v>15</v>
      </c>
      <c r="C67" s="3" t="s">
        <v>217</v>
      </c>
      <c r="D67" s="4" t="s">
        <v>557</v>
      </c>
      <c r="E67" s="6" t="s">
        <v>583</v>
      </c>
      <c r="F67" s="6">
        <v>2019</v>
      </c>
      <c r="G67" t="s">
        <v>5200</v>
      </c>
      <c r="H67" s="5" t="s">
        <v>418</v>
      </c>
    </row>
    <row r="68" spans="1:8">
      <c r="A68" t="s">
        <v>193</v>
      </c>
      <c r="B68" s="2" t="s">
        <v>15</v>
      </c>
      <c r="C68" s="3" t="s">
        <v>540</v>
      </c>
      <c r="D68" s="4" t="s">
        <v>541</v>
      </c>
      <c r="E68" s="6" t="s">
        <v>583</v>
      </c>
      <c r="F68" s="6">
        <v>1749</v>
      </c>
      <c r="G68" t="s">
        <v>5200</v>
      </c>
      <c r="H68" s="5" t="s">
        <v>542</v>
      </c>
    </row>
    <row r="69" spans="1:8">
      <c r="A69" t="s">
        <v>226</v>
      </c>
      <c r="B69" s="2" t="s">
        <v>15</v>
      </c>
      <c r="C69" s="3" t="s">
        <v>570</v>
      </c>
      <c r="D69" s="4" t="s">
        <v>571</v>
      </c>
      <c r="E69" s="6" t="s">
        <v>583</v>
      </c>
      <c r="F69" s="6">
        <v>2153</v>
      </c>
      <c r="G69" t="s">
        <v>5200</v>
      </c>
      <c r="H69" s="5" t="s">
        <v>572</v>
      </c>
    </row>
    <row r="70" spans="1:8">
      <c r="A70" t="s">
        <v>115</v>
      </c>
      <c r="B70" s="2" t="s">
        <v>15</v>
      </c>
      <c r="C70" s="3" t="s">
        <v>475</v>
      </c>
      <c r="D70" s="4" t="s">
        <v>476</v>
      </c>
      <c r="E70" s="6" t="s">
        <v>583</v>
      </c>
      <c r="F70" s="6">
        <v>1048</v>
      </c>
      <c r="G70" t="s">
        <v>5201</v>
      </c>
      <c r="H70" s="5" t="s">
        <v>477</v>
      </c>
    </row>
    <row r="71" spans="1:8">
      <c r="A71" t="s">
        <v>160</v>
      </c>
      <c r="B71" s="2" t="s">
        <v>15</v>
      </c>
      <c r="C71" s="3" t="s">
        <v>248</v>
      </c>
      <c r="D71" s="4" t="s">
        <v>424</v>
      </c>
      <c r="E71" s="6" t="s">
        <v>583</v>
      </c>
      <c r="F71" s="6">
        <v>1320</v>
      </c>
      <c r="G71" t="s">
        <v>5200</v>
      </c>
      <c r="H71" s="5" t="s">
        <v>425</v>
      </c>
    </row>
    <row r="72" spans="1:8">
      <c r="A72" t="s">
        <v>161</v>
      </c>
      <c r="B72" s="2" t="s">
        <v>15</v>
      </c>
      <c r="C72" s="3" t="s">
        <v>423</v>
      </c>
      <c r="D72" s="4" t="s">
        <v>424</v>
      </c>
      <c r="E72" s="6" t="s">
        <v>583</v>
      </c>
      <c r="F72" s="6">
        <v>1320</v>
      </c>
      <c r="G72" t="s">
        <v>5200</v>
      </c>
      <c r="H72" s="5" t="s">
        <v>425</v>
      </c>
    </row>
    <row r="73" spans="1:8">
      <c r="A73" t="s">
        <v>163</v>
      </c>
      <c r="B73" s="2" t="s">
        <v>15</v>
      </c>
      <c r="C73" s="3" t="s">
        <v>423</v>
      </c>
      <c r="D73" s="4" t="s">
        <v>424</v>
      </c>
      <c r="E73" s="6" t="s">
        <v>583</v>
      </c>
      <c r="F73" s="6">
        <v>1320</v>
      </c>
      <c r="G73" t="s">
        <v>5200</v>
      </c>
      <c r="H73" s="5" t="s">
        <v>425</v>
      </c>
    </row>
    <row r="74" spans="1:8">
      <c r="A74" t="s">
        <v>162</v>
      </c>
      <c r="B74" s="2" t="s">
        <v>15</v>
      </c>
      <c r="C74" s="3" t="s">
        <v>248</v>
      </c>
      <c r="D74" s="4" t="s">
        <v>424</v>
      </c>
      <c r="E74" s="6" t="s">
        <v>583</v>
      </c>
      <c r="F74" s="6">
        <v>1320</v>
      </c>
      <c r="G74" t="s">
        <v>5200</v>
      </c>
      <c r="H74" s="5" t="s">
        <v>425</v>
      </c>
    </row>
    <row r="75" spans="1:8">
      <c r="A75" t="s">
        <v>212</v>
      </c>
      <c r="B75" s="2" t="s">
        <v>15</v>
      </c>
      <c r="C75" s="3" t="s">
        <v>464</v>
      </c>
      <c r="D75" s="4" t="s">
        <v>465</v>
      </c>
      <c r="E75" s="6" t="s">
        <v>583</v>
      </c>
      <c r="F75" s="6">
        <f>VLOOKUP(C75,LigandIDs!D:E,2,FALSE)</f>
        <v>4453</v>
      </c>
      <c r="G75" t="s">
        <v>5200</v>
      </c>
      <c r="H75" s="5" t="s">
        <v>466</v>
      </c>
    </row>
    <row r="76" spans="1:8">
      <c r="A76" t="s">
        <v>213</v>
      </c>
      <c r="B76" s="2" t="s">
        <v>15</v>
      </c>
      <c r="C76" s="3" t="s">
        <v>467</v>
      </c>
      <c r="D76" s="4" t="s">
        <v>468</v>
      </c>
      <c r="E76" s="6" t="s">
        <v>583</v>
      </c>
      <c r="F76" s="6">
        <f>VLOOKUP(C76,LigandIDs!D:E,2,FALSE)</f>
        <v>4453</v>
      </c>
      <c r="G76" t="s">
        <v>5200</v>
      </c>
      <c r="H76" s="5" t="s">
        <v>466</v>
      </c>
    </row>
    <row r="77" spans="1:8">
      <c r="A77" t="s">
        <v>84</v>
      </c>
      <c r="B77" s="2" t="s">
        <v>15</v>
      </c>
      <c r="C77" s="3" t="s">
        <v>495</v>
      </c>
      <c r="D77" s="4" t="s">
        <v>493</v>
      </c>
      <c r="E77" s="6" t="s">
        <v>583</v>
      </c>
      <c r="F77" s="6">
        <f>VLOOKUP(C77,LigandIDs!D:E,2,FALSE)</f>
        <v>4064</v>
      </c>
      <c r="G77" t="s">
        <v>5200</v>
      </c>
      <c r="H77" s="5" t="s">
        <v>494</v>
      </c>
    </row>
    <row r="78" spans="1:8">
      <c r="A78" t="s">
        <v>89</v>
      </c>
      <c r="B78" s="2" t="s">
        <v>15</v>
      </c>
      <c r="C78" s="3" t="s">
        <v>495</v>
      </c>
      <c r="D78" s="4" t="s">
        <v>493</v>
      </c>
      <c r="E78" s="6" t="s">
        <v>583</v>
      </c>
      <c r="F78" s="6">
        <f>VLOOKUP(C78,LigandIDs!D:E,2,FALSE)</f>
        <v>4064</v>
      </c>
      <c r="G78" t="s">
        <v>5200</v>
      </c>
      <c r="H78" s="5" t="s">
        <v>494</v>
      </c>
    </row>
    <row r="79" spans="1:8">
      <c r="A79" t="s">
        <v>100</v>
      </c>
      <c r="B79" s="2" t="s">
        <v>15</v>
      </c>
      <c r="C79" s="3" t="s">
        <v>492</v>
      </c>
      <c r="D79" s="4" t="s">
        <v>493</v>
      </c>
      <c r="E79" s="6" t="s">
        <v>583</v>
      </c>
      <c r="F79" s="6">
        <f>VLOOKUP(C79,LigandIDs!D:E,2,FALSE)</f>
        <v>4064</v>
      </c>
      <c r="G79" t="s">
        <v>5200</v>
      </c>
      <c r="H79" s="5" t="s">
        <v>494</v>
      </c>
    </row>
    <row r="80" spans="1:8">
      <c r="A80" t="s">
        <v>134</v>
      </c>
      <c r="B80" s="2" t="s">
        <v>15</v>
      </c>
      <c r="C80" s="3" t="s">
        <v>499</v>
      </c>
      <c r="D80" s="4" t="s">
        <v>500</v>
      </c>
      <c r="E80" s="6" t="s">
        <v>583</v>
      </c>
      <c r="F80" s="6">
        <f>VLOOKUP(C80,LigandIDs!D:E,2,FALSE)</f>
        <v>4028</v>
      </c>
      <c r="G80" t="s">
        <v>5200</v>
      </c>
      <c r="H80" s="5" t="s">
        <v>501</v>
      </c>
    </row>
    <row r="81" spans="1:8">
      <c r="A81" t="s">
        <v>121</v>
      </c>
      <c r="B81" s="2" t="s">
        <v>15</v>
      </c>
      <c r="C81" s="3" t="s">
        <v>478</v>
      </c>
      <c r="D81" s="4" t="s">
        <v>479</v>
      </c>
      <c r="E81" s="6" t="s">
        <v>583</v>
      </c>
      <c r="F81" s="6">
        <f>VLOOKUP(C81,LigandIDs!D:E,2,FALSE)</f>
        <v>3592</v>
      </c>
      <c r="G81" t="s">
        <v>5200</v>
      </c>
      <c r="H81" s="5" t="s">
        <v>480</v>
      </c>
    </row>
    <row r="82" spans="1:8">
      <c r="A82" t="s">
        <v>123</v>
      </c>
      <c r="B82" s="2" t="s">
        <v>15</v>
      </c>
      <c r="C82" s="3" t="s">
        <v>122</v>
      </c>
      <c r="D82" s="4" t="s">
        <v>481</v>
      </c>
      <c r="E82" s="6" t="s">
        <v>583</v>
      </c>
      <c r="F82" s="6">
        <f>VLOOKUP(C82,LigandIDs!D:E,2,FALSE)</f>
        <v>3592</v>
      </c>
      <c r="G82" t="s">
        <v>5200</v>
      </c>
      <c r="H82" s="5" t="s">
        <v>480</v>
      </c>
    </row>
    <row r="83" spans="1:8">
      <c r="A83" t="s">
        <v>31</v>
      </c>
      <c r="B83" s="2" t="s">
        <v>15</v>
      </c>
      <c r="C83" s="3" t="s">
        <v>357</v>
      </c>
      <c r="D83" s="4" t="s">
        <v>2</v>
      </c>
      <c r="E83" s="6" t="s">
        <v>583</v>
      </c>
      <c r="F83" s="6">
        <f>VLOOKUP(C83,LigandIDs!D:E,2,FALSE)</f>
        <v>2844</v>
      </c>
      <c r="G83" t="s">
        <v>5200</v>
      </c>
      <c r="H83" s="5" t="s">
        <v>358</v>
      </c>
    </row>
    <row r="84" spans="1:8">
      <c r="A84" t="s">
        <v>1</v>
      </c>
      <c r="B84" s="2" t="s">
        <v>15</v>
      </c>
      <c r="C84" s="3" t="s">
        <v>2</v>
      </c>
      <c r="D84" s="4" t="s">
        <v>357</v>
      </c>
      <c r="E84" s="6" t="s">
        <v>583</v>
      </c>
      <c r="F84" s="6">
        <f>VLOOKUP(C84,LigandIDs!D:E,2,FALSE)</f>
        <v>2844</v>
      </c>
      <c r="G84" t="s">
        <v>5200</v>
      </c>
      <c r="H84" s="5" t="s">
        <v>358</v>
      </c>
    </row>
    <row r="85" spans="1:8">
      <c r="A85" t="s">
        <v>32</v>
      </c>
      <c r="B85" s="2" t="s">
        <v>15</v>
      </c>
      <c r="C85" s="3" t="s">
        <v>357</v>
      </c>
      <c r="D85" s="4" t="s">
        <v>2</v>
      </c>
      <c r="E85" s="6" t="s">
        <v>583</v>
      </c>
      <c r="F85" s="6">
        <f>VLOOKUP(C85,LigandIDs!D:E,2,FALSE)</f>
        <v>2844</v>
      </c>
      <c r="G85" t="s">
        <v>5200</v>
      </c>
      <c r="H85" s="5" t="s">
        <v>358</v>
      </c>
    </row>
    <row r="86" spans="1:8">
      <c r="A86" t="s">
        <v>33</v>
      </c>
      <c r="B86" s="2" t="s">
        <v>15</v>
      </c>
      <c r="C86" s="3" t="s">
        <v>2</v>
      </c>
      <c r="D86" s="4" t="s">
        <v>357</v>
      </c>
      <c r="E86" s="6" t="s">
        <v>583</v>
      </c>
      <c r="F86" s="6">
        <f>VLOOKUP(C86,LigandIDs!D:E,2,FALSE)</f>
        <v>2844</v>
      </c>
      <c r="G86" t="s">
        <v>5200</v>
      </c>
      <c r="H86" s="5" t="s">
        <v>358</v>
      </c>
    </row>
    <row r="87" spans="1:8">
      <c r="A87" t="s">
        <v>43</v>
      </c>
      <c r="B87" s="2" t="s">
        <v>15</v>
      </c>
      <c r="C87" s="3" t="s">
        <v>359</v>
      </c>
      <c r="D87" s="4" t="s">
        <v>360</v>
      </c>
      <c r="E87" s="6" t="s">
        <v>583</v>
      </c>
      <c r="F87" s="6">
        <f>VLOOKUP(C87,LigandIDs!D:E,2,FALSE)</f>
        <v>2504</v>
      </c>
      <c r="G87" t="s">
        <v>5200</v>
      </c>
      <c r="H87" s="5" t="s">
        <v>361</v>
      </c>
    </row>
    <row r="88" spans="1:8">
      <c r="A88" t="s">
        <v>227</v>
      </c>
      <c r="B88" s="2" t="s">
        <v>15</v>
      </c>
      <c r="C88" s="3" t="s">
        <v>399</v>
      </c>
      <c r="D88" s="4" t="s">
        <v>400</v>
      </c>
      <c r="E88" s="6" t="s">
        <v>583</v>
      </c>
      <c r="F88" s="6">
        <f>VLOOKUP(C88,LigandIDs!D:E,2,FALSE)</f>
        <v>2174</v>
      </c>
      <c r="G88" t="s">
        <v>5200</v>
      </c>
      <c r="H88" s="5" t="s">
        <v>401</v>
      </c>
    </row>
    <row r="89" spans="1:8">
      <c r="A89" t="s">
        <v>228</v>
      </c>
      <c r="B89" s="2" t="s">
        <v>15</v>
      </c>
      <c r="C89" s="3" t="s">
        <v>234</v>
      </c>
      <c r="D89" s="4" t="s">
        <v>362</v>
      </c>
      <c r="E89" s="6" t="s">
        <v>583</v>
      </c>
      <c r="F89" s="6">
        <f>VLOOKUP(C89,LigandIDs!D:E,2,FALSE)</f>
        <v>2168</v>
      </c>
      <c r="G89" t="s">
        <v>5200</v>
      </c>
      <c r="H89" s="5" t="s">
        <v>363</v>
      </c>
    </row>
    <row r="90" spans="1:8">
      <c r="A90" t="s">
        <v>230</v>
      </c>
      <c r="B90" s="2" t="s">
        <v>15</v>
      </c>
      <c r="C90" s="3" t="s">
        <v>364</v>
      </c>
      <c r="D90" s="4" t="s">
        <v>362</v>
      </c>
      <c r="E90" s="6" t="s">
        <v>583</v>
      </c>
      <c r="F90" s="6">
        <f>VLOOKUP(C90,LigandIDs!D:E,2,FALSE)</f>
        <v>2168</v>
      </c>
      <c r="G90" t="s">
        <v>5200</v>
      </c>
      <c r="H90" s="5" t="s">
        <v>363</v>
      </c>
    </row>
    <row r="91" spans="1:8">
      <c r="A91" t="s">
        <v>229</v>
      </c>
      <c r="B91" s="2" t="s">
        <v>15</v>
      </c>
      <c r="C91" s="3" t="s">
        <v>364</v>
      </c>
      <c r="D91" s="4" t="s">
        <v>362</v>
      </c>
      <c r="E91" s="6" t="s">
        <v>583</v>
      </c>
      <c r="F91" s="6">
        <f>VLOOKUP(C91,LigandIDs!D:E,2,FALSE)</f>
        <v>2168</v>
      </c>
      <c r="G91" t="s">
        <v>5200</v>
      </c>
      <c r="H91" s="5" t="s">
        <v>363</v>
      </c>
    </row>
    <row r="92" spans="1:8">
      <c r="A92" t="s">
        <v>222</v>
      </c>
      <c r="B92" s="2" t="s">
        <v>15</v>
      </c>
      <c r="C92" s="3" t="s">
        <v>558</v>
      </c>
      <c r="D92" s="4" t="s">
        <v>559</v>
      </c>
      <c r="E92" s="6" t="s">
        <v>583</v>
      </c>
      <c r="F92" s="6">
        <f>VLOOKUP(C92,LigandIDs!D:E,2,FALSE)</f>
        <v>2098</v>
      </c>
      <c r="G92" t="s">
        <v>5200</v>
      </c>
      <c r="H92" s="5" t="s">
        <v>560</v>
      </c>
    </row>
    <row r="93" spans="1:8">
      <c r="A93" t="s">
        <v>223</v>
      </c>
      <c r="B93" s="2" t="s">
        <v>15</v>
      </c>
      <c r="C93" s="3" t="s">
        <v>564</v>
      </c>
      <c r="D93" s="4" t="s">
        <v>565</v>
      </c>
      <c r="E93" s="6" t="s">
        <v>583</v>
      </c>
      <c r="F93" s="6">
        <f>VLOOKUP(C93,LigandIDs!D:E,2,FALSE)</f>
        <v>2090</v>
      </c>
      <c r="G93" t="s">
        <v>5200</v>
      </c>
      <c r="H93" s="5" t="s">
        <v>566</v>
      </c>
    </row>
    <row r="94" spans="1:8">
      <c r="A94" t="s">
        <v>224</v>
      </c>
      <c r="B94" s="2" t="s">
        <v>15</v>
      </c>
      <c r="C94" s="3" t="s">
        <v>561</v>
      </c>
      <c r="D94" s="4" t="s">
        <v>562</v>
      </c>
      <c r="E94" s="6" t="s">
        <v>583</v>
      </c>
      <c r="F94" s="6">
        <f>VLOOKUP(C94,LigandIDs!D:E,2,FALSE)</f>
        <v>2089</v>
      </c>
      <c r="G94" t="s">
        <v>5200</v>
      </c>
      <c r="H94" s="5" t="s">
        <v>563</v>
      </c>
    </row>
    <row r="95" spans="1:8">
      <c r="A95" t="s">
        <v>200</v>
      </c>
      <c r="B95" s="2" t="s">
        <v>15</v>
      </c>
      <c r="C95" s="3" t="s">
        <v>548</v>
      </c>
      <c r="D95" s="4" t="s">
        <v>549</v>
      </c>
      <c r="E95" s="6" t="s">
        <v>583</v>
      </c>
      <c r="F95" s="6">
        <f>VLOOKUP(C95,LigandIDs!D:E,2,FALSE)</f>
        <v>1831</v>
      </c>
      <c r="G95" t="s">
        <v>5200</v>
      </c>
      <c r="H95" s="5" t="s">
        <v>550</v>
      </c>
    </row>
    <row r="96" spans="1:8">
      <c r="A96" t="s">
        <v>199</v>
      </c>
      <c r="B96" s="2" t="s">
        <v>53</v>
      </c>
      <c r="C96" s="3" t="s">
        <v>576</v>
      </c>
      <c r="D96" s="4" t="s">
        <v>577</v>
      </c>
      <c r="E96" s="6" t="s">
        <v>583</v>
      </c>
      <c r="F96" s="6">
        <f>VLOOKUP(C96,LigandIDs!D:E,2,FALSE)</f>
        <v>1815</v>
      </c>
      <c r="G96" t="s">
        <v>5200</v>
      </c>
      <c r="H96" s="5" t="s">
        <v>578</v>
      </c>
    </row>
    <row r="97" spans="1:8">
      <c r="A97" t="s">
        <v>197</v>
      </c>
      <c r="B97" s="2" t="s">
        <v>15</v>
      </c>
      <c r="C97" s="3" t="s">
        <v>543</v>
      </c>
      <c r="D97" s="4" t="s">
        <v>544</v>
      </c>
      <c r="E97" s="6" t="s">
        <v>583</v>
      </c>
      <c r="F97" s="6">
        <f>VLOOKUP(C97,LigandIDs!D:E,2,FALSE)</f>
        <v>1783</v>
      </c>
      <c r="G97" t="s">
        <v>5200</v>
      </c>
      <c r="H97" s="5" t="s">
        <v>545</v>
      </c>
    </row>
    <row r="98" spans="1:8">
      <c r="A98" t="s">
        <v>191</v>
      </c>
      <c r="B98" s="2" t="s">
        <v>15</v>
      </c>
      <c r="C98" s="3" t="s">
        <v>453</v>
      </c>
      <c r="D98" s="4" t="s">
        <v>454</v>
      </c>
      <c r="E98" s="6" t="s">
        <v>583</v>
      </c>
      <c r="F98" s="6">
        <f>VLOOKUP(C98,LigandIDs!D:E,2,FALSE)</f>
        <v>1713</v>
      </c>
      <c r="G98" t="s">
        <v>5200</v>
      </c>
      <c r="H98" s="5" t="s">
        <v>455</v>
      </c>
    </row>
    <row r="99" spans="1:8">
      <c r="A99" t="s">
        <v>192</v>
      </c>
      <c r="B99" s="2" t="s">
        <v>15</v>
      </c>
      <c r="C99" s="3" t="s">
        <v>453</v>
      </c>
      <c r="D99" s="4" t="s">
        <v>454</v>
      </c>
      <c r="E99" s="6" t="s">
        <v>583</v>
      </c>
      <c r="F99" s="6">
        <f>VLOOKUP(C99,LigandIDs!D:E,2,FALSE)</f>
        <v>1713</v>
      </c>
      <c r="G99" t="s">
        <v>5200</v>
      </c>
      <c r="H99" s="5" t="s">
        <v>455</v>
      </c>
    </row>
    <row r="100" spans="1:8">
      <c r="A100" t="s">
        <v>194</v>
      </c>
      <c r="B100" s="2" t="s">
        <v>15</v>
      </c>
      <c r="C100" s="3" t="s">
        <v>453</v>
      </c>
      <c r="D100" s="4" t="s">
        <v>454</v>
      </c>
      <c r="E100" s="6" t="s">
        <v>583</v>
      </c>
      <c r="F100" s="6">
        <f>VLOOKUP(C100,LigandIDs!D:E,2,FALSE)</f>
        <v>1713</v>
      </c>
      <c r="G100" t="s">
        <v>5200</v>
      </c>
      <c r="H100" s="5" t="s">
        <v>455</v>
      </c>
    </row>
    <row r="101" spans="1:8">
      <c r="A101" t="s">
        <v>190</v>
      </c>
      <c r="B101" s="2" t="s">
        <v>15</v>
      </c>
      <c r="C101" s="3" t="s">
        <v>537</v>
      </c>
      <c r="D101" s="4" t="s">
        <v>538</v>
      </c>
      <c r="E101" s="6" t="s">
        <v>583</v>
      </c>
      <c r="F101" s="6">
        <f>VLOOKUP(C101,LigandIDs!D:E,2,FALSE)</f>
        <v>1712</v>
      </c>
      <c r="G101" t="s">
        <v>5200</v>
      </c>
      <c r="H101" s="5" t="s">
        <v>539</v>
      </c>
    </row>
    <row r="102" spans="1:8">
      <c r="A102" t="s">
        <v>195</v>
      </c>
      <c r="B102" s="2" t="s">
        <v>15</v>
      </c>
      <c r="C102" s="3" t="s">
        <v>537</v>
      </c>
      <c r="D102" s="4" t="s">
        <v>538</v>
      </c>
      <c r="E102" s="6" t="s">
        <v>583</v>
      </c>
      <c r="F102" s="6">
        <f>VLOOKUP(C102,LigandIDs!D:E,2,FALSE)</f>
        <v>1712</v>
      </c>
      <c r="G102" t="s">
        <v>5200</v>
      </c>
      <c r="H102" s="5" t="s">
        <v>539</v>
      </c>
    </row>
    <row r="103" spans="1:8">
      <c r="A103" t="s">
        <v>196</v>
      </c>
      <c r="B103" s="2" t="s">
        <v>15</v>
      </c>
      <c r="C103" s="3" t="s">
        <v>537</v>
      </c>
      <c r="D103" s="4" t="s">
        <v>538</v>
      </c>
      <c r="E103" s="6" t="s">
        <v>583</v>
      </c>
      <c r="F103" s="6">
        <f>VLOOKUP(C103,LigandIDs!D:E,2,FALSE)</f>
        <v>1712</v>
      </c>
      <c r="G103" t="s">
        <v>5200</v>
      </c>
      <c r="H103" s="5" t="s">
        <v>539</v>
      </c>
    </row>
    <row r="104" spans="1:8">
      <c r="A104" t="s">
        <v>187</v>
      </c>
      <c r="B104" s="2" t="s">
        <v>15</v>
      </c>
      <c r="C104" s="3" t="s">
        <v>239</v>
      </c>
      <c r="D104" s="4" t="s">
        <v>397</v>
      </c>
      <c r="E104" s="6" t="s">
        <v>583</v>
      </c>
      <c r="F104" s="6">
        <f>VLOOKUP(C104,LigandIDs!D:E,2,FALSE)</f>
        <v>1697</v>
      </c>
      <c r="G104" t="s">
        <v>5200</v>
      </c>
      <c r="H104" s="5" t="s">
        <v>398</v>
      </c>
    </row>
    <row r="105" spans="1:8">
      <c r="A105" t="s">
        <v>186</v>
      </c>
      <c r="B105" s="2" t="s">
        <v>15</v>
      </c>
      <c r="C105" s="3" t="s">
        <v>504</v>
      </c>
      <c r="D105" s="4" t="s">
        <v>397</v>
      </c>
      <c r="E105" s="6" t="s">
        <v>583</v>
      </c>
      <c r="F105" s="6">
        <f>VLOOKUP(C105,LigandIDs!D:E,2,FALSE)</f>
        <v>1697</v>
      </c>
      <c r="G105" t="s">
        <v>5200</v>
      </c>
      <c r="H105" s="5" t="s">
        <v>398</v>
      </c>
    </row>
    <row r="106" spans="1:8">
      <c r="A106" t="s">
        <v>182</v>
      </c>
      <c r="B106" s="2" t="s">
        <v>15</v>
      </c>
      <c r="C106" s="3" t="s">
        <v>372</v>
      </c>
      <c r="D106" s="4" t="s">
        <v>373</v>
      </c>
      <c r="E106" s="6" t="s">
        <v>583</v>
      </c>
      <c r="F106" s="6">
        <f>VLOOKUP(C106,LigandIDs!D:E,2,FALSE)</f>
        <v>1620</v>
      </c>
      <c r="G106" t="s">
        <v>5200</v>
      </c>
      <c r="H106" s="5" t="s">
        <v>374</v>
      </c>
    </row>
    <row r="107" spans="1:8">
      <c r="A107" t="s">
        <v>176</v>
      </c>
      <c r="B107" s="2" t="s">
        <v>15</v>
      </c>
      <c r="C107" s="3" t="s">
        <v>531</v>
      </c>
      <c r="D107" s="4" t="s">
        <v>532</v>
      </c>
      <c r="E107" s="6" t="s">
        <v>583</v>
      </c>
      <c r="F107" s="6">
        <f>VLOOKUP(C107,LigandIDs!D:E,2,FALSE)</f>
        <v>1496</v>
      </c>
      <c r="G107" t="s">
        <v>5200</v>
      </c>
      <c r="H107" s="5" t="s">
        <v>533</v>
      </c>
    </row>
    <row r="108" spans="1:8">
      <c r="A108" t="s">
        <v>174</v>
      </c>
      <c r="B108" s="2" t="s">
        <v>15</v>
      </c>
      <c r="C108" s="3" t="s">
        <v>237</v>
      </c>
      <c r="D108" s="4" t="s">
        <v>393</v>
      </c>
      <c r="E108" s="6" t="s">
        <v>583</v>
      </c>
      <c r="F108" s="6">
        <f>VLOOKUP(C108,LigandIDs!D:E,2,FALSE)</f>
        <v>1479</v>
      </c>
      <c r="G108" t="s">
        <v>5200</v>
      </c>
      <c r="H108" s="5" t="s">
        <v>394</v>
      </c>
    </row>
    <row r="109" spans="1:8">
      <c r="A109" t="s">
        <v>175</v>
      </c>
      <c r="B109" s="2" t="s">
        <v>15</v>
      </c>
      <c r="C109" s="3" t="s">
        <v>237</v>
      </c>
      <c r="D109" s="4" t="s">
        <v>393</v>
      </c>
      <c r="E109" s="6" t="s">
        <v>583</v>
      </c>
      <c r="F109" s="6">
        <f>VLOOKUP(C109,LigandIDs!D:E,2,FALSE)</f>
        <v>1479</v>
      </c>
      <c r="G109" t="s">
        <v>5200</v>
      </c>
      <c r="H109" s="5" t="s">
        <v>394</v>
      </c>
    </row>
    <row r="110" spans="1:8">
      <c r="A110" t="s">
        <v>171</v>
      </c>
      <c r="B110" s="2" t="s">
        <v>15</v>
      </c>
      <c r="C110" s="3" t="s">
        <v>516</v>
      </c>
      <c r="D110" s="4" t="s">
        <v>517</v>
      </c>
      <c r="E110" s="6" t="s">
        <v>583</v>
      </c>
      <c r="F110" s="6">
        <f>VLOOKUP(C110,LigandIDs!D:E,2,FALSE)</f>
        <v>1458</v>
      </c>
      <c r="G110" t="s">
        <v>5200</v>
      </c>
      <c r="H110" s="5" t="s">
        <v>518</v>
      </c>
    </row>
    <row r="111" spans="1:8">
      <c r="A111" t="s">
        <v>135</v>
      </c>
      <c r="B111" s="2" t="s">
        <v>15</v>
      </c>
      <c r="C111" s="3" t="s">
        <v>378</v>
      </c>
      <c r="D111" s="4" t="s">
        <v>379</v>
      </c>
      <c r="E111" s="6" t="s">
        <v>583</v>
      </c>
      <c r="F111" s="6">
        <f>VLOOKUP(C111,LigandIDs!D:E,2,FALSE)</f>
        <v>1204</v>
      </c>
      <c r="G111" t="s">
        <v>5200</v>
      </c>
      <c r="H111" s="5" t="s">
        <v>380</v>
      </c>
    </row>
    <row r="112" spans="1:8">
      <c r="A112" t="s">
        <v>137</v>
      </c>
      <c r="B112" s="2" t="s">
        <v>15</v>
      </c>
      <c r="C112" s="3" t="s">
        <v>136</v>
      </c>
      <c r="D112" s="4" t="s">
        <v>381</v>
      </c>
      <c r="E112" s="6" t="s">
        <v>583</v>
      </c>
      <c r="F112" s="6">
        <f>VLOOKUP(C112,LigandIDs!D:E,2,FALSE)</f>
        <v>1204</v>
      </c>
      <c r="G112" t="s">
        <v>5200</v>
      </c>
      <c r="H112" s="5" t="s">
        <v>380</v>
      </c>
    </row>
    <row r="113" spans="1:8">
      <c r="A113" t="s">
        <v>138</v>
      </c>
      <c r="B113" s="2" t="s">
        <v>15</v>
      </c>
      <c r="C113" s="3" t="s">
        <v>378</v>
      </c>
      <c r="D113" s="4" t="s">
        <v>379</v>
      </c>
      <c r="E113" s="6" t="s">
        <v>583</v>
      </c>
      <c r="F113" s="6">
        <f>VLOOKUP(C113,LigandIDs!D:E,2,FALSE)</f>
        <v>1204</v>
      </c>
      <c r="G113" t="s">
        <v>5200</v>
      </c>
      <c r="H113" s="5" t="s">
        <v>380</v>
      </c>
    </row>
    <row r="114" spans="1:8">
      <c r="A114" t="s">
        <v>139</v>
      </c>
      <c r="B114" s="2" t="s">
        <v>15</v>
      </c>
      <c r="C114" s="3" t="s">
        <v>136</v>
      </c>
      <c r="D114" s="4" t="s">
        <v>381</v>
      </c>
      <c r="E114" s="6" t="s">
        <v>583</v>
      </c>
      <c r="F114" s="6">
        <f>VLOOKUP(C114,LigandIDs!D:E,2,FALSE)</f>
        <v>1204</v>
      </c>
      <c r="G114" t="s">
        <v>5200</v>
      </c>
      <c r="H114" s="5" t="s">
        <v>380</v>
      </c>
    </row>
    <row r="115" spans="1:8">
      <c r="A115" t="s">
        <v>112</v>
      </c>
      <c r="B115" s="2" t="s">
        <v>15</v>
      </c>
      <c r="C115" s="3" t="s">
        <v>375</v>
      </c>
      <c r="D115" s="4" t="s">
        <v>376</v>
      </c>
      <c r="E115" s="6" t="s">
        <v>583</v>
      </c>
      <c r="F115" s="6">
        <f>VLOOKUP(C115,LigandIDs!D:E,2,FALSE)</f>
        <v>989</v>
      </c>
      <c r="G115" t="s">
        <v>5200</v>
      </c>
      <c r="H115" s="5" t="s">
        <v>377</v>
      </c>
    </row>
    <row r="116" spans="1:8">
      <c r="A116" t="s">
        <v>113</v>
      </c>
      <c r="B116" s="2" t="s">
        <v>15</v>
      </c>
      <c r="C116" s="3" t="s">
        <v>235</v>
      </c>
      <c r="D116" s="4" t="s">
        <v>463</v>
      </c>
      <c r="E116" s="6" t="s">
        <v>583</v>
      </c>
      <c r="F116" s="6">
        <f>VLOOKUP(C116,LigandIDs!D:E,2,FALSE)</f>
        <v>989</v>
      </c>
      <c r="G116" t="s">
        <v>5200</v>
      </c>
      <c r="H116" s="5" t="s">
        <v>377</v>
      </c>
    </row>
    <row r="117" spans="1:8">
      <c r="A117" t="s">
        <v>106</v>
      </c>
      <c r="B117" s="2" t="s">
        <v>15</v>
      </c>
      <c r="C117" s="3" t="s">
        <v>368</v>
      </c>
      <c r="D117" s="4" t="s">
        <v>369</v>
      </c>
      <c r="E117" s="6" t="s">
        <v>583</v>
      </c>
      <c r="F117" s="6">
        <f>VLOOKUP(C117,LigandIDs!D:E,2,FALSE)</f>
        <v>940</v>
      </c>
      <c r="G117" t="s">
        <v>5200</v>
      </c>
      <c r="H117" s="5" t="s">
        <v>370</v>
      </c>
    </row>
    <row r="118" spans="1:8">
      <c r="A118" t="s">
        <v>108</v>
      </c>
      <c r="B118" s="2" t="s">
        <v>15</v>
      </c>
      <c r="C118" s="3" t="s">
        <v>368</v>
      </c>
      <c r="D118" s="4" t="s">
        <v>371</v>
      </c>
      <c r="E118" s="6" t="s">
        <v>583</v>
      </c>
      <c r="F118" s="6">
        <f>VLOOKUP(C118,LigandIDs!D:E,2,FALSE)</f>
        <v>940</v>
      </c>
      <c r="G118" t="s">
        <v>5200</v>
      </c>
      <c r="H118" s="5" t="s">
        <v>370</v>
      </c>
    </row>
    <row r="119" spans="1:8">
      <c r="A119" t="s">
        <v>111</v>
      </c>
      <c r="B119" s="2" t="s">
        <v>15</v>
      </c>
      <c r="C119" s="3" t="s">
        <v>368</v>
      </c>
      <c r="D119" s="4" t="s">
        <v>369</v>
      </c>
      <c r="E119" s="6" t="s">
        <v>583</v>
      </c>
      <c r="F119" s="6">
        <f>VLOOKUP(C119,LigandIDs!D:E,2,FALSE)</f>
        <v>940</v>
      </c>
      <c r="G119" t="s">
        <v>5200</v>
      </c>
      <c r="H119" s="5" t="s">
        <v>370</v>
      </c>
    </row>
    <row r="120" spans="1:8">
      <c r="A120" t="s">
        <v>109</v>
      </c>
      <c r="B120" s="2" t="s">
        <v>15</v>
      </c>
      <c r="C120" s="3" t="s">
        <v>368</v>
      </c>
      <c r="D120" s="4" t="s">
        <v>369</v>
      </c>
      <c r="E120" s="6" t="s">
        <v>583</v>
      </c>
      <c r="F120" s="6">
        <f>VLOOKUP(C120,LigandIDs!D:E,2,FALSE)</f>
        <v>940</v>
      </c>
      <c r="G120" t="s">
        <v>5200</v>
      </c>
      <c r="H120" s="5" t="s">
        <v>370</v>
      </c>
    </row>
    <row r="121" spans="1:8">
      <c r="A121" t="s">
        <v>110</v>
      </c>
      <c r="B121" s="2" t="s">
        <v>15</v>
      </c>
      <c r="C121" s="3" t="s">
        <v>368</v>
      </c>
      <c r="D121" s="4" t="s">
        <v>371</v>
      </c>
      <c r="E121" s="6" t="s">
        <v>583</v>
      </c>
      <c r="F121" s="6">
        <f>VLOOKUP(C121,LigandIDs!D:E,2,FALSE)</f>
        <v>940</v>
      </c>
      <c r="G121" t="s">
        <v>5200</v>
      </c>
      <c r="H121" s="5" t="s">
        <v>370</v>
      </c>
    </row>
    <row r="122" spans="1:8">
      <c r="A122" t="s">
        <v>154</v>
      </c>
      <c r="B122" s="2" t="s">
        <v>15</v>
      </c>
      <c r="C122" s="3" t="s">
        <v>419</v>
      </c>
      <c r="D122" s="4" t="s">
        <v>420</v>
      </c>
      <c r="E122" s="6" t="s">
        <v>583</v>
      </c>
      <c r="F122" s="6">
        <f>VLOOKUP(C122,LigandIDs!D:E,2,FALSE)</f>
        <v>911</v>
      </c>
      <c r="G122" t="s">
        <v>5200</v>
      </c>
      <c r="H122" s="5" t="s">
        <v>421</v>
      </c>
    </row>
    <row r="123" spans="1:8">
      <c r="A123" t="s">
        <v>155</v>
      </c>
      <c r="B123" s="2" t="s">
        <v>15</v>
      </c>
      <c r="C123" s="3" t="s">
        <v>419</v>
      </c>
      <c r="D123" s="4" t="s">
        <v>556</v>
      </c>
      <c r="E123" s="6" t="s">
        <v>583</v>
      </c>
      <c r="F123" s="6">
        <f>VLOOKUP(C123,LigandIDs!D:E,2,FALSE)</f>
        <v>911</v>
      </c>
      <c r="G123" t="s">
        <v>5200</v>
      </c>
      <c r="H123" s="5" t="s">
        <v>421</v>
      </c>
    </row>
    <row r="124" spans="1:8">
      <c r="A124" t="s">
        <v>156</v>
      </c>
      <c r="B124" s="2" t="s">
        <v>15</v>
      </c>
      <c r="C124" s="3" t="s">
        <v>245</v>
      </c>
      <c r="D124" s="4" t="s">
        <v>420</v>
      </c>
      <c r="E124" s="6" t="s">
        <v>583</v>
      </c>
      <c r="F124" s="6">
        <f>VLOOKUP(C124,LigandIDs!D:E,2,FALSE)</f>
        <v>911</v>
      </c>
      <c r="G124" t="s">
        <v>5200</v>
      </c>
      <c r="H124" s="5" t="s">
        <v>421</v>
      </c>
    </row>
    <row r="125" spans="1:8">
      <c r="A125" t="s">
        <v>157</v>
      </c>
      <c r="B125" s="2" t="s">
        <v>15</v>
      </c>
      <c r="C125" s="3" t="s">
        <v>419</v>
      </c>
      <c r="D125" s="4" t="s">
        <v>556</v>
      </c>
      <c r="E125" s="6" t="s">
        <v>583</v>
      </c>
      <c r="F125" s="6">
        <f>VLOOKUP(C125,LigandIDs!D:E,2,FALSE)</f>
        <v>911</v>
      </c>
      <c r="G125" t="s">
        <v>5200</v>
      </c>
      <c r="H125" s="5" t="s">
        <v>421</v>
      </c>
    </row>
    <row r="126" spans="1:8">
      <c r="A126" t="s">
        <v>52</v>
      </c>
      <c r="B126" s="2" t="s">
        <v>15</v>
      </c>
      <c r="C126" s="3" t="s">
        <v>435</v>
      </c>
      <c r="D126" s="4" t="s">
        <v>436</v>
      </c>
      <c r="E126" s="6" t="s">
        <v>583</v>
      </c>
      <c r="F126" s="6">
        <f>VLOOKUP(C126,LigandIDs!D:E,2,FALSE)</f>
        <v>649</v>
      </c>
      <c r="G126" t="s">
        <v>5200</v>
      </c>
      <c r="H126" s="5" t="s">
        <v>437</v>
      </c>
    </row>
    <row r="127" spans="1:8">
      <c r="A127" t="s">
        <v>51</v>
      </c>
      <c r="B127" s="2" t="s">
        <v>15</v>
      </c>
      <c r="C127" s="3" t="s">
        <v>525</v>
      </c>
      <c r="D127" s="4" t="s">
        <v>526</v>
      </c>
      <c r="E127" s="6" t="s">
        <v>583</v>
      </c>
      <c r="F127" s="6">
        <f>VLOOKUP(C127,LigandIDs!D:E,2,FALSE)</f>
        <v>613</v>
      </c>
      <c r="G127" t="s">
        <v>5200</v>
      </c>
      <c r="H127" s="5" t="s">
        <v>527</v>
      </c>
    </row>
    <row r="128" spans="1:8">
      <c r="A128" t="s">
        <v>26</v>
      </c>
      <c r="B128" s="2" t="s">
        <v>15</v>
      </c>
      <c r="C128" s="3" t="s">
        <v>353</v>
      </c>
      <c r="D128" s="4" t="s">
        <v>354</v>
      </c>
      <c r="E128" s="6" t="s">
        <v>583</v>
      </c>
      <c r="F128" s="6">
        <f>VLOOKUP(C128,LigandIDs!D:E,2,FALSE)</f>
        <v>294</v>
      </c>
      <c r="G128" t="s">
        <v>5200</v>
      </c>
      <c r="H128" s="5" t="s">
        <v>355</v>
      </c>
    </row>
    <row r="129" spans="1:8">
      <c r="A129" t="s">
        <v>27</v>
      </c>
      <c r="B129" s="2" t="s">
        <v>15</v>
      </c>
      <c r="C129" s="3" t="s">
        <v>353</v>
      </c>
      <c r="D129" s="4" t="s">
        <v>356</v>
      </c>
      <c r="E129" s="6" t="s">
        <v>583</v>
      </c>
      <c r="F129" s="6">
        <f>VLOOKUP(C129,LigandIDs!D:E,2,FALSE)</f>
        <v>294</v>
      </c>
      <c r="G129" t="s">
        <v>5200</v>
      </c>
      <c r="H129" s="5" t="s">
        <v>355</v>
      </c>
    </row>
    <row r="130" spans="1:8">
      <c r="A130" t="s">
        <v>28</v>
      </c>
      <c r="B130" s="2" t="s">
        <v>15</v>
      </c>
      <c r="C130" s="3" t="s">
        <v>353</v>
      </c>
      <c r="D130" s="4" t="s">
        <v>354</v>
      </c>
      <c r="E130" s="6" t="s">
        <v>583</v>
      </c>
      <c r="F130" s="6">
        <f>VLOOKUP(C130,LigandIDs!D:E,2,FALSE)</f>
        <v>294</v>
      </c>
      <c r="G130" t="s">
        <v>5200</v>
      </c>
      <c r="H130" s="5" t="s">
        <v>355</v>
      </c>
    </row>
    <row r="131" spans="1:8">
      <c r="A131" t="s">
        <v>29</v>
      </c>
      <c r="B131" s="2" t="s">
        <v>15</v>
      </c>
      <c r="C131" s="3" t="s">
        <v>353</v>
      </c>
      <c r="D131" s="4" t="s">
        <v>356</v>
      </c>
      <c r="E131" s="6" t="s">
        <v>583</v>
      </c>
      <c r="F131" s="6">
        <f>VLOOKUP(C131,LigandIDs!D:E,2,FALSE)</f>
        <v>294</v>
      </c>
      <c r="G131" t="s">
        <v>5200</v>
      </c>
      <c r="H131" s="5" t="s">
        <v>355</v>
      </c>
    </row>
    <row r="132" spans="1:8">
      <c r="A132" t="s">
        <v>30</v>
      </c>
      <c r="B132" s="2" t="s">
        <v>15</v>
      </c>
      <c r="C132" s="3" t="s">
        <v>353</v>
      </c>
      <c r="D132" s="4" t="s">
        <v>354</v>
      </c>
      <c r="E132" s="6" t="s">
        <v>583</v>
      </c>
      <c r="F132" s="6">
        <f>VLOOKUP(C132,LigandIDs!D:E,2,FALSE)</f>
        <v>294</v>
      </c>
      <c r="G132" t="s">
        <v>5200</v>
      </c>
      <c r="H132" s="5" t="s">
        <v>355</v>
      </c>
    </row>
    <row r="133" spans="1:8">
      <c r="A133" t="s">
        <v>164</v>
      </c>
      <c r="B133" s="2" t="s">
        <v>15</v>
      </c>
      <c r="C133" s="3" t="s">
        <v>384</v>
      </c>
      <c r="D133" s="4" t="s">
        <v>384</v>
      </c>
      <c r="E133" s="6" t="s">
        <v>583</v>
      </c>
      <c r="F133" s="6">
        <f>VLOOKUP(C133,LigandIDs!D:E,2,FALSE)</f>
        <v>224</v>
      </c>
      <c r="G133" t="s">
        <v>5200</v>
      </c>
      <c r="H133" s="5" t="s">
        <v>385</v>
      </c>
    </row>
    <row r="134" spans="1:8">
      <c r="A134" t="s">
        <v>166</v>
      </c>
      <c r="B134" s="2" t="s">
        <v>15</v>
      </c>
      <c r="C134" s="3" t="s">
        <v>384</v>
      </c>
      <c r="D134" s="4" t="s">
        <v>165</v>
      </c>
      <c r="E134" s="6" t="s">
        <v>583</v>
      </c>
      <c r="F134" s="6">
        <f>VLOOKUP(C134,LigandIDs!D:E,2,FALSE)</f>
        <v>224</v>
      </c>
      <c r="G134" t="s">
        <v>5200</v>
      </c>
      <c r="H134" s="5" t="s">
        <v>385</v>
      </c>
    </row>
    <row r="135" spans="1:8">
      <c r="A135" t="s">
        <v>82</v>
      </c>
      <c r="B135" s="2" t="s">
        <v>15</v>
      </c>
      <c r="C135" s="3" t="s">
        <v>487</v>
      </c>
      <c r="D135" s="4" t="s">
        <v>488</v>
      </c>
      <c r="E135" s="6" t="s">
        <v>583</v>
      </c>
      <c r="F135" s="6">
        <v>5567</v>
      </c>
      <c r="G135" t="s">
        <v>5201</v>
      </c>
      <c r="H135" s="5" t="s">
        <v>489</v>
      </c>
    </row>
    <row r="136" spans="1:8">
      <c r="A136" t="s">
        <v>147</v>
      </c>
      <c r="B136" s="2" t="s">
        <v>15</v>
      </c>
      <c r="C136" s="3" t="s">
        <v>443</v>
      </c>
      <c r="D136" s="4" t="s">
        <v>443</v>
      </c>
      <c r="E136" s="6" t="s">
        <v>583</v>
      </c>
      <c r="F136" s="6">
        <v>6161</v>
      </c>
      <c r="G136" t="s">
        <v>5201</v>
      </c>
      <c r="H136" s="5" t="s">
        <v>444</v>
      </c>
    </row>
    <row r="137" spans="1:8">
      <c r="A137" t="s">
        <v>58</v>
      </c>
      <c r="B137" s="2" t="s">
        <v>15</v>
      </c>
      <c r="C137" s="3" t="s">
        <v>2533</v>
      </c>
      <c r="D137" s="4" t="s">
        <v>457</v>
      </c>
      <c r="E137" s="6" t="s">
        <v>583</v>
      </c>
      <c r="F137" s="6">
        <v>730</v>
      </c>
      <c r="G137" t="s">
        <v>5201</v>
      </c>
      <c r="H137" s="5" t="s">
        <v>458</v>
      </c>
    </row>
    <row r="138" spans="1:8">
      <c r="A138" t="s">
        <v>59</v>
      </c>
      <c r="B138" s="2" t="s">
        <v>15</v>
      </c>
      <c r="C138" s="3" t="s">
        <v>456</v>
      </c>
      <c r="D138" s="4" t="s">
        <v>459</v>
      </c>
      <c r="E138" s="6" t="s">
        <v>583</v>
      </c>
      <c r="F138" s="6">
        <v>730</v>
      </c>
      <c r="G138" t="s">
        <v>5201</v>
      </c>
      <c r="H138" s="5" t="s">
        <v>458</v>
      </c>
    </row>
    <row r="139" spans="1:8">
      <c r="A139" t="s">
        <v>132</v>
      </c>
      <c r="B139" s="2" t="s">
        <v>15</v>
      </c>
      <c r="C139" s="3" t="s">
        <v>485</v>
      </c>
      <c r="D139" s="4" t="s">
        <v>485</v>
      </c>
      <c r="E139" s="6" t="s">
        <v>7</v>
      </c>
      <c r="F139" s="5" t="s">
        <v>486</v>
      </c>
      <c r="G139" t="s">
        <v>5201</v>
      </c>
      <c r="H139" s="5" t="s">
        <v>486</v>
      </c>
    </row>
    <row r="140" spans="1:8">
      <c r="A140" t="s">
        <v>208</v>
      </c>
      <c r="B140" s="2" t="s">
        <v>15</v>
      </c>
      <c r="C140" s="3" t="s">
        <v>553</v>
      </c>
      <c r="D140" s="4" t="s">
        <v>554</v>
      </c>
      <c r="E140" s="6" t="s">
        <v>583</v>
      </c>
      <c r="F140" s="6">
        <v>1895</v>
      </c>
      <c r="G140" t="s">
        <v>5201</v>
      </c>
      <c r="H140" s="5" t="s">
        <v>555</v>
      </c>
    </row>
    <row r="141" spans="1:8">
      <c r="A141" t="s">
        <v>40</v>
      </c>
      <c r="B141" s="2" t="s">
        <v>15</v>
      </c>
      <c r="C141" s="3" t="s">
        <v>582</v>
      </c>
      <c r="D141" s="4" t="s">
        <v>446</v>
      </c>
      <c r="E141" s="6" t="s">
        <v>583</v>
      </c>
      <c r="F141" s="6">
        <v>536</v>
      </c>
      <c r="G141" t="s">
        <v>5201</v>
      </c>
      <c r="H141" s="5" t="s">
        <v>447</v>
      </c>
    </row>
    <row r="142" spans="1:8">
      <c r="A142" t="s">
        <v>41</v>
      </c>
      <c r="B142" s="2" t="s">
        <v>15</v>
      </c>
      <c r="C142" s="3" t="s">
        <v>445</v>
      </c>
      <c r="D142" s="4" t="s">
        <v>448</v>
      </c>
      <c r="E142" s="6" t="s">
        <v>583</v>
      </c>
      <c r="F142" s="6">
        <v>536</v>
      </c>
      <c r="G142" t="s">
        <v>5201</v>
      </c>
      <c r="H142" s="5" t="s">
        <v>447</v>
      </c>
    </row>
    <row r="143" spans="1:8">
      <c r="A143" t="s">
        <v>42</v>
      </c>
      <c r="B143" s="2" t="s">
        <v>15</v>
      </c>
      <c r="C143" s="3" t="s">
        <v>582</v>
      </c>
      <c r="D143" s="4" t="s">
        <v>446</v>
      </c>
      <c r="E143" s="6" t="s">
        <v>583</v>
      </c>
      <c r="F143" s="6">
        <v>536</v>
      </c>
      <c r="G143" t="s">
        <v>5201</v>
      </c>
      <c r="H143" s="5" t="s">
        <v>447</v>
      </c>
    </row>
    <row r="144" spans="1:8">
      <c r="A144" t="s">
        <v>131</v>
      </c>
      <c r="B144" s="2" t="s">
        <v>15</v>
      </c>
      <c r="C144" s="3" t="s">
        <v>579</v>
      </c>
      <c r="D144" s="4" t="s">
        <v>441</v>
      </c>
      <c r="E144" s="6" t="s">
        <v>583</v>
      </c>
      <c r="F144" s="6">
        <v>1175</v>
      </c>
      <c r="G144" t="s">
        <v>5201</v>
      </c>
      <c r="H144" s="5" t="s">
        <v>442</v>
      </c>
    </row>
    <row r="145" spans="1:8">
      <c r="A145" t="s">
        <v>88</v>
      </c>
      <c r="B145" s="2" t="s">
        <v>15</v>
      </c>
      <c r="C145" s="3" t="s">
        <v>490</v>
      </c>
      <c r="D145" s="4" t="s">
        <v>490</v>
      </c>
      <c r="E145" s="6" t="s">
        <v>7</v>
      </c>
      <c r="F145" s="5" t="s">
        <v>491</v>
      </c>
      <c r="G145" t="s">
        <v>5201</v>
      </c>
      <c r="H145" s="5" t="s">
        <v>491</v>
      </c>
    </row>
    <row r="146" spans="1:8">
      <c r="A146" t="s">
        <v>125</v>
      </c>
      <c r="B146" s="2" t="s">
        <v>15</v>
      </c>
      <c r="C146" s="3" t="s">
        <v>2534</v>
      </c>
      <c r="D146" s="4" t="s">
        <v>433</v>
      </c>
      <c r="E146" s="6" t="s">
        <v>583</v>
      </c>
      <c r="F146" s="6">
        <v>5867</v>
      </c>
      <c r="G146" t="s">
        <v>5201</v>
      </c>
      <c r="H146" s="5" t="s">
        <v>434</v>
      </c>
    </row>
    <row r="147" spans="1:8">
      <c r="A147" t="s">
        <v>120</v>
      </c>
      <c r="B147" s="2" t="s">
        <v>15</v>
      </c>
      <c r="C147" s="3" t="s">
        <v>2535</v>
      </c>
      <c r="D147" s="4" t="s">
        <v>460</v>
      </c>
      <c r="E147" s="6" t="s">
        <v>583</v>
      </c>
      <c r="F147" s="6">
        <v>6490</v>
      </c>
      <c r="G147" t="s">
        <v>5201</v>
      </c>
      <c r="H147" s="5" t="s">
        <v>461</v>
      </c>
    </row>
    <row r="148" spans="1:8">
      <c r="A148" t="s">
        <v>209</v>
      </c>
      <c r="B148" s="2" t="s">
        <v>15</v>
      </c>
      <c r="C148" s="3" t="s">
        <v>567</v>
      </c>
      <c r="D148" s="4" t="s">
        <v>568</v>
      </c>
      <c r="E148" s="6" t="s">
        <v>583</v>
      </c>
      <c r="F148" s="6">
        <v>1888</v>
      </c>
      <c r="G148" t="s">
        <v>5201</v>
      </c>
      <c r="H148" s="5" t="s">
        <v>569</v>
      </c>
    </row>
    <row r="149" spans="1:8">
      <c r="A149" t="s">
        <v>90</v>
      </c>
      <c r="B149" s="2" t="s">
        <v>15</v>
      </c>
      <c r="C149" s="3" t="s">
        <v>496</v>
      </c>
      <c r="D149" s="4" t="s">
        <v>497</v>
      </c>
      <c r="E149" s="6" t="s">
        <v>583</v>
      </c>
      <c r="F149" s="6">
        <v>2919</v>
      </c>
      <c r="G149" t="s">
        <v>5201</v>
      </c>
      <c r="H149" s="5" t="s">
        <v>498</v>
      </c>
    </row>
    <row r="150" spans="1:8">
      <c r="A150" t="s">
        <v>179</v>
      </c>
      <c r="B150" s="9" t="s">
        <v>15</v>
      </c>
      <c r="C150" t="s">
        <v>1864</v>
      </c>
      <c r="D150" t="s">
        <v>180</v>
      </c>
      <c r="E150" s="6" t="s">
        <v>583</v>
      </c>
      <c r="F150">
        <v>1579</v>
      </c>
      <c r="G150" t="s">
        <v>5200</v>
      </c>
    </row>
    <row r="151" spans="1:8">
      <c r="A151" t="s">
        <v>225</v>
      </c>
      <c r="B151" s="9" t="s">
        <v>15</v>
      </c>
      <c r="C151" t="s">
        <v>2246</v>
      </c>
      <c r="D151" t="s">
        <v>2672</v>
      </c>
      <c r="E151" s="6" t="s">
        <v>583</v>
      </c>
      <c r="F151">
        <v>2139</v>
      </c>
      <c r="G151" t="s">
        <v>5200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1197-9947-DB46-8E0C-9484CA3A2539}">
  <sheetPr>
    <tabColor rgb="FF92D050"/>
  </sheetPr>
  <dimension ref="A1:B9"/>
  <sheetViews>
    <sheetView zoomScale="150" zoomScaleNormal="150" workbookViewId="0">
      <selection activeCell="A8" sqref="A8"/>
    </sheetView>
  </sheetViews>
  <sheetFormatPr baseColWidth="10" defaultRowHeight="16"/>
  <cols>
    <col min="1" max="1" width="24.6640625" bestFit="1" customWidth="1"/>
  </cols>
  <sheetData>
    <row r="1" spans="1:2" s="117" customFormat="1">
      <c r="A1" s="117" t="s">
        <v>11</v>
      </c>
      <c r="B1" s="117" t="s">
        <v>5202</v>
      </c>
    </row>
    <row r="2" spans="1:2">
      <c r="A2" t="s">
        <v>7</v>
      </c>
      <c r="B2" t="s">
        <v>5200</v>
      </c>
    </row>
    <row r="3" spans="1:2">
      <c r="A3" t="s">
        <v>5</v>
      </c>
      <c r="B3" t="s">
        <v>5201</v>
      </c>
    </row>
    <row r="4" spans="1:2">
      <c r="A4" t="s">
        <v>583</v>
      </c>
      <c r="B4" t="s">
        <v>584</v>
      </c>
    </row>
    <row r="5" spans="1:2">
      <c r="A5" t="s">
        <v>4</v>
      </c>
      <c r="B5" t="s">
        <v>585</v>
      </c>
    </row>
    <row r="6" spans="1:2">
      <c r="A6" t="s">
        <v>6</v>
      </c>
    </row>
    <row r="7" spans="1:2">
      <c r="A7" t="s">
        <v>8</v>
      </c>
    </row>
    <row r="8" spans="1:2">
      <c r="A8" t="s">
        <v>9</v>
      </c>
    </row>
    <row r="9" spans="1:2">
      <c r="A9" t="s">
        <v>10</v>
      </c>
    </row>
  </sheetData>
  <sortState xmlns:xlrd2="http://schemas.microsoft.com/office/spreadsheetml/2017/richdata2" ref="A2:A6">
    <sortCondition ref="A2:A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D98D-74D8-1D46-A927-5571A2AB186B}">
  <sheetPr>
    <tabColor rgb="FF92D050"/>
  </sheetPr>
  <dimension ref="A1:K405"/>
  <sheetViews>
    <sheetView zoomScale="114" zoomScaleNormal="93" workbookViewId="0">
      <pane ySplit="1" topLeftCell="A183" activePane="bottomLeft" state="frozen"/>
      <selection sqref="A1:XFD1"/>
      <selection pane="bottomLeft" activeCell="A203" sqref="A203"/>
    </sheetView>
  </sheetViews>
  <sheetFormatPr baseColWidth="10" defaultRowHeight="15"/>
  <cols>
    <col min="1" max="1" width="22.33203125" style="81" bestFit="1" customWidth="1"/>
    <col min="2" max="2" width="8.83203125" style="81" bestFit="1" customWidth="1"/>
    <col min="3" max="3" width="19.1640625" style="81" bestFit="1" customWidth="1"/>
    <col min="4" max="4" width="22.33203125" style="81" bestFit="1" customWidth="1"/>
    <col min="5" max="5" width="6" style="81" bestFit="1" customWidth="1"/>
    <col min="6" max="6" width="4.83203125" style="81" bestFit="1" customWidth="1"/>
    <col min="7" max="7" width="14.1640625" style="81" bestFit="1" customWidth="1"/>
    <col min="8" max="8" width="25" style="81" bestFit="1" customWidth="1"/>
    <col min="9" max="9" width="47" style="81" bestFit="1" customWidth="1"/>
    <col min="10" max="10" width="17" style="81" bestFit="1" customWidth="1"/>
    <col min="11" max="11" width="10.1640625" style="81" bestFit="1" customWidth="1"/>
    <col min="12" max="16384" width="10.83203125" style="81"/>
  </cols>
  <sheetData>
    <row r="1" spans="1:11" s="116" customFormat="1">
      <c r="A1" s="116" t="s">
        <v>254</v>
      </c>
      <c r="B1" s="116" t="s">
        <v>587</v>
      </c>
      <c r="C1" s="116" t="s">
        <v>255</v>
      </c>
      <c r="D1" s="116" t="s">
        <v>254</v>
      </c>
      <c r="E1" s="116" t="s">
        <v>5151</v>
      </c>
      <c r="F1" s="116" t="s">
        <v>13</v>
      </c>
      <c r="G1" s="116" t="s">
        <v>5150</v>
      </c>
      <c r="H1" s="116" t="s">
        <v>5149</v>
      </c>
      <c r="I1" s="116" t="s">
        <v>5148</v>
      </c>
      <c r="J1" s="116" t="s">
        <v>2756</v>
      </c>
      <c r="K1" s="116" t="s">
        <v>2755</v>
      </c>
    </row>
    <row r="2" spans="1:11" ht="17">
      <c r="A2" s="81" t="s">
        <v>14</v>
      </c>
      <c r="B2" s="81" t="s">
        <v>256</v>
      </c>
      <c r="C2" s="81" t="s">
        <v>5147</v>
      </c>
      <c r="D2" s="81" t="s">
        <v>14</v>
      </c>
      <c r="E2" s="81">
        <v>1</v>
      </c>
      <c r="F2" s="81" t="s">
        <v>15</v>
      </c>
      <c r="G2" s="81" t="s">
        <v>2854</v>
      </c>
      <c r="H2" s="81" t="s">
        <v>4957</v>
      </c>
      <c r="I2" s="81" t="s">
        <v>5146</v>
      </c>
      <c r="J2" s="81" t="s">
        <v>5145</v>
      </c>
      <c r="K2" s="81" t="s">
        <v>3249</v>
      </c>
    </row>
    <row r="3" spans="1:11" ht="17">
      <c r="A3" s="81" t="s">
        <v>16</v>
      </c>
      <c r="B3" s="81" t="s">
        <v>257</v>
      </c>
      <c r="C3" s="81" t="s">
        <v>5144</v>
      </c>
      <c r="D3" s="81" t="s">
        <v>16</v>
      </c>
      <c r="E3" s="81">
        <v>2</v>
      </c>
      <c r="F3" s="81" t="s">
        <v>15</v>
      </c>
      <c r="G3" s="81" t="s">
        <v>2854</v>
      </c>
      <c r="H3" s="81" t="s">
        <v>4957</v>
      </c>
      <c r="I3" s="81" t="s">
        <v>5143</v>
      </c>
      <c r="J3" s="81" t="s">
        <v>5142</v>
      </c>
      <c r="K3" s="81" t="s">
        <v>3246</v>
      </c>
    </row>
    <row r="4" spans="1:11" ht="17">
      <c r="A4" s="81" t="s">
        <v>17</v>
      </c>
      <c r="B4" s="81" t="s">
        <v>258</v>
      </c>
      <c r="C4" s="81" t="s">
        <v>5141</v>
      </c>
      <c r="D4" s="81" t="s">
        <v>17</v>
      </c>
      <c r="E4" s="81">
        <v>3</v>
      </c>
      <c r="F4" s="81" t="s">
        <v>15</v>
      </c>
      <c r="G4" s="81" t="s">
        <v>2854</v>
      </c>
      <c r="H4" s="81" t="s">
        <v>4957</v>
      </c>
      <c r="I4" s="81" t="s">
        <v>5140</v>
      </c>
      <c r="J4" s="81" t="s">
        <v>5139</v>
      </c>
      <c r="K4" s="81" t="s">
        <v>3243</v>
      </c>
    </row>
    <row r="5" spans="1:11" ht="17">
      <c r="A5" s="81" t="s">
        <v>20</v>
      </c>
      <c r="B5" s="81" t="s">
        <v>259</v>
      </c>
      <c r="C5" s="81" t="s">
        <v>5138</v>
      </c>
      <c r="D5" s="81" t="s">
        <v>20</v>
      </c>
      <c r="E5" s="81">
        <v>6</v>
      </c>
      <c r="F5" s="81" t="s">
        <v>15</v>
      </c>
      <c r="G5" s="81" t="s">
        <v>2854</v>
      </c>
      <c r="H5" s="81" t="s">
        <v>4957</v>
      </c>
      <c r="I5" s="81" t="s">
        <v>5137</v>
      </c>
      <c r="J5" s="81" t="s">
        <v>5136</v>
      </c>
      <c r="K5" s="81" t="s">
        <v>3234</v>
      </c>
    </row>
    <row r="6" spans="1:11" ht="17">
      <c r="A6" s="81" t="s">
        <v>21</v>
      </c>
      <c r="B6" s="81" t="s">
        <v>260</v>
      </c>
      <c r="C6" s="81" t="s">
        <v>5135</v>
      </c>
      <c r="D6" s="81" t="s">
        <v>21</v>
      </c>
      <c r="E6" s="81">
        <v>7</v>
      </c>
      <c r="F6" s="81" t="s">
        <v>15</v>
      </c>
      <c r="G6" s="81" t="s">
        <v>2854</v>
      </c>
      <c r="H6" s="81" t="s">
        <v>4957</v>
      </c>
      <c r="I6" s="81" t="s">
        <v>5134</v>
      </c>
      <c r="J6" s="81" t="s">
        <v>5133</v>
      </c>
      <c r="K6" s="81" t="s">
        <v>3231</v>
      </c>
    </row>
    <row r="7" spans="1:11" ht="17">
      <c r="A7" s="81" t="s">
        <v>22</v>
      </c>
      <c r="B7" s="81" t="s">
        <v>261</v>
      </c>
      <c r="C7" s="81" t="s">
        <v>5132</v>
      </c>
      <c r="D7" s="81" t="s">
        <v>22</v>
      </c>
      <c r="E7" s="81">
        <v>8</v>
      </c>
      <c r="F7" s="81" t="s">
        <v>15</v>
      </c>
      <c r="G7" s="81" t="s">
        <v>2854</v>
      </c>
      <c r="H7" s="81" t="s">
        <v>4957</v>
      </c>
      <c r="I7" s="81" t="s">
        <v>5131</v>
      </c>
      <c r="J7" s="81" t="s">
        <v>5130</v>
      </c>
      <c r="K7" s="81" t="s">
        <v>3228</v>
      </c>
    </row>
    <row r="8" spans="1:11" ht="17">
      <c r="A8" s="81" t="s">
        <v>31</v>
      </c>
      <c r="B8" s="81" t="s">
        <v>266</v>
      </c>
      <c r="C8" s="81" t="s">
        <v>5129</v>
      </c>
      <c r="D8" s="81" t="s">
        <v>31</v>
      </c>
      <c r="E8" s="81">
        <v>18</v>
      </c>
      <c r="F8" s="81" t="s">
        <v>15</v>
      </c>
      <c r="G8" s="81" t="s">
        <v>3137</v>
      </c>
      <c r="H8" s="81" t="s">
        <v>2</v>
      </c>
      <c r="I8" s="81" t="s">
        <v>5128</v>
      </c>
      <c r="J8" s="81" t="s">
        <v>5127</v>
      </c>
      <c r="K8" s="81" t="s">
        <v>3146</v>
      </c>
    </row>
    <row r="9" spans="1:11" ht="17">
      <c r="A9" s="81" t="s">
        <v>1</v>
      </c>
      <c r="B9" s="81" t="s">
        <v>267</v>
      </c>
      <c r="C9" s="81" t="s">
        <v>5126</v>
      </c>
      <c r="D9" s="81" t="s">
        <v>1</v>
      </c>
      <c r="E9" s="81">
        <v>19</v>
      </c>
      <c r="F9" s="81" t="s">
        <v>15</v>
      </c>
      <c r="G9" s="81" t="s">
        <v>3137</v>
      </c>
      <c r="H9" s="81" t="s">
        <v>2</v>
      </c>
      <c r="I9" s="81" t="s">
        <v>5125</v>
      </c>
      <c r="J9" s="81" t="s">
        <v>2757</v>
      </c>
      <c r="K9" s="81" t="s">
        <v>3143</v>
      </c>
    </row>
    <row r="10" spans="1:11" ht="17">
      <c r="A10" s="81" t="s">
        <v>32</v>
      </c>
      <c r="B10" s="81" t="s">
        <v>268</v>
      </c>
      <c r="C10" s="81" t="s">
        <v>5124</v>
      </c>
      <c r="D10" s="81" t="s">
        <v>32</v>
      </c>
      <c r="E10" s="81">
        <v>20</v>
      </c>
      <c r="F10" s="81" t="s">
        <v>15</v>
      </c>
      <c r="G10" s="81" t="s">
        <v>3137</v>
      </c>
      <c r="H10" s="81" t="s">
        <v>2</v>
      </c>
      <c r="I10" s="81" t="s">
        <v>5123</v>
      </c>
      <c r="J10" s="81" t="s">
        <v>5122</v>
      </c>
      <c r="K10" s="81" t="s">
        <v>3141</v>
      </c>
    </row>
    <row r="11" spans="1:11" ht="17">
      <c r="A11" s="81" t="s">
        <v>33</v>
      </c>
      <c r="B11" s="81" t="s">
        <v>269</v>
      </c>
      <c r="C11" s="81" t="s">
        <v>5121</v>
      </c>
      <c r="D11" s="81" t="s">
        <v>33</v>
      </c>
      <c r="E11" s="81">
        <v>21</v>
      </c>
      <c r="F11" s="81" t="s">
        <v>15</v>
      </c>
      <c r="G11" s="81" t="s">
        <v>3137</v>
      </c>
      <c r="H11" s="81" t="s">
        <v>2</v>
      </c>
      <c r="I11" s="81" t="s">
        <v>5120</v>
      </c>
      <c r="J11" s="81" t="s">
        <v>5119</v>
      </c>
      <c r="K11" s="81" t="s">
        <v>3138</v>
      </c>
    </row>
    <row r="12" spans="1:11" ht="17">
      <c r="A12" s="81" t="s">
        <v>26</v>
      </c>
      <c r="B12" s="81" t="s">
        <v>262</v>
      </c>
      <c r="C12" s="81" t="s">
        <v>5118</v>
      </c>
      <c r="D12" s="81" t="s">
        <v>26</v>
      </c>
      <c r="E12" s="81">
        <v>13</v>
      </c>
      <c r="F12" s="81" t="s">
        <v>15</v>
      </c>
      <c r="G12" s="81" t="s">
        <v>2854</v>
      </c>
      <c r="H12" s="81" t="s">
        <v>4950</v>
      </c>
      <c r="I12" s="81" t="s">
        <v>5117</v>
      </c>
      <c r="J12" s="81" t="s">
        <v>5116</v>
      </c>
      <c r="K12" s="81" t="s">
        <v>3208</v>
      </c>
    </row>
    <row r="13" spans="1:11" ht="17">
      <c r="A13" s="81" t="s">
        <v>27</v>
      </c>
      <c r="B13" s="81" t="s">
        <v>263</v>
      </c>
      <c r="C13" s="81" t="s">
        <v>5115</v>
      </c>
      <c r="D13" s="81" t="s">
        <v>27</v>
      </c>
      <c r="E13" s="81">
        <v>14</v>
      </c>
      <c r="F13" s="81" t="s">
        <v>15</v>
      </c>
      <c r="G13" s="81" t="s">
        <v>2854</v>
      </c>
      <c r="H13" s="81" t="s">
        <v>4950</v>
      </c>
      <c r="I13" s="81" t="s">
        <v>5114</v>
      </c>
      <c r="J13" s="81" t="s">
        <v>5113</v>
      </c>
      <c r="K13" s="81" t="s">
        <v>3205</v>
      </c>
    </row>
    <row r="14" spans="1:11" ht="17">
      <c r="A14" s="81" t="s">
        <v>28</v>
      </c>
      <c r="B14" s="81" t="s">
        <v>264</v>
      </c>
      <c r="C14" s="81" t="s">
        <v>5112</v>
      </c>
      <c r="D14" s="81" t="s">
        <v>28</v>
      </c>
      <c r="E14" s="81">
        <v>15</v>
      </c>
      <c r="F14" s="81" t="s">
        <v>15</v>
      </c>
      <c r="G14" s="81" t="s">
        <v>2854</v>
      </c>
      <c r="H14" s="81" t="s">
        <v>4950</v>
      </c>
      <c r="I14" s="81" t="s">
        <v>5111</v>
      </c>
      <c r="J14" s="81" t="s">
        <v>5110</v>
      </c>
      <c r="K14" s="81" t="s">
        <v>3202</v>
      </c>
    </row>
    <row r="15" spans="1:11" ht="17">
      <c r="A15" s="81" t="s">
        <v>29</v>
      </c>
      <c r="B15" s="81" t="s">
        <v>265</v>
      </c>
      <c r="C15" s="81" t="s">
        <v>5109</v>
      </c>
      <c r="D15" s="81" t="s">
        <v>29</v>
      </c>
      <c r="E15" s="81">
        <v>16</v>
      </c>
      <c r="F15" s="81" t="s">
        <v>15</v>
      </c>
      <c r="G15" s="81" t="s">
        <v>2854</v>
      </c>
      <c r="H15" s="81" t="s">
        <v>4950</v>
      </c>
      <c r="I15" s="81" t="s">
        <v>5108</v>
      </c>
      <c r="J15" s="81" t="s">
        <v>5107</v>
      </c>
      <c r="K15" s="81" t="s">
        <v>3199</v>
      </c>
    </row>
    <row r="16" spans="1:11" ht="17">
      <c r="A16" s="81" t="s">
        <v>34</v>
      </c>
      <c r="B16" s="81" t="s">
        <v>270</v>
      </c>
      <c r="C16" s="81" t="s">
        <v>5106</v>
      </c>
      <c r="D16" s="81" t="s">
        <v>34</v>
      </c>
      <c r="E16" s="81">
        <v>22</v>
      </c>
      <c r="F16" s="81" t="s">
        <v>15</v>
      </c>
      <c r="G16" s="81" t="s">
        <v>2854</v>
      </c>
      <c r="H16" s="81" t="s">
        <v>3895</v>
      </c>
      <c r="I16" s="81" t="s">
        <v>5105</v>
      </c>
      <c r="J16" s="81" t="s">
        <v>5104</v>
      </c>
      <c r="K16" s="81" t="s">
        <v>3193</v>
      </c>
    </row>
    <row r="17" spans="1:11" ht="17">
      <c r="A17" s="81" t="s">
        <v>37</v>
      </c>
      <c r="B17" s="81" t="s">
        <v>271</v>
      </c>
      <c r="C17" s="81" t="s">
        <v>5103</v>
      </c>
      <c r="D17" s="81" t="s">
        <v>37</v>
      </c>
      <c r="E17" s="81">
        <v>25</v>
      </c>
      <c r="F17" s="81" t="s">
        <v>15</v>
      </c>
      <c r="G17" s="81" t="s">
        <v>2854</v>
      </c>
      <c r="H17" s="81" t="s">
        <v>3895</v>
      </c>
      <c r="I17" s="81" t="s">
        <v>5102</v>
      </c>
      <c r="J17" s="81" t="s">
        <v>5101</v>
      </c>
      <c r="K17" s="81" t="s">
        <v>3186</v>
      </c>
    </row>
    <row r="18" spans="1:11" ht="17">
      <c r="A18" s="81" t="s">
        <v>38</v>
      </c>
      <c r="B18" s="81" t="s">
        <v>272</v>
      </c>
      <c r="C18" s="81" t="s">
        <v>5100</v>
      </c>
      <c r="D18" s="81" t="s">
        <v>38</v>
      </c>
      <c r="E18" s="81">
        <v>26</v>
      </c>
      <c r="F18" s="81" t="s">
        <v>15</v>
      </c>
      <c r="G18" s="81" t="s">
        <v>2854</v>
      </c>
      <c r="H18" s="81" t="s">
        <v>3895</v>
      </c>
      <c r="I18" s="81" t="s">
        <v>5099</v>
      </c>
      <c r="J18" s="81" t="s">
        <v>5098</v>
      </c>
      <c r="K18" s="81" t="s">
        <v>3183</v>
      </c>
    </row>
    <row r="19" spans="1:11" ht="17">
      <c r="A19" s="81" t="s">
        <v>39</v>
      </c>
      <c r="B19" s="81" t="s">
        <v>273</v>
      </c>
      <c r="C19" s="81" t="s">
        <v>5097</v>
      </c>
      <c r="D19" s="81" t="s">
        <v>39</v>
      </c>
      <c r="E19" s="81">
        <v>27</v>
      </c>
      <c r="F19" s="81" t="s">
        <v>15</v>
      </c>
      <c r="G19" s="81" t="s">
        <v>2854</v>
      </c>
      <c r="H19" s="81" t="s">
        <v>3895</v>
      </c>
      <c r="I19" s="81" t="s">
        <v>5096</v>
      </c>
      <c r="J19" s="81" t="s">
        <v>5095</v>
      </c>
      <c r="K19" s="81" t="s">
        <v>3180</v>
      </c>
    </row>
    <row r="20" spans="1:11" ht="17">
      <c r="A20" s="81" t="s">
        <v>40</v>
      </c>
      <c r="B20" s="81" t="s">
        <v>274</v>
      </c>
      <c r="C20" s="81" t="s">
        <v>5094</v>
      </c>
      <c r="D20" s="81" t="s">
        <v>40</v>
      </c>
      <c r="E20" s="81">
        <v>28</v>
      </c>
      <c r="F20" s="81" t="s">
        <v>15</v>
      </c>
      <c r="G20" s="81" t="s">
        <v>2854</v>
      </c>
      <c r="H20" s="81" t="s">
        <v>3895</v>
      </c>
      <c r="I20" s="81" t="s">
        <v>5093</v>
      </c>
      <c r="J20" s="81" t="s">
        <v>5092</v>
      </c>
      <c r="K20" s="81" t="s">
        <v>40</v>
      </c>
    </row>
    <row r="21" spans="1:11" ht="17">
      <c r="A21" s="81" t="s">
        <v>41</v>
      </c>
      <c r="B21" s="81" t="s">
        <v>275</v>
      </c>
      <c r="C21" s="81" t="s">
        <v>5091</v>
      </c>
      <c r="D21" s="81" t="s">
        <v>41</v>
      </c>
      <c r="E21" s="81">
        <v>29</v>
      </c>
      <c r="F21" s="81" t="s">
        <v>15</v>
      </c>
      <c r="G21" s="81" t="s">
        <v>2854</v>
      </c>
      <c r="H21" s="81" t="s">
        <v>3895</v>
      </c>
      <c r="I21" s="81" t="s">
        <v>5090</v>
      </c>
      <c r="J21" s="81" t="s">
        <v>5089</v>
      </c>
      <c r="K21" s="81" t="s">
        <v>41</v>
      </c>
    </row>
    <row r="22" spans="1:11" ht="17">
      <c r="A22" s="81" t="s">
        <v>43</v>
      </c>
      <c r="B22" s="81" t="s">
        <v>276</v>
      </c>
      <c r="C22" s="81" t="s">
        <v>5088</v>
      </c>
      <c r="D22" s="81" t="s">
        <v>43</v>
      </c>
      <c r="E22" s="81">
        <v>34</v>
      </c>
      <c r="F22" s="81" t="s">
        <v>15</v>
      </c>
      <c r="G22" s="81" t="s">
        <v>44</v>
      </c>
      <c r="H22" s="81" t="s">
        <v>4907</v>
      </c>
      <c r="I22" s="81" t="s">
        <v>5087</v>
      </c>
      <c r="J22" s="81" t="s">
        <v>5086</v>
      </c>
      <c r="K22" s="81" t="s">
        <v>43</v>
      </c>
    </row>
    <row r="23" spans="1:11">
      <c r="A23" s="81" t="s">
        <v>45</v>
      </c>
      <c r="B23" s="81" t="s">
        <v>277</v>
      </c>
      <c r="C23" s="81" t="s">
        <v>46</v>
      </c>
      <c r="D23" s="81" t="s">
        <v>45</v>
      </c>
      <c r="E23" s="81">
        <v>36</v>
      </c>
      <c r="F23" s="81" t="s">
        <v>15</v>
      </c>
      <c r="G23" s="81" t="s">
        <v>44</v>
      </c>
      <c r="H23" s="81" t="s">
        <v>47</v>
      </c>
      <c r="I23" s="81" t="s">
        <v>742</v>
      </c>
      <c r="J23" s="81" t="s">
        <v>45</v>
      </c>
      <c r="K23" s="81" t="s">
        <v>46</v>
      </c>
    </row>
    <row r="24" spans="1:11" ht="17">
      <c r="A24" s="81" t="s">
        <v>52</v>
      </c>
      <c r="B24" s="81" t="s">
        <v>279</v>
      </c>
      <c r="C24" s="81" t="s">
        <v>5085</v>
      </c>
      <c r="D24" s="81" t="s">
        <v>52</v>
      </c>
      <c r="E24" s="81">
        <v>41</v>
      </c>
      <c r="F24" s="81" t="s">
        <v>15</v>
      </c>
      <c r="G24" s="81" t="s">
        <v>44</v>
      </c>
      <c r="H24" s="81" t="s">
        <v>3078</v>
      </c>
      <c r="I24" s="81" t="s">
        <v>5084</v>
      </c>
      <c r="J24" s="81" t="s">
        <v>5083</v>
      </c>
      <c r="K24" s="81" t="s">
        <v>3860</v>
      </c>
    </row>
    <row r="25" spans="1:11" ht="17">
      <c r="A25" s="81" t="s">
        <v>54</v>
      </c>
      <c r="B25" s="81" t="s">
        <v>280</v>
      </c>
      <c r="C25" s="81" t="s">
        <v>5082</v>
      </c>
      <c r="D25" s="81" t="s">
        <v>54</v>
      </c>
      <c r="E25" s="81">
        <v>42</v>
      </c>
      <c r="F25" s="81" t="s">
        <v>15</v>
      </c>
      <c r="G25" s="81" t="s">
        <v>44</v>
      </c>
      <c r="H25" s="81" t="s">
        <v>3078</v>
      </c>
      <c r="I25" s="81" t="s">
        <v>5081</v>
      </c>
      <c r="J25" s="81" t="s">
        <v>5080</v>
      </c>
      <c r="K25" s="81" t="s">
        <v>3079</v>
      </c>
    </row>
    <row r="26" spans="1:11" ht="17">
      <c r="A26" s="81" t="s">
        <v>80</v>
      </c>
      <c r="B26" s="81" t="s">
        <v>288</v>
      </c>
      <c r="C26" s="81" t="s">
        <v>5079</v>
      </c>
      <c r="D26" s="81" t="s">
        <v>80</v>
      </c>
      <c r="E26" s="81">
        <v>76</v>
      </c>
      <c r="F26" s="81" t="s">
        <v>15</v>
      </c>
      <c r="G26" s="81" t="s">
        <v>44</v>
      </c>
      <c r="H26" s="81" t="s">
        <v>3018</v>
      </c>
      <c r="I26" s="81" t="s">
        <v>5078</v>
      </c>
      <c r="J26" s="81" t="s">
        <v>5077</v>
      </c>
      <c r="K26" s="81" t="s">
        <v>80</v>
      </c>
    </row>
    <row r="27" spans="1:11" ht="17">
      <c r="A27" s="81" t="s">
        <v>144</v>
      </c>
      <c r="B27" s="81" t="s">
        <v>310</v>
      </c>
      <c r="C27" s="81" t="s">
        <v>5076</v>
      </c>
      <c r="D27" s="81" t="s">
        <v>144</v>
      </c>
      <c r="E27" s="81">
        <v>269</v>
      </c>
      <c r="F27" s="81" t="s">
        <v>15</v>
      </c>
      <c r="G27" s="81" t="s">
        <v>2964</v>
      </c>
      <c r="H27" s="81" t="s">
        <v>4599</v>
      </c>
      <c r="I27" s="81" t="s">
        <v>5075</v>
      </c>
      <c r="J27" s="81" t="s">
        <v>5074</v>
      </c>
      <c r="K27" s="81" t="s">
        <v>3630</v>
      </c>
    </row>
    <row r="28" spans="1:11" ht="17">
      <c r="A28" s="81" t="s">
        <v>145</v>
      </c>
      <c r="B28" s="81" t="s">
        <v>311</v>
      </c>
      <c r="C28" s="81" t="s">
        <v>5073</v>
      </c>
      <c r="D28" s="81" t="s">
        <v>145</v>
      </c>
      <c r="E28" s="81">
        <v>270</v>
      </c>
      <c r="F28" s="81" t="s">
        <v>15</v>
      </c>
      <c r="G28" s="81" t="s">
        <v>2964</v>
      </c>
      <c r="H28" s="81" t="s">
        <v>4599</v>
      </c>
      <c r="I28" s="81" t="s">
        <v>5072</v>
      </c>
      <c r="J28" s="81" t="s">
        <v>5071</v>
      </c>
      <c r="K28" s="81" t="s">
        <v>3626</v>
      </c>
    </row>
    <row r="29" spans="1:11" ht="17">
      <c r="A29" s="81" t="s">
        <v>58</v>
      </c>
      <c r="B29" s="81" t="s">
        <v>281</v>
      </c>
      <c r="C29" s="81" t="s">
        <v>5070</v>
      </c>
      <c r="D29" s="81" t="s">
        <v>58</v>
      </c>
      <c r="E29" s="81">
        <v>56</v>
      </c>
      <c r="F29" s="81" t="s">
        <v>15</v>
      </c>
      <c r="G29" s="81" t="s">
        <v>2964</v>
      </c>
      <c r="H29" s="81" t="s">
        <v>5066</v>
      </c>
      <c r="I29" s="81" t="s">
        <v>5069</v>
      </c>
      <c r="J29" s="81" t="s">
        <v>5068</v>
      </c>
      <c r="K29" s="81" t="s">
        <v>58</v>
      </c>
    </row>
    <row r="30" spans="1:11" ht="17">
      <c r="A30" s="81" t="s">
        <v>59</v>
      </c>
      <c r="B30" s="81" t="s">
        <v>282</v>
      </c>
      <c r="C30" s="81" t="s">
        <v>5067</v>
      </c>
      <c r="D30" s="81" t="s">
        <v>59</v>
      </c>
      <c r="E30" s="81">
        <v>57</v>
      </c>
      <c r="F30" s="81" t="s">
        <v>15</v>
      </c>
      <c r="G30" s="81" t="s">
        <v>2964</v>
      </c>
      <c r="H30" s="81" t="s">
        <v>5066</v>
      </c>
      <c r="I30" s="81" t="s">
        <v>5065</v>
      </c>
      <c r="J30" s="81" t="s">
        <v>5064</v>
      </c>
      <c r="K30" s="81" t="s">
        <v>59</v>
      </c>
    </row>
    <row r="31" spans="1:11" ht="17">
      <c r="A31" s="81" t="s">
        <v>106</v>
      </c>
      <c r="B31" s="81" t="s">
        <v>293</v>
      </c>
      <c r="C31" s="81" t="s">
        <v>5063</v>
      </c>
      <c r="D31" s="81" t="s">
        <v>106</v>
      </c>
      <c r="E31" s="81">
        <v>214</v>
      </c>
      <c r="F31" s="81" t="s">
        <v>15</v>
      </c>
      <c r="G31" s="81" t="s">
        <v>2854</v>
      </c>
      <c r="H31" s="81" t="s">
        <v>107</v>
      </c>
      <c r="I31" s="81" t="s">
        <v>5062</v>
      </c>
      <c r="J31" s="81" t="s">
        <v>5061</v>
      </c>
      <c r="K31" s="81" t="s">
        <v>106</v>
      </c>
    </row>
    <row r="32" spans="1:11" ht="17">
      <c r="A32" s="81" t="s">
        <v>108</v>
      </c>
      <c r="B32" s="81" t="s">
        <v>294</v>
      </c>
      <c r="C32" s="81" t="s">
        <v>5060</v>
      </c>
      <c r="D32" s="81" t="s">
        <v>108</v>
      </c>
      <c r="E32" s="81">
        <v>215</v>
      </c>
      <c r="F32" s="81" t="s">
        <v>15</v>
      </c>
      <c r="G32" s="81" t="s">
        <v>2854</v>
      </c>
      <c r="H32" s="81" t="s">
        <v>107</v>
      </c>
      <c r="I32" s="81" t="s">
        <v>5059</v>
      </c>
      <c r="J32" s="81" t="s">
        <v>5058</v>
      </c>
      <c r="K32" s="81" t="s">
        <v>108</v>
      </c>
    </row>
    <row r="33" spans="1:11" ht="17">
      <c r="A33" s="81" t="s">
        <v>111</v>
      </c>
      <c r="B33" s="81" t="s">
        <v>295</v>
      </c>
      <c r="C33" s="81" t="s">
        <v>5057</v>
      </c>
      <c r="D33" s="81" t="s">
        <v>111</v>
      </c>
      <c r="E33" s="81">
        <v>218</v>
      </c>
      <c r="F33" s="81" t="s">
        <v>15</v>
      </c>
      <c r="G33" s="81" t="s">
        <v>2854</v>
      </c>
      <c r="H33" s="81" t="s">
        <v>107</v>
      </c>
      <c r="I33" s="81" t="s">
        <v>5056</v>
      </c>
      <c r="J33" s="81" t="s">
        <v>5055</v>
      </c>
      <c r="K33" s="81" t="s">
        <v>111</v>
      </c>
    </row>
    <row r="34" spans="1:11" ht="17">
      <c r="A34" s="81" t="s">
        <v>112</v>
      </c>
      <c r="B34" s="81" t="s">
        <v>296</v>
      </c>
      <c r="C34" s="81" t="s">
        <v>5054</v>
      </c>
      <c r="D34" s="81" t="s">
        <v>112</v>
      </c>
      <c r="E34" s="81">
        <v>219</v>
      </c>
      <c r="F34" s="81" t="s">
        <v>15</v>
      </c>
      <c r="G34" s="81" t="s">
        <v>44</v>
      </c>
      <c r="H34" s="81" t="s">
        <v>4846</v>
      </c>
      <c r="I34" s="81" t="s">
        <v>5053</v>
      </c>
      <c r="J34" s="81" t="s">
        <v>5052</v>
      </c>
      <c r="K34" s="81" t="s">
        <v>112</v>
      </c>
    </row>
    <row r="35" spans="1:11">
      <c r="A35" s="81" t="s">
        <v>118</v>
      </c>
      <c r="B35" s="81" t="s">
        <v>297</v>
      </c>
      <c r="C35" s="81" t="s">
        <v>2557</v>
      </c>
      <c r="D35" s="81" t="s">
        <v>118</v>
      </c>
      <c r="E35" s="81">
        <v>226</v>
      </c>
      <c r="F35" s="81" t="s">
        <v>15</v>
      </c>
      <c r="G35" s="81" t="s">
        <v>2964</v>
      </c>
      <c r="H35" s="81" t="s">
        <v>4737</v>
      </c>
      <c r="I35" s="81" t="s">
        <v>5051</v>
      </c>
      <c r="J35" s="81" t="s">
        <v>5050</v>
      </c>
      <c r="K35" s="81" t="s">
        <v>118</v>
      </c>
    </row>
    <row r="36" spans="1:11">
      <c r="A36" s="81" t="s">
        <v>119</v>
      </c>
      <c r="B36" s="81" t="s">
        <v>298</v>
      </c>
      <c r="C36" s="81" t="s">
        <v>2556</v>
      </c>
      <c r="D36" s="81" t="s">
        <v>119</v>
      </c>
      <c r="E36" s="81">
        <v>227</v>
      </c>
      <c r="F36" s="81" t="s">
        <v>15</v>
      </c>
      <c r="G36" s="81" t="s">
        <v>2964</v>
      </c>
      <c r="H36" s="81" t="s">
        <v>4737</v>
      </c>
      <c r="I36" s="81" t="s">
        <v>5049</v>
      </c>
      <c r="J36" s="81" t="s">
        <v>5048</v>
      </c>
      <c r="K36" s="81" t="s">
        <v>119</v>
      </c>
    </row>
    <row r="37" spans="1:11">
      <c r="A37" s="81" t="s">
        <v>120</v>
      </c>
      <c r="B37" s="81" t="s">
        <v>299</v>
      </c>
      <c r="C37" s="81" t="s">
        <v>2555</v>
      </c>
      <c r="D37" s="81" t="s">
        <v>120</v>
      </c>
      <c r="E37" s="81">
        <v>127</v>
      </c>
      <c r="F37" s="81" t="s">
        <v>15</v>
      </c>
      <c r="G37" s="81" t="s">
        <v>2964</v>
      </c>
      <c r="H37" s="81" t="s">
        <v>4737</v>
      </c>
      <c r="I37" s="81" t="s">
        <v>5047</v>
      </c>
      <c r="J37" s="81" t="s">
        <v>5046</v>
      </c>
      <c r="K37" s="81" t="s">
        <v>120</v>
      </c>
    </row>
    <row r="38" spans="1:11">
      <c r="A38" s="81" t="s">
        <v>125</v>
      </c>
      <c r="B38" s="81" t="s">
        <v>300</v>
      </c>
      <c r="C38" s="81" t="s">
        <v>126</v>
      </c>
      <c r="D38" s="81" t="s">
        <v>125</v>
      </c>
      <c r="E38" s="81">
        <v>246</v>
      </c>
      <c r="F38" s="81" t="s">
        <v>15</v>
      </c>
      <c r="G38" s="81" t="s">
        <v>44</v>
      </c>
      <c r="H38" s="81" t="s">
        <v>126</v>
      </c>
      <c r="I38" s="81" t="s">
        <v>5045</v>
      </c>
      <c r="J38" s="81" t="s">
        <v>125</v>
      </c>
      <c r="K38" s="81" t="s">
        <v>125</v>
      </c>
    </row>
    <row r="39" spans="1:11">
      <c r="A39" s="81" t="s">
        <v>127</v>
      </c>
      <c r="B39" s="81" t="s">
        <v>301</v>
      </c>
      <c r="C39" s="81" t="s">
        <v>2554</v>
      </c>
      <c r="D39" s="81" t="s">
        <v>127</v>
      </c>
      <c r="E39" s="81">
        <v>248</v>
      </c>
      <c r="F39" s="81" t="s">
        <v>53</v>
      </c>
      <c r="G39" s="81" t="s">
        <v>44</v>
      </c>
      <c r="H39" s="81" t="s">
        <v>4537</v>
      </c>
      <c r="I39" s="81" t="s">
        <v>5044</v>
      </c>
      <c r="J39" s="81" t="s">
        <v>127</v>
      </c>
      <c r="K39" s="81" t="s">
        <v>127</v>
      </c>
    </row>
    <row r="40" spans="1:11" ht="17">
      <c r="A40" s="81" t="s">
        <v>131</v>
      </c>
      <c r="B40" s="81" t="s">
        <v>305</v>
      </c>
      <c r="C40" s="81" t="s">
        <v>5043</v>
      </c>
      <c r="D40" s="81" t="s">
        <v>131</v>
      </c>
      <c r="E40" s="81">
        <v>256</v>
      </c>
      <c r="F40" s="81" t="s">
        <v>15</v>
      </c>
      <c r="G40" s="81" t="s">
        <v>44</v>
      </c>
      <c r="H40" s="81" t="s">
        <v>5042</v>
      </c>
      <c r="I40" s="81" t="s">
        <v>5041</v>
      </c>
      <c r="J40" s="81" t="s">
        <v>5040</v>
      </c>
      <c r="K40" s="81" t="s">
        <v>131</v>
      </c>
    </row>
    <row r="41" spans="1:11">
      <c r="A41" s="81" t="s">
        <v>86</v>
      </c>
      <c r="B41" s="81" t="s">
        <v>289</v>
      </c>
      <c r="C41" s="81" t="s">
        <v>87</v>
      </c>
      <c r="D41" s="81" t="s">
        <v>86</v>
      </c>
      <c r="E41" s="81">
        <v>81</v>
      </c>
      <c r="F41" s="81" t="s">
        <v>15</v>
      </c>
      <c r="G41" s="81" t="s">
        <v>3252</v>
      </c>
      <c r="H41" s="81" t="s">
        <v>4491</v>
      </c>
      <c r="I41" s="81" t="s">
        <v>5039</v>
      </c>
      <c r="J41" s="81" t="s">
        <v>87</v>
      </c>
      <c r="K41" s="81" t="s">
        <v>87</v>
      </c>
    </row>
    <row r="42" spans="1:11">
      <c r="A42" s="81" t="s">
        <v>93</v>
      </c>
      <c r="B42" s="81" t="s">
        <v>3456</v>
      </c>
      <c r="C42" s="81" t="s">
        <v>93</v>
      </c>
      <c r="D42" s="81" t="s">
        <v>93</v>
      </c>
      <c r="E42" s="81">
        <v>120</v>
      </c>
      <c r="F42" s="81" t="s">
        <v>15</v>
      </c>
      <c r="G42" s="81" t="s">
        <v>3252</v>
      </c>
      <c r="H42" s="81" t="s">
        <v>4491</v>
      </c>
      <c r="I42" s="81" t="s">
        <v>5038</v>
      </c>
      <c r="J42" s="81" t="s">
        <v>93</v>
      </c>
      <c r="K42" s="81" t="s">
        <v>93</v>
      </c>
    </row>
    <row r="43" spans="1:11" ht="17">
      <c r="A43" s="81" t="s">
        <v>135</v>
      </c>
      <c r="B43" s="81" t="s">
        <v>306</v>
      </c>
      <c r="C43" s="81" t="s">
        <v>5037</v>
      </c>
      <c r="D43" s="81" t="s">
        <v>135</v>
      </c>
      <c r="E43" s="81">
        <v>262</v>
      </c>
      <c r="F43" s="81" t="s">
        <v>15</v>
      </c>
      <c r="G43" s="81" t="s">
        <v>2854</v>
      </c>
      <c r="H43" s="81" t="s">
        <v>136</v>
      </c>
      <c r="I43" s="81" t="s">
        <v>5036</v>
      </c>
      <c r="J43" s="81" t="s">
        <v>5035</v>
      </c>
      <c r="K43" s="81" t="s">
        <v>135</v>
      </c>
    </row>
    <row r="44" spans="1:11" ht="17">
      <c r="A44" s="81" t="s">
        <v>137</v>
      </c>
      <c r="B44" s="81" t="s">
        <v>307</v>
      </c>
      <c r="C44" s="81" t="s">
        <v>5034</v>
      </c>
      <c r="D44" s="81" t="s">
        <v>137</v>
      </c>
      <c r="E44" s="81">
        <v>263</v>
      </c>
      <c r="F44" s="81" t="s">
        <v>15</v>
      </c>
      <c r="G44" s="81" t="s">
        <v>2854</v>
      </c>
      <c r="H44" s="81" t="s">
        <v>136</v>
      </c>
      <c r="I44" s="81" t="s">
        <v>5033</v>
      </c>
      <c r="J44" s="81" t="s">
        <v>5032</v>
      </c>
      <c r="K44" s="81" t="s">
        <v>137</v>
      </c>
    </row>
    <row r="45" spans="1:11" ht="17">
      <c r="A45" s="81" t="s">
        <v>148</v>
      </c>
      <c r="B45" s="81" t="s">
        <v>314</v>
      </c>
      <c r="C45" s="81" t="s">
        <v>5031</v>
      </c>
      <c r="D45" s="81" t="s">
        <v>148</v>
      </c>
      <c r="E45" s="81">
        <v>272</v>
      </c>
      <c r="F45" s="81" t="s">
        <v>15</v>
      </c>
      <c r="G45" s="81" t="s">
        <v>2964</v>
      </c>
      <c r="H45" s="81" t="s">
        <v>4673</v>
      </c>
      <c r="I45" s="81" t="s">
        <v>5030</v>
      </c>
      <c r="J45" s="81" t="s">
        <v>148</v>
      </c>
      <c r="K45" s="81" t="s">
        <v>148</v>
      </c>
    </row>
    <row r="46" spans="1:11" ht="17">
      <c r="A46" s="81" t="s">
        <v>149</v>
      </c>
      <c r="B46" s="81" t="s">
        <v>315</v>
      </c>
      <c r="C46" s="81" t="s">
        <v>5029</v>
      </c>
      <c r="D46" s="81" t="s">
        <v>149</v>
      </c>
      <c r="E46" s="81">
        <v>273</v>
      </c>
      <c r="F46" s="81" t="s">
        <v>15</v>
      </c>
      <c r="G46" s="81" t="s">
        <v>2964</v>
      </c>
      <c r="H46" s="81" t="s">
        <v>4673</v>
      </c>
      <c r="I46" s="81" t="s">
        <v>5028</v>
      </c>
      <c r="J46" s="81" t="s">
        <v>149</v>
      </c>
      <c r="K46" s="81" t="s">
        <v>149</v>
      </c>
    </row>
    <row r="47" spans="1:11" ht="17">
      <c r="A47" s="81" t="s">
        <v>146</v>
      </c>
      <c r="B47" s="81" t="s">
        <v>312</v>
      </c>
      <c r="C47" s="81" t="s">
        <v>5027</v>
      </c>
      <c r="D47" s="81" t="s">
        <v>146</v>
      </c>
      <c r="E47" s="81">
        <v>267</v>
      </c>
      <c r="F47" s="81" t="s">
        <v>15</v>
      </c>
      <c r="G47" s="81" t="s">
        <v>2964</v>
      </c>
      <c r="H47" s="81" t="s">
        <v>4599</v>
      </c>
      <c r="I47" s="81" t="s">
        <v>5026</v>
      </c>
      <c r="J47" s="81" t="s">
        <v>5025</v>
      </c>
      <c r="K47" s="81" t="s">
        <v>2870</v>
      </c>
    </row>
    <row r="48" spans="1:11" ht="17">
      <c r="A48" s="81" t="s">
        <v>147</v>
      </c>
      <c r="B48" s="81" t="s">
        <v>313</v>
      </c>
      <c r="C48" s="81" t="s">
        <v>5024</v>
      </c>
      <c r="D48" s="81" t="s">
        <v>147</v>
      </c>
      <c r="E48" s="81">
        <v>268</v>
      </c>
      <c r="F48" s="81" t="s">
        <v>15</v>
      </c>
      <c r="G48" s="81" t="s">
        <v>2964</v>
      </c>
      <c r="H48" s="81" t="s">
        <v>4599</v>
      </c>
      <c r="I48" s="81" t="s">
        <v>5023</v>
      </c>
      <c r="J48" s="81" t="s">
        <v>5022</v>
      </c>
      <c r="K48" s="81" t="s">
        <v>3633</v>
      </c>
    </row>
    <row r="49" spans="1:11" ht="17">
      <c r="A49" s="81" t="s">
        <v>160</v>
      </c>
      <c r="B49" s="81" t="s">
        <v>317</v>
      </c>
      <c r="C49" s="81" t="s">
        <v>5021</v>
      </c>
      <c r="D49" s="81" t="s">
        <v>160</v>
      </c>
      <c r="E49" s="81">
        <v>284</v>
      </c>
      <c r="F49" s="81" t="s">
        <v>15</v>
      </c>
      <c r="G49" s="81" t="s">
        <v>44</v>
      </c>
      <c r="H49" s="81" t="s">
        <v>4652</v>
      </c>
      <c r="I49" s="81" t="s">
        <v>5020</v>
      </c>
      <c r="J49" s="81" t="s">
        <v>160</v>
      </c>
      <c r="K49" s="81" t="s">
        <v>160</v>
      </c>
    </row>
    <row r="50" spans="1:11" ht="17">
      <c r="A50" s="81" t="s">
        <v>161</v>
      </c>
      <c r="B50" s="81" t="s">
        <v>318</v>
      </c>
      <c r="C50" s="81" t="s">
        <v>5019</v>
      </c>
      <c r="D50" s="81" t="s">
        <v>161</v>
      </c>
      <c r="E50" s="81">
        <v>285</v>
      </c>
      <c r="F50" s="81" t="s">
        <v>15</v>
      </c>
      <c r="G50" s="81" t="s">
        <v>44</v>
      </c>
      <c r="H50" s="81" t="s">
        <v>4652</v>
      </c>
      <c r="I50" s="81" t="s">
        <v>5018</v>
      </c>
      <c r="J50" s="81" t="s">
        <v>161</v>
      </c>
      <c r="K50" s="81" t="s">
        <v>161</v>
      </c>
    </row>
    <row r="51" spans="1:11" ht="17">
      <c r="A51" s="81" t="s">
        <v>164</v>
      </c>
      <c r="B51" s="81" t="s">
        <v>319</v>
      </c>
      <c r="C51" s="81" t="s">
        <v>5017</v>
      </c>
      <c r="D51" s="81" t="s">
        <v>164</v>
      </c>
      <c r="E51" s="81">
        <v>287</v>
      </c>
      <c r="F51" s="81" t="s">
        <v>15</v>
      </c>
      <c r="G51" s="81" t="s">
        <v>165</v>
      </c>
      <c r="H51" s="81" t="s">
        <v>165</v>
      </c>
      <c r="I51" s="81" t="s">
        <v>5016</v>
      </c>
      <c r="J51" s="81" t="s">
        <v>5015</v>
      </c>
      <c r="K51" s="81" t="s">
        <v>3152</v>
      </c>
    </row>
    <row r="52" spans="1:11" ht="17">
      <c r="A52" s="81" t="s">
        <v>166</v>
      </c>
      <c r="B52" s="81" t="s">
        <v>320</v>
      </c>
      <c r="C52" s="81" t="s">
        <v>5014</v>
      </c>
      <c r="D52" s="81" t="s">
        <v>166</v>
      </c>
      <c r="E52" s="81">
        <v>288</v>
      </c>
      <c r="F52" s="81" t="s">
        <v>15</v>
      </c>
      <c r="G52" s="81" t="s">
        <v>165</v>
      </c>
      <c r="H52" s="81" t="s">
        <v>165</v>
      </c>
      <c r="I52" s="81" t="s">
        <v>5013</v>
      </c>
      <c r="J52" s="81" t="s">
        <v>5012</v>
      </c>
      <c r="K52" s="81" t="s">
        <v>3149</v>
      </c>
    </row>
    <row r="53" spans="1:11">
      <c r="A53" s="81" t="s">
        <v>174</v>
      </c>
      <c r="B53" s="81" t="s">
        <v>326</v>
      </c>
      <c r="C53" s="81" t="s">
        <v>174</v>
      </c>
      <c r="D53" s="81" t="s">
        <v>174</v>
      </c>
      <c r="E53" s="81">
        <v>300</v>
      </c>
      <c r="F53" s="81" t="s">
        <v>15</v>
      </c>
      <c r="G53" s="81" t="s">
        <v>44</v>
      </c>
      <c r="H53" s="81" t="s">
        <v>5010</v>
      </c>
      <c r="I53" s="81" t="s">
        <v>5011</v>
      </c>
      <c r="J53" s="81" t="s">
        <v>3015</v>
      </c>
      <c r="K53" s="81" t="s">
        <v>3015</v>
      </c>
    </row>
    <row r="54" spans="1:11">
      <c r="A54" s="81" t="s">
        <v>175</v>
      </c>
      <c r="B54" s="81" t="s">
        <v>327</v>
      </c>
      <c r="C54" s="81" t="s">
        <v>175</v>
      </c>
      <c r="D54" s="81" t="s">
        <v>175</v>
      </c>
      <c r="E54" s="81">
        <v>301</v>
      </c>
      <c r="F54" s="81" t="s">
        <v>15</v>
      </c>
      <c r="G54" s="81" t="s">
        <v>44</v>
      </c>
      <c r="H54" s="81" t="s">
        <v>5010</v>
      </c>
      <c r="I54" s="81" t="s">
        <v>5009</v>
      </c>
      <c r="J54" s="81" t="s">
        <v>3796</v>
      </c>
      <c r="K54" s="81" t="s">
        <v>3796</v>
      </c>
    </row>
    <row r="55" spans="1:11">
      <c r="A55" s="81" t="s">
        <v>181</v>
      </c>
      <c r="B55" s="81" t="s">
        <v>330</v>
      </c>
      <c r="C55" s="81" t="s">
        <v>2551</v>
      </c>
      <c r="D55" s="81" t="s">
        <v>181</v>
      </c>
      <c r="E55" s="81">
        <v>317</v>
      </c>
      <c r="F55" s="81" t="s">
        <v>15</v>
      </c>
      <c r="G55" s="81" t="s">
        <v>44</v>
      </c>
      <c r="H55" s="81" t="s">
        <v>5005</v>
      </c>
      <c r="I55" s="81" t="s">
        <v>5008</v>
      </c>
      <c r="J55" s="81" t="s">
        <v>3121</v>
      </c>
      <c r="K55" s="81" t="s">
        <v>3120</v>
      </c>
    </row>
    <row r="56" spans="1:11">
      <c r="A56" s="81" t="s">
        <v>182</v>
      </c>
      <c r="B56" s="81" t="s">
        <v>331</v>
      </c>
      <c r="C56" s="81" t="s">
        <v>2550</v>
      </c>
      <c r="D56" s="81" t="s">
        <v>182</v>
      </c>
      <c r="E56" s="81">
        <v>318</v>
      </c>
      <c r="F56" s="81" t="s">
        <v>15</v>
      </c>
      <c r="G56" s="81" t="s">
        <v>44</v>
      </c>
      <c r="H56" s="81" t="s">
        <v>5005</v>
      </c>
      <c r="I56" s="81" t="s">
        <v>5007</v>
      </c>
      <c r="J56" s="81" t="s">
        <v>3116</v>
      </c>
      <c r="K56" s="81" t="s">
        <v>3115</v>
      </c>
    </row>
    <row r="57" spans="1:11">
      <c r="A57" s="81" t="s">
        <v>183</v>
      </c>
      <c r="B57" s="81" t="s">
        <v>332</v>
      </c>
      <c r="C57" s="81" t="s">
        <v>2549</v>
      </c>
      <c r="D57" s="81" t="s">
        <v>183</v>
      </c>
      <c r="E57" s="81">
        <v>319</v>
      </c>
      <c r="F57" s="81" t="s">
        <v>15</v>
      </c>
      <c r="G57" s="81" t="s">
        <v>44</v>
      </c>
      <c r="H57" s="81" t="s">
        <v>5005</v>
      </c>
      <c r="I57" s="81" t="s">
        <v>5006</v>
      </c>
      <c r="J57" s="81" t="s">
        <v>3126</v>
      </c>
      <c r="K57" s="81" t="s">
        <v>3125</v>
      </c>
    </row>
    <row r="58" spans="1:11">
      <c r="A58" s="81" t="s">
        <v>184</v>
      </c>
      <c r="B58" s="81" t="s">
        <v>333</v>
      </c>
      <c r="C58" s="81" t="s">
        <v>185</v>
      </c>
      <c r="D58" s="81" t="s">
        <v>184</v>
      </c>
      <c r="E58" s="81">
        <v>320</v>
      </c>
      <c r="F58" s="81" t="s">
        <v>15</v>
      </c>
      <c r="G58" s="81" t="s">
        <v>44</v>
      </c>
      <c r="H58" s="81" t="s">
        <v>5005</v>
      </c>
      <c r="I58" s="81" t="s">
        <v>5004</v>
      </c>
      <c r="J58" s="81" t="s">
        <v>185</v>
      </c>
      <c r="K58" s="81" t="s">
        <v>3111</v>
      </c>
    </row>
    <row r="59" spans="1:11" ht="17">
      <c r="A59" s="81" t="s">
        <v>187</v>
      </c>
      <c r="B59" s="81" t="s">
        <v>334</v>
      </c>
      <c r="C59" s="81" t="s">
        <v>5003</v>
      </c>
      <c r="D59" s="81" t="s">
        <v>187</v>
      </c>
      <c r="E59" s="81">
        <v>322</v>
      </c>
      <c r="F59" s="81" t="s">
        <v>15</v>
      </c>
      <c r="G59" s="81" t="s">
        <v>44</v>
      </c>
      <c r="H59" s="81" t="s">
        <v>4602</v>
      </c>
      <c r="I59" s="81" t="s">
        <v>5002</v>
      </c>
      <c r="J59" s="81" t="s">
        <v>5001</v>
      </c>
      <c r="K59" s="81" t="s">
        <v>3030</v>
      </c>
    </row>
    <row r="60" spans="1:11">
      <c r="A60" s="81" t="s">
        <v>227</v>
      </c>
      <c r="B60" s="81" t="s">
        <v>344</v>
      </c>
      <c r="C60" s="81" t="s">
        <v>2548</v>
      </c>
      <c r="D60" s="81" t="s">
        <v>227</v>
      </c>
      <c r="E60" s="81">
        <v>369</v>
      </c>
      <c r="F60" s="81" t="s">
        <v>15</v>
      </c>
      <c r="G60" s="81" t="s">
        <v>44</v>
      </c>
      <c r="H60" s="81" t="s">
        <v>4473</v>
      </c>
      <c r="I60" s="81" t="s">
        <v>5000</v>
      </c>
      <c r="J60" s="81" t="s">
        <v>4999</v>
      </c>
      <c r="K60" s="81" t="s">
        <v>3025</v>
      </c>
    </row>
    <row r="61" spans="1:11" ht="17">
      <c r="A61" s="81" t="s">
        <v>191</v>
      </c>
      <c r="B61" s="81" t="s">
        <v>335</v>
      </c>
      <c r="C61" s="81" t="s">
        <v>4998</v>
      </c>
      <c r="D61" s="81" t="s">
        <v>191</v>
      </c>
      <c r="E61" s="81">
        <v>324</v>
      </c>
      <c r="F61" s="81" t="s">
        <v>15</v>
      </c>
      <c r="G61" s="81" t="s">
        <v>3137</v>
      </c>
      <c r="H61" s="81" t="s">
        <v>4580</v>
      </c>
      <c r="I61" s="81" t="s">
        <v>4997</v>
      </c>
      <c r="J61" s="81" t="s">
        <v>4996</v>
      </c>
      <c r="K61" s="81" t="s">
        <v>191</v>
      </c>
    </row>
    <row r="62" spans="1:11">
      <c r="A62" s="81" t="s">
        <v>210</v>
      </c>
      <c r="B62" s="81" t="s">
        <v>342</v>
      </c>
      <c r="C62" s="81" t="s">
        <v>210</v>
      </c>
      <c r="D62" s="81" t="s">
        <v>210</v>
      </c>
      <c r="E62" s="81">
        <v>347</v>
      </c>
      <c r="F62" s="81" t="s">
        <v>15</v>
      </c>
      <c r="G62" s="81" t="s">
        <v>44</v>
      </c>
      <c r="H62" s="81" t="s">
        <v>4575</v>
      </c>
      <c r="I62" s="81" t="s">
        <v>4995</v>
      </c>
      <c r="J62" s="81" t="s">
        <v>4994</v>
      </c>
      <c r="K62" s="81" t="s">
        <v>4400</v>
      </c>
    </row>
    <row r="63" spans="1:11">
      <c r="A63" s="81" t="s">
        <v>211</v>
      </c>
      <c r="B63" s="81" t="s">
        <v>4398</v>
      </c>
      <c r="C63" s="81" t="s">
        <v>211</v>
      </c>
      <c r="D63" s="81" t="s">
        <v>211</v>
      </c>
      <c r="E63" s="81">
        <v>348</v>
      </c>
      <c r="F63" s="81" t="s">
        <v>15</v>
      </c>
      <c r="G63" s="81" t="s">
        <v>44</v>
      </c>
      <c r="H63" s="81" t="s">
        <v>4575</v>
      </c>
      <c r="I63" s="81" t="s">
        <v>4993</v>
      </c>
      <c r="J63" s="81" t="s">
        <v>4992</v>
      </c>
      <c r="K63" s="81" t="s">
        <v>4397</v>
      </c>
    </row>
    <row r="64" spans="1:11" ht="17">
      <c r="A64" s="81" t="s">
        <v>203</v>
      </c>
      <c r="B64" s="81" t="s">
        <v>337</v>
      </c>
      <c r="C64" s="81" t="s">
        <v>4991</v>
      </c>
      <c r="D64" s="81" t="s">
        <v>203</v>
      </c>
      <c r="E64" s="81">
        <v>340</v>
      </c>
      <c r="F64" s="81" t="s">
        <v>15</v>
      </c>
      <c r="G64" s="81" t="s">
        <v>2964</v>
      </c>
      <c r="H64" s="81" t="s">
        <v>4510</v>
      </c>
      <c r="I64" s="81" t="s">
        <v>4990</v>
      </c>
      <c r="J64" s="81" t="s">
        <v>4989</v>
      </c>
      <c r="K64" s="81" t="s">
        <v>2987</v>
      </c>
    </row>
    <row r="65" spans="1:11" ht="17">
      <c r="A65" s="81" t="s">
        <v>204</v>
      </c>
      <c r="B65" s="81" t="s">
        <v>338</v>
      </c>
      <c r="C65" s="81" t="s">
        <v>4988</v>
      </c>
      <c r="D65" s="81" t="s">
        <v>204</v>
      </c>
      <c r="E65" s="81">
        <v>341</v>
      </c>
      <c r="F65" s="81" t="s">
        <v>15</v>
      </c>
      <c r="G65" s="81" t="s">
        <v>2964</v>
      </c>
      <c r="H65" s="81" t="s">
        <v>4510</v>
      </c>
      <c r="I65" s="81" t="s">
        <v>4987</v>
      </c>
      <c r="J65" s="81" t="s">
        <v>4986</v>
      </c>
      <c r="K65" s="81" t="s">
        <v>2983</v>
      </c>
    </row>
    <row r="66" spans="1:11" ht="17">
      <c r="A66" s="81" t="s">
        <v>205</v>
      </c>
      <c r="B66" s="81" t="s">
        <v>339</v>
      </c>
      <c r="C66" s="81" t="s">
        <v>4985</v>
      </c>
      <c r="D66" s="81" t="s">
        <v>205</v>
      </c>
      <c r="E66" s="81">
        <v>342</v>
      </c>
      <c r="F66" s="81" t="s">
        <v>15</v>
      </c>
      <c r="G66" s="81" t="s">
        <v>2964</v>
      </c>
      <c r="H66" s="81" t="s">
        <v>4510</v>
      </c>
      <c r="I66" s="81" t="s">
        <v>4984</v>
      </c>
      <c r="J66" s="81" t="s">
        <v>4983</v>
      </c>
      <c r="K66" s="81" t="s">
        <v>2980</v>
      </c>
    </row>
    <row r="67" spans="1:11" ht="17">
      <c r="A67" s="81" t="s">
        <v>206</v>
      </c>
      <c r="B67" s="81" t="s">
        <v>340</v>
      </c>
      <c r="C67" s="81" t="s">
        <v>4982</v>
      </c>
      <c r="D67" s="81" t="s">
        <v>206</v>
      </c>
      <c r="E67" s="81">
        <v>343</v>
      </c>
      <c r="F67" s="81" t="s">
        <v>15</v>
      </c>
      <c r="G67" s="81" t="s">
        <v>2964</v>
      </c>
      <c r="H67" s="81" t="s">
        <v>4510</v>
      </c>
      <c r="I67" s="81" t="s">
        <v>4981</v>
      </c>
      <c r="J67" s="81" t="s">
        <v>4980</v>
      </c>
      <c r="K67" s="81" t="s">
        <v>2978</v>
      </c>
    </row>
    <row r="68" spans="1:11">
      <c r="A68" s="81" t="s">
        <v>207</v>
      </c>
      <c r="B68" s="81" t="s">
        <v>341</v>
      </c>
      <c r="C68" s="81" t="s">
        <v>2547</v>
      </c>
      <c r="D68" s="81" t="s">
        <v>207</v>
      </c>
      <c r="E68" s="81">
        <v>344</v>
      </c>
      <c r="F68" s="81" t="s">
        <v>15</v>
      </c>
      <c r="G68" s="81" t="s">
        <v>2964</v>
      </c>
      <c r="H68" s="81" t="s">
        <v>4510</v>
      </c>
      <c r="I68" s="81" t="s">
        <v>4979</v>
      </c>
      <c r="J68" s="81" t="s">
        <v>4978</v>
      </c>
      <c r="K68" s="81" t="s">
        <v>3563</v>
      </c>
    </row>
    <row r="69" spans="1:11">
      <c r="A69" s="81" t="s">
        <v>198</v>
      </c>
      <c r="B69" s="81" t="s">
        <v>336</v>
      </c>
      <c r="C69" s="81" t="s">
        <v>2544</v>
      </c>
      <c r="D69" s="81" t="s">
        <v>198</v>
      </c>
      <c r="E69" s="81">
        <v>331</v>
      </c>
      <c r="F69" s="81" t="s">
        <v>53</v>
      </c>
      <c r="G69" s="81" t="s">
        <v>44</v>
      </c>
      <c r="H69" s="81" t="s">
        <v>4558</v>
      </c>
      <c r="I69" s="81" t="s">
        <v>4977</v>
      </c>
      <c r="J69" s="81" t="s">
        <v>198</v>
      </c>
      <c r="K69" s="81" t="s">
        <v>198</v>
      </c>
    </row>
    <row r="70" spans="1:11" ht="17">
      <c r="A70" s="81" t="s">
        <v>154</v>
      </c>
      <c r="B70" s="81" t="s">
        <v>316</v>
      </c>
      <c r="C70" s="81" t="s">
        <v>4976</v>
      </c>
      <c r="D70" s="81" t="s">
        <v>154</v>
      </c>
      <c r="E70" s="81">
        <v>275</v>
      </c>
      <c r="F70" s="81" t="s">
        <v>15</v>
      </c>
      <c r="G70" s="81" t="s">
        <v>2964</v>
      </c>
      <c r="H70" s="81" t="s">
        <v>4539</v>
      </c>
      <c r="I70" s="81" t="s">
        <v>4975</v>
      </c>
      <c r="J70" s="81" t="s">
        <v>154</v>
      </c>
      <c r="K70" s="81" t="s">
        <v>154</v>
      </c>
    </row>
    <row r="71" spans="1:11">
      <c r="A71" s="81" t="s">
        <v>218</v>
      </c>
      <c r="B71" s="81" t="s">
        <v>343</v>
      </c>
      <c r="C71" s="81" t="s">
        <v>2541</v>
      </c>
      <c r="D71" s="81" t="s">
        <v>218</v>
      </c>
      <c r="E71" s="81">
        <v>356</v>
      </c>
      <c r="F71" s="81" t="s">
        <v>15</v>
      </c>
      <c r="G71" s="81" t="s">
        <v>44</v>
      </c>
      <c r="H71" s="81" t="s">
        <v>217</v>
      </c>
      <c r="I71" s="81" t="s">
        <v>4974</v>
      </c>
      <c r="J71" s="81" t="s">
        <v>4973</v>
      </c>
      <c r="K71" s="81" t="s">
        <v>3010</v>
      </c>
    </row>
    <row r="72" spans="1:11" ht="17">
      <c r="A72" s="81" t="s">
        <v>228</v>
      </c>
      <c r="B72" s="81" t="s">
        <v>345</v>
      </c>
      <c r="C72" s="81" t="s">
        <v>4972</v>
      </c>
      <c r="D72" s="81" t="s">
        <v>228</v>
      </c>
      <c r="E72" s="81">
        <v>366</v>
      </c>
      <c r="F72" s="81" t="s">
        <v>15</v>
      </c>
      <c r="G72" s="81" t="s">
        <v>44</v>
      </c>
      <c r="H72" s="81" t="s">
        <v>4473</v>
      </c>
      <c r="I72" s="81" t="s">
        <v>4971</v>
      </c>
      <c r="J72" s="81" t="s">
        <v>228</v>
      </c>
      <c r="K72" s="81" t="s">
        <v>3088</v>
      </c>
    </row>
    <row r="73" spans="1:11" ht="17">
      <c r="A73" s="81" t="s">
        <v>230</v>
      </c>
      <c r="B73" s="81" t="s">
        <v>346</v>
      </c>
      <c r="C73" s="81" t="s">
        <v>4970</v>
      </c>
      <c r="D73" s="81" t="s">
        <v>230</v>
      </c>
      <c r="E73" s="81">
        <v>368</v>
      </c>
      <c r="F73" s="81" t="s">
        <v>15</v>
      </c>
      <c r="G73" s="81" t="s">
        <v>44</v>
      </c>
      <c r="H73" s="81" t="s">
        <v>4473</v>
      </c>
      <c r="I73" s="81" t="s">
        <v>4969</v>
      </c>
      <c r="J73" s="81" t="s">
        <v>230</v>
      </c>
      <c r="K73" s="81" t="s">
        <v>3082</v>
      </c>
    </row>
    <row r="74" spans="1:11" ht="17">
      <c r="A74" s="81" t="s">
        <v>18</v>
      </c>
      <c r="B74" s="81" t="s">
        <v>615</v>
      </c>
      <c r="C74" s="81" t="s">
        <v>4968</v>
      </c>
      <c r="D74" s="81" t="s">
        <v>18</v>
      </c>
      <c r="E74" s="81">
        <v>4</v>
      </c>
      <c r="F74" s="81" t="s">
        <v>15</v>
      </c>
      <c r="G74" s="81" t="s">
        <v>2854</v>
      </c>
      <c r="H74" s="81" t="s">
        <v>4957</v>
      </c>
      <c r="I74" s="81" t="s">
        <v>4967</v>
      </c>
      <c r="J74" s="81" t="s">
        <v>2870</v>
      </c>
      <c r="K74" s="81" t="s">
        <v>3240</v>
      </c>
    </row>
    <row r="75" spans="1:11" ht="17">
      <c r="A75" s="81" t="s">
        <v>19</v>
      </c>
      <c r="B75" s="81" t="s">
        <v>617</v>
      </c>
      <c r="C75" s="81" t="s">
        <v>4966</v>
      </c>
      <c r="D75" s="81" t="s">
        <v>19</v>
      </c>
      <c r="E75" s="81">
        <v>5</v>
      </c>
      <c r="F75" s="81" t="s">
        <v>15</v>
      </c>
      <c r="G75" s="81" t="s">
        <v>2854</v>
      </c>
      <c r="H75" s="81" t="s">
        <v>4957</v>
      </c>
      <c r="I75" s="81" t="s">
        <v>4965</v>
      </c>
      <c r="J75" s="81" t="s">
        <v>2870</v>
      </c>
      <c r="K75" s="81" t="s">
        <v>3237</v>
      </c>
    </row>
    <row r="76" spans="1:11" ht="17">
      <c r="A76" s="81" t="s">
        <v>23</v>
      </c>
      <c r="B76" s="81" t="s">
        <v>622</v>
      </c>
      <c r="C76" s="81" t="s">
        <v>4964</v>
      </c>
      <c r="D76" s="81" t="s">
        <v>23</v>
      </c>
      <c r="E76" s="81">
        <v>9</v>
      </c>
      <c r="F76" s="81" t="s">
        <v>15</v>
      </c>
      <c r="G76" s="81" t="s">
        <v>2854</v>
      </c>
      <c r="H76" s="81" t="s">
        <v>4957</v>
      </c>
      <c r="I76" s="81" t="s">
        <v>4963</v>
      </c>
      <c r="J76" s="81" t="s">
        <v>2870</v>
      </c>
      <c r="K76" s="81" t="s">
        <v>3225</v>
      </c>
    </row>
    <row r="77" spans="1:11" ht="17">
      <c r="A77" s="81" t="s">
        <v>3924</v>
      </c>
      <c r="B77" s="81" t="s">
        <v>624</v>
      </c>
      <c r="C77" s="81" t="s">
        <v>4962</v>
      </c>
      <c r="D77" s="81" t="s">
        <v>3924</v>
      </c>
      <c r="E77" s="81">
        <v>10</v>
      </c>
      <c r="F77" s="81" t="s">
        <v>15</v>
      </c>
      <c r="G77" s="81" t="s">
        <v>2854</v>
      </c>
      <c r="H77" s="81" t="s">
        <v>4957</v>
      </c>
      <c r="I77" s="81" t="s">
        <v>4961</v>
      </c>
      <c r="J77" s="81" t="s">
        <v>2870</v>
      </c>
      <c r="K77" s="81" t="s">
        <v>2870</v>
      </c>
    </row>
    <row r="78" spans="1:11" ht="17">
      <c r="A78" s="81" t="s">
        <v>24</v>
      </c>
      <c r="B78" s="81" t="s">
        <v>626</v>
      </c>
      <c r="C78" s="81" t="s">
        <v>4960</v>
      </c>
      <c r="D78" s="81" t="s">
        <v>24</v>
      </c>
      <c r="E78" s="81">
        <v>11</v>
      </c>
      <c r="F78" s="81" t="s">
        <v>15</v>
      </c>
      <c r="G78" s="81" t="s">
        <v>2854</v>
      </c>
      <c r="H78" s="81" t="s">
        <v>4957</v>
      </c>
      <c r="I78" s="81" t="s">
        <v>4959</v>
      </c>
      <c r="J78" s="81" t="s">
        <v>2870</v>
      </c>
      <c r="K78" s="81" t="s">
        <v>3219</v>
      </c>
    </row>
    <row r="79" spans="1:11" ht="17">
      <c r="A79" s="81" t="s">
        <v>25</v>
      </c>
      <c r="B79" s="81" t="s">
        <v>628</v>
      </c>
      <c r="C79" s="81" t="s">
        <v>4958</v>
      </c>
      <c r="D79" s="81" t="s">
        <v>25</v>
      </c>
      <c r="E79" s="81">
        <v>12</v>
      </c>
      <c r="F79" s="81" t="s">
        <v>15</v>
      </c>
      <c r="G79" s="81" t="s">
        <v>2854</v>
      </c>
      <c r="H79" s="81" t="s">
        <v>4957</v>
      </c>
      <c r="I79" s="81" t="s">
        <v>4956</v>
      </c>
      <c r="J79" s="81" t="s">
        <v>2870</v>
      </c>
      <c r="K79" s="81" t="s">
        <v>3213</v>
      </c>
    </row>
    <row r="80" spans="1:11">
      <c r="A80" s="81" t="s">
        <v>4391</v>
      </c>
      <c r="B80" s="81" t="s">
        <v>4392</v>
      </c>
      <c r="C80" s="81" t="s">
        <v>4391</v>
      </c>
      <c r="D80" s="81" t="s">
        <v>4391</v>
      </c>
      <c r="E80" s="81">
        <v>316</v>
      </c>
      <c r="F80" s="81" t="s">
        <v>15</v>
      </c>
      <c r="G80" s="81" t="s">
        <v>2993</v>
      </c>
      <c r="H80" s="81" t="s">
        <v>4465</v>
      </c>
      <c r="I80" s="81" t="s">
        <v>4955</v>
      </c>
      <c r="J80" s="81" t="s">
        <v>2870</v>
      </c>
      <c r="K80" s="81" t="s">
        <v>2870</v>
      </c>
    </row>
    <row r="81" spans="1:11">
      <c r="A81" s="81" t="s">
        <v>4388</v>
      </c>
      <c r="B81" s="81" t="s">
        <v>4389</v>
      </c>
      <c r="C81" s="81" t="s">
        <v>4388</v>
      </c>
      <c r="D81" s="81" t="s">
        <v>4388</v>
      </c>
      <c r="E81" s="81">
        <v>314</v>
      </c>
      <c r="F81" s="81" t="s">
        <v>15</v>
      </c>
      <c r="G81" s="81" t="s">
        <v>2993</v>
      </c>
      <c r="H81" s="81" t="s">
        <v>4465</v>
      </c>
      <c r="I81" s="81" t="s">
        <v>4954</v>
      </c>
      <c r="J81" s="81" t="s">
        <v>2870</v>
      </c>
      <c r="K81" s="81" t="s">
        <v>2870</v>
      </c>
    </row>
    <row r="82" spans="1:11">
      <c r="A82" s="81" t="s">
        <v>60</v>
      </c>
      <c r="B82" s="81" t="s">
        <v>639</v>
      </c>
      <c r="C82" s="81" t="s">
        <v>60</v>
      </c>
      <c r="D82" s="81" t="s">
        <v>60</v>
      </c>
      <c r="E82" s="81">
        <v>80</v>
      </c>
      <c r="F82" s="81" t="s">
        <v>15</v>
      </c>
      <c r="G82" s="81" t="s">
        <v>2993</v>
      </c>
      <c r="H82" s="81" t="s">
        <v>4465</v>
      </c>
      <c r="I82" s="81" t="s">
        <v>4953</v>
      </c>
      <c r="J82" s="81" t="s">
        <v>2870</v>
      </c>
      <c r="K82" s="81" t="s">
        <v>2870</v>
      </c>
    </row>
    <row r="83" spans="1:11">
      <c r="A83" s="81" t="s">
        <v>61</v>
      </c>
      <c r="B83" s="81" t="s">
        <v>646</v>
      </c>
      <c r="C83" s="81" t="s">
        <v>61</v>
      </c>
      <c r="D83" s="81" t="s">
        <v>61</v>
      </c>
      <c r="E83" s="81">
        <v>315</v>
      </c>
      <c r="F83" s="81" t="s">
        <v>15</v>
      </c>
      <c r="G83" s="81" t="s">
        <v>2993</v>
      </c>
      <c r="H83" s="81" t="s">
        <v>4465</v>
      </c>
      <c r="I83" s="81" t="s">
        <v>4952</v>
      </c>
      <c r="J83" s="81" t="s">
        <v>2870</v>
      </c>
      <c r="K83" s="81" t="s">
        <v>2870</v>
      </c>
    </row>
    <row r="84" spans="1:11" ht="17">
      <c r="A84" s="81" t="s">
        <v>30</v>
      </c>
      <c r="B84" s="81" t="s">
        <v>665</v>
      </c>
      <c r="C84" s="81" t="s">
        <v>4951</v>
      </c>
      <c r="D84" s="81" t="s">
        <v>30</v>
      </c>
      <c r="E84" s="81">
        <v>17</v>
      </c>
      <c r="F84" s="81" t="s">
        <v>15</v>
      </c>
      <c r="G84" s="81" t="s">
        <v>2854</v>
      </c>
      <c r="H84" s="81" t="s">
        <v>4950</v>
      </c>
      <c r="I84" s="81" t="s">
        <v>4949</v>
      </c>
      <c r="J84" s="81" t="s">
        <v>2870</v>
      </c>
      <c r="K84" s="81" t="s">
        <v>3196</v>
      </c>
    </row>
    <row r="85" spans="1:11" ht="17">
      <c r="A85" s="81" t="s">
        <v>3810</v>
      </c>
      <c r="B85" s="81" t="s">
        <v>667</v>
      </c>
      <c r="C85" s="81" t="s">
        <v>4948</v>
      </c>
      <c r="D85" s="81" t="s">
        <v>3810</v>
      </c>
      <c r="E85" s="81">
        <v>283</v>
      </c>
      <c r="F85" s="81" t="s">
        <v>15</v>
      </c>
      <c r="G85" s="81" t="s">
        <v>44</v>
      </c>
      <c r="H85" s="81" t="s">
        <v>4652</v>
      </c>
      <c r="I85" s="81" t="s">
        <v>4947</v>
      </c>
      <c r="J85" s="81" t="s">
        <v>2870</v>
      </c>
      <c r="K85" s="81" t="s">
        <v>2870</v>
      </c>
    </row>
    <row r="86" spans="1:11" ht="17">
      <c r="A86" s="81" t="s">
        <v>35</v>
      </c>
      <c r="B86" s="81" t="s">
        <v>687</v>
      </c>
      <c r="C86" s="81" t="s">
        <v>4946</v>
      </c>
      <c r="D86" s="81" t="s">
        <v>35</v>
      </c>
      <c r="E86" s="81">
        <v>23</v>
      </c>
      <c r="F86" s="81" t="s">
        <v>15</v>
      </c>
      <c r="G86" s="81" t="s">
        <v>2854</v>
      </c>
      <c r="H86" s="81" t="s">
        <v>3895</v>
      </c>
      <c r="I86" s="81" t="s">
        <v>4945</v>
      </c>
      <c r="J86" s="81" t="s">
        <v>2870</v>
      </c>
      <c r="K86" s="81" t="s">
        <v>3190</v>
      </c>
    </row>
    <row r="87" spans="1:11" ht="17">
      <c r="A87" s="81" t="s">
        <v>36</v>
      </c>
      <c r="B87" s="81" t="s">
        <v>689</v>
      </c>
      <c r="C87" s="81" t="s">
        <v>4944</v>
      </c>
      <c r="D87" s="81" t="s">
        <v>36</v>
      </c>
      <c r="E87" s="81">
        <v>24</v>
      </c>
      <c r="F87" s="81" t="s">
        <v>15</v>
      </c>
      <c r="G87" s="81" t="s">
        <v>2854</v>
      </c>
      <c r="H87" s="81" t="s">
        <v>3895</v>
      </c>
      <c r="I87" s="81" t="s">
        <v>4943</v>
      </c>
      <c r="J87" s="81" t="s">
        <v>2870</v>
      </c>
      <c r="K87" s="81" t="s">
        <v>3188</v>
      </c>
    </row>
    <row r="88" spans="1:11" ht="17">
      <c r="A88" s="81" t="s">
        <v>42</v>
      </c>
      <c r="B88" s="81" t="s">
        <v>703</v>
      </c>
      <c r="C88" s="81" t="s">
        <v>4942</v>
      </c>
      <c r="D88" s="81" t="s">
        <v>42</v>
      </c>
      <c r="E88" s="81">
        <v>30</v>
      </c>
      <c r="F88" s="81" t="s">
        <v>15</v>
      </c>
      <c r="G88" s="81" t="s">
        <v>2854</v>
      </c>
      <c r="H88" s="81" t="s">
        <v>3895</v>
      </c>
      <c r="I88" s="81" t="s">
        <v>4941</v>
      </c>
      <c r="J88" s="81" t="s">
        <v>2870</v>
      </c>
      <c r="K88" s="81" t="s">
        <v>42</v>
      </c>
    </row>
    <row r="89" spans="1:11">
      <c r="A89" s="81" t="s">
        <v>4188</v>
      </c>
      <c r="B89" s="81" t="s">
        <v>4187</v>
      </c>
      <c r="C89" s="81" t="s">
        <v>4186</v>
      </c>
      <c r="D89" s="81" t="s">
        <v>4188</v>
      </c>
      <c r="E89" s="81">
        <v>197</v>
      </c>
      <c r="F89" s="81" t="s">
        <v>4870</v>
      </c>
      <c r="G89" s="81" t="s">
        <v>3252</v>
      </c>
      <c r="H89" s="81" t="s">
        <v>4869</v>
      </c>
      <c r="I89" s="81" t="s">
        <v>4940</v>
      </c>
      <c r="J89" s="81" t="s">
        <v>2870</v>
      </c>
      <c r="K89" s="81" t="s">
        <v>2870</v>
      </c>
    </row>
    <row r="90" spans="1:11">
      <c r="A90" s="81" t="s">
        <v>4184</v>
      </c>
      <c r="B90" s="81" t="s">
        <v>4183</v>
      </c>
      <c r="C90" s="81" t="s">
        <v>4182</v>
      </c>
      <c r="D90" s="81" t="s">
        <v>4184</v>
      </c>
      <c r="E90" s="81">
        <v>198</v>
      </c>
      <c r="F90" s="81" t="s">
        <v>4870</v>
      </c>
      <c r="G90" s="81" t="s">
        <v>3252</v>
      </c>
      <c r="H90" s="81" t="s">
        <v>4869</v>
      </c>
      <c r="I90" s="81" t="s">
        <v>4939</v>
      </c>
      <c r="J90" s="81" t="s">
        <v>2870</v>
      </c>
      <c r="K90" s="81" t="s">
        <v>2870</v>
      </c>
    </row>
    <row r="91" spans="1:11">
      <c r="A91" s="81" t="s">
        <v>4180</v>
      </c>
      <c r="B91" s="81" t="s">
        <v>4179</v>
      </c>
      <c r="C91" s="81" t="s">
        <v>4178</v>
      </c>
      <c r="D91" s="81" t="s">
        <v>4180</v>
      </c>
      <c r="E91" s="81">
        <v>199</v>
      </c>
      <c r="F91" s="81" t="s">
        <v>4870</v>
      </c>
      <c r="G91" s="81" t="s">
        <v>3252</v>
      </c>
      <c r="H91" s="81" t="s">
        <v>4869</v>
      </c>
      <c r="I91" s="81" t="s">
        <v>4938</v>
      </c>
      <c r="J91" s="81" t="s">
        <v>2870</v>
      </c>
      <c r="K91" s="81" t="s">
        <v>2870</v>
      </c>
    </row>
    <row r="92" spans="1:11">
      <c r="A92" s="81" t="s">
        <v>4137</v>
      </c>
      <c r="B92" s="81" t="s">
        <v>711</v>
      </c>
      <c r="C92" s="81" t="s">
        <v>712</v>
      </c>
      <c r="D92" s="81" t="s">
        <v>4137</v>
      </c>
      <c r="E92" s="81">
        <v>174</v>
      </c>
      <c r="F92" s="81" t="s">
        <v>4870</v>
      </c>
      <c r="G92" s="81" t="s">
        <v>3252</v>
      </c>
      <c r="H92" s="81" t="s">
        <v>4869</v>
      </c>
      <c r="I92" s="81" t="s">
        <v>4937</v>
      </c>
      <c r="J92" s="81">
        <v>0</v>
      </c>
      <c r="K92" s="81">
        <v>0</v>
      </c>
    </row>
    <row r="93" spans="1:11">
      <c r="A93" s="81" t="s">
        <v>4135</v>
      </c>
      <c r="B93" s="81" t="s">
        <v>4134</v>
      </c>
      <c r="C93" s="81" t="s">
        <v>4133</v>
      </c>
      <c r="D93" s="81" t="s">
        <v>4135</v>
      </c>
      <c r="E93" s="81">
        <v>175</v>
      </c>
      <c r="F93" s="81" t="s">
        <v>4870</v>
      </c>
      <c r="G93" s="81" t="s">
        <v>3252</v>
      </c>
      <c r="H93" s="81" t="s">
        <v>4869</v>
      </c>
      <c r="I93" s="81" t="s">
        <v>4936</v>
      </c>
      <c r="J93" s="81" t="s">
        <v>2870</v>
      </c>
      <c r="K93" s="81" t="s">
        <v>2870</v>
      </c>
    </row>
    <row r="94" spans="1:11">
      <c r="A94" s="81" t="s">
        <v>4131</v>
      </c>
      <c r="B94" s="81" t="s">
        <v>4130</v>
      </c>
      <c r="C94" s="81" t="s">
        <v>4129</v>
      </c>
      <c r="D94" s="81" t="s">
        <v>4131</v>
      </c>
      <c r="E94" s="81">
        <v>176</v>
      </c>
      <c r="F94" s="81" t="s">
        <v>4870</v>
      </c>
      <c r="G94" s="81" t="s">
        <v>3252</v>
      </c>
      <c r="H94" s="81" t="s">
        <v>4869</v>
      </c>
      <c r="I94" s="81" t="s">
        <v>4935</v>
      </c>
      <c r="J94" s="81" t="s">
        <v>2870</v>
      </c>
      <c r="K94" s="81" t="s">
        <v>2870</v>
      </c>
    </row>
    <row r="95" spans="1:11">
      <c r="A95" s="81" t="s">
        <v>3384</v>
      </c>
      <c r="B95" s="81" t="s">
        <v>3383</v>
      </c>
      <c r="C95" s="81" t="s">
        <v>3382</v>
      </c>
      <c r="D95" s="81" t="s">
        <v>3384</v>
      </c>
      <c r="E95" s="81">
        <v>202</v>
      </c>
      <c r="F95" s="81" t="s">
        <v>4870</v>
      </c>
      <c r="G95" s="81" t="s">
        <v>3252</v>
      </c>
      <c r="H95" s="81" t="s">
        <v>4869</v>
      </c>
      <c r="I95" s="81" t="s">
        <v>4934</v>
      </c>
      <c r="J95" s="81" t="s">
        <v>2870</v>
      </c>
      <c r="K95" s="81" t="s">
        <v>2870</v>
      </c>
    </row>
    <row r="96" spans="1:11">
      <c r="A96" s="81" t="s">
        <v>4162</v>
      </c>
      <c r="B96" s="81" t="s">
        <v>4161</v>
      </c>
      <c r="C96" s="81" t="s">
        <v>4160</v>
      </c>
      <c r="D96" s="81" t="s">
        <v>4162</v>
      </c>
      <c r="E96" s="81">
        <v>204</v>
      </c>
      <c r="F96" s="81" t="s">
        <v>4870</v>
      </c>
      <c r="G96" s="81" t="s">
        <v>3252</v>
      </c>
      <c r="H96" s="81" t="s">
        <v>4869</v>
      </c>
      <c r="I96" s="81" t="s">
        <v>4933</v>
      </c>
      <c r="J96" s="81" t="s">
        <v>2870</v>
      </c>
      <c r="K96" s="81" t="s">
        <v>2870</v>
      </c>
    </row>
    <row r="97" spans="1:11">
      <c r="A97" s="81" t="s">
        <v>4200</v>
      </c>
      <c r="B97" s="81" t="s">
        <v>4199</v>
      </c>
      <c r="C97" s="81" t="s">
        <v>4198</v>
      </c>
      <c r="D97" s="81" t="s">
        <v>4200</v>
      </c>
      <c r="E97" s="81">
        <v>182</v>
      </c>
      <c r="F97" s="81" t="s">
        <v>4870</v>
      </c>
      <c r="G97" s="81" t="s">
        <v>3252</v>
      </c>
      <c r="H97" s="81" t="s">
        <v>4869</v>
      </c>
      <c r="I97" s="81" t="s">
        <v>4932</v>
      </c>
      <c r="J97" s="81" t="s">
        <v>2870</v>
      </c>
      <c r="K97" s="81" t="s">
        <v>2870</v>
      </c>
    </row>
    <row r="98" spans="1:11">
      <c r="A98" s="81" t="s">
        <v>3393</v>
      </c>
      <c r="B98" s="81" t="s">
        <v>3392</v>
      </c>
      <c r="C98" s="81" t="s">
        <v>3391</v>
      </c>
      <c r="D98" s="81" t="s">
        <v>3393</v>
      </c>
      <c r="E98" s="81">
        <v>183</v>
      </c>
      <c r="F98" s="81" t="s">
        <v>4870</v>
      </c>
      <c r="G98" s="81" t="s">
        <v>3252</v>
      </c>
      <c r="H98" s="81" t="s">
        <v>4869</v>
      </c>
      <c r="I98" s="81" t="s">
        <v>4931</v>
      </c>
      <c r="J98" s="81" t="s">
        <v>2870</v>
      </c>
      <c r="K98" s="81" t="s">
        <v>2870</v>
      </c>
    </row>
    <row r="99" spans="1:11">
      <c r="A99" s="81" t="s">
        <v>4196</v>
      </c>
      <c r="B99" s="81" t="s">
        <v>4195</v>
      </c>
      <c r="C99" s="81" t="s">
        <v>4194</v>
      </c>
      <c r="D99" s="81" t="s">
        <v>4196</v>
      </c>
      <c r="E99" s="81">
        <v>184</v>
      </c>
      <c r="F99" s="81" t="s">
        <v>4870</v>
      </c>
      <c r="G99" s="81" t="s">
        <v>3252</v>
      </c>
      <c r="H99" s="81" t="s">
        <v>4869</v>
      </c>
      <c r="I99" s="81" t="s">
        <v>4930</v>
      </c>
      <c r="J99" s="81" t="s">
        <v>2870</v>
      </c>
      <c r="K99" s="81" t="s">
        <v>2870</v>
      </c>
    </row>
    <row r="100" spans="1:11">
      <c r="A100" s="81" t="s">
        <v>4192</v>
      </c>
      <c r="B100" s="81" t="s">
        <v>4191</v>
      </c>
      <c r="C100" s="81" t="s">
        <v>4190</v>
      </c>
      <c r="D100" s="81" t="s">
        <v>4192</v>
      </c>
      <c r="E100" s="81">
        <v>185</v>
      </c>
      <c r="F100" s="81" t="s">
        <v>4870</v>
      </c>
      <c r="G100" s="81" t="s">
        <v>3252</v>
      </c>
      <c r="H100" s="81" t="s">
        <v>4869</v>
      </c>
      <c r="I100" s="81" t="s">
        <v>4929</v>
      </c>
      <c r="J100" s="81" t="s">
        <v>2870</v>
      </c>
      <c r="K100" s="81" t="s">
        <v>2870</v>
      </c>
    </row>
    <row r="101" spans="1:11">
      <c r="A101" s="81" t="s">
        <v>3389</v>
      </c>
      <c r="B101" s="81" t="s">
        <v>3388</v>
      </c>
      <c r="C101" s="81" t="s">
        <v>4928</v>
      </c>
      <c r="D101" s="81" t="s">
        <v>3389</v>
      </c>
      <c r="E101" s="81">
        <v>177</v>
      </c>
      <c r="F101" s="81" t="s">
        <v>4870</v>
      </c>
      <c r="G101" s="81" t="s">
        <v>3252</v>
      </c>
      <c r="H101" s="81" t="s">
        <v>4869</v>
      </c>
      <c r="I101" s="81" t="s">
        <v>4927</v>
      </c>
      <c r="J101" s="81">
        <v>0</v>
      </c>
      <c r="K101" s="81">
        <v>0</v>
      </c>
    </row>
    <row r="102" spans="1:11">
      <c r="A102" s="81" t="s">
        <v>4158</v>
      </c>
      <c r="B102" s="81" t="s">
        <v>4157</v>
      </c>
      <c r="C102" s="81" t="s">
        <v>4156</v>
      </c>
      <c r="D102" s="81" t="s">
        <v>4158</v>
      </c>
      <c r="E102" s="81">
        <v>190</v>
      </c>
      <c r="F102" s="81" t="s">
        <v>4870</v>
      </c>
      <c r="G102" s="81" t="s">
        <v>3252</v>
      </c>
      <c r="H102" s="81" t="s">
        <v>4869</v>
      </c>
      <c r="I102" s="81" t="s">
        <v>4926</v>
      </c>
      <c r="J102" s="81" t="s">
        <v>2870</v>
      </c>
      <c r="K102" s="81" t="s">
        <v>2870</v>
      </c>
    </row>
    <row r="103" spans="1:11">
      <c r="A103" s="81" t="s">
        <v>4154</v>
      </c>
      <c r="B103" s="81" t="s">
        <v>4153</v>
      </c>
      <c r="C103" s="81" t="s">
        <v>4152</v>
      </c>
      <c r="D103" s="81" t="s">
        <v>4154</v>
      </c>
      <c r="E103" s="81">
        <v>191</v>
      </c>
      <c r="F103" s="81" t="s">
        <v>4870</v>
      </c>
      <c r="G103" s="81" t="s">
        <v>3252</v>
      </c>
      <c r="H103" s="81" t="s">
        <v>4869</v>
      </c>
      <c r="I103" s="81" t="s">
        <v>4925</v>
      </c>
      <c r="J103" s="81" t="s">
        <v>2870</v>
      </c>
      <c r="K103" s="81" t="s">
        <v>2870</v>
      </c>
    </row>
    <row r="104" spans="1:11">
      <c r="A104" s="81" t="s">
        <v>4150</v>
      </c>
      <c r="B104" s="81" t="s">
        <v>4149</v>
      </c>
      <c r="C104" s="81" t="s">
        <v>4148</v>
      </c>
      <c r="D104" s="81" t="s">
        <v>4150</v>
      </c>
      <c r="E104" s="81">
        <v>193</v>
      </c>
      <c r="F104" s="81" t="s">
        <v>4870</v>
      </c>
      <c r="G104" s="81" t="s">
        <v>3252</v>
      </c>
      <c r="H104" s="81" t="s">
        <v>4869</v>
      </c>
      <c r="I104" s="81" t="s">
        <v>4924</v>
      </c>
      <c r="J104" s="81" t="s">
        <v>2870</v>
      </c>
      <c r="K104" s="81" t="s">
        <v>2870</v>
      </c>
    </row>
    <row r="105" spans="1:11">
      <c r="A105" s="81" t="s">
        <v>4146</v>
      </c>
      <c r="B105" s="81" t="s">
        <v>4145</v>
      </c>
      <c r="C105" s="81" t="s">
        <v>4144</v>
      </c>
      <c r="D105" s="81" t="s">
        <v>4146</v>
      </c>
      <c r="E105" s="81">
        <v>195</v>
      </c>
      <c r="F105" s="81" t="s">
        <v>4870</v>
      </c>
      <c r="G105" s="81" t="s">
        <v>3252</v>
      </c>
      <c r="H105" s="81" t="s">
        <v>4869</v>
      </c>
      <c r="I105" s="81" t="s">
        <v>4923</v>
      </c>
      <c r="J105" s="81" t="s">
        <v>2870</v>
      </c>
      <c r="K105" s="81" t="s">
        <v>2870</v>
      </c>
    </row>
    <row r="106" spans="1:11">
      <c r="A106" s="81" t="s">
        <v>4142</v>
      </c>
      <c r="B106" s="81" t="s">
        <v>4141</v>
      </c>
      <c r="C106" s="81" t="s">
        <v>4140</v>
      </c>
      <c r="D106" s="81" t="s">
        <v>4142</v>
      </c>
      <c r="E106" s="81">
        <v>196</v>
      </c>
      <c r="F106" s="81" t="s">
        <v>4870</v>
      </c>
      <c r="G106" s="81" t="s">
        <v>3252</v>
      </c>
      <c r="H106" s="81" t="s">
        <v>4869</v>
      </c>
      <c r="I106" s="81" t="s">
        <v>4922</v>
      </c>
      <c r="J106" s="81" t="s">
        <v>2870</v>
      </c>
      <c r="K106" s="81" t="s">
        <v>2870</v>
      </c>
    </row>
    <row r="107" spans="1:11">
      <c r="A107" s="81" t="s">
        <v>3379</v>
      </c>
      <c r="B107" s="81" t="s">
        <v>3378</v>
      </c>
      <c r="C107" s="81" t="s">
        <v>3377</v>
      </c>
      <c r="D107" s="81" t="s">
        <v>3379</v>
      </c>
      <c r="E107" s="81">
        <v>186</v>
      </c>
      <c r="F107" s="81" t="s">
        <v>4870</v>
      </c>
      <c r="G107" s="81" t="s">
        <v>3252</v>
      </c>
      <c r="H107" s="81" t="s">
        <v>4869</v>
      </c>
      <c r="I107" s="81" t="s">
        <v>4921</v>
      </c>
      <c r="J107" s="81" t="s">
        <v>2870</v>
      </c>
      <c r="K107" s="81" t="s">
        <v>2870</v>
      </c>
    </row>
    <row r="108" spans="1:11">
      <c r="A108" s="81" t="s">
        <v>3373</v>
      </c>
      <c r="B108" s="81" t="s">
        <v>3372</v>
      </c>
      <c r="C108" s="81" t="s">
        <v>3371</v>
      </c>
      <c r="D108" s="81" t="s">
        <v>3373</v>
      </c>
      <c r="E108" s="81">
        <v>187</v>
      </c>
      <c r="F108" s="81" t="s">
        <v>4870</v>
      </c>
      <c r="G108" s="81" t="s">
        <v>3252</v>
      </c>
      <c r="H108" s="81" t="s">
        <v>4869</v>
      </c>
      <c r="I108" s="81" t="s">
        <v>4920</v>
      </c>
      <c r="J108" s="81" t="s">
        <v>2870</v>
      </c>
      <c r="K108" s="81" t="s">
        <v>2870</v>
      </c>
    </row>
    <row r="109" spans="1:11">
      <c r="A109" s="81" t="s">
        <v>3368</v>
      </c>
      <c r="B109" s="81" t="s">
        <v>3367</v>
      </c>
      <c r="C109" s="81" t="s">
        <v>3366</v>
      </c>
      <c r="D109" s="81" t="s">
        <v>3368</v>
      </c>
      <c r="E109" s="81">
        <v>188</v>
      </c>
      <c r="F109" s="81" t="s">
        <v>4870</v>
      </c>
      <c r="G109" s="81" t="s">
        <v>3252</v>
      </c>
      <c r="H109" s="81" t="s">
        <v>4869</v>
      </c>
      <c r="I109" s="81" t="s">
        <v>4919</v>
      </c>
      <c r="J109" s="81" t="s">
        <v>2870</v>
      </c>
      <c r="K109" s="81" t="s">
        <v>2870</v>
      </c>
    </row>
    <row r="110" spans="1:11">
      <c r="A110" s="81" t="s">
        <v>4126</v>
      </c>
      <c r="B110" s="81" t="s">
        <v>4125</v>
      </c>
      <c r="C110" s="81" t="s">
        <v>4124</v>
      </c>
      <c r="D110" s="81" t="s">
        <v>4126</v>
      </c>
      <c r="E110" s="81">
        <v>192</v>
      </c>
      <c r="F110" s="81" t="s">
        <v>4870</v>
      </c>
      <c r="G110" s="81" t="s">
        <v>3252</v>
      </c>
      <c r="H110" s="81" t="s">
        <v>4869</v>
      </c>
      <c r="I110" s="81" t="s">
        <v>4918</v>
      </c>
      <c r="J110" s="81" t="s">
        <v>2870</v>
      </c>
      <c r="K110" s="81" t="s">
        <v>2870</v>
      </c>
    </row>
    <row r="111" spans="1:11">
      <c r="A111" s="81" t="s">
        <v>4122</v>
      </c>
      <c r="B111" s="81" t="s">
        <v>4121</v>
      </c>
      <c r="C111" s="81" t="s">
        <v>4120</v>
      </c>
      <c r="D111" s="81" t="s">
        <v>4122</v>
      </c>
      <c r="E111" s="81">
        <v>194</v>
      </c>
      <c r="F111" s="81" t="s">
        <v>4870</v>
      </c>
      <c r="G111" s="81" t="s">
        <v>3252</v>
      </c>
      <c r="H111" s="81" t="s">
        <v>4869</v>
      </c>
      <c r="I111" s="81" t="s">
        <v>4917</v>
      </c>
      <c r="J111" s="81" t="s">
        <v>2870</v>
      </c>
      <c r="K111" s="81" t="s">
        <v>2870</v>
      </c>
    </row>
    <row r="112" spans="1:11">
      <c r="A112" s="81" t="s">
        <v>4118</v>
      </c>
      <c r="B112" s="81" t="s">
        <v>4117</v>
      </c>
      <c r="C112" s="81" t="s">
        <v>4116</v>
      </c>
      <c r="D112" s="81" t="s">
        <v>4118</v>
      </c>
      <c r="E112" s="81">
        <v>200</v>
      </c>
      <c r="F112" s="81" t="s">
        <v>4870</v>
      </c>
      <c r="G112" s="81" t="s">
        <v>3252</v>
      </c>
      <c r="H112" s="81" t="s">
        <v>4869</v>
      </c>
      <c r="I112" s="81" t="s">
        <v>4916</v>
      </c>
      <c r="J112" s="81" t="s">
        <v>2870</v>
      </c>
      <c r="K112" s="81" t="s">
        <v>2870</v>
      </c>
    </row>
    <row r="113" spans="1:11">
      <c r="A113" s="81" t="s">
        <v>4114</v>
      </c>
      <c r="B113" s="81" t="s">
        <v>4113</v>
      </c>
      <c r="C113" s="81" t="s">
        <v>4112</v>
      </c>
      <c r="D113" s="81" t="s">
        <v>4114</v>
      </c>
      <c r="E113" s="81">
        <v>201</v>
      </c>
      <c r="F113" s="81" t="s">
        <v>4870</v>
      </c>
      <c r="G113" s="81" t="s">
        <v>3252</v>
      </c>
      <c r="H113" s="81" t="s">
        <v>4869</v>
      </c>
      <c r="I113" s="81" t="s">
        <v>4915</v>
      </c>
      <c r="J113" s="81" t="s">
        <v>2870</v>
      </c>
      <c r="K113" s="81" t="s">
        <v>2870</v>
      </c>
    </row>
    <row r="114" spans="1:11">
      <c r="A114" s="81" t="s">
        <v>3399</v>
      </c>
      <c r="B114" s="81" t="s">
        <v>718</v>
      </c>
      <c r="C114" s="81" t="s">
        <v>719</v>
      </c>
      <c r="D114" s="81" t="s">
        <v>3399</v>
      </c>
      <c r="E114" s="81">
        <v>206</v>
      </c>
      <c r="F114" s="81" t="s">
        <v>4870</v>
      </c>
      <c r="G114" s="81" t="s">
        <v>3252</v>
      </c>
      <c r="H114" s="81" t="s">
        <v>4869</v>
      </c>
      <c r="I114" s="81" t="s">
        <v>4914</v>
      </c>
      <c r="J114" s="81" t="s">
        <v>2870</v>
      </c>
      <c r="K114" s="81" t="s">
        <v>2870</v>
      </c>
    </row>
    <row r="115" spans="1:11">
      <c r="A115" s="81" t="s">
        <v>4212</v>
      </c>
      <c r="B115" s="81" t="s">
        <v>4211</v>
      </c>
      <c r="C115" s="81" t="s">
        <v>4210</v>
      </c>
      <c r="D115" s="81" t="s">
        <v>4212</v>
      </c>
      <c r="E115" s="81">
        <v>207</v>
      </c>
      <c r="F115" s="81" t="s">
        <v>4870</v>
      </c>
      <c r="G115" s="81" t="s">
        <v>3252</v>
      </c>
      <c r="H115" s="81" t="s">
        <v>4869</v>
      </c>
      <c r="I115" s="81" t="s">
        <v>4913</v>
      </c>
      <c r="J115" s="81" t="s">
        <v>2870</v>
      </c>
      <c r="K115" s="81" t="s">
        <v>2870</v>
      </c>
    </row>
    <row r="116" spans="1:11">
      <c r="A116" s="81" t="s">
        <v>4208</v>
      </c>
      <c r="B116" s="81" t="s">
        <v>4207</v>
      </c>
      <c r="C116" s="81" t="s">
        <v>4206</v>
      </c>
      <c r="D116" s="81" t="s">
        <v>4208</v>
      </c>
      <c r="E116" s="81">
        <v>208</v>
      </c>
      <c r="F116" s="81" t="s">
        <v>4870</v>
      </c>
      <c r="G116" s="81" t="s">
        <v>3252</v>
      </c>
      <c r="H116" s="81" t="s">
        <v>4869</v>
      </c>
      <c r="I116" s="81" t="s">
        <v>4912</v>
      </c>
      <c r="J116" s="81" t="s">
        <v>2870</v>
      </c>
      <c r="K116" s="81" t="s">
        <v>2870</v>
      </c>
    </row>
    <row r="117" spans="1:11">
      <c r="A117" s="81" t="s">
        <v>4204</v>
      </c>
      <c r="B117" s="81" t="s">
        <v>4203</v>
      </c>
      <c r="C117" s="81" t="s">
        <v>4202</v>
      </c>
      <c r="D117" s="81" t="s">
        <v>4204</v>
      </c>
      <c r="E117" s="81">
        <v>181</v>
      </c>
      <c r="F117" s="81" t="s">
        <v>4870</v>
      </c>
      <c r="G117" s="81" t="s">
        <v>3252</v>
      </c>
      <c r="H117" s="81" t="s">
        <v>4869</v>
      </c>
      <c r="I117" s="81" t="s">
        <v>4911</v>
      </c>
      <c r="J117" s="81" t="s">
        <v>2870</v>
      </c>
      <c r="K117" s="81" t="s">
        <v>2870</v>
      </c>
    </row>
    <row r="118" spans="1:11">
      <c r="A118" s="81" t="s">
        <v>4110</v>
      </c>
      <c r="B118" s="81" t="s">
        <v>4109</v>
      </c>
      <c r="C118" s="81" t="s">
        <v>4910</v>
      </c>
      <c r="D118" s="81" t="s">
        <v>4110</v>
      </c>
      <c r="E118" s="81">
        <v>189</v>
      </c>
      <c r="F118" s="81" t="s">
        <v>4870</v>
      </c>
      <c r="G118" s="81" t="s">
        <v>3252</v>
      </c>
      <c r="H118" s="81" t="s">
        <v>4869</v>
      </c>
      <c r="I118" s="81" t="s">
        <v>4909</v>
      </c>
      <c r="J118" s="81">
        <v>0</v>
      </c>
      <c r="K118" s="81">
        <v>0</v>
      </c>
    </row>
    <row r="119" spans="1:11" ht="17">
      <c r="A119" s="81" t="s">
        <v>3874</v>
      </c>
      <c r="B119" s="81" t="s">
        <v>735</v>
      </c>
      <c r="C119" s="81" t="s">
        <v>4908</v>
      </c>
      <c r="D119" s="81" t="s">
        <v>3874</v>
      </c>
      <c r="E119" s="81">
        <v>35</v>
      </c>
      <c r="F119" s="81" t="s">
        <v>15</v>
      </c>
      <c r="G119" s="81" t="s">
        <v>44</v>
      </c>
      <c r="H119" s="81" t="s">
        <v>4907</v>
      </c>
      <c r="I119" s="81" t="s">
        <v>4906</v>
      </c>
      <c r="J119" s="81" t="s">
        <v>2870</v>
      </c>
      <c r="K119" s="81" t="s">
        <v>2870</v>
      </c>
    </row>
    <row r="120" spans="1:11" ht="17">
      <c r="A120" s="81" t="s">
        <v>3097</v>
      </c>
      <c r="B120" s="81" t="s">
        <v>3864</v>
      </c>
      <c r="C120" s="81" t="s">
        <v>4905</v>
      </c>
      <c r="D120" s="81" t="s">
        <v>3097</v>
      </c>
      <c r="E120" s="81">
        <v>40</v>
      </c>
      <c r="F120" s="81" t="s">
        <v>15</v>
      </c>
      <c r="G120" s="81" t="s">
        <v>44</v>
      </c>
      <c r="H120" s="81" t="s">
        <v>49</v>
      </c>
      <c r="I120" s="81" t="s">
        <v>4904</v>
      </c>
      <c r="J120" s="81" t="s">
        <v>2870</v>
      </c>
      <c r="K120" s="81" t="s">
        <v>2870</v>
      </c>
    </row>
    <row r="121" spans="1:11">
      <c r="A121" s="81" t="s">
        <v>4411</v>
      </c>
      <c r="B121" s="81" t="s">
        <v>791</v>
      </c>
      <c r="C121" s="81" t="s">
        <v>796</v>
      </c>
      <c r="D121" s="81" t="s">
        <v>4411</v>
      </c>
      <c r="E121" s="81">
        <v>31</v>
      </c>
      <c r="F121" s="81" t="s">
        <v>15</v>
      </c>
      <c r="G121" s="81" t="s">
        <v>44</v>
      </c>
      <c r="H121" s="81" t="s">
        <v>4898</v>
      </c>
      <c r="I121" s="81" t="s">
        <v>4903</v>
      </c>
      <c r="J121" s="81" t="s">
        <v>2870</v>
      </c>
      <c r="K121" s="81" t="s">
        <v>2870</v>
      </c>
    </row>
    <row r="122" spans="1:11" ht="17">
      <c r="A122" s="81" t="s">
        <v>103</v>
      </c>
      <c r="B122" s="81" t="s">
        <v>291</v>
      </c>
      <c r="C122" s="81" t="s">
        <v>4902</v>
      </c>
      <c r="D122" s="81" t="s">
        <v>103</v>
      </c>
      <c r="E122" s="81">
        <v>32</v>
      </c>
      <c r="F122" s="81" t="s">
        <v>15</v>
      </c>
      <c r="G122" s="81" t="s">
        <v>44</v>
      </c>
      <c r="H122" s="81" t="s">
        <v>4898</v>
      </c>
      <c r="I122" s="81" t="s">
        <v>4901</v>
      </c>
      <c r="J122" s="81" t="s">
        <v>4900</v>
      </c>
      <c r="K122" s="81" t="s">
        <v>2870</v>
      </c>
    </row>
    <row r="123" spans="1:11" ht="17">
      <c r="A123" s="81" t="s">
        <v>4407</v>
      </c>
      <c r="B123" s="81" t="s">
        <v>805</v>
      </c>
      <c r="C123" s="81" t="s">
        <v>4899</v>
      </c>
      <c r="D123" s="81" t="s">
        <v>4407</v>
      </c>
      <c r="E123" s="81">
        <v>33</v>
      </c>
      <c r="F123" s="81" t="s">
        <v>15</v>
      </c>
      <c r="G123" s="81" t="s">
        <v>44</v>
      </c>
      <c r="H123" s="81" t="s">
        <v>4898</v>
      </c>
      <c r="I123" s="81" t="s">
        <v>4897</v>
      </c>
      <c r="J123" s="81" t="s">
        <v>2870</v>
      </c>
      <c r="K123" s="81" t="s">
        <v>2870</v>
      </c>
    </row>
    <row r="124" spans="1:11">
      <c r="A124" s="81" t="s">
        <v>55</v>
      </c>
      <c r="B124" s="81" t="s">
        <v>807</v>
      </c>
      <c r="C124" s="81" t="s">
        <v>2677</v>
      </c>
      <c r="D124" s="81" t="s">
        <v>55</v>
      </c>
      <c r="E124" s="81">
        <v>43</v>
      </c>
      <c r="F124" s="81" t="s">
        <v>53</v>
      </c>
      <c r="G124" s="81" t="s">
        <v>44</v>
      </c>
      <c r="H124" s="81" t="s">
        <v>56</v>
      </c>
      <c r="I124" s="81" t="s">
        <v>4896</v>
      </c>
      <c r="J124" s="81" t="s">
        <v>4895</v>
      </c>
      <c r="K124" s="81" t="s">
        <v>2870</v>
      </c>
    </row>
    <row r="125" spans="1:11" ht="17">
      <c r="A125" s="81" t="s">
        <v>4894</v>
      </c>
      <c r="C125" s="81" t="s">
        <v>4893</v>
      </c>
      <c r="D125" s="81" t="s">
        <v>4894</v>
      </c>
      <c r="F125" s="81" t="s">
        <v>53</v>
      </c>
      <c r="G125" s="81" t="s">
        <v>44</v>
      </c>
      <c r="H125" s="81" t="s">
        <v>56</v>
      </c>
      <c r="J125" s="81" t="s">
        <v>4892</v>
      </c>
      <c r="K125" s="81" t="e">
        <v>#N/A</v>
      </c>
    </row>
    <row r="126" spans="1:11" ht="17">
      <c r="A126" s="81" t="s">
        <v>4891</v>
      </c>
      <c r="C126" s="81" t="s">
        <v>4890</v>
      </c>
      <c r="D126" s="81" t="s">
        <v>4891</v>
      </c>
      <c r="F126" s="81" t="s">
        <v>53</v>
      </c>
      <c r="G126" s="81" t="s">
        <v>44</v>
      </c>
      <c r="H126" s="81" t="s">
        <v>56</v>
      </c>
      <c r="J126" s="81" t="s">
        <v>4889</v>
      </c>
      <c r="K126" s="81" t="e">
        <v>#N/A</v>
      </c>
    </row>
    <row r="127" spans="1:11" ht="17">
      <c r="A127" s="81" t="s">
        <v>252</v>
      </c>
      <c r="C127" s="81" t="s">
        <v>4888</v>
      </c>
      <c r="D127" s="81" t="s">
        <v>252</v>
      </c>
      <c r="F127" s="81" t="s">
        <v>53</v>
      </c>
      <c r="G127" s="81" t="s">
        <v>44</v>
      </c>
      <c r="H127" s="81" t="s">
        <v>56</v>
      </c>
      <c r="J127" s="81" t="s">
        <v>3284</v>
      </c>
      <c r="K127" s="81" t="e">
        <v>#N/A</v>
      </c>
    </row>
    <row r="128" spans="1:11">
      <c r="A128" s="81" t="s">
        <v>2919</v>
      </c>
      <c r="B128" s="81" t="s">
        <v>4215</v>
      </c>
      <c r="C128" s="81" t="s">
        <v>4887</v>
      </c>
      <c r="D128" s="81" t="s">
        <v>2919</v>
      </c>
      <c r="E128" s="81">
        <v>47</v>
      </c>
      <c r="F128" s="81" t="s">
        <v>53</v>
      </c>
      <c r="G128" s="81" t="s">
        <v>44</v>
      </c>
      <c r="H128" s="81" t="s">
        <v>56</v>
      </c>
      <c r="I128" s="81" t="s">
        <v>4886</v>
      </c>
      <c r="J128" s="81" t="s">
        <v>2870</v>
      </c>
      <c r="K128" s="81" t="s">
        <v>2870</v>
      </c>
    </row>
    <row r="129" spans="1:11">
      <c r="A129" s="81" t="s">
        <v>3361</v>
      </c>
      <c r="B129" s="81" t="s">
        <v>829</v>
      </c>
      <c r="C129" s="81" t="s">
        <v>4885</v>
      </c>
      <c r="D129" s="81" t="s">
        <v>3361</v>
      </c>
      <c r="E129" s="81">
        <v>54</v>
      </c>
      <c r="F129" s="81" t="s">
        <v>57</v>
      </c>
      <c r="G129" s="81" t="s">
        <v>4763</v>
      </c>
      <c r="H129" s="81" t="s">
        <v>4762</v>
      </c>
      <c r="I129" s="81" t="s">
        <v>4884</v>
      </c>
      <c r="J129" s="81" t="s">
        <v>2870</v>
      </c>
      <c r="K129" s="81" t="s">
        <v>2870</v>
      </c>
    </row>
    <row r="130" spans="1:11">
      <c r="A130" s="81" t="s">
        <v>62</v>
      </c>
      <c r="B130" s="81" t="s">
        <v>869</v>
      </c>
      <c r="C130" s="81" t="s">
        <v>62</v>
      </c>
      <c r="D130" s="81" t="s">
        <v>62</v>
      </c>
      <c r="E130" s="81">
        <v>58</v>
      </c>
      <c r="F130" s="81" t="s">
        <v>15</v>
      </c>
      <c r="G130" s="81" t="s">
        <v>2993</v>
      </c>
      <c r="H130" s="81" t="s">
        <v>4465</v>
      </c>
      <c r="I130" s="81" t="s">
        <v>4883</v>
      </c>
      <c r="J130" s="81" t="s">
        <v>2870</v>
      </c>
      <c r="K130" s="81" t="s">
        <v>2870</v>
      </c>
    </row>
    <row r="131" spans="1:11">
      <c r="A131" s="81" t="s">
        <v>63</v>
      </c>
      <c r="B131" s="81" t="s">
        <v>898</v>
      </c>
      <c r="C131" s="81" t="s">
        <v>63</v>
      </c>
      <c r="D131" s="81" t="s">
        <v>63</v>
      </c>
      <c r="E131" s="81">
        <v>67</v>
      </c>
      <c r="F131" s="81" t="s">
        <v>15</v>
      </c>
      <c r="G131" s="81" t="s">
        <v>2993</v>
      </c>
      <c r="H131" s="81" t="s">
        <v>4465</v>
      </c>
      <c r="I131" s="81" t="s">
        <v>4882</v>
      </c>
      <c r="J131" s="81" t="s">
        <v>2870</v>
      </c>
      <c r="K131" s="81" t="s">
        <v>2870</v>
      </c>
    </row>
    <row r="132" spans="1:11">
      <c r="A132" s="81" t="s">
        <v>64</v>
      </c>
      <c r="B132" s="81" t="s">
        <v>903</v>
      </c>
      <c r="C132" s="81" t="s">
        <v>64</v>
      </c>
      <c r="D132" s="81" t="s">
        <v>64</v>
      </c>
      <c r="E132" s="81">
        <v>59</v>
      </c>
      <c r="F132" s="81" t="s">
        <v>15</v>
      </c>
      <c r="G132" s="81" t="s">
        <v>2993</v>
      </c>
      <c r="H132" s="81" t="s">
        <v>4465</v>
      </c>
      <c r="I132" s="81" t="s">
        <v>4881</v>
      </c>
      <c r="J132" s="81" t="s">
        <v>2870</v>
      </c>
      <c r="K132" s="81" t="s">
        <v>2870</v>
      </c>
    </row>
    <row r="133" spans="1:11">
      <c r="A133" s="81" t="s">
        <v>65</v>
      </c>
      <c r="B133" s="81" t="s">
        <v>915</v>
      </c>
      <c r="C133" s="81" t="s">
        <v>65</v>
      </c>
      <c r="D133" s="81" t="s">
        <v>65</v>
      </c>
      <c r="E133" s="81">
        <v>60</v>
      </c>
      <c r="F133" s="81" t="s">
        <v>15</v>
      </c>
      <c r="G133" s="81" t="s">
        <v>2993</v>
      </c>
      <c r="H133" s="81" t="s">
        <v>4465</v>
      </c>
      <c r="I133" s="81" t="s">
        <v>4880</v>
      </c>
      <c r="J133" s="81" t="s">
        <v>2870</v>
      </c>
      <c r="K133" s="81" t="s">
        <v>2870</v>
      </c>
    </row>
    <row r="134" spans="1:11">
      <c r="A134" s="81" t="s">
        <v>66</v>
      </c>
      <c r="B134" s="81" t="s">
        <v>921</v>
      </c>
      <c r="C134" s="81" t="s">
        <v>66</v>
      </c>
      <c r="D134" s="81" t="s">
        <v>66</v>
      </c>
      <c r="E134" s="81">
        <v>61</v>
      </c>
      <c r="F134" s="81" t="s">
        <v>15</v>
      </c>
      <c r="G134" s="81" t="s">
        <v>2993</v>
      </c>
      <c r="H134" s="81" t="s">
        <v>4465</v>
      </c>
      <c r="I134" s="81" t="s">
        <v>4879</v>
      </c>
      <c r="J134" s="81" t="s">
        <v>2870</v>
      </c>
      <c r="K134" s="81" t="s">
        <v>2870</v>
      </c>
    </row>
    <row r="135" spans="1:11">
      <c r="A135" s="81" t="s">
        <v>67</v>
      </c>
      <c r="B135" s="81" t="s">
        <v>283</v>
      </c>
      <c r="C135" s="81" t="s">
        <v>67</v>
      </c>
      <c r="D135" s="81" t="s">
        <v>67</v>
      </c>
      <c r="E135" s="81">
        <v>62</v>
      </c>
      <c r="F135" s="81" t="s">
        <v>15</v>
      </c>
      <c r="G135" s="81" t="s">
        <v>2993</v>
      </c>
      <c r="H135" s="81" t="s">
        <v>4465</v>
      </c>
      <c r="I135" s="81" t="s">
        <v>4878</v>
      </c>
      <c r="J135" s="81" t="s">
        <v>67</v>
      </c>
      <c r="K135" s="81" t="s">
        <v>2870</v>
      </c>
    </row>
    <row r="136" spans="1:11">
      <c r="A136" s="81" t="s">
        <v>68</v>
      </c>
      <c r="B136" s="81" t="s">
        <v>284</v>
      </c>
      <c r="C136" s="81" t="s">
        <v>68</v>
      </c>
      <c r="D136" s="81" t="s">
        <v>68</v>
      </c>
      <c r="E136" s="81">
        <v>63</v>
      </c>
      <c r="F136" s="81" t="s">
        <v>15</v>
      </c>
      <c r="G136" s="81" t="s">
        <v>2993</v>
      </c>
      <c r="H136" s="81" t="s">
        <v>4465</v>
      </c>
      <c r="I136" s="81" t="s">
        <v>4877</v>
      </c>
      <c r="J136" s="81" t="s">
        <v>68</v>
      </c>
      <c r="K136" s="81" t="s">
        <v>2870</v>
      </c>
    </row>
    <row r="137" spans="1:11">
      <c r="A137" s="81" t="s">
        <v>69</v>
      </c>
      <c r="B137" s="81" t="s">
        <v>934</v>
      </c>
      <c r="C137" s="81" t="s">
        <v>69</v>
      </c>
      <c r="D137" s="81" t="s">
        <v>69</v>
      </c>
      <c r="E137" s="81">
        <v>64</v>
      </c>
      <c r="F137" s="81" t="s">
        <v>15</v>
      </c>
      <c r="G137" s="81" t="s">
        <v>2993</v>
      </c>
      <c r="H137" s="81" t="s">
        <v>4465</v>
      </c>
      <c r="I137" s="81" t="s">
        <v>4876</v>
      </c>
      <c r="J137" s="81" t="s">
        <v>2870</v>
      </c>
      <c r="K137" s="81" t="s">
        <v>2870</v>
      </c>
    </row>
    <row r="138" spans="1:11">
      <c r="A138" s="81" t="s">
        <v>70</v>
      </c>
      <c r="B138" s="81" t="s">
        <v>935</v>
      </c>
      <c r="C138" s="81" t="s">
        <v>70</v>
      </c>
      <c r="D138" s="81" t="s">
        <v>70</v>
      </c>
      <c r="E138" s="81">
        <v>65</v>
      </c>
      <c r="F138" s="81" t="s">
        <v>15</v>
      </c>
      <c r="G138" s="81" t="s">
        <v>2993</v>
      </c>
      <c r="H138" s="81" t="s">
        <v>4465</v>
      </c>
      <c r="I138" s="81" t="s">
        <v>4875</v>
      </c>
      <c r="J138" s="81" t="s">
        <v>2870</v>
      </c>
      <c r="K138" s="81" t="s">
        <v>2870</v>
      </c>
    </row>
    <row r="139" spans="1:11">
      <c r="A139" s="81" t="s">
        <v>71</v>
      </c>
      <c r="B139" s="81" t="s">
        <v>939</v>
      </c>
      <c r="C139" s="81" t="s">
        <v>71</v>
      </c>
      <c r="D139" s="81" t="s">
        <v>71</v>
      </c>
      <c r="E139" s="81">
        <v>66</v>
      </c>
      <c r="F139" s="81" t="s">
        <v>15</v>
      </c>
      <c r="G139" s="81" t="s">
        <v>2993</v>
      </c>
      <c r="H139" s="81" t="s">
        <v>4465</v>
      </c>
      <c r="I139" s="81" t="s">
        <v>4874</v>
      </c>
      <c r="J139" s="81" t="s">
        <v>2870</v>
      </c>
      <c r="K139" s="81" t="s">
        <v>2870</v>
      </c>
    </row>
    <row r="140" spans="1:11">
      <c r="A140" s="81" t="s">
        <v>72</v>
      </c>
      <c r="B140" s="81" t="s">
        <v>940</v>
      </c>
      <c r="C140" s="81" t="s">
        <v>72</v>
      </c>
      <c r="D140" s="81" t="s">
        <v>72</v>
      </c>
      <c r="E140" s="81">
        <v>78</v>
      </c>
      <c r="F140" s="81" t="s">
        <v>15</v>
      </c>
      <c r="G140" s="81" t="s">
        <v>2993</v>
      </c>
      <c r="H140" s="81" t="s">
        <v>4465</v>
      </c>
      <c r="I140" s="81" t="s">
        <v>4873</v>
      </c>
      <c r="J140" s="81" t="s">
        <v>2870</v>
      </c>
      <c r="K140" s="81" t="s">
        <v>2870</v>
      </c>
    </row>
    <row r="141" spans="1:11">
      <c r="A141" s="81" t="s">
        <v>4175</v>
      </c>
      <c r="B141" s="81" t="s">
        <v>4174</v>
      </c>
      <c r="C141" s="81" t="s">
        <v>4173</v>
      </c>
      <c r="D141" s="81" t="s">
        <v>4175</v>
      </c>
      <c r="E141" s="81">
        <v>178</v>
      </c>
      <c r="F141" s="81" t="s">
        <v>4870</v>
      </c>
      <c r="G141" s="81" t="s">
        <v>3252</v>
      </c>
      <c r="H141" s="81" t="s">
        <v>4869</v>
      </c>
      <c r="I141" s="81" t="s">
        <v>4872</v>
      </c>
      <c r="J141" s="81" t="s">
        <v>2870</v>
      </c>
      <c r="K141" s="81" t="s">
        <v>2870</v>
      </c>
    </row>
    <row r="142" spans="1:11">
      <c r="A142" s="81" t="s">
        <v>4171</v>
      </c>
      <c r="B142" s="81" t="s">
        <v>4170</v>
      </c>
      <c r="C142" s="81" t="s">
        <v>4169</v>
      </c>
      <c r="D142" s="81" t="s">
        <v>4171</v>
      </c>
      <c r="E142" s="81">
        <v>179</v>
      </c>
      <c r="F142" s="81" t="s">
        <v>4870</v>
      </c>
      <c r="G142" s="81" t="s">
        <v>3252</v>
      </c>
      <c r="H142" s="81" t="s">
        <v>4869</v>
      </c>
      <c r="I142" s="81" t="s">
        <v>4871</v>
      </c>
      <c r="J142" s="81" t="s">
        <v>2870</v>
      </c>
      <c r="K142" s="81" t="s">
        <v>2870</v>
      </c>
    </row>
    <row r="143" spans="1:11">
      <c r="A143" s="81" t="s">
        <v>4167</v>
      </c>
      <c r="B143" s="81" t="s">
        <v>4166</v>
      </c>
      <c r="C143" s="81" t="s">
        <v>4165</v>
      </c>
      <c r="D143" s="81" t="s">
        <v>4167</v>
      </c>
      <c r="E143" s="81">
        <v>180</v>
      </c>
      <c r="F143" s="81" t="s">
        <v>4870</v>
      </c>
      <c r="G143" s="81" t="s">
        <v>3252</v>
      </c>
      <c r="H143" s="81" t="s">
        <v>4869</v>
      </c>
      <c r="I143" s="81" t="s">
        <v>4868</v>
      </c>
      <c r="J143" s="81" t="s">
        <v>2870</v>
      </c>
      <c r="K143" s="81" t="s">
        <v>2870</v>
      </c>
    </row>
    <row r="144" spans="1:11">
      <c r="A144" s="81" t="s">
        <v>3695</v>
      </c>
      <c r="B144" s="81" t="s">
        <v>958</v>
      </c>
      <c r="C144" s="81" t="s">
        <v>4867</v>
      </c>
      <c r="D144" s="81" t="s">
        <v>3695</v>
      </c>
      <c r="E144" s="81">
        <v>79</v>
      </c>
      <c r="F144" s="81" t="s">
        <v>15</v>
      </c>
      <c r="G144" s="81" t="s">
        <v>2993</v>
      </c>
      <c r="H144" s="81" t="s">
        <v>4866</v>
      </c>
      <c r="I144" s="81" t="s">
        <v>4865</v>
      </c>
      <c r="J144" s="81" t="s">
        <v>2870</v>
      </c>
      <c r="K144" s="81" t="s">
        <v>3636</v>
      </c>
    </row>
    <row r="145" spans="1:11" ht="17">
      <c r="A145" s="81" t="s">
        <v>2896</v>
      </c>
      <c r="B145" s="81" t="s">
        <v>4864</v>
      </c>
      <c r="C145" s="81" t="s">
        <v>4863</v>
      </c>
      <c r="D145" s="81" t="s">
        <v>104</v>
      </c>
      <c r="E145" s="81">
        <v>213</v>
      </c>
      <c r="F145" s="81" t="s">
        <v>53</v>
      </c>
      <c r="G145" s="81" t="s">
        <v>44</v>
      </c>
      <c r="H145" s="81" t="s">
        <v>4860</v>
      </c>
      <c r="I145" s="81" t="s">
        <v>4862</v>
      </c>
      <c r="J145" s="81" t="s">
        <v>104</v>
      </c>
      <c r="K145" s="81" t="s">
        <v>2870</v>
      </c>
    </row>
    <row r="146" spans="1:11" ht="17">
      <c r="A146" s="81" t="s">
        <v>2893</v>
      </c>
      <c r="B146" s="81" t="s">
        <v>292</v>
      </c>
      <c r="C146" s="81" t="s">
        <v>4861</v>
      </c>
      <c r="D146" s="81" t="s">
        <v>105</v>
      </c>
      <c r="E146" s="81">
        <v>213</v>
      </c>
      <c r="F146" s="81" t="s">
        <v>53</v>
      </c>
      <c r="G146" s="81" t="s">
        <v>44</v>
      </c>
      <c r="H146" s="81" t="s">
        <v>4860</v>
      </c>
      <c r="I146" s="81" t="s">
        <v>4859</v>
      </c>
      <c r="J146" s="81" t="s">
        <v>105</v>
      </c>
      <c r="K146" s="81" t="s">
        <v>2870</v>
      </c>
    </row>
    <row r="147" spans="1:11">
      <c r="A147" s="81" t="s">
        <v>3673</v>
      </c>
      <c r="B147" s="81" t="s">
        <v>993</v>
      </c>
      <c r="C147" s="81" t="s">
        <v>3672</v>
      </c>
      <c r="D147" s="81" t="s">
        <v>3673</v>
      </c>
      <c r="E147" s="81">
        <v>74</v>
      </c>
      <c r="F147" s="81" t="s">
        <v>15</v>
      </c>
      <c r="G147" s="81" t="s">
        <v>2993</v>
      </c>
      <c r="H147" s="81" t="s">
        <v>4465</v>
      </c>
      <c r="I147" s="81" t="s">
        <v>4858</v>
      </c>
      <c r="J147" s="81" t="s">
        <v>2870</v>
      </c>
      <c r="K147" s="81" t="s">
        <v>2870</v>
      </c>
    </row>
    <row r="148" spans="1:11">
      <c r="A148" s="81" t="s">
        <v>73</v>
      </c>
      <c r="B148" s="81" t="s">
        <v>998</v>
      </c>
      <c r="C148" s="81" t="s">
        <v>73</v>
      </c>
      <c r="D148" s="81" t="s">
        <v>73</v>
      </c>
      <c r="E148" s="81">
        <v>68</v>
      </c>
      <c r="F148" s="81" t="s">
        <v>15</v>
      </c>
      <c r="G148" s="81" t="s">
        <v>2993</v>
      </c>
      <c r="H148" s="81" t="s">
        <v>4465</v>
      </c>
      <c r="I148" s="81" t="s">
        <v>4857</v>
      </c>
      <c r="J148" s="81" t="s">
        <v>2870</v>
      </c>
      <c r="K148" s="81" t="s">
        <v>2870</v>
      </c>
    </row>
    <row r="149" spans="1:11">
      <c r="A149" s="81" t="s">
        <v>74</v>
      </c>
      <c r="B149" s="81" t="s">
        <v>285</v>
      </c>
      <c r="C149" s="81" t="s">
        <v>74</v>
      </c>
      <c r="D149" s="81" t="s">
        <v>74</v>
      </c>
      <c r="E149" s="81">
        <v>69</v>
      </c>
      <c r="F149" s="81" t="s">
        <v>15</v>
      </c>
      <c r="G149" s="81" t="s">
        <v>2993</v>
      </c>
      <c r="H149" s="81" t="s">
        <v>4465</v>
      </c>
      <c r="I149" s="81" t="s">
        <v>4856</v>
      </c>
      <c r="J149" s="81" t="s">
        <v>74</v>
      </c>
      <c r="K149" s="81" t="s">
        <v>2870</v>
      </c>
    </row>
    <row r="150" spans="1:11">
      <c r="A150" s="81" t="s">
        <v>75</v>
      </c>
      <c r="B150" s="81" t="s">
        <v>1021</v>
      </c>
      <c r="C150" s="81" t="s">
        <v>75</v>
      </c>
      <c r="D150" s="81" t="s">
        <v>75</v>
      </c>
      <c r="E150" s="81">
        <v>70</v>
      </c>
      <c r="F150" s="81" t="s">
        <v>15</v>
      </c>
      <c r="G150" s="81" t="s">
        <v>2993</v>
      </c>
      <c r="H150" s="81" t="s">
        <v>4465</v>
      </c>
      <c r="I150" s="81" t="s">
        <v>4855</v>
      </c>
      <c r="J150" s="81" t="s">
        <v>2870</v>
      </c>
      <c r="K150" s="81" t="s">
        <v>2870</v>
      </c>
    </row>
    <row r="151" spans="1:11">
      <c r="A151" s="81" t="s">
        <v>76</v>
      </c>
      <c r="B151" s="81" t="s">
        <v>286</v>
      </c>
      <c r="C151" s="81" t="s">
        <v>76</v>
      </c>
      <c r="D151" s="81" t="s">
        <v>76</v>
      </c>
      <c r="E151" s="81">
        <v>71</v>
      </c>
      <c r="F151" s="81" t="s">
        <v>15</v>
      </c>
      <c r="G151" s="81" t="s">
        <v>2993</v>
      </c>
      <c r="H151" s="81" t="s">
        <v>4465</v>
      </c>
      <c r="I151" s="81" t="s">
        <v>4854</v>
      </c>
      <c r="J151" s="81" t="s">
        <v>76</v>
      </c>
      <c r="K151" s="81" t="s">
        <v>2870</v>
      </c>
    </row>
    <row r="152" spans="1:11">
      <c r="A152" s="81" t="s">
        <v>77</v>
      </c>
      <c r="B152" s="81" t="s">
        <v>287</v>
      </c>
      <c r="C152" s="81" t="s">
        <v>77</v>
      </c>
      <c r="D152" s="81" t="s">
        <v>77</v>
      </c>
      <c r="E152" s="81">
        <v>72</v>
      </c>
      <c r="F152" s="81" t="s">
        <v>15</v>
      </c>
      <c r="G152" s="81" t="s">
        <v>2993</v>
      </c>
      <c r="H152" s="81" t="s">
        <v>4465</v>
      </c>
      <c r="I152" s="81" t="s">
        <v>4853</v>
      </c>
      <c r="J152" s="81" t="s">
        <v>77</v>
      </c>
      <c r="K152" s="81" t="s">
        <v>2870</v>
      </c>
    </row>
    <row r="153" spans="1:11">
      <c r="A153" s="81" t="s">
        <v>78</v>
      </c>
      <c r="B153" s="81" t="s">
        <v>1031</v>
      </c>
      <c r="C153" s="81" t="s">
        <v>78</v>
      </c>
      <c r="D153" s="81" t="s">
        <v>78</v>
      </c>
      <c r="E153" s="81">
        <v>73</v>
      </c>
      <c r="F153" s="81" t="s">
        <v>15</v>
      </c>
      <c r="G153" s="81" t="s">
        <v>2993</v>
      </c>
      <c r="H153" s="81" t="s">
        <v>4465</v>
      </c>
      <c r="I153" s="81" t="s">
        <v>4852</v>
      </c>
      <c r="J153" s="81" t="s">
        <v>2870</v>
      </c>
      <c r="K153" s="81" t="s">
        <v>2870</v>
      </c>
    </row>
    <row r="154" spans="1:11" ht="17">
      <c r="A154" s="81" t="s">
        <v>109</v>
      </c>
      <c r="B154" s="81" t="s">
        <v>1041</v>
      </c>
      <c r="C154" s="81" t="s">
        <v>4851</v>
      </c>
      <c r="D154" s="81" t="s">
        <v>109</v>
      </c>
      <c r="E154" s="81">
        <v>216</v>
      </c>
      <c r="F154" s="81" t="s">
        <v>15</v>
      </c>
      <c r="G154" s="81" t="s">
        <v>2854</v>
      </c>
      <c r="H154" s="81" t="s">
        <v>107</v>
      </c>
      <c r="I154" s="81" t="s">
        <v>4850</v>
      </c>
      <c r="J154" s="81" t="s">
        <v>2870</v>
      </c>
      <c r="K154" s="81" t="s">
        <v>109</v>
      </c>
    </row>
    <row r="155" spans="1:11" ht="17">
      <c r="A155" s="81" t="s">
        <v>110</v>
      </c>
      <c r="B155" s="81" t="s">
        <v>1043</v>
      </c>
      <c r="C155" s="81" t="s">
        <v>4849</v>
      </c>
      <c r="D155" s="81" t="s">
        <v>110</v>
      </c>
      <c r="E155" s="81">
        <v>217</v>
      </c>
      <c r="F155" s="81" t="s">
        <v>15</v>
      </c>
      <c r="G155" s="81" t="s">
        <v>2854</v>
      </c>
      <c r="H155" s="81" t="s">
        <v>107</v>
      </c>
      <c r="I155" s="81" t="s">
        <v>4848</v>
      </c>
      <c r="J155" s="81" t="s">
        <v>2870</v>
      </c>
      <c r="K155" s="81" t="s">
        <v>110</v>
      </c>
    </row>
    <row r="156" spans="1:11" ht="17">
      <c r="A156" s="81" t="s">
        <v>113</v>
      </c>
      <c r="B156" s="81" t="s">
        <v>1059</v>
      </c>
      <c r="C156" s="81" t="s">
        <v>4847</v>
      </c>
      <c r="D156" s="81" t="s">
        <v>113</v>
      </c>
      <c r="E156" s="81">
        <v>220</v>
      </c>
      <c r="F156" s="81" t="s">
        <v>15</v>
      </c>
      <c r="G156" s="81" t="s">
        <v>44</v>
      </c>
      <c r="H156" s="81" t="s">
        <v>4846</v>
      </c>
      <c r="I156" s="81" t="s">
        <v>4845</v>
      </c>
      <c r="J156" s="81" t="s">
        <v>2870</v>
      </c>
      <c r="K156" s="81" t="s">
        <v>113</v>
      </c>
    </row>
    <row r="157" spans="1:11">
      <c r="A157" s="81" t="s">
        <v>117</v>
      </c>
      <c r="B157" s="81" t="s">
        <v>1061</v>
      </c>
      <c r="C157" s="81" t="s">
        <v>2558</v>
      </c>
      <c r="D157" s="81" t="s">
        <v>117</v>
      </c>
      <c r="E157" s="81">
        <v>225</v>
      </c>
      <c r="F157" s="81" t="s">
        <v>15</v>
      </c>
      <c r="G157" s="81" t="s">
        <v>2964</v>
      </c>
      <c r="H157" s="81" t="s">
        <v>4737</v>
      </c>
      <c r="I157" s="81" t="s">
        <v>4844</v>
      </c>
      <c r="J157" s="81" t="s">
        <v>2870</v>
      </c>
      <c r="K157" s="81" t="s">
        <v>117</v>
      </c>
    </row>
    <row r="158" spans="1:11">
      <c r="A158" s="81" t="s">
        <v>114</v>
      </c>
      <c r="B158" s="81" t="s">
        <v>1116</v>
      </c>
      <c r="C158" s="81" t="s">
        <v>114</v>
      </c>
      <c r="D158" s="81" t="s">
        <v>114</v>
      </c>
      <c r="E158" s="81">
        <v>222</v>
      </c>
      <c r="F158" s="81" t="s">
        <v>15</v>
      </c>
      <c r="G158" s="81" t="s">
        <v>44</v>
      </c>
      <c r="H158" s="81" t="s">
        <v>4841</v>
      </c>
      <c r="I158" s="81" t="s">
        <v>4843</v>
      </c>
      <c r="J158" s="81" t="s">
        <v>2870</v>
      </c>
      <c r="K158" s="81" t="s">
        <v>114</v>
      </c>
    </row>
    <row r="159" spans="1:11">
      <c r="A159" s="81" t="s">
        <v>115</v>
      </c>
      <c r="B159" s="81" t="s">
        <v>1130</v>
      </c>
      <c r="C159" s="81" t="s">
        <v>1131</v>
      </c>
      <c r="D159" s="81" t="s">
        <v>115</v>
      </c>
      <c r="E159" s="81">
        <v>223</v>
      </c>
      <c r="F159" s="81" t="s">
        <v>15</v>
      </c>
      <c r="G159" s="81" t="s">
        <v>44</v>
      </c>
      <c r="H159" s="81" t="s">
        <v>4841</v>
      </c>
      <c r="I159" s="81" t="s">
        <v>4842</v>
      </c>
      <c r="J159" s="81" t="s">
        <v>2870</v>
      </c>
      <c r="K159" s="81" t="s">
        <v>115</v>
      </c>
    </row>
    <row r="160" spans="1:11">
      <c r="A160" s="81" t="s">
        <v>116</v>
      </c>
      <c r="B160" s="81" t="s">
        <v>1165</v>
      </c>
      <c r="C160" s="81" t="s">
        <v>116</v>
      </c>
      <c r="D160" s="81" t="s">
        <v>116</v>
      </c>
      <c r="E160" s="81">
        <v>224</v>
      </c>
      <c r="F160" s="81" t="s">
        <v>15</v>
      </c>
      <c r="G160" s="81" t="s">
        <v>44</v>
      </c>
      <c r="H160" s="81" t="s">
        <v>4841</v>
      </c>
      <c r="I160" s="81" t="s">
        <v>4840</v>
      </c>
      <c r="J160" s="81" t="s">
        <v>2870</v>
      </c>
      <c r="K160" s="81" t="s">
        <v>2870</v>
      </c>
    </row>
    <row r="161" spans="1:11">
      <c r="A161" s="81" t="s">
        <v>3667</v>
      </c>
      <c r="B161" s="81" t="s">
        <v>1170</v>
      </c>
      <c r="C161" s="81" t="s">
        <v>1172</v>
      </c>
      <c r="D161" s="81" t="s">
        <v>3667</v>
      </c>
      <c r="E161" s="81">
        <v>253</v>
      </c>
      <c r="F161" s="81" t="s">
        <v>15</v>
      </c>
      <c r="G161" s="81" t="s">
        <v>2993</v>
      </c>
      <c r="H161" s="81" t="s">
        <v>4478</v>
      </c>
      <c r="I161" s="81" t="s">
        <v>4839</v>
      </c>
      <c r="J161" s="81" t="s">
        <v>2870</v>
      </c>
      <c r="K161" s="81" t="s">
        <v>2870</v>
      </c>
    </row>
    <row r="162" spans="1:11" ht="17">
      <c r="A162" s="81" t="s">
        <v>3315</v>
      </c>
      <c r="B162" s="81" t="s">
        <v>1175</v>
      </c>
      <c r="C162" s="81" t="s">
        <v>4838</v>
      </c>
      <c r="D162" s="81" t="s">
        <v>3315</v>
      </c>
      <c r="E162" s="81">
        <v>229</v>
      </c>
      <c r="F162" s="81" t="s">
        <v>4536</v>
      </c>
      <c r="G162" s="81" t="s">
        <v>2993</v>
      </c>
      <c r="H162" s="81" t="s">
        <v>3287</v>
      </c>
      <c r="I162" s="81" t="s">
        <v>4837</v>
      </c>
      <c r="J162" s="81" t="s">
        <v>2870</v>
      </c>
      <c r="K162" s="81" t="s">
        <v>2870</v>
      </c>
    </row>
    <row r="163" spans="1:11" ht="17">
      <c r="A163" s="81" t="s">
        <v>3293</v>
      </c>
      <c r="B163" s="81" t="s">
        <v>3294</v>
      </c>
      <c r="C163" s="81" t="s">
        <v>4836</v>
      </c>
      <c r="D163" s="81" t="s">
        <v>3293</v>
      </c>
      <c r="E163" s="81">
        <v>238</v>
      </c>
      <c r="F163" s="81" t="s">
        <v>4536</v>
      </c>
      <c r="G163" s="81" t="s">
        <v>2993</v>
      </c>
      <c r="H163" s="81" t="s">
        <v>3287</v>
      </c>
      <c r="I163" s="81" t="s">
        <v>4835</v>
      </c>
      <c r="J163" s="81" t="s">
        <v>2870</v>
      </c>
      <c r="K163" s="81" t="s">
        <v>2870</v>
      </c>
    </row>
    <row r="164" spans="1:11" ht="17">
      <c r="A164" s="81" t="s">
        <v>3310</v>
      </c>
      <c r="B164" s="81" t="s">
        <v>1191</v>
      </c>
      <c r="C164" s="81" t="s">
        <v>4834</v>
      </c>
      <c r="D164" s="81" t="s">
        <v>3310</v>
      </c>
      <c r="E164" s="81">
        <v>230</v>
      </c>
      <c r="F164" s="81" t="s">
        <v>4536</v>
      </c>
      <c r="G164" s="81" t="s">
        <v>2993</v>
      </c>
      <c r="H164" s="81" t="s">
        <v>3287</v>
      </c>
      <c r="I164" s="81" t="s">
        <v>4833</v>
      </c>
      <c r="J164" s="81" t="s">
        <v>2870</v>
      </c>
      <c r="K164" s="81" t="s">
        <v>2870</v>
      </c>
    </row>
    <row r="165" spans="1:11" ht="17">
      <c r="A165" s="81" t="s">
        <v>3295</v>
      </c>
      <c r="B165" s="81" t="s">
        <v>3318</v>
      </c>
      <c r="C165" s="81" t="s">
        <v>4832</v>
      </c>
      <c r="D165" s="81" t="s">
        <v>3295</v>
      </c>
      <c r="E165" s="81">
        <v>231</v>
      </c>
      <c r="F165" s="81" t="s">
        <v>4536</v>
      </c>
      <c r="G165" s="81" t="s">
        <v>2993</v>
      </c>
      <c r="H165" s="81" t="s">
        <v>3287</v>
      </c>
      <c r="I165" s="81" t="s">
        <v>4831</v>
      </c>
      <c r="J165" s="81" t="s">
        <v>2870</v>
      </c>
      <c r="K165" s="81" t="s">
        <v>2870</v>
      </c>
    </row>
    <row r="166" spans="1:11" ht="17">
      <c r="A166" s="81" t="s">
        <v>3305</v>
      </c>
      <c r="B166" s="81" t="s">
        <v>3306</v>
      </c>
      <c r="C166" s="81" t="s">
        <v>4830</v>
      </c>
      <c r="D166" s="81" t="s">
        <v>3305</v>
      </c>
      <c r="E166" s="81">
        <v>232</v>
      </c>
      <c r="F166" s="81" t="s">
        <v>4536</v>
      </c>
      <c r="G166" s="81" t="s">
        <v>2993</v>
      </c>
      <c r="H166" s="81" t="s">
        <v>3287</v>
      </c>
      <c r="I166" s="81" t="s">
        <v>4829</v>
      </c>
      <c r="J166" s="81" t="s">
        <v>2870</v>
      </c>
      <c r="K166" s="81" t="s">
        <v>2870</v>
      </c>
    </row>
    <row r="167" spans="1:11" ht="17">
      <c r="A167" s="81" t="s">
        <v>4055</v>
      </c>
      <c r="B167" s="81" t="s">
        <v>4056</v>
      </c>
      <c r="C167" s="81" t="s">
        <v>4828</v>
      </c>
      <c r="D167" s="81" t="s">
        <v>4055</v>
      </c>
      <c r="E167" s="81">
        <v>233</v>
      </c>
      <c r="F167" s="81" t="s">
        <v>4536</v>
      </c>
      <c r="G167" s="81" t="s">
        <v>2993</v>
      </c>
      <c r="H167" s="81" t="s">
        <v>3287</v>
      </c>
      <c r="I167" s="81" t="s">
        <v>4827</v>
      </c>
      <c r="J167" s="81" t="s">
        <v>2870</v>
      </c>
      <c r="K167" s="81" t="s">
        <v>2870</v>
      </c>
    </row>
    <row r="168" spans="1:11" ht="17">
      <c r="A168" s="81" t="s">
        <v>3303</v>
      </c>
      <c r="B168" s="81" t="s">
        <v>1193</v>
      </c>
      <c r="C168" s="81" t="s">
        <v>4826</v>
      </c>
      <c r="D168" s="81" t="s">
        <v>3303</v>
      </c>
      <c r="E168" s="81">
        <v>234</v>
      </c>
      <c r="F168" s="81" t="s">
        <v>4536</v>
      </c>
      <c r="G168" s="81" t="s">
        <v>2993</v>
      </c>
      <c r="H168" s="81" t="s">
        <v>3287</v>
      </c>
      <c r="I168" s="81" t="s">
        <v>4825</v>
      </c>
      <c r="J168" s="81" t="s">
        <v>2870</v>
      </c>
      <c r="K168" s="81" t="s">
        <v>2870</v>
      </c>
    </row>
    <row r="169" spans="1:11" ht="17">
      <c r="A169" s="81" t="s">
        <v>3300</v>
      </c>
      <c r="B169" s="81" t="s">
        <v>3301</v>
      </c>
      <c r="C169" s="81" t="s">
        <v>4824</v>
      </c>
      <c r="D169" s="81" t="s">
        <v>3300</v>
      </c>
      <c r="E169" s="81">
        <v>235</v>
      </c>
      <c r="F169" s="81" t="s">
        <v>4536</v>
      </c>
      <c r="G169" s="81" t="s">
        <v>2993</v>
      </c>
      <c r="H169" s="81" t="s">
        <v>3287</v>
      </c>
      <c r="I169" s="81" t="s">
        <v>4823</v>
      </c>
      <c r="J169" s="81" t="s">
        <v>2870</v>
      </c>
      <c r="K169" s="81" t="s">
        <v>2870</v>
      </c>
    </row>
    <row r="170" spans="1:11" ht="17">
      <c r="A170" s="81" t="s">
        <v>4052</v>
      </c>
      <c r="B170" s="81" t="s">
        <v>4053</v>
      </c>
      <c r="C170" s="81" t="s">
        <v>4822</v>
      </c>
      <c r="D170" s="81" t="s">
        <v>4052</v>
      </c>
      <c r="E170" s="81">
        <v>236</v>
      </c>
      <c r="F170" s="81" t="s">
        <v>4536</v>
      </c>
      <c r="G170" s="81" t="s">
        <v>2993</v>
      </c>
      <c r="H170" s="81" t="s">
        <v>3287</v>
      </c>
      <c r="I170" s="81" t="s">
        <v>4821</v>
      </c>
      <c r="J170" s="81" t="s">
        <v>2870</v>
      </c>
      <c r="K170" s="81" t="s">
        <v>2870</v>
      </c>
    </row>
    <row r="171" spans="1:11" ht="17">
      <c r="A171" s="81" t="s">
        <v>3296</v>
      </c>
      <c r="B171" s="81" t="s">
        <v>3297</v>
      </c>
      <c r="C171" s="81" t="s">
        <v>4820</v>
      </c>
      <c r="D171" s="81" t="s">
        <v>3296</v>
      </c>
      <c r="E171" s="81">
        <v>237</v>
      </c>
      <c r="F171" s="81" t="s">
        <v>4536</v>
      </c>
      <c r="G171" s="81" t="s">
        <v>2993</v>
      </c>
      <c r="H171" s="81" t="s">
        <v>3287</v>
      </c>
      <c r="I171" s="81" t="s">
        <v>4819</v>
      </c>
      <c r="J171" s="81" t="s">
        <v>2870</v>
      </c>
      <c r="K171" s="81" t="s">
        <v>2870</v>
      </c>
    </row>
    <row r="172" spans="1:11">
      <c r="A172" s="81" t="s">
        <v>3963</v>
      </c>
      <c r="B172" s="81" t="s">
        <v>3962</v>
      </c>
      <c r="C172" s="81" t="s">
        <v>3961</v>
      </c>
      <c r="D172" s="81" t="s">
        <v>3963</v>
      </c>
      <c r="E172" s="81">
        <v>652</v>
      </c>
      <c r="F172" s="81" t="s">
        <v>4489</v>
      </c>
      <c r="G172" s="81" t="s">
        <v>3252</v>
      </c>
      <c r="H172" s="81" t="s">
        <v>4488</v>
      </c>
      <c r="I172" s="81" t="s">
        <v>4818</v>
      </c>
      <c r="J172" s="81" t="s">
        <v>2870</v>
      </c>
      <c r="K172" s="81" t="s">
        <v>2870</v>
      </c>
    </row>
    <row r="173" spans="1:11">
      <c r="A173" s="81" t="s">
        <v>3469</v>
      </c>
      <c r="B173" s="81" t="s">
        <v>1198</v>
      </c>
      <c r="C173" s="81" t="s">
        <v>3468</v>
      </c>
      <c r="D173" s="81" t="s">
        <v>3469</v>
      </c>
      <c r="E173" s="81">
        <v>104</v>
      </c>
      <c r="F173" s="81" t="s">
        <v>15</v>
      </c>
      <c r="G173" s="81">
        <v>0</v>
      </c>
      <c r="H173" s="81">
        <v>0</v>
      </c>
      <c r="I173" s="81" t="s">
        <v>4817</v>
      </c>
      <c r="J173" s="81">
        <v>0</v>
      </c>
      <c r="K173" s="81">
        <v>0</v>
      </c>
    </row>
    <row r="174" spans="1:11" ht="17">
      <c r="A174" s="81" t="s">
        <v>4105</v>
      </c>
      <c r="B174" s="81" t="s">
        <v>1202</v>
      </c>
      <c r="C174" s="81" t="s">
        <v>4816</v>
      </c>
      <c r="D174" s="81" t="s">
        <v>4105</v>
      </c>
      <c r="E174" s="81">
        <v>240</v>
      </c>
      <c r="F174" s="81" t="s">
        <v>57</v>
      </c>
      <c r="G174" s="81" t="s">
        <v>4702</v>
      </c>
      <c r="H174" s="81" t="s">
        <v>4813</v>
      </c>
      <c r="I174" s="81" t="s">
        <v>4815</v>
      </c>
      <c r="J174" s="81" t="s">
        <v>2870</v>
      </c>
      <c r="K174" s="81" t="s">
        <v>2870</v>
      </c>
    </row>
    <row r="175" spans="1:11" ht="17">
      <c r="A175" s="81" t="s">
        <v>4102</v>
      </c>
      <c r="B175" s="81" t="s">
        <v>4101</v>
      </c>
      <c r="C175" s="81" t="s">
        <v>4814</v>
      </c>
      <c r="D175" s="81" t="s">
        <v>4102</v>
      </c>
      <c r="E175" s="81">
        <v>241</v>
      </c>
      <c r="F175" s="81" t="s">
        <v>57</v>
      </c>
      <c r="G175" s="81" t="s">
        <v>4702</v>
      </c>
      <c r="H175" s="81" t="s">
        <v>4813</v>
      </c>
      <c r="I175" s="81" t="s">
        <v>4812</v>
      </c>
      <c r="J175" s="81" t="s">
        <v>2870</v>
      </c>
      <c r="K175" s="81" t="s">
        <v>2870</v>
      </c>
    </row>
    <row r="176" spans="1:11" ht="17">
      <c r="A176" s="81" t="s">
        <v>121</v>
      </c>
      <c r="B176" s="81" t="s">
        <v>1209</v>
      </c>
      <c r="C176" s="81" t="s">
        <v>4811</v>
      </c>
      <c r="D176" s="81" t="s">
        <v>121</v>
      </c>
      <c r="E176" s="81">
        <v>243</v>
      </c>
      <c r="F176" s="81" t="s">
        <v>15</v>
      </c>
      <c r="G176" s="81" t="s">
        <v>44</v>
      </c>
      <c r="H176" s="81" t="s">
        <v>122</v>
      </c>
      <c r="I176" s="81" t="s">
        <v>4810</v>
      </c>
      <c r="J176" s="81" t="s">
        <v>2870</v>
      </c>
      <c r="K176" s="81" t="s">
        <v>121</v>
      </c>
    </row>
    <row r="177" spans="1:11" ht="17">
      <c r="A177" s="81" t="s">
        <v>123</v>
      </c>
      <c r="B177" s="81" t="s">
        <v>1215</v>
      </c>
      <c r="C177" s="81" t="s">
        <v>4809</v>
      </c>
      <c r="D177" s="81" t="s">
        <v>123</v>
      </c>
      <c r="E177" s="81">
        <v>244</v>
      </c>
      <c r="F177" s="81" t="s">
        <v>15</v>
      </c>
      <c r="G177" s="81" t="s">
        <v>44</v>
      </c>
      <c r="H177" s="81" t="s">
        <v>122</v>
      </c>
      <c r="I177" s="81" t="s">
        <v>4808</v>
      </c>
      <c r="J177" s="81" t="s">
        <v>2870</v>
      </c>
      <c r="K177" s="81" t="s">
        <v>123</v>
      </c>
    </row>
    <row r="178" spans="1:11" ht="17">
      <c r="A178" s="81" t="s">
        <v>124</v>
      </c>
      <c r="B178" s="81" t="s">
        <v>1217</v>
      </c>
      <c r="C178" s="81" t="s">
        <v>4807</v>
      </c>
      <c r="D178" s="81" t="s">
        <v>124</v>
      </c>
      <c r="E178" s="81">
        <v>245</v>
      </c>
      <c r="F178" s="81" t="s">
        <v>15</v>
      </c>
      <c r="G178" s="81" t="s">
        <v>44</v>
      </c>
      <c r="H178" s="81" t="s">
        <v>122</v>
      </c>
      <c r="I178" s="81" t="s">
        <v>4806</v>
      </c>
      <c r="J178" s="81" t="s">
        <v>2870</v>
      </c>
      <c r="K178" s="81" t="s">
        <v>124</v>
      </c>
    </row>
    <row r="179" spans="1:11" ht="17">
      <c r="A179" s="81" t="s">
        <v>81</v>
      </c>
      <c r="B179" s="81" t="s">
        <v>1219</v>
      </c>
      <c r="C179" s="81" t="s">
        <v>4805</v>
      </c>
      <c r="D179" s="81" t="s">
        <v>81</v>
      </c>
      <c r="E179" s="81">
        <v>77</v>
      </c>
      <c r="F179" s="81" t="s">
        <v>15</v>
      </c>
      <c r="G179" s="81" t="s">
        <v>44</v>
      </c>
      <c r="H179" s="81" t="s">
        <v>3018</v>
      </c>
      <c r="I179" s="81" t="s">
        <v>4804</v>
      </c>
      <c r="J179" s="81" t="s">
        <v>2870</v>
      </c>
      <c r="K179" s="81" t="s">
        <v>3019</v>
      </c>
    </row>
    <row r="180" spans="1:11">
      <c r="A180" s="81" t="s">
        <v>2938</v>
      </c>
      <c r="B180" s="81" t="s">
        <v>1231</v>
      </c>
      <c r="C180" s="81" t="s">
        <v>1233</v>
      </c>
      <c r="D180" s="81" t="s">
        <v>2938</v>
      </c>
      <c r="E180" s="81">
        <v>247</v>
      </c>
      <c r="F180" s="81" t="s">
        <v>53</v>
      </c>
      <c r="G180" s="81" t="s">
        <v>44</v>
      </c>
      <c r="H180" s="81" t="s">
        <v>4537</v>
      </c>
      <c r="I180" s="81" t="s">
        <v>4803</v>
      </c>
      <c r="J180" s="81" t="s">
        <v>2870</v>
      </c>
      <c r="K180" s="81" t="s">
        <v>2870</v>
      </c>
    </row>
    <row r="181" spans="1:11">
      <c r="A181" s="81" t="s">
        <v>128</v>
      </c>
      <c r="B181" s="81" t="s">
        <v>302</v>
      </c>
      <c r="C181" s="81" t="s">
        <v>2676</v>
      </c>
      <c r="D181" s="81" t="s">
        <v>128</v>
      </c>
      <c r="E181" s="81">
        <v>249</v>
      </c>
      <c r="F181" s="81" t="s">
        <v>53</v>
      </c>
      <c r="G181" s="81" t="s">
        <v>44</v>
      </c>
      <c r="H181" s="81" t="s">
        <v>4537</v>
      </c>
      <c r="I181" s="81" t="s">
        <v>4802</v>
      </c>
      <c r="J181" s="81" t="s">
        <v>4801</v>
      </c>
      <c r="K181" s="81" t="s">
        <v>2870</v>
      </c>
    </row>
    <row r="182" spans="1:11">
      <c r="A182" s="81" t="s">
        <v>129</v>
      </c>
      <c r="B182" s="81" t="s">
        <v>303</v>
      </c>
      <c r="C182" s="81" t="s">
        <v>2675</v>
      </c>
      <c r="D182" s="81" t="s">
        <v>129</v>
      </c>
      <c r="E182" s="81">
        <v>250</v>
      </c>
      <c r="F182" s="81" t="s">
        <v>53</v>
      </c>
      <c r="G182" s="81" t="s">
        <v>44</v>
      </c>
      <c r="H182" s="81" t="s">
        <v>4537</v>
      </c>
      <c r="I182" s="81" t="s">
        <v>4800</v>
      </c>
      <c r="J182" s="81" t="s">
        <v>4799</v>
      </c>
      <c r="K182" s="81" t="s">
        <v>2870</v>
      </c>
    </row>
    <row r="183" spans="1:11">
      <c r="A183" s="81" t="s">
        <v>130</v>
      </c>
      <c r="B183" s="81" t="s">
        <v>304</v>
      </c>
      <c r="C183" s="81" t="s">
        <v>2674</v>
      </c>
      <c r="D183" s="81" t="s">
        <v>130</v>
      </c>
      <c r="E183" s="81">
        <v>251</v>
      </c>
      <c r="F183" s="81" t="s">
        <v>53</v>
      </c>
      <c r="G183" s="81" t="s">
        <v>44</v>
      </c>
      <c r="H183" s="81" t="s">
        <v>4537</v>
      </c>
      <c r="I183" s="81" t="s">
        <v>1260</v>
      </c>
      <c r="J183" s="81" t="s">
        <v>2945</v>
      </c>
      <c r="K183" s="81" t="s">
        <v>2870</v>
      </c>
    </row>
    <row r="184" spans="1:11">
      <c r="A184" s="81" t="s">
        <v>3454</v>
      </c>
      <c r="B184" s="81" t="s">
        <v>3453</v>
      </c>
      <c r="C184" s="81" t="s">
        <v>3452</v>
      </c>
      <c r="D184" s="81" t="s">
        <v>3454</v>
      </c>
      <c r="E184" s="81">
        <v>125</v>
      </c>
      <c r="F184" s="81" t="s">
        <v>15</v>
      </c>
      <c r="G184" s="81" t="s">
        <v>3252</v>
      </c>
      <c r="H184" s="81" t="s">
        <v>4491</v>
      </c>
      <c r="I184" s="81" t="s">
        <v>4798</v>
      </c>
      <c r="J184" s="81" t="s">
        <v>2870</v>
      </c>
      <c r="K184" s="81" t="s">
        <v>2870</v>
      </c>
    </row>
    <row r="185" spans="1:11">
      <c r="A185" s="81" t="s">
        <v>3966</v>
      </c>
      <c r="B185" s="81" t="s">
        <v>1269</v>
      </c>
      <c r="C185" s="81" t="s">
        <v>3965</v>
      </c>
      <c r="D185" s="81" t="s">
        <v>3966</v>
      </c>
      <c r="E185" s="81">
        <v>651</v>
      </c>
      <c r="F185" s="81" t="s">
        <v>4489</v>
      </c>
      <c r="G185" s="81" t="s">
        <v>3252</v>
      </c>
      <c r="H185" s="81" t="s">
        <v>4488</v>
      </c>
      <c r="I185" s="81" t="s">
        <v>4797</v>
      </c>
      <c r="J185" s="81" t="s">
        <v>2870</v>
      </c>
      <c r="K185" s="81" t="s">
        <v>2870</v>
      </c>
    </row>
    <row r="186" spans="1:11">
      <c r="A186" s="81" t="s">
        <v>132</v>
      </c>
      <c r="B186" s="81" t="s">
        <v>1273</v>
      </c>
      <c r="C186" s="81" t="s">
        <v>133</v>
      </c>
      <c r="D186" s="81" t="s">
        <v>132</v>
      </c>
      <c r="E186" s="81">
        <v>126</v>
      </c>
      <c r="F186" s="81" t="s">
        <v>15</v>
      </c>
      <c r="G186" s="81" t="s">
        <v>2964</v>
      </c>
      <c r="H186" s="81" t="s">
        <v>3582</v>
      </c>
      <c r="I186" s="81" t="s">
        <v>4796</v>
      </c>
      <c r="J186" s="81" t="s">
        <v>2870</v>
      </c>
      <c r="K186" s="81" t="s">
        <v>133</v>
      </c>
    </row>
    <row r="187" spans="1:11">
      <c r="A187" s="81" t="s">
        <v>82</v>
      </c>
      <c r="B187" s="81" t="s">
        <v>1291</v>
      </c>
      <c r="C187" s="81" t="s">
        <v>83</v>
      </c>
      <c r="D187" s="81" t="s">
        <v>82</v>
      </c>
      <c r="E187" s="81">
        <v>128</v>
      </c>
      <c r="F187" s="81" t="s">
        <v>15</v>
      </c>
      <c r="G187" s="81" t="s">
        <v>3252</v>
      </c>
      <c r="H187" s="81" t="s">
        <v>4491</v>
      </c>
      <c r="I187" s="81" t="s">
        <v>4795</v>
      </c>
      <c r="J187" s="81" t="s">
        <v>2870</v>
      </c>
      <c r="K187" s="81" t="s">
        <v>83</v>
      </c>
    </row>
    <row r="188" spans="1:11">
      <c r="A188" s="81" t="s">
        <v>4323</v>
      </c>
      <c r="B188" s="81" t="s">
        <v>4322</v>
      </c>
      <c r="C188" s="81" t="s">
        <v>4321</v>
      </c>
      <c r="D188" s="81" t="s">
        <v>4323</v>
      </c>
      <c r="E188" s="81">
        <v>129</v>
      </c>
      <c r="F188" s="81" t="s">
        <v>15</v>
      </c>
      <c r="G188" s="81" t="s">
        <v>3252</v>
      </c>
      <c r="H188" s="81" t="s">
        <v>4491</v>
      </c>
      <c r="I188" s="81" t="s">
        <v>4794</v>
      </c>
      <c r="J188" s="81" t="s">
        <v>2870</v>
      </c>
      <c r="K188" s="81" t="s">
        <v>2870</v>
      </c>
    </row>
    <row r="189" spans="1:11">
      <c r="A189" s="81" t="s">
        <v>3451</v>
      </c>
      <c r="B189" s="81" t="s">
        <v>1298</v>
      </c>
      <c r="C189" s="81" t="s">
        <v>3450</v>
      </c>
      <c r="D189" s="81" t="s">
        <v>3451</v>
      </c>
      <c r="E189" s="81">
        <v>130</v>
      </c>
      <c r="F189" s="81" t="s">
        <v>15</v>
      </c>
      <c r="G189" s="81" t="s">
        <v>3252</v>
      </c>
      <c r="H189" s="81" t="s">
        <v>4491</v>
      </c>
      <c r="I189" s="81" t="s">
        <v>4793</v>
      </c>
      <c r="J189" s="81" t="s">
        <v>2870</v>
      </c>
      <c r="K189" s="81" t="s">
        <v>2870</v>
      </c>
    </row>
    <row r="190" spans="1:11">
      <c r="A190" s="81" t="s">
        <v>4320</v>
      </c>
      <c r="B190" s="81" t="s">
        <v>4319</v>
      </c>
      <c r="C190" s="81" t="s">
        <v>4318</v>
      </c>
      <c r="D190" s="81" t="s">
        <v>4320</v>
      </c>
      <c r="E190" s="81">
        <v>131</v>
      </c>
      <c r="F190" s="81" t="s">
        <v>15</v>
      </c>
      <c r="G190" s="81" t="s">
        <v>3252</v>
      </c>
      <c r="H190" s="81" t="s">
        <v>4491</v>
      </c>
      <c r="I190" s="81" t="s">
        <v>4792</v>
      </c>
      <c r="J190" s="81" t="s">
        <v>2870</v>
      </c>
      <c r="K190" s="81" t="s">
        <v>2870</v>
      </c>
    </row>
    <row r="191" spans="1:11">
      <c r="A191" s="81" t="s">
        <v>4316</v>
      </c>
      <c r="B191" s="81" t="s">
        <v>4315</v>
      </c>
      <c r="C191" s="81" t="s">
        <v>4314</v>
      </c>
      <c r="D191" s="81" t="s">
        <v>4316</v>
      </c>
      <c r="E191" s="81">
        <v>132</v>
      </c>
      <c r="F191" s="81" t="s">
        <v>15</v>
      </c>
      <c r="G191" s="81" t="s">
        <v>3252</v>
      </c>
      <c r="H191" s="81" t="s">
        <v>4491</v>
      </c>
      <c r="I191" s="81" t="s">
        <v>4791</v>
      </c>
      <c r="J191" s="81" t="s">
        <v>2870</v>
      </c>
      <c r="K191" s="81" t="s">
        <v>2870</v>
      </c>
    </row>
    <row r="192" spans="1:11">
      <c r="A192" s="81" t="s">
        <v>3952</v>
      </c>
      <c r="B192" s="81" t="s">
        <v>1306</v>
      </c>
      <c r="C192" s="81" t="s">
        <v>3951</v>
      </c>
      <c r="D192" s="81" t="s">
        <v>3952</v>
      </c>
      <c r="E192" s="81">
        <v>203</v>
      </c>
      <c r="F192" s="81" t="s">
        <v>4489</v>
      </c>
      <c r="G192" s="81" t="s">
        <v>3252</v>
      </c>
      <c r="H192" s="81" t="s">
        <v>4488</v>
      </c>
      <c r="I192" s="81" t="s">
        <v>4790</v>
      </c>
      <c r="J192" s="81" t="s">
        <v>2870</v>
      </c>
      <c r="K192" s="81" t="s">
        <v>2870</v>
      </c>
    </row>
    <row r="193" spans="1:11">
      <c r="A193" s="81" t="s">
        <v>4312</v>
      </c>
      <c r="B193" s="81" t="s">
        <v>4311</v>
      </c>
      <c r="C193" s="81" t="s">
        <v>4310</v>
      </c>
      <c r="D193" s="81" t="s">
        <v>4312</v>
      </c>
      <c r="E193" s="81">
        <v>133</v>
      </c>
      <c r="F193" s="81" t="s">
        <v>15</v>
      </c>
      <c r="G193" s="81" t="s">
        <v>3252</v>
      </c>
      <c r="H193" s="81" t="s">
        <v>4491</v>
      </c>
      <c r="I193" s="81" t="s">
        <v>4789</v>
      </c>
      <c r="J193" s="81" t="s">
        <v>2870</v>
      </c>
      <c r="K193" s="81" t="s">
        <v>2870</v>
      </c>
    </row>
    <row r="194" spans="1:11">
      <c r="A194" s="81" t="s">
        <v>4308</v>
      </c>
      <c r="B194" s="81" t="s">
        <v>4307</v>
      </c>
      <c r="C194" s="81" t="s">
        <v>4306</v>
      </c>
      <c r="D194" s="81" t="s">
        <v>4308</v>
      </c>
      <c r="E194" s="81">
        <v>134</v>
      </c>
      <c r="F194" s="81" t="s">
        <v>15</v>
      </c>
      <c r="G194" s="81" t="s">
        <v>3252</v>
      </c>
      <c r="H194" s="81" t="s">
        <v>4491</v>
      </c>
      <c r="I194" s="81" t="s">
        <v>4788</v>
      </c>
      <c r="J194" s="81" t="s">
        <v>2870</v>
      </c>
      <c r="K194" s="81" t="s">
        <v>2870</v>
      </c>
    </row>
    <row r="195" spans="1:11">
      <c r="A195" s="81" t="s">
        <v>4304</v>
      </c>
      <c r="B195" s="81" t="s">
        <v>4303</v>
      </c>
      <c r="C195" s="81" t="s">
        <v>4302</v>
      </c>
      <c r="D195" s="81" t="s">
        <v>4304</v>
      </c>
      <c r="E195" s="81">
        <v>135</v>
      </c>
      <c r="F195" s="81" t="s">
        <v>15</v>
      </c>
      <c r="G195" s="81" t="s">
        <v>3252</v>
      </c>
      <c r="H195" s="81" t="s">
        <v>4491</v>
      </c>
      <c r="I195" s="81" t="s">
        <v>4787</v>
      </c>
      <c r="J195" s="81" t="s">
        <v>2870</v>
      </c>
      <c r="K195" s="81" t="s">
        <v>2870</v>
      </c>
    </row>
    <row r="196" spans="1:11">
      <c r="A196" s="81" t="s">
        <v>4300</v>
      </c>
      <c r="B196" s="81" t="s">
        <v>4299</v>
      </c>
      <c r="C196" s="81" t="s">
        <v>4298</v>
      </c>
      <c r="D196" s="81" t="s">
        <v>4300</v>
      </c>
      <c r="E196" s="81">
        <v>136</v>
      </c>
      <c r="F196" s="81" t="s">
        <v>15</v>
      </c>
      <c r="G196" s="81" t="s">
        <v>3252</v>
      </c>
      <c r="H196" s="81" t="s">
        <v>4491</v>
      </c>
      <c r="I196" s="81" t="s">
        <v>4786</v>
      </c>
      <c r="J196" s="81" t="s">
        <v>2870</v>
      </c>
      <c r="K196" s="81" t="s">
        <v>2870</v>
      </c>
    </row>
    <row r="197" spans="1:11">
      <c r="A197" s="81" t="s">
        <v>4297</v>
      </c>
      <c r="B197" s="81" t="s">
        <v>4296</v>
      </c>
      <c r="C197" s="81" t="s">
        <v>4295</v>
      </c>
      <c r="D197" s="81" t="s">
        <v>4297</v>
      </c>
      <c r="E197" s="81">
        <v>137</v>
      </c>
      <c r="F197" s="81" t="s">
        <v>15</v>
      </c>
      <c r="G197" s="81" t="s">
        <v>3252</v>
      </c>
      <c r="H197" s="81" t="s">
        <v>4491</v>
      </c>
      <c r="I197" s="81" t="s">
        <v>4785</v>
      </c>
      <c r="J197" s="81" t="s">
        <v>2870</v>
      </c>
      <c r="K197" s="81" t="s">
        <v>2870</v>
      </c>
    </row>
    <row r="198" spans="1:11">
      <c r="A198" s="81" t="s">
        <v>4293</v>
      </c>
      <c r="B198" s="81" t="s">
        <v>4292</v>
      </c>
      <c r="C198" s="81" t="s">
        <v>4291</v>
      </c>
      <c r="D198" s="81" t="s">
        <v>4293</v>
      </c>
      <c r="E198" s="81">
        <v>138</v>
      </c>
      <c r="F198" s="81" t="s">
        <v>15</v>
      </c>
      <c r="G198" s="81" t="s">
        <v>3252</v>
      </c>
      <c r="H198" s="81" t="s">
        <v>4491</v>
      </c>
      <c r="I198" s="81" t="s">
        <v>4784</v>
      </c>
      <c r="J198" s="81" t="s">
        <v>2870</v>
      </c>
      <c r="K198" s="81" t="s">
        <v>2870</v>
      </c>
    </row>
    <row r="199" spans="1:11">
      <c r="A199" s="81" t="s">
        <v>4289</v>
      </c>
      <c r="B199" s="81" t="s">
        <v>4288</v>
      </c>
      <c r="C199" s="81" t="s">
        <v>4287</v>
      </c>
      <c r="D199" s="81" t="s">
        <v>4289</v>
      </c>
      <c r="E199" s="81">
        <v>139</v>
      </c>
      <c r="F199" s="81" t="s">
        <v>15</v>
      </c>
      <c r="G199" s="81" t="s">
        <v>3252</v>
      </c>
      <c r="H199" s="81" t="s">
        <v>4491</v>
      </c>
      <c r="I199" s="81" t="s">
        <v>4783</v>
      </c>
      <c r="J199" s="81" t="s">
        <v>2870</v>
      </c>
      <c r="K199" s="81" t="s">
        <v>2870</v>
      </c>
    </row>
    <row r="200" spans="1:11">
      <c r="A200" s="81" t="s">
        <v>4083</v>
      </c>
      <c r="B200" s="81" t="s">
        <v>4082</v>
      </c>
      <c r="C200" s="81" t="s">
        <v>4081</v>
      </c>
      <c r="D200" s="81" t="s">
        <v>4083</v>
      </c>
      <c r="E200" s="81">
        <v>209</v>
      </c>
      <c r="F200" s="81" t="s">
        <v>57</v>
      </c>
      <c r="G200" s="81" t="s">
        <v>3252</v>
      </c>
      <c r="H200" s="81" t="s">
        <v>4553</v>
      </c>
      <c r="I200" s="81" t="s">
        <v>4782</v>
      </c>
      <c r="J200" s="81" t="s">
        <v>2870</v>
      </c>
      <c r="K200" s="81" t="s">
        <v>2870</v>
      </c>
    </row>
    <row r="201" spans="1:11">
      <c r="A201" s="81" t="s">
        <v>3949</v>
      </c>
      <c r="B201" s="81" t="s">
        <v>3948</v>
      </c>
      <c r="C201" s="81" t="s">
        <v>3947</v>
      </c>
      <c r="D201" s="81" t="s">
        <v>3949</v>
      </c>
      <c r="E201" s="81">
        <v>205</v>
      </c>
      <c r="F201" s="81" t="s">
        <v>4489</v>
      </c>
      <c r="G201" s="81" t="s">
        <v>3252</v>
      </c>
      <c r="H201" s="81" t="s">
        <v>4488</v>
      </c>
      <c r="I201" s="81" t="s">
        <v>4781</v>
      </c>
      <c r="J201" s="81" t="s">
        <v>2870</v>
      </c>
      <c r="K201" s="81" t="s">
        <v>2870</v>
      </c>
    </row>
    <row r="202" spans="1:11">
      <c r="A202" s="81" t="s">
        <v>5925</v>
      </c>
      <c r="B202" s="81" t="s">
        <v>4078</v>
      </c>
      <c r="C202" s="81" t="s">
        <v>4077</v>
      </c>
      <c r="D202" s="81" t="s">
        <v>4079</v>
      </c>
      <c r="E202" s="81">
        <v>210</v>
      </c>
      <c r="F202" s="81" t="s">
        <v>57</v>
      </c>
      <c r="G202" s="81" t="s">
        <v>3252</v>
      </c>
      <c r="H202" s="81" t="s">
        <v>4553</v>
      </c>
      <c r="I202" s="81" t="s">
        <v>4780</v>
      </c>
      <c r="J202" s="81" t="s">
        <v>2870</v>
      </c>
      <c r="K202" s="81" t="s">
        <v>2870</v>
      </c>
    </row>
    <row r="203" spans="1:11">
      <c r="A203" s="81" t="s">
        <v>4285</v>
      </c>
      <c r="B203" s="81" t="s">
        <v>4284</v>
      </c>
      <c r="C203" s="81" t="s">
        <v>4283</v>
      </c>
      <c r="D203" s="81" t="s">
        <v>4285</v>
      </c>
      <c r="E203" s="81">
        <v>140</v>
      </c>
      <c r="F203" s="81" t="s">
        <v>15</v>
      </c>
      <c r="G203" s="81" t="s">
        <v>3252</v>
      </c>
      <c r="H203" s="81" t="s">
        <v>4491</v>
      </c>
      <c r="I203" s="81" t="s">
        <v>4779</v>
      </c>
      <c r="J203" s="81" t="s">
        <v>2870</v>
      </c>
      <c r="K203" s="81" t="s">
        <v>2870</v>
      </c>
    </row>
    <row r="204" spans="1:11">
      <c r="A204" s="81" t="s">
        <v>4281</v>
      </c>
      <c r="B204" s="81" t="s">
        <v>4280</v>
      </c>
      <c r="C204" s="81" t="s">
        <v>4279</v>
      </c>
      <c r="D204" s="81" t="s">
        <v>4281</v>
      </c>
      <c r="E204" s="81">
        <v>141</v>
      </c>
      <c r="F204" s="81" t="s">
        <v>15</v>
      </c>
      <c r="G204" s="81" t="s">
        <v>3252</v>
      </c>
      <c r="H204" s="81" t="s">
        <v>4491</v>
      </c>
      <c r="I204" s="81" t="s">
        <v>4778</v>
      </c>
      <c r="J204" s="81" t="s">
        <v>2870</v>
      </c>
      <c r="K204" s="81" t="s">
        <v>2870</v>
      </c>
    </row>
    <row r="205" spans="1:11">
      <c r="A205" s="81" t="s">
        <v>4278</v>
      </c>
      <c r="B205" s="81" t="s">
        <v>4277</v>
      </c>
      <c r="C205" s="81" t="s">
        <v>4276</v>
      </c>
      <c r="D205" s="81" t="s">
        <v>4278</v>
      </c>
      <c r="E205" s="81">
        <v>142</v>
      </c>
      <c r="F205" s="81" t="s">
        <v>15</v>
      </c>
      <c r="G205" s="81" t="s">
        <v>3252</v>
      </c>
      <c r="H205" s="81" t="s">
        <v>4491</v>
      </c>
      <c r="I205" s="81" t="s">
        <v>4777</v>
      </c>
      <c r="J205" s="81" t="s">
        <v>2870</v>
      </c>
      <c r="K205" s="81" t="s">
        <v>2870</v>
      </c>
    </row>
    <row r="206" spans="1:11">
      <c r="A206" s="81" t="s">
        <v>4274</v>
      </c>
      <c r="B206" s="81" t="s">
        <v>4273</v>
      </c>
      <c r="C206" s="81" t="s">
        <v>4272</v>
      </c>
      <c r="D206" s="81" t="s">
        <v>4274</v>
      </c>
      <c r="E206" s="81">
        <v>143</v>
      </c>
      <c r="F206" s="81" t="s">
        <v>15</v>
      </c>
      <c r="G206" s="81" t="s">
        <v>3252</v>
      </c>
      <c r="H206" s="81" t="s">
        <v>4491</v>
      </c>
      <c r="I206" s="81" t="s">
        <v>4776</v>
      </c>
      <c r="J206" s="81" t="s">
        <v>2870</v>
      </c>
      <c r="K206" s="81" t="s">
        <v>2870</v>
      </c>
    </row>
    <row r="207" spans="1:11">
      <c r="A207" s="81" t="s">
        <v>4270</v>
      </c>
      <c r="B207" s="81" t="s">
        <v>4269</v>
      </c>
      <c r="C207" s="81" t="s">
        <v>4268</v>
      </c>
      <c r="D207" s="81" t="s">
        <v>4270</v>
      </c>
      <c r="E207" s="81">
        <v>144</v>
      </c>
      <c r="F207" s="81" t="s">
        <v>15</v>
      </c>
      <c r="G207" s="81" t="s">
        <v>3252</v>
      </c>
      <c r="H207" s="81" t="s">
        <v>4491</v>
      </c>
      <c r="I207" s="81" t="s">
        <v>4775</v>
      </c>
      <c r="J207" s="81" t="s">
        <v>2870</v>
      </c>
      <c r="K207" s="81" t="s">
        <v>2870</v>
      </c>
    </row>
    <row r="208" spans="1:11">
      <c r="A208" s="81" t="s">
        <v>84</v>
      </c>
      <c r="B208" s="81" t="s">
        <v>1313</v>
      </c>
      <c r="C208" s="81" t="s">
        <v>85</v>
      </c>
      <c r="D208" s="81" t="s">
        <v>84</v>
      </c>
      <c r="E208" s="81">
        <v>145</v>
      </c>
      <c r="F208" s="81" t="s">
        <v>15</v>
      </c>
      <c r="G208" s="81" t="s">
        <v>3252</v>
      </c>
      <c r="H208" s="81" t="s">
        <v>4491</v>
      </c>
      <c r="I208" s="81" t="s">
        <v>4774</v>
      </c>
      <c r="J208" s="81" t="s">
        <v>2870</v>
      </c>
      <c r="K208" s="81" t="s">
        <v>85</v>
      </c>
    </row>
    <row r="209" spans="1:11">
      <c r="A209" s="81" t="s">
        <v>4265</v>
      </c>
      <c r="B209" s="81" t="s">
        <v>4264</v>
      </c>
      <c r="C209" s="81" t="s">
        <v>4263</v>
      </c>
      <c r="D209" s="81" t="s">
        <v>4265</v>
      </c>
      <c r="E209" s="81">
        <v>637</v>
      </c>
      <c r="F209" s="81" t="s">
        <v>15</v>
      </c>
      <c r="G209" s="81" t="s">
        <v>3252</v>
      </c>
      <c r="H209" s="81" t="s">
        <v>4491</v>
      </c>
      <c r="I209" s="81" t="s">
        <v>4773</v>
      </c>
      <c r="J209" s="81" t="s">
        <v>2870</v>
      </c>
      <c r="K209" s="81" t="s">
        <v>2870</v>
      </c>
    </row>
    <row r="210" spans="1:11">
      <c r="A210" s="81" t="s">
        <v>4075</v>
      </c>
      <c r="B210" s="81" t="s">
        <v>4074</v>
      </c>
      <c r="C210" s="81" t="s">
        <v>4073</v>
      </c>
      <c r="D210" s="81" t="s">
        <v>4075</v>
      </c>
      <c r="E210" s="81">
        <v>211</v>
      </c>
      <c r="F210" s="81" t="s">
        <v>57</v>
      </c>
      <c r="G210" s="81" t="s">
        <v>3252</v>
      </c>
      <c r="H210" s="81" t="s">
        <v>4553</v>
      </c>
      <c r="I210" s="81" t="s">
        <v>4772</v>
      </c>
      <c r="J210" s="81" t="s">
        <v>2870</v>
      </c>
      <c r="K210" s="81" t="s">
        <v>2870</v>
      </c>
    </row>
    <row r="211" spans="1:11">
      <c r="A211" s="81" t="s">
        <v>4262</v>
      </c>
      <c r="B211" s="81" t="s">
        <v>4261</v>
      </c>
      <c r="C211" s="81" t="s">
        <v>4260</v>
      </c>
      <c r="D211" s="81" t="s">
        <v>4262</v>
      </c>
      <c r="E211" s="81">
        <v>146</v>
      </c>
      <c r="F211" s="81" t="s">
        <v>15</v>
      </c>
      <c r="G211" s="81" t="s">
        <v>3252</v>
      </c>
      <c r="H211" s="81" t="s">
        <v>4491</v>
      </c>
      <c r="I211" s="81" t="s">
        <v>4771</v>
      </c>
      <c r="J211" s="81" t="s">
        <v>2870</v>
      </c>
      <c r="K211" s="81" t="s">
        <v>2870</v>
      </c>
    </row>
    <row r="212" spans="1:11">
      <c r="A212" s="81" t="s">
        <v>48</v>
      </c>
      <c r="B212" s="81" t="s">
        <v>278</v>
      </c>
      <c r="C212" s="81" t="s">
        <v>2673</v>
      </c>
      <c r="D212" s="81" t="s">
        <v>48</v>
      </c>
      <c r="E212" s="81">
        <v>37</v>
      </c>
      <c r="F212" s="81" t="s">
        <v>15</v>
      </c>
      <c r="G212" s="81" t="s">
        <v>2959</v>
      </c>
      <c r="H212" s="81" t="s">
        <v>4770</v>
      </c>
      <c r="I212" s="81" t="s">
        <v>4769</v>
      </c>
      <c r="J212" s="81" t="s">
        <v>4768</v>
      </c>
      <c r="K212" s="81" t="s">
        <v>2870</v>
      </c>
    </row>
    <row r="213" spans="1:11">
      <c r="A213" s="81" t="s">
        <v>4067</v>
      </c>
      <c r="B213" s="81" t="s">
        <v>4066</v>
      </c>
      <c r="C213" s="81" t="s">
        <v>4065</v>
      </c>
      <c r="D213" s="81" t="s">
        <v>4067</v>
      </c>
      <c r="E213" s="81">
        <v>259</v>
      </c>
      <c r="F213" s="81" t="s">
        <v>57</v>
      </c>
      <c r="G213" s="81" t="s">
        <v>3252</v>
      </c>
      <c r="H213" s="81" t="s">
        <v>4553</v>
      </c>
      <c r="I213" s="81" t="s">
        <v>4767</v>
      </c>
      <c r="J213" s="81" t="s">
        <v>2870</v>
      </c>
      <c r="K213" s="81" t="s">
        <v>2870</v>
      </c>
    </row>
    <row r="214" spans="1:11">
      <c r="A214" s="81" t="s">
        <v>4063</v>
      </c>
      <c r="B214" s="81" t="s">
        <v>4062</v>
      </c>
      <c r="C214" s="81" t="s">
        <v>4061</v>
      </c>
      <c r="D214" s="81" t="s">
        <v>4063</v>
      </c>
      <c r="E214" s="81">
        <v>260</v>
      </c>
      <c r="F214" s="81" t="s">
        <v>57</v>
      </c>
      <c r="G214" s="81" t="s">
        <v>3252</v>
      </c>
      <c r="H214" s="81" t="s">
        <v>4553</v>
      </c>
      <c r="I214" s="81" t="s">
        <v>4766</v>
      </c>
      <c r="J214" s="81" t="s">
        <v>2870</v>
      </c>
      <c r="K214" s="81" t="s">
        <v>2870</v>
      </c>
    </row>
    <row r="215" spans="1:11">
      <c r="A215" s="81" t="s">
        <v>4059</v>
      </c>
      <c r="B215" s="81" t="s">
        <v>4058</v>
      </c>
      <c r="C215" s="81" t="s">
        <v>4057</v>
      </c>
      <c r="D215" s="81" t="s">
        <v>4059</v>
      </c>
      <c r="E215" s="81">
        <v>261</v>
      </c>
      <c r="F215" s="81" t="s">
        <v>57</v>
      </c>
      <c r="G215" s="81" t="s">
        <v>3252</v>
      </c>
      <c r="H215" s="81" t="s">
        <v>4553</v>
      </c>
      <c r="I215" s="81" t="s">
        <v>4765</v>
      </c>
      <c r="J215" s="81" t="s">
        <v>2870</v>
      </c>
      <c r="K215" s="81" t="s">
        <v>2870</v>
      </c>
    </row>
    <row r="216" spans="1:11">
      <c r="A216" s="81" t="s">
        <v>3325</v>
      </c>
      <c r="B216" s="81" t="s">
        <v>1381</v>
      </c>
      <c r="C216" s="81" t="s">
        <v>4764</v>
      </c>
      <c r="D216" s="81" t="s">
        <v>3325</v>
      </c>
      <c r="E216" s="81">
        <v>55</v>
      </c>
      <c r="F216" s="81" t="s">
        <v>57</v>
      </c>
      <c r="G216" s="81" t="s">
        <v>4763</v>
      </c>
      <c r="H216" s="81" t="s">
        <v>4762</v>
      </c>
      <c r="I216" s="81" t="s">
        <v>4761</v>
      </c>
      <c r="J216" s="81" t="s">
        <v>2870</v>
      </c>
      <c r="K216" s="81" t="s">
        <v>2870</v>
      </c>
    </row>
    <row r="217" spans="1:11">
      <c r="A217" s="81" t="s">
        <v>3528</v>
      </c>
      <c r="B217" s="81" t="s">
        <v>1425</v>
      </c>
      <c r="C217" s="81" t="s">
        <v>1426</v>
      </c>
      <c r="D217" s="81" t="s">
        <v>3528</v>
      </c>
      <c r="E217" s="81">
        <v>221</v>
      </c>
      <c r="F217" s="81" t="s">
        <v>15</v>
      </c>
      <c r="G217" s="81" t="s">
        <v>2959</v>
      </c>
      <c r="H217" s="81" t="s">
        <v>4760</v>
      </c>
      <c r="I217" s="81" t="s">
        <v>4759</v>
      </c>
      <c r="J217" s="81" t="s">
        <v>2870</v>
      </c>
      <c r="K217" s="81" t="s">
        <v>2870</v>
      </c>
    </row>
    <row r="218" spans="1:11">
      <c r="A218" s="81" t="s">
        <v>4360</v>
      </c>
      <c r="B218" s="81" t="s">
        <v>1433</v>
      </c>
      <c r="C218" s="81" t="s">
        <v>4360</v>
      </c>
      <c r="D218" s="81" t="s">
        <v>4360</v>
      </c>
      <c r="E218" s="81">
        <v>82</v>
      </c>
      <c r="F218" s="81" t="s">
        <v>15</v>
      </c>
      <c r="G218" s="81" t="s">
        <v>3252</v>
      </c>
      <c r="H218" s="81" t="s">
        <v>4491</v>
      </c>
      <c r="I218" s="81" t="s">
        <v>4758</v>
      </c>
      <c r="J218" s="81" t="s">
        <v>2870</v>
      </c>
      <c r="K218" s="81" t="s">
        <v>2870</v>
      </c>
    </row>
    <row r="219" spans="1:11">
      <c r="A219" s="81" t="s">
        <v>3489</v>
      </c>
      <c r="B219" s="81" t="s">
        <v>1434</v>
      </c>
      <c r="C219" s="81" t="s">
        <v>3489</v>
      </c>
      <c r="D219" s="81" t="s">
        <v>3489</v>
      </c>
      <c r="E219" s="81">
        <v>86</v>
      </c>
      <c r="F219" s="81" t="s">
        <v>15</v>
      </c>
      <c r="G219" s="81" t="s">
        <v>3252</v>
      </c>
      <c r="H219" s="81" t="s">
        <v>4491</v>
      </c>
      <c r="I219" s="81" t="s">
        <v>4757</v>
      </c>
      <c r="J219" s="81" t="s">
        <v>2870</v>
      </c>
      <c r="K219" s="81" t="s">
        <v>2870</v>
      </c>
    </row>
    <row r="220" spans="1:11">
      <c r="A220" s="81" t="s">
        <v>4358</v>
      </c>
      <c r="B220" s="81" t="s">
        <v>4359</v>
      </c>
      <c r="C220" s="81" t="s">
        <v>4358</v>
      </c>
      <c r="D220" s="81" t="s">
        <v>4358</v>
      </c>
      <c r="E220" s="81">
        <v>87</v>
      </c>
      <c r="F220" s="81" t="s">
        <v>15</v>
      </c>
      <c r="G220" s="81" t="s">
        <v>3252</v>
      </c>
      <c r="H220" s="81" t="s">
        <v>4491</v>
      </c>
      <c r="I220" s="81" t="s">
        <v>4756</v>
      </c>
      <c r="J220" s="81" t="s">
        <v>2870</v>
      </c>
      <c r="K220" s="81" t="s">
        <v>2870</v>
      </c>
    </row>
    <row r="221" spans="1:11">
      <c r="A221" s="81" t="s">
        <v>88</v>
      </c>
      <c r="B221" s="81" t="s">
        <v>1441</v>
      </c>
      <c r="C221" s="81" t="s">
        <v>88</v>
      </c>
      <c r="D221" s="81" t="s">
        <v>88</v>
      </c>
      <c r="E221" s="81">
        <v>88</v>
      </c>
      <c r="F221" s="81" t="s">
        <v>15</v>
      </c>
      <c r="G221" s="81" t="s">
        <v>3252</v>
      </c>
      <c r="H221" s="81" t="s">
        <v>4491</v>
      </c>
      <c r="I221" s="81" t="s">
        <v>4755</v>
      </c>
      <c r="J221" s="81" t="s">
        <v>2870</v>
      </c>
      <c r="K221" s="81" t="s">
        <v>88</v>
      </c>
    </row>
    <row r="222" spans="1:11">
      <c r="A222" s="81" t="s">
        <v>3582</v>
      </c>
      <c r="B222" s="81" t="s">
        <v>1463</v>
      </c>
      <c r="C222" s="81" t="s">
        <v>3582</v>
      </c>
      <c r="D222" s="81" t="s">
        <v>3582</v>
      </c>
      <c r="E222" s="81">
        <v>89</v>
      </c>
      <c r="F222" s="81" t="s">
        <v>15</v>
      </c>
      <c r="G222" s="81" t="s">
        <v>2964</v>
      </c>
      <c r="H222" s="81" t="s">
        <v>3582</v>
      </c>
      <c r="I222" s="81" t="s">
        <v>4754</v>
      </c>
      <c r="J222" s="81" t="s">
        <v>2870</v>
      </c>
      <c r="K222" s="81" t="s">
        <v>2870</v>
      </c>
    </row>
    <row r="223" spans="1:11">
      <c r="A223" s="81" t="s">
        <v>3494</v>
      </c>
      <c r="B223" s="81" t="s">
        <v>4357</v>
      </c>
      <c r="C223" s="81" t="s">
        <v>3494</v>
      </c>
      <c r="D223" s="81" t="s">
        <v>3494</v>
      </c>
      <c r="E223" s="81">
        <v>90</v>
      </c>
      <c r="F223" s="81" t="s">
        <v>15</v>
      </c>
      <c r="G223" s="81" t="s">
        <v>3252</v>
      </c>
      <c r="H223" s="81" t="s">
        <v>4491</v>
      </c>
      <c r="I223" s="81" t="s">
        <v>4753</v>
      </c>
      <c r="J223" s="81" t="s">
        <v>2870</v>
      </c>
      <c r="K223" s="81" t="s">
        <v>2870</v>
      </c>
    </row>
    <row r="224" spans="1:11">
      <c r="A224" s="81" t="s">
        <v>3483</v>
      </c>
      <c r="B224" s="81" t="s">
        <v>3484</v>
      </c>
      <c r="C224" s="81" t="s">
        <v>3483</v>
      </c>
      <c r="D224" s="81" t="s">
        <v>3483</v>
      </c>
      <c r="E224" s="81">
        <v>91</v>
      </c>
      <c r="F224" s="81" t="s">
        <v>15</v>
      </c>
      <c r="G224" s="81" t="s">
        <v>3252</v>
      </c>
      <c r="H224" s="81" t="s">
        <v>4491</v>
      </c>
      <c r="I224" s="81" t="s">
        <v>4752</v>
      </c>
      <c r="J224" s="81" t="s">
        <v>2870</v>
      </c>
      <c r="K224" s="81" t="s">
        <v>2870</v>
      </c>
    </row>
    <row r="225" spans="1:11">
      <c r="A225" s="81" t="s">
        <v>4355</v>
      </c>
      <c r="B225" s="81" t="s">
        <v>4356</v>
      </c>
      <c r="C225" s="81" t="s">
        <v>4355</v>
      </c>
      <c r="D225" s="81" t="s">
        <v>4355</v>
      </c>
      <c r="E225" s="81">
        <v>92</v>
      </c>
      <c r="F225" s="81" t="s">
        <v>15</v>
      </c>
      <c r="G225" s="81" t="s">
        <v>3252</v>
      </c>
      <c r="H225" s="81" t="s">
        <v>4491</v>
      </c>
      <c r="I225" s="81" t="s">
        <v>4751</v>
      </c>
      <c r="J225" s="81" t="s">
        <v>2870</v>
      </c>
      <c r="K225" s="81" t="s">
        <v>2870</v>
      </c>
    </row>
    <row r="226" spans="1:11">
      <c r="A226" s="81" t="s">
        <v>3481</v>
      </c>
      <c r="B226" s="81" t="s">
        <v>3482</v>
      </c>
      <c r="C226" s="81" t="s">
        <v>3481</v>
      </c>
      <c r="D226" s="81" t="s">
        <v>3481</v>
      </c>
      <c r="E226" s="81">
        <v>93</v>
      </c>
      <c r="F226" s="81" t="s">
        <v>15</v>
      </c>
      <c r="G226" s="81" t="s">
        <v>3252</v>
      </c>
      <c r="H226" s="81" t="s">
        <v>4491</v>
      </c>
      <c r="I226" s="81" t="s">
        <v>4750</v>
      </c>
      <c r="J226" s="81" t="s">
        <v>2870</v>
      </c>
      <c r="K226" s="81" t="s">
        <v>2870</v>
      </c>
    </row>
    <row r="227" spans="1:11">
      <c r="A227" s="81" t="s">
        <v>4353</v>
      </c>
      <c r="B227" s="81" t="s">
        <v>4354</v>
      </c>
      <c r="C227" s="81" t="s">
        <v>4353</v>
      </c>
      <c r="D227" s="81" t="s">
        <v>4353</v>
      </c>
      <c r="E227" s="81">
        <v>95</v>
      </c>
      <c r="F227" s="81" t="s">
        <v>15</v>
      </c>
      <c r="G227" s="81" t="s">
        <v>3252</v>
      </c>
      <c r="H227" s="81" t="s">
        <v>4491</v>
      </c>
      <c r="I227" s="81" t="s">
        <v>4749</v>
      </c>
      <c r="J227" s="81" t="s">
        <v>2870</v>
      </c>
      <c r="K227" s="81" t="s">
        <v>2870</v>
      </c>
    </row>
    <row r="228" spans="1:11">
      <c r="A228" s="81" t="s">
        <v>3479</v>
      </c>
      <c r="B228" s="81" t="s">
        <v>3480</v>
      </c>
      <c r="C228" s="81" t="s">
        <v>3479</v>
      </c>
      <c r="D228" s="81" t="s">
        <v>3479</v>
      </c>
      <c r="E228" s="81">
        <v>96</v>
      </c>
      <c r="F228" s="81" t="s">
        <v>15</v>
      </c>
      <c r="G228" s="81" t="s">
        <v>3252</v>
      </c>
      <c r="H228" s="81" t="s">
        <v>4491</v>
      </c>
      <c r="I228" s="81" t="s">
        <v>4748</v>
      </c>
      <c r="J228" s="81" t="s">
        <v>2870</v>
      </c>
      <c r="K228" s="81" t="s">
        <v>2870</v>
      </c>
    </row>
    <row r="229" spans="1:11">
      <c r="A229" s="81" t="s">
        <v>3477</v>
      </c>
      <c r="B229" s="81" t="s">
        <v>3478</v>
      </c>
      <c r="C229" s="81" t="s">
        <v>3477</v>
      </c>
      <c r="D229" s="81" t="s">
        <v>3477</v>
      </c>
      <c r="E229" s="81">
        <v>97</v>
      </c>
      <c r="F229" s="81" t="s">
        <v>15</v>
      </c>
      <c r="G229" s="81" t="s">
        <v>3252</v>
      </c>
      <c r="H229" s="81" t="s">
        <v>4491</v>
      </c>
      <c r="I229" s="81" t="s">
        <v>4747</v>
      </c>
      <c r="J229" s="81" t="s">
        <v>2870</v>
      </c>
      <c r="K229" s="81" t="s">
        <v>2870</v>
      </c>
    </row>
    <row r="230" spans="1:11">
      <c r="A230" s="81" t="s">
        <v>3497</v>
      </c>
      <c r="B230" s="81" t="s">
        <v>1470</v>
      </c>
      <c r="C230" s="81" t="s">
        <v>3497</v>
      </c>
      <c r="D230" s="81" t="s">
        <v>3497</v>
      </c>
      <c r="E230" s="81">
        <v>83</v>
      </c>
      <c r="F230" s="81" t="s">
        <v>15</v>
      </c>
      <c r="G230" s="81" t="s">
        <v>3252</v>
      </c>
      <c r="H230" s="81" t="s">
        <v>4491</v>
      </c>
      <c r="I230" s="81" t="s">
        <v>4746</v>
      </c>
      <c r="J230" s="81" t="s">
        <v>2870</v>
      </c>
      <c r="K230" s="81" t="s">
        <v>2870</v>
      </c>
    </row>
    <row r="231" spans="1:11">
      <c r="A231" s="81" t="s">
        <v>3475</v>
      </c>
      <c r="B231" s="81" t="s">
        <v>1472</v>
      </c>
      <c r="C231" s="81" t="s">
        <v>3475</v>
      </c>
      <c r="D231" s="81" t="s">
        <v>3475</v>
      </c>
      <c r="E231" s="81">
        <v>98</v>
      </c>
      <c r="F231" s="81" t="s">
        <v>15</v>
      </c>
      <c r="G231" s="81" t="s">
        <v>3252</v>
      </c>
      <c r="H231" s="81" t="s">
        <v>4491</v>
      </c>
      <c r="I231" s="81" t="s">
        <v>4745</v>
      </c>
      <c r="J231" s="81" t="s">
        <v>2870</v>
      </c>
      <c r="K231" s="81" t="s">
        <v>2870</v>
      </c>
    </row>
    <row r="232" spans="1:11">
      <c r="A232" s="81" t="s">
        <v>4352</v>
      </c>
      <c r="B232" s="81" t="s">
        <v>1479</v>
      </c>
      <c r="C232" s="81" t="s">
        <v>4352</v>
      </c>
      <c r="D232" s="81" t="s">
        <v>4352</v>
      </c>
      <c r="E232" s="81">
        <v>99</v>
      </c>
      <c r="F232" s="81" t="s">
        <v>15</v>
      </c>
      <c r="G232" s="81" t="s">
        <v>3252</v>
      </c>
      <c r="H232" s="81" t="s">
        <v>4491</v>
      </c>
      <c r="I232" s="81" t="s">
        <v>4744</v>
      </c>
      <c r="J232" s="81" t="s">
        <v>2870</v>
      </c>
      <c r="K232" s="81" t="s">
        <v>2870</v>
      </c>
    </row>
    <row r="233" spans="1:11">
      <c r="A233" s="81" t="s">
        <v>3473</v>
      </c>
      <c r="B233" s="81" t="s">
        <v>3474</v>
      </c>
      <c r="C233" s="81" t="s">
        <v>3473</v>
      </c>
      <c r="D233" s="81" t="s">
        <v>3473</v>
      </c>
      <c r="E233" s="81">
        <v>100</v>
      </c>
      <c r="F233" s="81" t="s">
        <v>15</v>
      </c>
      <c r="G233" s="81" t="s">
        <v>3252</v>
      </c>
      <c r="H233" s="81" t="s">
        <v>4491</v>
      </c>
      <c r="I233" s="81" t="s">
        <v>4743</v>
      </c>
      <c r="J233" s="81" t="s">
        <v>2870</v>
      </c>
      <c r="K233" s="81" t="s">
        <v>2870</v>
      </c>
    </row>
    <row r="234" spans="1:11">
      <c r="A234" s="81" t="s">
        <v>89</v>
      </c>
      <c r="B234" s="81" t="s">
        <v>1481</v>
      </c>
      <c r="C234" s="81" t="s">
        <v>89</v>
      </c>
      <c r="D234" s="81" t="s">
        <v>89</v>
      </c>
      <c r="E234" s="81">
        <v>101</v>
      </c>
      <c r="F234" s="81" t="s">
        <v>15</v>
      </c>
      <c r="G234" s="81" t="s">
        <v>3252</v>
      </c>
      <c r="H234" s="81" t="s">
        <v>4491</v>
      </c>
      <c r="I234" s="81" t="s">
        <v>4742</v>
      </c>
      <c r="J234" s="81" t="s">
        <v>2870</v>
      </c>
      <c r="K234" s="81" t="s">
        <v>89</v>
      </c>
    </row>
    <row r="235" spans="1:11">
      <c r="A235" s="81" t="s">
        <v>90</v>
      </c>
      <c r="B235" s="81" t="s">
        <v>1483</v>
      </c>
      <c r="C235" s="81" t="s">
        <v>90</v>
      </c>
      <c r="D235" s="81" t="s">
        <v>90</v>
      </c>
      <c r="E235" s="81">
        <v>102</v>
      </c>
      <c r="F235" s="81" t="s">
        <v>15</v>
      </c>
      <c r="G235" s="81" t="s">
        <v>3252</v>
      </c>
      <c r="H235" s="81" t="s">
        <v>4491</v>
      </c>
      <c r="I235" s="81" t="s">
        <v>4741</v>
      </c>
      <c r="J235" s="81" t="s">
        <v>2870</v>
      </c>
      <c r="K235" s="81" t="s">
        <v>90</v>
      </c>
    </row>
    <row r="236" spans="1:11">
      <c r="A236" s="81" t="s">
        <v>3470</v>
      </c>
      <c r="B236" s="81" t="s">
        <v>1495</v>
      </c>
      <c r="C236" s="81" t="s">
        <v>3470</v>
      </c>
      <c r="D236" s="81" t="s">
        <v>3470</v>
      </c>
      <c r="E236" s="81">
        <v>103</v>
      </c>
      <c r="F236" s="81" t="s">
        <v>15</v>
      </c>
      <c r="G236" s="81" t="s">
        <v>3252</v>
      </c>
      <c r="H236" s="81" t="s">
        <v>4491</v>
      </c>
      <c r="I236" s="81" t="s">
        <v>4740</v>
      </c>
      <c r="J236" s="81" t="s">
        <v>2870</v>
      </c>
      <c r="K236" s="81" t="s">
        <v>2870</v>
      </c>
    </row>
    <row r="237" spans="1:11">
      <c r="A237" s="81" t="s">
        <v>91</v>
      </c>
      <c r="B237" s="81" t="s">
        <v>290</v>
      </c>
      <c r="C237" s="81" t="s">
        <v>91</v>
      </c>
      <c r="D237" s="81" t="s">
        <v>91</v>
      </c>
      <c r="E237" s="81">
        <v>105</v>
      </c>
      <c r="F237" s="81" t="s">
        <v>15</v>
      </c>
      <c r="G237" s="81" t="s">
        <v>3252</v>
      </c>
      <c r="H237" s="81" t="s">
        <v>4491</v>
      </c>
      <c r="I237" s="81" t="s">
        <v>4739</v>
      </c>
      <c r="J237" s="81" t="s">
        <v>91</v>
      </c>
      <c r="K237" s="81" t="s">
        <v>2870</v>
      </c>
    </row>
    <row r="238" spans="1:11">
      <c r="A238" s="81" t="s">
        <v>92</v>
      </c>
      <c r="B238" s="81" t="s">
        <v>3495</v>
      </c>
      <c r="C238" s="81" t="s">
        <v>92</v>
      </c>
      <c r="D238" s="81" t="s">
        <v>92</v>
      </c>
      <c r="E238" s="81">
        <v>84</v>
      </c>
      <c r="F238" s="81" t="s">
        <v>15</v>
      </c>
      <c r="G238" s="81" t="s">
        <v>3252</v>
      </c>
      <c r="H238" s="81" t="s">
        <v>4491</v>
      </c>
      <c r="I238" s="81" t="s">
        <v>4738</v>
      </c>
      <c r="J238" s="81" t="s">
        <v>92</v>
      </c>
      <c r="K238" s="81" t="s">
        <v>2870</v>
      </c>
    </row>
    <row r="239" spans="1:11">
      <c r="A239" s="81" t="s">
        <v>4382</v>
      </c>
      <c r="B239" s="81" t="s">
        <v>4383</v>
      </c>
      <c r="C239" s="81" t="s">
        <v>4382</v>
      </c>
      <c r="D239" s="81" t="s">
        <v>4382</v>
      </c>
      <c r="E239" s="81">
        <v>228</v>
      </c>
      <c r="F239" s="81" t="s">
        <v>15</v>
      </c>
      <c r="G239" s="81" t="s">
        <v>2964</v>
      </c>
      <c r="H239" s="81" t="s">
        <v>4737</v>
      </c>
      <c r="I239" s="81" t="s">
        <v>4736</v>
      </c>
      <c r="J239" s="81" t="s">
        <v>2870</v>
      </c>
      <c r="K239" s="81" t="s">
        <v>2870</v>
      </c>
    </row>
    <row r="240" spans="1:11">
      <c r="A240" s="81" t="s">
        <v>4382</v>
      </c>
      <c r="B240" s="81" t="s">
        <v>4383</v>
      </c>
      <c r="C240" s="81" t="s">
        <v>4382</v>
      </c>
      <c r="D240" s="81" t="s">
        <v>4382</v>
      </c>
      <c r="E240" s="81">
        <v>228</v>
      </c>
      <c r="F240" s="81" t="s">
        <v>15</v>
      </c>
      <c r="G240" s="81" t="s">
        <v>2964</v>
      </c>
      <c r="H240" s="81" t="s">
        <v>4737</v>
      </c>
      <c r="I240" s="81" t="s">
        <v>4736</v>
      </c>
      <c r="J240" s="81" t="s">
        <v>2870</v>
      </c>
      <c r="K240" s="81" t="s">
        <v>2870</v>
      </c>
    </row>
    <row r="241" spans="1:11">
      <c r="A241" s="81" t="s">
        <v>4350</v>
      </c>
      <c r="B241" s="81" t="s">
        <v>4351</v>
      </c>
      <c r="C241" s="81" t="s">
        <v>4350</v>
      </c>
      <c r="D241" s="81" t="s">
        <v>4350</v>
      </c>
      <c r="E241" s="81">
        <v>106</v>
      </c>
      <c r="F241" s="81" t="s">
        <v>15</v>
      </c>
      <c r="G241" s="81" t="s">
        <v>3252</v>
      </c>
      <c r="H241" s="81" t="s">
        <v>4491</v>
      </c>
      <c r="I241" s="81" t="s">
        <v>4735</v>
      </c>
      <c r="J241" s="81" t="s">
        <v>2870</v>
      </c>
      <c r="K241" s="81" t="s">
        <v>2870</v>
      </c>
    </row>
    <row r="242" spans="1:11">
      <c r="A242" s="81" t="s">
        <v>3254</v>
      </c>
      <c r="B242" s="81" t="s">
        <v>4346</v>
      </c>
      <c r="C242" s="81" t="s">
        <v>3254</v>
      </c>
      <c r="D242" s="81" t="s">
        <v>3254</v>
      </c>
      <c r="E242" s="81">
        <v>108</v>
      </c>
      <c r="F242" s="81" t="s">
        <v>15</v>
      </c>
      <c r="G242" s="81" t="s">
        <v>3252</v>
      </c>
      <c r="H242" s="81" t="s">
        <v>4491</v>
      </c>
      <c r="I242" s="81" t="s">
        <v>4734</v>
      </c>
      <c r="J242" s="81" t="s">
        <v>2870</v>
      </c>
      <c r="K242" s="81" t="s">
        <v>2870</v>
      </c>
    </row>
    <row r="243" spans="1:11">
      <c r="A243" s="81" t="s">
        <v>134</v>
      </c>
      <c r="B243" s="81" t="s">
        <v>1499</v>
      </c>
      <c r="C243" s="81" t="s">
        <v>134</v>
      </c>
      <c r="D243" s="81" t="s">
        <v>134</v>
      </c>
      <c r="E243" s="81">
        <v>109</v>
      </c>
      <c r="F243" s="81" t="s">
        <v>15</v>
      </c>
      <c r="G243" s="81" t="s">
        <v>2964</v>
      </c>
      <c r="H243" s="81" t="s">
        <v>3582</v>
      </c>
      <c r="I243" s="81" t="s">
        <v>4733</v>
      </c>
      <c r="J243" s="81" t="s">
        <v>2870</v>
      </c>
      <c r="K243" s="81" t="s">
        <v>134</v>
      </c>
    </row>
    <row r="244" spans="1:11">
      <c r="A244" s="81" t="s">
        <v>3491</v>
      </c>
      <c r="B244" s="81" t="s">
        <v>1510</v>
      </c>
      <c r="C244" s="81" t="s">
        <v>3491</v>
      </c>
      <c r="D244" s="81" t="s">
        <v>3491</v>
      </c>
      <c r="E244" s="81">
        <v>85</v>
      </c>
      <c r="F244" s="81" t="s">
        <v>15</v>
      </c>
      <c r="G244" s="81" t="s">
        <v>3252</v>
      </c>
      <c r="H244" s="81" t="s">
        <v>4491</v>
      </c>
      <c r="I244" s="81" t="s">
        <v>4732</v>
      </c>
      <c r="J244" s="81" t="s">
        <v>2870</v>
      </c>
      <c r="K244" s="81" t="s">
        <v>2870</v>
      </c>
    </row>
    <row r="245" spans="1:11">
      <c r="A245" s="81" t="s">
        <v>4344</v>
      </c>
      <c r="B245" s="81" t="s">
        <v>4345</v>
      </c>
      <c r="C245" s="81" t="s">
        <v>4344</v>
      </c>
      <c r="D245" s="81" t="s">
        <v>4344</v>
      </c>
      <c r="E245" s="81">
        <v>110</v>
      </c>
      <c r="F245" s="81" t="s">
        <v>15</v>
      </c>
      <c r="G245" s="81" t="s">
        <v>3252</v>
      </c>
      <c r="H245" s="81" t="s">
        <v>4491</v>
      </c>
      <c r="I245" s="81" t="s">
        <v>4731</v>
      </c>
      <c r="J245" s="81" t="s">
        <v>2870</v>
      </c>
      <c r="K245" s="81" t="s">
        <v>2870</v>
      </c>
    </row>
    <row r="246" spans="1:11">
      <c r="A246" s="81" t="s">
        <v>4341</v>
      </c>
      <c r="B246" s="81" t="s">
        <v>4342</v>
      </c>
      <c r="C246" s="81" t="s">
        <v>4341</v>
      </c>
      <c r="D246" s="81" t="s">
        <v>4341</v>
      </c>
      <c r="E246" s="81">
        <v>111</v>
      </c>
      <c r="F246" s="81" t="s">
        <v>15</v>
      </c>
      <c r="G246" s="81" t="s">
        <v>3252</v>
      </c>
      <c r="H246" s="81" t="s">
        <v>4491</v>
      </c>
      <c r="I246" s="81" t="s">
        <v>4730</v>
      </c>
      <c r="J246" s="81" t="s">
        <v>2870</v>
      </c>
      <c r="K246" s="81" t="s">
        <v>2870</v>
      </c>
    </row>
    <row r="247" spans="1:11">
      <c r="A247" s="81" t="s">
        <v>4340</v>
      </c>
      <c r="B247" s="81" t="s">
        <v>1512</v>
      </c>
      <c r="C247" s="81" t="s">
        <v>4340</v>
      </c>
      <c r="D247" s="81" t="s">
        <v>4340</v>
      </c>
      <c r="E247" s="81">
        <v>112</v>
      </c>
      <c r="F247" s="81" t="s">
        <v>15</v>
      </c>
      <c r="G247" s="81" t="s">
        <v>3252</v>
      </c>
      <c r="H247" s="81" t="s">
        <v>4491</v>
      </c>
      <c r="I247" s="81" t="s">
        <v>4729</v>
      </c>
      <c r="J247" s="81" t="s">
        <v>2870</v>
      </c>
      <c r="K247" s="81" t="s">
        <v>2870</v>
      </c>
    </row>
    <row r="248" spans="1:11">
      <c r="A248" s="81" t="s">
        <v>3460</v>
      </c>
      <c r="B248" s="81" t="s">
        <v>1524</v>
      </c>
      <c r="C248" s="81" t="s">
        <v>3460</v>
      </c>
      <c r="D248" s="81" t="s">
        <v>3460</v>
      </c>
      <c r="E248" s="81">
        <v>115</v>
      </c>
      <c r="F248" s="81" t="s">
        <v>15</v>
      </c>
      <c r="G248" s="81" t="s">
        <v>3252</v>
      </c>
      <c r="H248" s="81" t="s">
        <v>4491</v>
      </c>
      <c r="I248" s="81" t="s">
        <v>4728</v>
      </c>
      <c r="J248" s="81" t="s">
        <v>2870</v>
      </c>
      <c r="K248" s="81" t="s">
        <v>2870</v>
      </c>
    </row>
    <row r="249" spans="1:11">
      <c r="A249" s="81" t="s">
        <v>3458</v>
      </c>
      <c r="B249" s="81" t="s">
        <v>3459</v>
      </c>
      <c r="C249" s="81" t="s">
        <v>3458</v>
      </c>
      <c r="D249" s="81" t="s">
        <v>3458</v>
      </c>
      <c r="E249" s="81">
        <v>116</v>
      </c>
      <c r="F249" s="81" t="s">
        <v>15</v>
      </c>
      <c r="G249" s="81" t="s">
        <v>3252</v>
      </c>
      <c r="H249" s="81" t="s">
        <v>4491</v>
      </c>
      <c r="I249" s="81" t="s">
        <v>4727</v>
      </c>
      <c r="J249" s="81" t="s">
        <v>2870</v>
      </c>
      <c r="K249" s="81" t="s">
        <v>2870</v>
      </c>
    </row>
    <row r="250" spans="1:11">
      <c r="A250" s="81" t="s">
        <v>4337</v>
      </c>
      <c r="B250" s="81" t="s">
        <v>4338</v>
      </c>
      <c r="C250" s="81" t="s">
        <v>4337</v>
      </c>
      <c r="D250" s="81" t="s">
        <v>4337</v>
      </c>
      <c r="E250" s="81">
        <v>118</v>
      </c>
      <c r="F250" s="81" t="s">
        <v>15</v>
      </c>
      <c r="G250" s="81" t="s">
        <v>3252</v>
      </c>
      <c r="H250" s="81" t="s">
        <v>4491</v>
      </c>
      <c r="I250" s="81" t="s">
        <v>4726</v>
      </c>
      <c r="J250" s="81" t="s">
        <v>2870</v>
      </c>
      <c r="K250" s="81" t="s">
        <v>2870</v>
      </c>
    </row>
    <row r="251" spans="1:11">
      <c r="A251" s="81" t="s">
        <v>4335</v>
      </c>
      <c r="B251" s="81" t="s">
        <v>4336</v>
      </c>
      <c r="C251" s="81" t="s">
        <v>4335</v>
      </c>
      <c r="D251" s="81" t="s">
        <v>4335</v>
      </c>
      <c r="E251" s="81">
        <v>119</v>
      </c>
      <c r="F251" s="81" t="s">
        <v>15</v>
      </c>
      <c r="G251" s="81" t="s">
        <v>3252</v>
      </c>
      <c r="H251" s="81" t="s">
        <v>4491</v>
      </c>
      <c r="I251" s="81" t="s">
        <v>4725</v>
      </c>
      <c r="J251" s="81" t="s">
        <v>2870</v>
      </c>
      <c r="K251" s="81" t="s">
        <v>2870</v>
      </c>
    </row>
    <row r="252" spans="1:11">
      <c r="A252" s="81" t="s">
        <v>4332</v>
      </c>
      <c r="B252" s="81" t="s">
        <v>4333</v>
      </c>
      <c r="C252" s="81" t="s">
        <v>4332</v>
      </c>
      <c r="D252" s="81" t="s">
        <v>4332</v>
      </c>
      <c r="E252" s="81">
        <v>121</v>
      </c>
      <c r="F252" s="81" t="s">
        <v>15</v>
      </c>
      <c r="G252" s="81" t="s">
        <v>3252</v>
      </c>
      <c r="H252" s="81" t="s">
        <v>4491</v>
      </c>
      <c r="I252" s="81" t="s">
        <v>4724</v>
      </c>
      <c r="J252" s="81" t="s">
        <v>2870</v>
      </c>
      <c r="K252" s="81" t="s">
        <v>2870</v>
      </c>
    </row>
    <row r="253" spans="1:11">
      <c r="A253" s="81" t="s">
        <v>4330</v>
      </c>
      <c r="B253" s="81" t="s">
        <v>1526</v>
      </c>
      <c r="C253" s="81" t="s">
        <v>4330</v>
      </c>
      <c r="D253" s="81" t="s">
        <v>4330</v>
      </c>
      <c r="E253" s="81">
        <v>122</v>
      </c>
      <c r="F253" s="81" t="s">
        <v>15</v>
      </c>
      <c r="G253" s="81" t="s">
        <v>3252</v>
      </c>
      <c r="H253" s="81" t="s">
        <v>4491</v>
      </c>
      <c r="I253" s="81" t="s">
        <v>4723</v>
      </c>
      <c r="J253" s="81" t="s">
        <v>2870</v>
      </c>
      <c r="K253" s="81" t="s">
        <v>2870</v>
      </c>
    </row>
    <row r="254" spans="1:11">
      <c r="A254" s="81" t="s">
        <v>4327</v>
      </c>
      <c r="B254" s="81" t="s">
        <v>4328</v>
      </c>
      <c r="C254" s="81" t="s">
        <v>4327</v>
      </c>
      <c r="D254" s="81" t="s">
        <v>4327</v>
      </c>
      <c r="E254" s="81">
        <v>123</v>
      </c>
      <c r="F254" s="81" t="s">
        <v>15</v>
      </c>
      <c r="G254" s="81" t="s">
        <v>3252</v>
      </c>
      <c r="H254" s="81" t="s">
        <v>4491</v>
      </c>
      <c r="I254" s="81" t="s">
        <v>4722</v>
      </c>
      <c r="J254" s="81" t="s">
        <v>2870</v>
      </c>
      <c r="K254" s="81" t="s">
        <v>2870</v>
      </c>
    </row>
    <row r="255" spans="1:11" ht="17">
      <c r="A255" s="81" t="s">
        <v>2886</v>
      </c>
      <c r="B255" s="81" t="s">
        <v>1533</v>
      </c>
      <c r="C255" s="81" t="s">
        <v>4721</v>
      </c>
      <c r="D255" s="81" t="s">
        <v>2886</v>
      </c>
      <c r="E255" s="81">
        <v>289</v>
      </c>
      <c r="F255" s="81" t="s">
        <v>57</v>
      </c>
      <c r="G255" s="81" t="s">
        <v>4702</v>
      </c>
      <c r="H255" s="81" t="s">
        <v>4701</v>
      </c>
      <c r="I255" s="81" t="s">
        <v>4720</v>
      </c>
      <c r="J255" s="81" t="s">
        <v>2870</v>
      </c>
      <c r="K255" s="81" t="s">
        <v>2870</v>
      </c>
    </row>
    <row r="256" spans="1:11" ht="17">
      <c r="A256" s="81" t="s">
        <v>167</v>
      </c>
      <c r="B256" s="81" t="s">
        <v>321</v>
      </c>
      <c r="C256" s="81" t="s">
        <v>4719</v>
      </c>
      <c r="D256" s="81" t="s">
        <v>167</v>
      </c>
      <c r="E256" s="81">
        <v>290</v>
      </c>
      <c r="F256" s="81" t="s">
        <v>57</v>
      </c>
      <c r="G256" s="81" t="s">
        <v>4702</v>
      </c>
      <c r="H256" s="81" t="s">
        <v>4701</v>
      </c>
      <c r="I256" s="81" t="s">
        <v>4718</v>
      </c>
      <c r="J256" s="81" t="s">
        <v>4717</v>
      </c>
      <c r="K256" s="81" t="s">
        <v>2870</v>
      </c>
    </row>
    <row r="257" spans="1:11" ht="17">
      <c r="A257" s="81" t="s">
        <v>2882</v>
      </c>
      <c r="B257" s="81" t="s">
        <v>1542</v>
      </c>
      <c r="C257" s="81" t="s">
        <v>4716</v>
      </c>
      <c r="D257" s="81" t="s">
        <v>2882</v>
      </c>
      <c r="E257" s="81">
        <v>291</v>
      </c>
      <c r="F257" s="81" t="s">
        <v>57</v>
      </c>
      <c r="G257" s="81" t="s">
        <v>4702</v>
      </c>
      <c r="H257" s="81" t="s">
        <v>4701</v>
      </c>
      <c r="I257" s="81" t="s">
        <v>4715</v>
      </c>
      <c r="J257" s="81" t="s">
        <v>2870</v>
      </c>
      <c r="K257" s="81" t="s">
        <v>2870</v>
      </c>
    </row>
    <row r="258" spans="1:11" ht="17">
      <c r="A258" s="81" t="s">
        <v>168</v>
      </c>
      <c r="B258" s="81" t="s">
        <v>322</v>
      </c>
      <c r="C258" s="81" t="s">
        <v>4714</v>
      </c>
      <c r="D258" s="81" t="s">
        <v>168</v>
      </c>
      <c r="E258" s="81">
        <v>292</v>
      </c>
      <c r="F258" s="81" t="s">
        <v>57</v>
      </c>
      <c r="G258" s="81" t="s">
        <v>4702</v>
      </c>
      <c r="H258" s="81" t="s">
        <v>4701</v>
      </c>
      <c r="I258" s="81" t="s">
        <v>4713</v>
      </c>
      <c r="J258" s="81" t="s">
        <v>4712</v>
      </c>
      <c r="K258" s="81" t="s">
        <v>2870</v>
      </c>
    </row>
    <row r="259" spans="1:11" ht="17">
      <c r="A259" s="81" t="s">
        <v>0</v>
      </c>
      <c r="B259" s="81" t="s">
        <v>323</v>
      </c>
      <c r="C259" s="81" t="s">
        <v>4711</v>
      </c>
      <c r="D259" s="81" t="s">
        <v>0</v>
      </c>
      <c r="E259" s="81">
        <v>293</v>
      </c>
      <c r="F259" s="81" t="s">
        <v>57</v>
      </c>
      <c r="G259" s="81" t="s">
        <v>4702</v>
      </c>
      <c r="H259" s="81" t="s">
        <v>4701</v>
      </c>
      <c r="I259" s="81" t="s">
        <v>4710</v>
      </c>
      <c r="J259" s="81" t="s">
        <v>4709</v>
      </c>
      <c r="K259" s="81" t="s">
        <v>2870</v>
      </c>
    </row>
    <row r="260" spans="1:11" ht="17">
      <c r="A260" s="81" t="s">
        <v>169</v>
      </c>
      <c r="B260" s="81" t="s">
        <v>324</v>
      </c>
      <c r="C260" s="81" t="s">
        <v>4708</v>
      </c>
      <c r="D260" s="81" t="s">
        <v>169</v>
      </c>
      <c r="E260" s="81">
        <v>294</v>
      </c>
      <c r="F260" s="81" t="s">
        <v>57</v>
      </c>
      <c r="G260" s="81" t="s">
        <v>4702</v>
      </c>
      <c r="H260" s="81" t="s">
        <v>4701</v>
      </c>
      <c r="I260" s="81" t="s">
        <v>4707</v>
      </c>
      <c r="J260" s="81" t="s">
        <v>4706</v>
      </c>
      <c r="K260" s="81" t="s">
        <v>2870</v>
      </c>
    </row>
    <row r="261" spans="1:11" ht="17">
      <c r="A261" s="81" t="s">
        <v>2874</v>
      </c>
      <c r="B261" s="81" t="s">
        <v>1559</v>
      </c>
      <c r="C261" s="81" t="s">
        <v>4705</v>
      </c>
      <c r="D261" s="81" t="s">
        <v>2874</v>
      </c>
      <c r="E261" s="81">
        <v>295</v>
      </c>
      <c r="F261" s="81" t="s">
        <v>57</v>
      </c>
      <c r="G261" s="81" t="s">
        <v>4702</v>
      </c>
      <c r="H261" s="81" t="s">
        <v>4701</v>
      </c>
      <c r="I261" s="81" t="s">
        <v>4704</v>
      </c>
      <c r="J261" s="81" t="s">
        <v>2870</v>
      </c>
      <c r="K261" s="81" t="s">
        <v>2870</v>
      </c>
    </row>
    <row r="262" spans="1:11" ht="17">
      <c r="A262" s="81" t="s">
        <v>170</v>
      </c>
      <c r="B262" s="81" t="s">
        <v>325</v>
      </c>
      <c r="C262" s="81" t="s">
        <v>4703</v>
      </c>
      <c r="D262" s="81" t="s">
        <v>170</v>
      </c>
      <c r="E262" s="81">
        <v>296</v>
      </c>
      <c r="F262" s="81" t="s">
        <v>57</v>
      </c>
      <c r="G262" s="81" t="s">
        <v>4702</v>
      </c>
      <c r="H262" s="81" t="s">
        <v>4701</v>
      </c>
      <c r="I262" s="81" t="s">
        <v>4700</v>
      </c>
      <c r="J262" s="81" t="s">
        <v>4699</v>
      </c>
      <c r="K262" s="81" t="s">
        <v>2870</v>
      </c>
    </row>
    <row r="263" spans="1:11" ht="17">
      <c r="A263" s="81" t="s">
        <v>50</v>
      </c>
      <c r="B263" s="81" t="s">
        <v>1562</v>
      </c>
      <c r="C263" s="81" t="s">
        <v>4698</v>
      </c>
      <c r="D263" s="81" t="s">
        <v>50</v>
      </c>
      <c r="E263" s="81">
        <v>39</v>
      </c>
      <c r="F263" s="81" t="s">
        <v>15</v>
      </c>
      <c r="G263" s="81" t="s">
        <v>44</v>
      </c>
      <c r="H263" s="81" t="s">
        <v>49</v>
      </c>
      <c r="I263" s="81" t="s">
        <v>4697</v>
      </c>
      <c r="J263" s="81" t="s">
        <v>2870</v>
      </c>
      <c r="K263" s="81" t="s">
        <v>50</v>
      </c>
    </row>
    <row r="264" spans="1:11" ht="17">
      <c r="A264" s="81" t="s">
        <v>3522</v>
      </c>
      <c r="B264" s="81" t="s">
        <v>1579</v>
      </c>
      <c r="C264" s="81" t="s">
        <v>4696</v>
      </c>
      <c r="D264" s="81" t="s">
        <v>3522</v>
      </c>
      <c r="E264" s="81">
        <v>311</v>
      </c>
      <c r="F264" s="81" t="s">
        <v>15</v>
      </c>
      <c r="G264" s="81" t="s">
        <v>4530</v>
      </c>
      <c r="H264" s="81" t="s">
        <v>4690</v>
      </c>
      <c r="I264" s="81" t="s">
        <v>4695</v>
      </c>
      <c r="J264" s="81" t="s">
        <v>2870</v>
      </c>
      <c r="K264" s="81" t="s">
        <v>2870</v>
      </c>
    </row>
    <row r="265" spans="1:11" ht="17">
      <c r="A265" s="81" t="s">
        <v>140</v>
      </c>
      <c r="B265" s="81" t="s">
        <v>308</v>
      </c>
      <c r="C265" s="81" t="s">
        <v>4694</v>
      </c>
      <c r="D265" s="81" t="s">
        <v>140</v>
      </c>
      <c r="E265" s="81">
        <v>312</v>
      </c>
      <c r="F265" s="81" t="s">
        <v>15</v>
      </c>
      <c r="G265" s="81" t="s">
        <v>4530</v>
      </c>
      <c r="H265" s="81" t="s">
        <v>4690</v>
      </c>
      <c r="I265" s="81" t="s">
        <v>4693</v>
      </c>
      <c r="J265" s="81" t="s">
        <v>4692</v>
      </c>
      <c r="K265" s="81" t="s">
        <v>2870</v>
      </c>
    </row>
    <row r="266" spans="1:11" ht="17">
      <c r="A266" s="81" t="s">
        <v>141</v>
      </c>
      <c r="B266" s="81" t="s">
        <v>309</v>
      </c>
      <c r="C266" s="81" t="s">
        <v>4691</v>
      </c>
      <c r="D266" s="81" t="s">
        <v>141</v>
      </c>
      <c r="E266" s="81">
        <v>313</v>
      </c>
      <c r="F266" s="81" t="s">
        <v>15</v>
      </c>
      <c r="G266" s="81" t="s">
        <v>4530</v>
      </c>
      <c r="H266" s="81" t="s">
        <v>4690</v>
      </c>
      <c r="I266" s="81" t="s">
        <v>4689</v>
      </c>
      <c r="J266" s="81" t="s">
        <v>141</v>
      </c>
      <c r="K266" s="81" t="s">
        <v>2870</v>
      </c>
    </row>
    <row r="267" spans="1:11" ht="17">
      <c r="A267" s="81" t="s">
        <v>138</v>
      </c>
      <c r="B267" s="81" t="s">
        <v>1604</v>
      </c>
      <c r="C267" s="81" t="s">
        <v>4688</v>
      </c>
      <c r="D267" s="81" t="s">
        <v>138</v>
      </c>
      <c r="E267" s="81">
        <v>264</v>
      </c>
      <c r="F267" s="81" t="s">
        <v>15</v>
      </c>
      <c r="G267" s="81" t="s">
        <v>2854</v>
      </c>
      <c r="H267" s="81" t="s">
        <v>136</v>
      </c>
      <c r="I267" s="81" t="s">
        <v>4687</v>
      </c>
      <c r="J267" s="81" t="s">
        <v>2870</v>
      </c>
      <c r="K267" s="81" t="s">
        <v>138</v>
      </c>
    </row>
    <row r="268" spans="1:11" ht="17">
      <c r="A268" s="81" t="s">
        <v>139</v>
      </c>
      <c r="B268" s="81" t="s">
        <v>1606</v>
      </c>
      <c r="C268" s="81" t="s">
        <v>4686</v>
      </c>
      <c r="D268" s="81" t="s">
        <v>139</v>
      </c>
      <c r="E268" s="81">
        <v>265</v>
      </c>
      <c r="F268" s="81" t="s">
        <v>15</v>
      </c>
      <c r="G268" s="81" t="s">
        <v>2854</v>
      </c>
      <c r="H268" s="81" t="s">
        <v>136</v>
      </c>
      <c r="I268" s="81" t="s">
        <v>4685</v>
      </c>
      <c r="J268" s="81" t="s">
        <v>2870</v>
      </c>
      <c r="K268" s="81" t="s">
        <v>139</v>
      </c>
    </row>
    <row r="269" spans="1:11">
      <c r="A269" s="81" t="s">
        <v>142</v>
      </c>
      <c r="B269" s="81" t="s">
        <v>1608</v>
      </c>
      <c r="C269" s="81" t="s">
        <v>143</v>
      </c>
      <c r="D269" s="81" t="s">
        <v>142</v>
      </c>
      <c r="E269" s="81">
        <v>266</v>
      </c>
      <c r="F269" s="81" t="s">
        <v>15</v>
      </c>
      <c r="G269" s="81" t="s">
        <v>44</v>
      </c>
      <c r="H269" s="81" t="s">
        <v>143</v>
      </c>
      <c r="I269" s="81" t="s">
        <v>4684</v>
      </c>
      <c r="J269" s="81" t="s">
        <v>2870</v>
      </c>
      <c r="K269" s="81" t="s">
        <v>2998</v>
      </c>
    </row>
    <row r="270" spans="1:11">
      <c r="A270" s="81" t="s">
        <v>4258</v>
      </c>
      <c r="B270" s="81" t="s">
        <v>1620</v>
      </c>
      <c r="C270" s="81" t="s">
        <v>4258</v>
      </c>
      <c r="D270" s="81" t="s">
        <v>4258</v>
      </c>
      <c r="E270" s="81">
        <v>147</v>
      </c>
      <c r="F270" s="81" t="s">
        <v>15</v>
      </c>
      <c r="G270" s="81" t="s">
        <v>3252</v>
      </c>
      <c r="H270" s="81" t="s">
        <v>4491</v>
      </c>
      <c r="I270" s="81" t="s">
        <v>4683</v>
      </c>
      <c r="J270" s="81" t="s">
        <v>2870</v>
      </c>
      <c r="K270" s="81" t="s">
        <v>2870</v>
      </c>
    </row>
    <row r="271" spans="1:11">
      <c r="A271" s="81" t="s">
        <v>4255</v>
      </c>
      <c r="B271" s="81" t="s">
        <v>1634</v>
      </c>
      <c r="C271" s="81" t="s">
        <v>4255</v>
      </c>
      <c r="D271" s="81" t="s">
        <v>4255</v>
      </c>
      <c r="E271" s="81">
        <v>148</v>
      </c>
      <c r="F271" s="81" t="s">
        <v>15</v>
      </c>
      <c r="G271" s="81" t="s">
        <v>3252</v>
      </c>
      <c r="H271" s="81" t="s">
        <v>4491</v>
      </c>
      <c r="I271" s="81" t="s">
        <v>4682</v>
      </c>
      <c r="J271" s="81" t="s">
        <v>2870</v>
      </c>
      <c r="K271" s="81" t="s">
        <v>2870</v>
      </c>
    </row>
    <row r="272" spans="1:11">
      <c r="A272" s="81" t="s">
        <v>4250</v>
      </c>
      <c r="B272" s="81" t="s">
        <v>1636</v>
      </c>
      <c r="C272" s="81" t="s">
        <v>4250</v>
      </c>
      <c r="D272" s="81" t="s">
        <v>4250</v>
      </c>
      <c r="E272" s="81">
        <v>149</v>
      </c>
      <c r="F272" s="81" t="s">
        <v>15</v>
      </c>
      <c r="G272" s="81" t="s">
        <v>3252</v>
      </c>
      <c r="H272" s="81" t="s">
        <v>4491</v>
      </c>
      <c r="I272" s="81" t="s">
        <v>4681</v>
      </c>
      <c r="J272" s="81" t="s">
        <v>2870</v>
      </c>
      <c r="K272" s="81" t="s">
        <v>2870</v>
      </c>
    </row>
    <row r="273" spans="1:11" ht="17">
      <c r="A273" s="81" t="s">
        <v>150</v>
      </c>
      <c r="B273" s="81" t="s">
        <v>1650</v>
      </c>
      <c r="C273" s="81" t="s">
        <v>4680</v>
      </c>
      <c r="D273" s="81" t="s">
        <v>150</v>
      </c>
      <c r="E273" s="81">
        <v>274</v>
      </c>
      <c r="F273" s="81" t="s">
        <v>15</v>
      </c>
      <c r="G273" s="81" t="s">
        <v>2964</v>
      </c>
      <c r="H273" s="81" t="s">
        <v>4673</v>
      </c>
      <c r="I273" s="81" t="s">
        <v>4679</v>
      </c>
      <c r="J273" s="81" t="s">
        <v>2870</v>
      </c>
      <c r="K273" s="81" t="s">
        <v>150</v>
      </c>
    </row>
    <row r="274" spans="1:11" ht="17">
      <c r="A274" s="81" t="s">
        <v>151</v>
      </c>
      <c r="B274" s="81" t="s">
        <v>1652</v>
      </c>
      <c r="C274" s="81" t="s">
        <v>4678</v>
      </c>
      <c r="D274" s="81" t="s">
        <v>151</v>
      </c>
      <c r="E274" s="81">
        <v>94</v>
      </c>
      <c r="F274" s="81" t="s">
        <v>15</v>
      </c>
      <c r="G274" s="81" t="s">
        <v>2964</v>
      </c>
      <c r="H274" s="81" t="s">
        <v>4673</v>
      </c>
      <c r="I274" s="81" t="s">
        <v>4677</v>
      </c>
      <c r="J274" s="81" t="s">
        <v>2870</v>
      </c>
      <c r="K274" s="81" t="s">
        <v>151</v>
      </c>
    </row>
    <row r="275" spans="1:11" ht="17">
      <c r="A275" s="81" t="s">
        <v>152</v>
      </c>
      <c r="B275" s="81" t="s">
        <v>1654</v>
      </c>
      <c r="C275" s="81" t="s">
        <v>4676</v>
      </c>
      <c r="D275" s="81" t="s">
        <v>152</v>
      </c>
      <c r="E275" s="81">
        <v>124</v>
      </c>
      <c r="F275" s="81" t="s">
        <v>15</v>
      </c>
      <c r="G275" s="81" t="s">
        <v>2964</v>
      </c>
      <c r="H275" s="81" t="s">
        <v>4673</v>
      </c>
      <c r="I275" s="81" t="s">
        <v>4675</v>
      </c>
      <c r="J275" s="81" t="s">
        <v>2870</v>
      </c>
      <c r="K275" s="81" t="s">
        <v>152</v>
      </c>
    </row>
    <row r="276" spans="1:11" ht="17">
      <c r="A276" s="81" t="s">
        <v>153</v>
      </c>
      <c r="B276" s="81" t="s">
        <v>1656</v>
      </c>
      <c r="C276" s="81" t="s">
        <v>4674</v>
      </c>
      <c r="D276" s="81" t="s">
        <v>153</v>
      </c>
      <c r="E276" s="81">
        <v>163</v>
      </c>
      <c r="F276" s="81" t="s">
        <v>15</v>
      </c>
      <c r="G276" s="81" t="s">
        <v>2964</v>
      </c>
      <c r="H276" s="81" t="s">
        <v>4673</v>
      </c>
      <c r="I276" s="81" t="s">
        <v>4672</v>
      </c>
      <c r="J276" s="81" t="s">
        <v>2870</v>
      </c>
      <c r="K276" s="81" t="s">
        <v>153</v>
      </c>
    </row>
    <row r="277" spans="1:11">
      <c r="A277" s="81" t="s">
        <v>3664</v>
      </c>
      <c r="B277" s="81" t="s">
        <v>1658</v>
      </c>
      <c r="C277" s="81" t="s">
        <v>1660</v>
      </c>
      <c r="D277" s="81" t="s">
        <v>3664</v>
      </c>
      <c r="E277" s="81">
        <v>254</v>
      </c>
      <c r="F277" s="81" t="s">
        <v>15</v>
      </c>
      <c r="G277" s="81" t="s">
        <v>2993</v>
      </c>
      <c r="H277" s="81" t="s">
        <v>4478</v>
      </c>
      <c r="I277" s="81" t="s">
        <v>4671</v>
      </c>
      <c r="J277" s="81" t="s">
        <v>2870</v>
      </c>
      <c r="K277" s="81" t="s">
        <v>2870</v>
      </c>
    </row>
    <row r="278" spans="1:11">
      <c r="A278" s="81" t="s">
        <v>3444</v>
      </c>
      <c r="B278" s="81" t="s">
        <v>3446</v>
      </c>
      <c r="C278" s="81" t="s">
        <v>3445</v>
      </c>
      <c r="D278" s="81" t="s">
        <v>3444</v>
      </c>
      <c r="E278" s="81">
        <v>150</v>
      </c>
      <c r="F278" s="81" t="s">
        <v>15</v>
      </c>
      <c r="G278" s="81" t="s">
        <v>3252</v>
      </c>
      <c r="H278" s="81" t="s">
        <v>4491</v>
      </c>
      <c r="I278" s="81" t="s">
        <v>4670</v>
      </c>
      <c r="J278" s="81" t="s">
        <v>2870</v>
      </c>
      <c r="K278" s="81" t="s">
        <v>2870</v>
      </c>
    </row>
    <row r="279" spans="1:11">
      <c r="A279" s="81" t="s">
        <v>4247</v>
      </c>
      <c r="B279" s="81" t="s">
        <v>4248</v>
      </c>
      <c r="C279" s="81" t="s">
        <v>4247</v>
      </c>
      <c r="D279" s="81" t="s">
        <v>4247</v>
      </c>
      <c r="E279" s="81">
        <v>151</v>
      </c>
      <c r="F279" s="81" t="s">
        <v>15</v>
      </c>
      <c r="G279" s="81" t="s">
        <v>3252</v>
      </c>
      <c r="H279" s="81" t="s">
        <v>4491</v>
      </c>
      <c r="I279" s="81" t="s">
        <v>4669</v>
      </c>
      <c r="J279" s="81" t="s">
        <v>2870</v>
      </c>
      <c r="K279" s="81" t="s">
        <v>2870</v>
      </c>
    </row>
    <row r="280" spans="1:11" ht="17">
      <c r="A280" s="81" t="s">
        <v>162</v>
      </c>
      <c r="B280" s="81" t="s">
        <v>1714</v>
      </c>
      <c r="C280" s="81" t="s">
        <v>4668</v>
      </c>
      <c r="D280" s="81" t="s">
        <v>162</v>
      </c>
      <c r="E280" s="81">
        <v>286</v>
      </c>
      <c r="F280" s="81" t="s">
        <v>15</v>
      </c>
      <c r="G280" s="81" t="s">
        <v>44</v>
      </c>
      <c r="H280" s="81" t="s">
        <v>4652</v>
      </c>
      <c r="I280" s="81" t="s">
        <v>4667</v>
      </c>
      <c r="J280" s="81" t="s">
        <v>2870</v>
      </c>
      <c r="K280" s="81" t="s">
        <v>162</v>
      </c>
    </row>
    <row r="281" spans="1:11" ht="17">
      <c r="A281" s="81" t="s">
        <v>158</v>
      </c>
      <c r="B281" s="81" t="s">
        <v>1716</v>
      </c>
      <c r="C281" s="81" t="s">
        <v>4666</v>
      </c>
      <c r="D281" s="81" t="s">
        <v>158</v>
      </c>
      <c r="E281" s="81">
        <v>280</v>
      </c>
      <c r="F281" s="81" t="s">
        <v>15</v>
      </c>
      <c r="G281" s="81" t="s">
        <v>44</v>
      </c>
      <c r="H281" s="81" t="s">
        <v>4663</v>
      </c>
      <c r="I281" s="81" t="s">
        <v>4665</v>
      </c>
      <c r="J281" s="81" t="s">
        <v>2870</v>
      </c>
      <c r="K281" s="81" t="s">
        <v>158</v>
      </c>
    </row>
    <row r="282" spans="1:11" ht="17">
      <c r="A282" s="81" t="s">
        <v>159</v>
      </c>
      <c r="B282" s="81" t="s">
        <v>1721</v>
      </c>
      <c r="C282" s="81" t="s">
        <v>4664</v>
      </c>
      <c r="D282" s="81" t="s">
        <v>159</v>
      </c>
      <c r="E282" s="81">
        <v>281</v>
      </c>
      <c r="F282" s="81" t="s">
        <v>15</v>
      </c>
      <c r="G282" s="81" t="s">
        <v>44</v>
      </c>
      <c r="H282" s="81" t="s">
        <v>4663</v>
      </c>
      <c r="I282" s="81" t="s">
        <v>4662</v>
      </c>
      <c r="J282" s="81" t="s">
        <v>2870</v>
      </c>
      <c r="K282" s="81" t="s">
        <v>159</v>
      </c>
    </row>
    <row r="283" spans="1:11">
      <c r="A283" s="81" t="s">
        <v>3443</v>
      </c>
      <c r="B283" s="81" t="s">
        <v>1723</v>
      </c>
      <c r="C283" s="81" t="s">
        <v>3442</v>
      </c>
      <c r="D283" s="81" t="s">
        <v>3443</v>
      </c>
      <c r="E283" s="81">
        <v>152</v>
      </c>
      <c r="F283" s="81" t="s">
        <v>15</v>
      </c>
      <c r="G283" s="81" t="s">
        <v>3252</v>
      </c>
      <c r="H283" s="81" t="s">
        <v>4491</v>
      </c>
      <c r="I283" s="81" t="s">
        <v>4661</v>
      </c>
      <c r="J283" s="81" t="s">
        <v>2870</v>
      </c>
      <c r="K283" s="81" t="s">
        <v>2870</v>
      </c>
    </row>
    <row r="284" spans="1:11">
      <c r="A284" s="81" t="s">
        <v>4245</v>
      </c>
      <c r="B284" s="81" t="s">
        <v>4244</v>
      </c>
      <c r="C284" s="81" t="s">
        <v>4243</v>
      </c>
      <c r="D284" s="81" t="s">
        <v>4245</v>
      </c>
      <c r="E284" s="81">
        <v>153</v>
      </c>
      <c r="F284" s="81" t="s">
        <v>15</v>
      </c>
      <c r="G284" s="81" t="s">
        <v>3252</v>
      </c>
      <c r="H284" s="81" t="s">
        <v>4491</v>
      </c>
      <c r="I284" s="81" t="s">
        <v>4660</v>
      </c>
      <c r="J284" s="81" t="s">
        <v>2870</v>
      </c>
      <c r="K284" s="81" t="s">
        <v>2870</v>
      </c>
    </row>
    <row r="285" spans="1:11">
      <c r="A285" s="81" t="s">
        <v>4241</v>
      </c>
      <c r="B285" s="81" t="s">
        <v>4240</v>
      </c>
      <c r="C285" s="81" t="s">
        <v>4239</v>
      </c>
      <c r="D285" s="81" t="s">
        <v>4241</v>
      </c>
      <c r="E285" s="81">
        <v>154</v>
      </c>
      <c r="F285" s="81" t="s">
        <v>15</v>
      </c>
      <c r="G285" s="81" t="s">
        <v>3252</v>
      </c>
      <c r="H285" s="81" t="s">
        <v>4491</v>
      </c>
      <c r="I285" s="81" t="s">
        <v>4659</v>
      </c>
      <c r="J285" s="81" t="s">
        <v>2870</v>
      </c>
      <c r="K285" s="81" t="s">
        <v>2870</v>
      </c>
    </row>
    <row r="286" spans="1:11">
      <c r="A286" s="81" t="s">
        <v>4237</v>
      </c>
      <c r="B286" s="81" t="s">
        <v>4236</v>
      </c>
      <c r="C286" s="81" t="s">
        <v>4235</v>
      </c>
      <c r="D286" s="81" t="s">
        <v>4237</v>
      </c>
      <c r="E286" s="81">
        <v>155</v>
      </c>
      <c r="F286" s="81" t="s">
        <v>15</v>
      </c>
      <c r="G286" s="81" t="s">
        <v>3252</v>
      </c>
      <c r="H286" s="81" t="s">
        <v>4491</v>
      </c>
      <c r="I286" s="81" t="s">
        <v>4658</v>
      </c>
      <c r="J286" s="81" t="s">
        <v>2870</v>
      </c>
      <c r="K286" s="81" t="s">
        <v>2870</v>
      </c>
    </row>
    <row r="287" spans="1:11">
      <c r="A287" s="81" t="s">
        <v>94</v>
      </c>
      <c r="B287" s="81" t="s">
        <v>1729</v>
      </c>
      <c r="C287" s="81" t="s">
        <v>95</v>
      </c>
      <c r="D287" s="81" t="s">
        <v>94</v>
      </c>
      <c r="E287" s="81">
        <v>156</v>
      </c>
      <c r="F287" s="81" t="s">
        <v>15</v>
      </c>
      <c r="G287" s="81" t="s">
        <v>3252</v>
      </c>
      <c r="H287" s="81" t="s">
        <v>4491</v>
      </c>
      <c r="I287" s="81" t="s">
        <v>4657</v>
      </c>
      <c r="J287" s="81" t="s">
        <v>2870</v>
      </c>
      <c r="K287" s="81" t="s">
        <v>95</v>
      </c>
    </row>
    <row r="288" spans="1:11">
      <c r="A288" s="81" t="s">
        <v>96</v>
      </c>
      <c r="B288" s="81" t="s">
        <v>1735</v>
      </c>
      <c r="C288" s="81" t="s">
        <v>97</v>
      </c>
      <c r="D288" s="81" t="s">
        <v>96</v>
      </c>
      <c r="E288" s="81">
        <v>157</v>
      </c>
      <c r="F288" s="81" t="s">
        <v>15</v>
      </c>
      <c r="G288" s="81" t="s">
        <v>3252</v>
      </c>
      <c r="H288" s="81" t="s">
        <v>4491</v>
      </c>
      <c r="I288" s="81" t="s">
        <v>4656</v>
      </c>
      <c r="J288" s="81" t="s">
        <v>2870</v>
      </c>
      <c r="K288" s="81" t="s">
        <v>97</v>
      </c>
    </row>
    <row r="289" spans="1:11">
      <c r="A289" s="81" t="s">
        <v>3436</v>
      </c>
      <c r="B289" s="81" t="s">
        <v>3435</v>
      </c>
      <c r="C289" s="81" t="s">
        <v>3434</v>
      </c>
      <c r="D289" s="81" t="s">
        <v>3436</v>
      </c>
      <c r="E289" s="81">
        <v>158</v>
      </c>
      <c r="F289" s="81" t="s">
        <v>15</v>
      </c>
      <c r="G289" s="81" t="s">
        <v>3252</v>
      </c>
      <c r="H289" s="81" t="s">
        <v>4491</v>
      </c>
      <c r="I289" s="81" t="s">
        <v>4655</v>
      </c>
      <c r="J289" s="81" t="s">
        <v>2870</v>
      </c>
      <c r="K289" s="81" t="s">
        <v>2870</v>
      </c>
    </row>
    <row r="290" spans="1:11">
      <c r="A290" s="81" t="s">
        <v>3432</v>
      </c>
      <c r="B290" s="81" t="s">
        <v>3431</v>
      </c>
      <c r="C290" s="81" t="s">
        <v>3430</v>
      </c>
      <c r="D290" s="81" t="s">
        <v>3432</v>
      </c>
      <c r="E290" s="81">
        <v>159</v>
      </c>
      <c r="F290" s="81" t="s">
        <v>15</v>
      </c>
      <c r="G290" s="81" t="s">
        <v>3252</v>
      </c>
      <c r="H290" s="81" t="s">
        <v>4491</v>
      </c>
      <c r="I290" s="81" t="s">
        <v>4654</v>
      </c>
      <c r="J290" s="81" t="s">
        <v>2870</v>
      </c>
      <c r="K290" s="81" t="s">
        <v>2870</v>
      </c>
    </row>
    <row r="291" spans="1:11" ht="17">
      <c r="A291" s="81" t="s">
        <v>163</v>
      </c>
      <c r="B291" s="81" t="s">
        <v>1739</v>
      </c>
      <c r="C291" s="81" t="s">
        <v>4653</v>
      </c>
      <c r="D291" s="81" t="s">
        <v>163</v>
      </c>
      <c r="E291" s="81">
        <v>282</v>
      </c>
      <c r="F291" s="81" t="s">
        <v>15</v>
      </c>
      <c r="G291" s="81" t="s">
        <v>44</v>
      </c>
      <c r="H291" s="81" t="s">
        <v>4652</v>
      </c>
      <c r="I291" s="81" t="s">
        <v>4651</v>
      </c>
      <c r="J291" s="81" t="s">
        <v>2870</v>
      </c>
      <c r="K291" s="81" t="s">
        <v>3075</v>
      </c>
    </row>
    <row r="292" spans="1:11">
      <c r="A292" s="81" t="s">
        <v>171</v>
      </c>
      <c r="B292" s="81" t="s">
        <v>1741</v>
      </c>
      <c r="C292" s="81" t="s">
        <v>1743</v>
      </c>
      <c r="D292" s="81" t="s">
        <v>171</v>
      </c>
      <c r="E292" s="81">
        <v>297</v>
      </c>
      <c r="F292" s="81" t="s">
        <v>15</v>
      </c>
      <c r="G292" s="81" t="s">
        <v>44</v>
      </c>
      <c r="H292" s="81" t="s">
        <v>4650</v>
      </c>
      <c r="I292" s="81" t="s">
        <v>1742</v>
      </c>
      <c r="J292" s="81" t="s">
        <v>2870</v>
      </c>
      <c r="K292" s="81" t="s">
        <v>3806</v>
      </c>
    </row>
    <row r="293" spans="1:11">
      <c r="A293" s="81" t="s">
        <v>4349</v>
      </c>
      <c r="B293" s="81" t="s">
        <v>4348</v>
      </c>
      <c r="C293" s="81" t="s">
        <v>4347</v>
      </c>
      <c r="D293" s="81" t="s">
        <v>4349</v>
      </c>
      <c r="E293" s="81">
        <v>107</v>
      </c>
      <c r="F293" s="81" t="s">
        <v>15</v>
      </c>
      <c r="G293" s="81" t="s">
        <v>3252</v>
      </c>
      <c r="H293" s="81" t="s">
        <v>4491</v>
      </c>
      <c r="I293" s="81" t="s">
        <v>4649</v>
      </c>
      <c r="J293" s="81" t="s">
        <v>2870</v>
      </c>
      <c r="K293" s="81" t="s">
        <v>2870</v>
      </c>
    </row>
    <row r="294" spans="1:11" ht="17">
      <c r="A294" s="81" t="s">
        <v>222</v>
      </c>
      <c r="B294" s="81" t="s">
        <v>1753</v>
      </c>
      <c r="C294" s="81" t="s">
        <v>4648</v>
      </c>
      <c r="D294" s="81" t="s">
        <v>222</v>
      </c>
      <c r="E294" s="81">
        <v>360</v>
      </c>
      <c r="F294" s="81" t="s">
        <v>15</v>
      </c>
      <c r="G294" s="81" t="s">
        <v>44</v>
      </c>
      <c r="H294" s="81" t="s">
        <v>4643</v>
      </c>
      <c r="I294" s="81" t="s">
        <v>4647</v>
      </c>
      <c r="J294" s="81" t="s">
        <v>2870</v>
      </c>
      <c r="K294" s="81" t="s">
        <v>3054</v>
      </c>
    </row>
    <row r="295" spans="1:11" ht="17">
      <c r="A295" s="81" t="s">
        <v>223</v>
      </c>
      <c r="B295" s="81" t="s">
        <v>1773</v>
      </c>
      <c r="C295" s="81" t="s">
        <v>4646</v>
      </c>
      <c r="D295" s="81" t="s">
        <v>223</v>
      </c>
      <c r="E295" s="81">
        <v>361</v>
      </c>
      <c r="F295" s="81" t="s">
        <v>15</v>
      </c>
      <c r="G295" s="81" t="s">
        <v>44</v>
      </c>
      <c r="H295" s="81" t="s">
        <v>4643</v>
      </c>
      <c r="I295" s="81" t="s">
        <v>4645</v>
      </c>
      <c r="J295" s="81" t="s">
        <v>2870</v>
      </c>
      <c r="K295" s="81" t="s">
        <v>3045</v>
      </c>
    </row>
    <row r="296" spans="1:11" ht="17">
      <c r="A296" s="81" t="s">
        <v>224</v>
      </c>
      <c r="B296" s="81" t="s">
        <v>1776</v>
      </c>
      <c r="C296" s="81" t="s">
        <v>4644</v>
      </c>
      <c r="D296" s="81" t="s">
        <v>224</v>
      </c>
      <c r="E296" s="81">
        <v>362</v>
      </c>
      <c r="F296" s="81" t="s">
        <v>15</v>
      </c>
      <c r="G296" s="81" t="s">
        <v>44</v>
      </c>
      <c r="H296" s="81" t="s">
        <v>4643</v>
      </c>
      <c r="I296" s="81" t="s">
        <v>4642</v>
      </c>
      <c r="J296" s="81" t="s">
        <v>2870</v>
      </c>
      <c r="K296" s="81" t="s">
        <v>3049</v>
      </c>
    </row>
    <row r="297" spans="1:11" ht="17">
      <c r="A297" s="81" t="s">
        <v>51</v>
      </c>
      <c r="B297" s="81" t="s">
        <v>1778</v>
      </c>
      <c r="C297" s="81" t="s">
        <v>4641</v>
      </c>
      <c r="D297" s="81" t="s">
        <v>51</v>
      </c>
      <c r="E297" s="81">
        <v>38</v>
      </c>
      <c r="F297" s="81" t="s">
        <v>15</v>
      </c>
      <c r="G297" s="81" t="s">
        <v>44</v>
      </c>
      <c r="H297" s="81" t="s">
        <v>49</v>
      </c>
      <c r="I297" s="81" t="s">
        <v>4640</v>
      </c>
      <c r="J297" s="81" t="s">
        <v>2870</v>
      </c>
      <c r="K297" s="81" t="s">
        <v>51</v>
      </c>
    </row>
    <row r="298" spans="1:11">
      <c r="A298" s="81" t="s">
        <v>172</v>
      </c>
      <c r="B298" s="81" t="s">
        <v>1780</v>
      </c>
      <c r="C298" s="81" t="s">
        <v>2553</v>
      </c>
      <c r="D298" s="81" t="s">
        <v>172</v>
      </c>
      <c r="E298" s="81">
        <v>298</v>
      </c>
      <c r="F298" s="81" t="s">
        <v>15</v>
      </c>
      <c r="G298" s="81" t="s">
        <v>44</v>
      </c>
      <c r="H298" s="81" t="s">
        <v>4638</v>
      </c>
      <c r="I298" s="81" t="s">
        <v>4639</v>
      </c>
      <c r="J298" s="81" t="s">
        <v>2870</v>
      </c>
      <c r="K298" s="81" t="s">
        <v>172</v>
      </c>
    </row>
    <row r="299" spans="1:11">
      <c r="A299" s="81" t="s">
        <v>173</v>
      </c>
      <c r="B299" s="81" t="s">
        <v>1788</v>
      </c>
      <c r="C299" s="81" t="s">
        <v>2552</v>
      </c>
      <c r="D299" s="81" t="s">
        <v>173</v>
      </c>
      <c r="E299" s="81">
        <v>299</v>
      </c>
      <c r="F299" s="81" t="s">
        <v>15</v>
      </c>
      <c r="G299" s="81" t="s">
        <v>44</v>
      </c>
      <c r="H299" s="81" t="s">
        <v>4638</v>
      </c>
      <c r="I299" s="81" t="s">
        <v>4637</v>
      </c>
      <c r="J299" s="81" t="s">
        <v>2870</v>
      </c>
      <c r="K299" s="81" t="s">
        <v>173</v>
      </c>
    </row>
    <row r="300" spans="1:11">
      <c r="A300" s="82" t="s">
        <v>4635</v>
      </c>
      <c r="C300" s="83" t="s">
        <v>4636</v>
      </c>
      <c r="D300" s="82" t="s">
        <v>4635</v>
      </c>
      <c r="E300" s="82"/>
      <c r="F300" s="81" t="e">
        <v>#N/A</v>
      </c>
      <c r="G300" s="81" t="e">
        <v>#N/A</v>
      </c>
      <c r="H300" s="81" t="e">
        <v>#N/A</v>
      </c>
      <c r="J300" s="81" t="e">
        <v>#N/A</v>
      </c>
      <c r="K300" s="81" t="e">
        <v>#N/A</v>
      </c>
    </row>
    <row r="301" spans="1:11">
      <c r="A301" s="82" t="s">
        <v>4635</v>
      </c>
      <c r="C301" s="83" t="s">
        <v>4634</v>
      </c>
      <c r="D301" s="82" t="s">
        <v>4635</v>
      </c>
      <c r="E301" s="82"/>
      <c r="F301" s="81" t="e">
        <v>#N/A</v>
      </c>
      <c r="G301" s="81" t="e">
        <v>#N/A</v>
      </c>
      <c r="H301" s="81" t="e">
        <v>#N/A</v>
      </c>
      <c r="J301" s="81" t="e">
        <v>#N/A</v>
      </c>
      <c r="K301" s="81" t="e">
        <v>#N/A</v>
      </c>
    </row>
    <row r="302" spans="1:11">
      <c r="A302" s="82" t="s">
        <v>4633</v>
      </c>
      <c r="C302" s="83" t="s">
        <v>4632</v>
      </c>
      <c r="D302" s="82" t="s">
        <v>4633</v>
      </c>
      <c r="E302" s="82"/>
      <c r="F302" s="81" t="e">
        <v>#N/A</v>
      </c>
      <c r="G302" s="81" t="e">
        <v>#N/A</v>
      </c>
      <c r="H302" s="81" t="e">
        <v>#N/A</v>
      </c>
      <c r="J302" s="81" t="e">
        <v>#N/A</v>
      </c>
      <c r="K302" s="81" t="e">
        <v>#N/A</v>
      </c>
    </row>
    <row r="303" spans="1:11">
      <c r="A303" s="81" t="s">
        <v>176</v>
      </c>
      <c r="B303" s="81" t="s">
        <v>1790</v>
      </c>
      <c r="C303" s="81" t="s">
        <v>176</v>
      </c>
      <c r="D303" s="81" t="s">
        <v>176</v>
      </c>
      <c r="E303" s="81">
        <v>303</v>
      </c>
      <c r="F303" s="81" t="s">
        <v>15</v>
      </c>
      <c r="G303" s="81" t="s">
        <v>44</v>
      </c>
      <c r="H303" s="81" t="s">
        <v>4630</v>
      </c>
      <c r="I303" s="81" t="s">
        <v>4631</v>
      </c>
      <c r="J303" s="81" t="s">
        <v>2870</v>
      </c>
      <c r="K303" s="81" t="s">
        <v>3786</v>
      </c>
    </row>
    <row r="304" spans="1:11">
      <c r="A304" s="81" t="s">
        <v>3783</v>
      </c>
      <c r="B304" s="81" t="s">
        <v>1806</v>
      </c>
      <c r="C304" s="81" t="s">
        <v>3783</v>
      </c>
      <c r="D304" s="81" t="s">
        <v>3783</v>
      </c>
      <c r="E304" s="81">
        <v>304</v>
      </c>
      <c r="F304" s="81" t="s">
        <v>15</v>
      </c>
      <c r="G304" s="81" t="s">
        <v>44</v>
      </c>
      <c r="H304" s="81" t="s">
        <v>4630</v>
      </c>
      <c r="I304" s="81" t="s">
        <v>4629</v>
      </c>
      <c r="J304" s="81" t="s">
        <v>2870</v>
      </c>
      <c r="K304" s="81" t="s">
        <v>2870</v>
      </c>
    </row>
    <row r="305" spans="1:11">
      <c r="A305" s="81" t="s">
        <v>3791</v>
      </c>
      <c r="B305" s="81" t="s">
        <v>1829</v>
      </c>
      <c r="C305" s="81" t="s">
        <v>1833</v>
      </c>
      <c r="D305" s="81" t="s">
        <v>3791</v>
      </c>
      <c r="E305" s="81">
        <v>302</v>
      </c>
      <c r="F305" s="81" t="s">
        <v>15</v>
      </c>
      <c r="G305" s="81" t="s">
        <v>44</v>
      </c>
      <c r="H305" s="81" t="s">
        <v>4628</v>
      </c>
      <c r="I305" s="81" t="s">
        <v>4627</v>
      </c>
      <c r="J305" s="81" t="s">
        <v>2870</v>
      </c>
      <c r="K305" s="81" t="s">
        <v>2870</v>
      </c>
    </row>
    <row r="306" spans="1:11" ht="17">
      <c r="A306" s="81" t="s">
        <v>177</v>
      </c>
      <c r="B306" s="81" t="s">
        <v>328</v>
      </c>
      <c r="C306" s="81" t="s">
        <v>4626</v>
      </c>
      <c r="D306" s="81" t="s">
        <v>177</v>
      </c>
      <c r="E306" s="81">
        <v>305</v>
      </c>
      <c r="F306" s="81" t="s">
        <v>15</v>
      </c>
      <c r="G306" s="81" t="s">
        <v>44</v>
      </c>
      <c r="H306" s="81" t="s">
        <v>4617</v>
      </c>
      <c r="I306" s="81" t="s">
        <v>4625</v>
      </c>
      <c r="J306" s="81" t="s">
        <v>177</v>
      </c>
      <c r="K306" s="81" t="s">
        <v>2870</v>
      </c>
    </row>
    <row r="307" spans="1:11" ht="17">
      <c r="A307" s="81" t="s">
        <v>3063</v>
      </c>
      <c r="B307" s="81" t="s">
        <v>1845</v>
      </c>
      <c r="C307" s="81" t="s">
        <v>4624</v>
      </c>
      <c r="D307" s="81" t="s">
        <v>3063</v>
      </c>
      <c r="E307" s="81">
        <v>306</v>
      </c>
      <c r="F307" s="81" t="s">
        <v>15</v>
      </c>
      <c r="G307" s="81" t="s">
        <v>44</v>
      </c>
      <c r="H307" s="81" t="s">
        <v>4617</v>
      </c>
      <c r="I307" s="81" t="s">
        <v>4623</v>
      </c>
      <c r="J307" s="81" t="s">
        <v>2870</v>
      </c>
      <c r="K307" s="81" t="s">
        <v>2870</v>
      </c>
    </row>
    <row r="308" spans="1:11" ht="17">
      <c r="A308" s="81" t="s">
        <v>3060</v>
      </c>
      <c r="B308" s="81" t="s">
        <v>1851</v>
      </c>
      <c r="C308" s="81" t="s">
        <v>4622</v>
      </c>
      <c r="D308" s="81" t="s">
        <v>3060</v>
      </c>
      <c r="E308" s="81">
        <v>307</v>
      </c>
      <c r="F308" s="81" t="s">
        <v>15</v>
      </c>
      <c r="G308" s="81" t="s">
        <v>44</v>
      </c>
      <c r="H308" s="81" t="s">
        <v>4617</v>
      </c>
      <c r="I308" s="81" t="s">
        <v>4621</v>
      </c>
      <c r="J308" s="81" t="s">
        <v>2870</v>
      </c>
      <c r="K308" s="81" t="s">
        <v>2870</v>
      </c>
    </row>
    <row r="309" spans="1:11" ht="17">
      <c r="A309" s="81" t="s">
        <v>178</v>
      </c>
      <c r="B309" s="81" t="s">
        <v>329</v>
      </c>
      <c r="C309" s="81" t="s">
        <v>4620</v>
      </c>
      <c r="D309" s="81" t="s">
        <v>178</v>
      </c>
      <c r="E309" s="81">
        <v>308</v>
      </c>
      <c r="F309" s="81" t="s">
        <v>15</v>
      </c>
      <c r="G309" s="81" t="s">
        <v>44</v>
      </c>
      <c r="H309" s="81" t="s">
        <v>4617</v>
      </c>
      <c r="I309" s="81" t="s">
        <v>4619</v>
      </c>
      <c r="J309" s="81" t="s">
        <v>178</v>
      </c>
      <c r="K309" s="81" t="s">
        <v>2870</v>
      </c>
    </row>
    <row r="310" spans="1:11" ht="17">
      <c r="A310" s="81" t="s">
        <v>4404</v>
      </c>
      <c r="B310" s="81" t="s">
        <v>4405</v>
      </c>
      <c r="C310" s="81" t="s">
        <v>4618</v>
      </c>
      <c r="D310" s="81" t="s">
        <v>4404</v>
      </c>
      <c r="E310" s="81">
        <v>683</v>
      </c>
      <c r="F310" s="81" t="s">
        <v>15</v>
      </c>
      <c r="G310" s="81" t="s">
        <v>44</v>
      </c>
      <c r="H310" s="81" t="s">
        <v>4617</v>
      </c>
      <c r="I310" s="81" t="s">
        <v>4616</v>
      </c>
      <c r="J310" s="81" t="s">
        <v>2870</v>
      </c>
      <c r="K310" s="81" t="s">
        <v>2870</v>
      </c>
    </row>
    <row r="311" spans="1:11" ht="17">
      <c r="A311" s="81" t="s">
        <v>179</v>
      </c>
      <c r="B311" s="81" t="s">
        <v>1854</v>
      </c>
      <c r="C311" s="81" t="s">
        <v>4615</v>
      </c>
      <c r="D311" s="81" t="s">
        <v>179</v>
      </c>
      <c r="E311" s="81">
        <v>309</v>
      </c>
      <c r="F311" s="81" t="s">
        <v>15</v>
      </c>
      <c r="G311" s="81" t="s">
        <v>44</v>
      </c>
      <c r="H311" s="81" t="s">
        <v>180</v>
      </c>
      <c r="I311" s="81" t="s">
        <v>4614</v>
      </c>
      <c r="J311" s="81" t="s">
        <v>2870</v>
      </c>
      <c r="K311" s="81" t="s">
        <v>2870</v>
      </c>
    </row>
    <row r="312" spans="1:11" ht="17">
      <c r="A312" s="81" t="s">
        <v>3763</v>
      </c>
      <c r="B312" s="81" t="s">
        <v>1867</v>
      </c>
      <c r="C312" s="81" t="s">
        <v>4613</v>
      </c>
      <c r="D312" s="81" t="s">
        <v>3763</v>
      </c>
      <c r="E312" s="81">
        <v>310</v>
      </c>
      <c r="F312" s="81" t="s">
        <v>15</v>
      </c>
      <c r="G312" s="81" t="s">
        <v>44</v>
      </c>
      <c r="H312" s="81" t="s">
        <v>180</v>
      </c>
      <c r="I312" s="81" t="s">
        <v>4612</v>
      </c>
      <c r="J312" s="81" t="s">
        <v>2870</v>
      </c>
      <c r="K312" s="81" t="s">
        <v>2870</v>
      </c>
    </row>
    <row r="313" spans="1:11">
      <c r="A313" s="81" t="s">
        <v>99</v>
      </c>
      <c r="B313" s="81" t="s">
        <v>3462</v>
      </c>
      <c r="C313" s="81" t="s">
        <v>99</v>
      </c>
      <c r="D313" s="81" t="s">
        <v>98</v>
      </c>
      <c r="E313" s="81">
        <v>114</v>
      </c>
      <c r="F313" s="81" t="s">
        <v>15</v>
      </c>
      <c r="G313" s="81" t="s">
        <v>3252</v>
      </c>
      <c r="H313" s="81" t="s">
        <v>4491</v>
      </c>
      <c r="I313" s="81" t="s">
        <v>4611</v>
      </c>
      <c r="J313" s="81" t="s">
        <v>99</v>
      </c>
      <c r="K313" s="81" t="s">
        <v>2870</v>
      </c>
    </row>
    <row r="314" spans="1:11">
      <c r="A314" s="81" t="s">
        <v>4374</v>
      </c>
      <c r="B314" s="81" t="s">
        <v>4375</v>
      </c>
      <c r="C314" s="81" t="s">
        <v>4374</v>
      </c>
      <c r="D314" s="81" t="s">
        <v>4374</v>
      </c>
      <c r="E314" s="81">
        <v>160</v>
      </c>
      <c r="F314" s="81" t="s">
        <v>15</v>
      </c>
      <c r="G314" s="81" t="s">
        <v>4481</v>
      </c>
      <c r="H314" s="81" t="s">
        <v>3498</v>
      </c>
      <c r="I314" s="81" t="s">
        <v>4610</v>
      </c>
      <c r="J314" s="81" t="s">
        <v>2870</v>
      </c>
      <c r="K314" s="81" t="s">
        <v>2870</v>
      </c>
    </row>
    <row r="315" spans="1:11">
      <c r="A315" s="81" t="s">
        <v>3504</v>
      </c>
      <c r="B315" s="81" t="s">
        <v>3505</v>
      </c>
      <c r="C315" s="81" t="s">
        <v>3504</v>
      </c>
      <c r="D315" s="81" t="s">
        <v>3504</v>
      </c>
      <c r="E315" s="81">
        <v>2758</v>
      </c>
      <c r="F315" s="81" t="s">
        <v>15</v>
      </c>
      <c r="G315" s="81" t="s">
        <v>4481</v>
      </c>
      <c r="H315" s="81" t="s">
        <v>3498</v>
      </c>
      <c r="I315" s="81" t="s">
        <v>4609</v>
      </c>
      <c r="J315" s="81" t="s">
        <v>2870</v>
      </c>
      <c r="K315" s="81" t="s">
        <v>2870</v>
      </c>
    </row>
    <row r="316" spans="1:11">
      <c r="A316" s="81" t="s">
        <v>3501</v>
      </c>
      <c r="B316" s="81" t="s">
        <v>3502</v>
      </c>
      <c r="C316" s="81" t="s">
        <v>3501</v>
      </c>
      <c r="D316" s="81" t="s">
        <v>3501</v>
      </c>
      <c r="E316" s="81">
        <v>161</v>
      </c>
      <c r="F316" s="81" t="s">
        <v>15</v>
      </c>
      <c r="G316" s="81" t="s">
        <v>4481</v>
      </c>
      <c r="H316" s="81" t="s">
        <v>3498</v>
      </c>
      <c r="I316" s="81" t="s">
        <v>4608</v>
      </c>
      <c r="J316" s="81" t="s">
        <v>2870</v>
      </c>
      <c r="K316" s="81" t="s">
        <v>2870</v>
      </c>
    </row>
    <row r="317" spans="1:11">
      <c r="A317" s="81" t="s">
        <v>4372</v>
      </c>
      <c r="B317" s="81" t="s">
        <v>4371</v>
      </c>
      <c r="C317" s="81" t="s">
        <v>4370</v>
      </c>
      <c r="D317" s="81" t="s">
        <v>4372</v>
      </c>
      <c r="E317" s="81">
        <v>2960</v>
      </c>
      <c r="F317" s="81" t="s">
        <v>15</v>
      </c>
      <c r="G317" s="81" t="s">
        <v>4481</v>
      </c>
      <c r="H317" s="81" t="s">
        <v>3498</v>
      </c>
      <c r="I317" s="81" t="s">
        <v>4607</v>
      </c>
      <c r="J317" s="81" t="s">
        <v>2870</v>
      </c>
      <c r="K317" s="81" t="s">
        <v>2870</v>
      </c>
    </row>
    <row r="318" spans="1:11">
      <c r="A318" s="81" t="s">
        <v>2754</v>
      </c>
      <c r="B318" s="81" t="s">
        <v>4378</v>
      </c>
      <c r="C318" s="81" t="s">
        <v>2753</v>
      </c>
      <c r="D318" s="81" t="s">
        <v>2754</v>
      </c>
      <c r="E318" s="81">
        <v>2963</v>
      </c>
      <c r="F318" s="81" t="s">
        <v>15</v>
      </c>
      <c r="G318" s="81" t="s">
        <v>4481</v>
      </c>
      <c r="H318" s="81" t="s">
        <v>3498</v>
      </c>
      <c r="I318" s="81" t="s">
        <v>4606</v>
      </c>
      <c r="J318" s="81" t="s">
        <v>2870</v>
      </c>
      <c r="K318" s="81" t="s">
        <v>2870</v>
      </c>
    </row>
    <row r="319" spans="1:11">
      <c r="A319" s="81" t="s">
        <v>4368</v>
      </c>
      <c r="B319" s="81" t="s">
        <v>4367</v>
      </c>
      <c r="C319" s="81" t="s">
        <v>4366</v>
      </c>
      <c r="D319" s="81" t="s">
        <v>4368</v>
      </c>
      <c r="E319" s="81">
        <v>2962</v>
      </c>
      <c r="F319" s="81" t="s">
        <v>15</v>
      </c>
      <c r="G319" s="81" t="s">
        <v>4481</v>
      </c>
      <c r="H319" s="81" t="s">
        <v>3498</v>
      </c>
      <c r="I319" s="81" t="s">
        <v>4605</v>
      </c>
      <c r="J319" s="81" t="s">
        <v>2870</v>
      </c>
      <c r="K319" s="81" t="s">
        <v>2870</v>
      </c>
    </row>
    <row r="320" spans="1:11">
      <c r="A320" s="81" t="s">
        <v>4364</v>
      </c>
      <c r="B320" s="81" t="s">
        <v>4363</v>
      </c>
      <c r="C320" s="81" t="s">
        <v>4362</v>
      </c>
      <c r="D320" s="81" t="s">
        <v>4364</v>
      </c>
      <c r="E320" s="81">
        <v>2961</v>
      </c>
      <c r="F320" s="81" t="s">
        <v>15</v>
      </c>
      <c r="G320" s="81" t="s">
        <v>4481</v>
      </c>
      <c r="H320" s="81" t="s">
        <v>3498</v>
      </c>
      <c r="I320" s="81" t="s">
        <v>4604</v>
      </c>
      <c r="J320" s="81" t="s">
        <v>2870</v>
      </c>
      <c r="K320" s="81" t="s">
        <v>2870</v>
      </c>
    </row>
    <row r="321" spans="1:11" ht="17">
      <c r="A321" s="81" t="s">
        <v>186</v>
      </c>
      <c r="B321" s="81" t="s">
        <v>1914</v>
      </c>
      <c r="C321" s="81" t="s">
        <v>4603</v>
      </c>
      <c r="D321" s="81" t="s">
        <v>186</v>
      </c>
      <c r="E321" s="81">
        <v>321</v>
      </c>
      <c r="F321" s="81" t="s">
        <v>15</v>
      </c>
      <c r="G321" s="81" t="s">
        <v>44</v>
      </c>
      <c r="H321" s="81" t="s">
        <v>4602</v>
      </c>
      <c r="I321" s="81" t="s">
        <v>4601</v>
      </c>
      <c r="J321" s="81" t="s">
        <v>2870</v>
      </c>
      <c r="K321" s="81" t="s">
        <v>3035</v>
      </c>
    </row>
    <row r="322" spans="1:11">
      <c r="A322" s="81" t="s">
        <v>3623</v>
      </c>
      <c r="B322" s="81" t="s">
        <v>1924</v>
      </c>
      <c r="C322" s="81" t="s">
        <v>4600</v>
      </c>
      <c r="D322" s="81" t="s">
        <v>3623</v>
      </c>
      <c r="E322" s="81">
        <v>271</v>
      </c>
      <c r="F322" s="81" t="s">
        <v>15</v>
      </c>
      <c r="G322" s="81" t="s">
        <v>2964</v>
      </c>
      <c r="H322" s="81" t="s">
        <v>4599</v>
      </c>
      <c r="I322" s="81" t="s">
        <v>4598</v>
      </c>
      <c r="J322" s="81" t="s">
        <v>2870</v>
      </c>
      <c r="K322" s="81" t="s">
        <v>2870</v>
      </c>
    </row>
    <row r="323" spans="1:11">
      <c r="A323" s="81" t="s">
        <v>188</v>
      </c>
      <c r="B323" s="81" t="s">
        <v>1965</v>
      </c>
      <c r="C323" s="81" t="s">
        <v>189</v>
      </c>
      <c r="D323" s="81" t="s">
        <v>188</v>
      </c>
      <c r="E323" s="81">
        <v>162</v>
      </c>
      <c r="F323" s="81" t="s">
        <v>15</v>
      </c>
      <c r="G323" s="81" t="s">
        <v>4530</v>
      </c>
      <c r="H323" s="81" t="s">
        <v>189</v>
      </c>
      <c r="I323" s="81" t="s">
        <v>4597</v>
      </c>
      <c r="J323" s="81" t="s">
        <v>2870</v>
      </c>
      <c r="K323" s="81" t="s">
        <v>188</v>
      </c>
    </row>
    <row r="324" spans="1:11" ht="17">
      <c r="A324" s="81" t="s">
        <v>190</v>
      </c>
      <c r="B324" s="81" t="s">
        <v>1984</v>
      </c>
      <c r="C324" s="81" t="s">
        <v>4596</v>
      </c>
      <c r="D324" s="81" t="s">
        <v>190</v>
      </c>
      <c r="E324" s="81">
        <v>323</v>
      </c>
      <c r="F324" s="81" t="s">
        <v>15</v>
      </c>
      <c r="G324" s="81" t="s">
        <v>3137</v>
      </c>
      <c r="H324" s="81" t="s">
        <v>4580</v>
      </c>
      <c r="I324" s="81" t="s">
        <v>4595</v>
      </c>
      <c r="J324" s="81" t="s">
        <v>2870</v>
      </c>
      <c r="K324" s="81" t="s">
        <v>190</v>
      </c>
    </row>
    <row r="325" spans="1:11" ht="17">
      <c r="A325" s="81" t="s">
        <v>192</v>
      </c>
      <c r="B325" s="81" t="s">
        <v>1997</v>
      </c>
      <c r="C325" s="81" t="s">
        <v>4594</v>
      </c>
      <c r="D325" s="81" t="s">
        <v>192</v>
      </c>
      <c r="E325" s="81">
        <v>325</v>
      </c>
      <c r="F325" s="81" t="s">
        <v>15</v>
      </c>
      <c r="G325" s="81" t="s">
        <v>3137</v>
      </c>
      <c r="H325" s="81" t="s">
        <v>4580</v>
      </c>
      <c r="I325" s="81" t="s">
        <v>4593</v>
      </c>
      <c r="J325" s="81" t="s">
        <v>2870</v>
      </c>
      <c r="K325" s="81" t="s">
        <v>192</v>
      </c>
    </row>
    <row r="326" spans="1:11" ht="17">
      <c r="A326" s="81" t="s">
        <v>193</v>
      </c>
      <c r="B326" s="81" t="s">
        <v>1999</v>
      </c>
      <c r="C326" s="81" t="s">
        <v>4592</v>
      </c>
      <c r="D326" s="81" t="s">
        <v>193</v>
      </c>
      <c r="E326" s="81">
        <v>326</v>
      </c>
      <c r="F326" s="81" t="s">
        <v>15</v>
      </c>
      <c r="G326" s="81" t="s">
        <v>3137</v>
      </c>
      <c r="H326" s="81" t="s">
        <v>4580</v>
      </c>
      <c r="I326" s="81" t="s">
        <v>4591</v>
      </c>
      <c r="J326" s="81" t="s">
        <v>2870</v>
      </c>
      <c r="K326" s="81" t="s">
        <v>193</v>
      </c>
    </row>
    <row r="327" spans="1:11">
      <c r="A327" s="81" t="s">
        <v>4232</v>
      </c>
      <c r="B327" s="81" t="s">
        <v>4233</v>
      </c>
      <c r="C327" s="81" t="s">
        <v>4232</v>
      </c>
      <c r="D327" s="81" t="s">
        <v>4232</v>
      </c>
      <c r="E327" s="81">
        <v>164</v>
      </c>
      <c r="F327" s="81" t="s">
        <v>15</v>
      </c>
      <c r="G327" s="81" t="s">
        <v>3252</v>
      </c>
      <c r="H327" s="81" t="s">
        <v>4491</v>
      </c>
      <c r="I327" s="81" t="s">
        <v>4590</v>
      </c>
      <c r="J327" s="81" t="s">
        <v>2870</v>
      </c>
      <c r="K327" s="81" t="s">
        <v>2870</v>
      </c>
    </row>
    <row r="328" spans="1:11" ht="17">
      <c r="A328" s="81" t="s">
        <v>100</v>
      </c>
      <c r="B328" s="81" t="s">
        <v>2001</v>
      </c>
      <c r="C328" s="81" t="s">
        <v>4589</v>
      </c>
      <c r="D328" s="81" t="s">
        <v>100</v>
      </c>
      <c r="E328" s="81">
        <v>165</v>
      </c>
      <c r="F328" s="81" t="s">
        <v>15</v>
      </c>
      <c r="G328" s="81" t="s">
        <v>3252</v>
      </c>
      <c r="H328" s="81" t="s">
        <v>4491</v>
      </c>
      <c r="I328" s="81" t="s">
        <v>4588</v>
      </c>
      <c r="J328" s="81" t="s">
        <v>2870</v>
      </c>
      <c r="K328" s="81" t="s">
        <v>4231</v>
      </c>
    </row>
    <row r="329" spans="1:11" ht="17">
      <c r="A329" s="81" t="s">
        <v>194</v>
      </c>
      <c r="B329" s="81" t="s">
        <v>2003</v>
      </c>
      <c r="C329" s="81" t="s">
        <v>4587</v>
      </c>
      <c r="D329" s="81" t="s">
        <v>194</v>
      </c>
      <c r="E329" s="81">
        <v>327</v>
      </c>
      <c r="F329" s="81" t="s">
        <v>15</v>
      </c>
      <c r="G329" s="81" t="s">
        <v>3137</v>
      </c>
      <c r="H329" s="81" t="s">
        <v>4580</v>
      </c>
      <c r="I329" s="81" t="s">
        <v>4586</v>
      </c>
      <c r="J329" s="81" t="s">
        <v>2870</v>
      </c>
      <c r="K329" s="81" t="s">
        <v>3536</v>
      </c>
    </row>
    <row r="330" spans="1:11" ht="17">
      <c r="A330" s="81" t="s">
        <v>195</v>
      </c>
      <c r="B330" s="81" t="s">
        <v>2005</v>
      </c>
      <c r="C330" s="81" t="s">
        <v>4585</v>
      </c>
      <c r="D330" s="81" t="s">
        <v>195</v>
      </c>
      <c r="E330" s="81">
        <v>328</v>
      </c>
      <c r="F330" s="81" t="s">
        <v>15</v>
      </c>
      <c r="G330" s="81" t="s">
        <v>3137</v>
      </c>
      <c r="H330" s="81" t="s">
        <v>4580</v>
      </c>
      <c r="I330" s="81" t="s">
        <v>4584</v>
      </c>
      <c r="J330" s="81" t="s">
        <v>2870</v>
      </c>
      <c r="K330" s="81" t="s">
        <v>4380</v>
      </c>
    </row>
    <row r="331" spans="1:11" ht="17">
      <c r="A331" s="81" t="s">
        <v>196</v>
      </c>
      <c r="B331" s="81" t="s">
        <v>2007</v>
      </c>
      <c r="C331" s="81" t="s">
        <v>4583</v>
      </c>
      <c r="D331" s="81" t="s">
        <v>196</v>
      </c>
      <c r="E331" s="81">
        <v>329</v>
      </c>
      <c r="F331" s="81" t="s">
        <v>15</v>
      </c>
      <c r="G331" s="81" t="s">
        <v>3137</v>
      </c>
      <c r="H331" s="81" t="s">
        <v>4580</v>
      </c>
      <c r="I331" s="81" t="s">
        <v>4582</v>
      </c>
      <c r="J331" s="81" t="s">
        <v>2870</v>
      </c>
      <c r="K331" s="81" t="s">
        <v>3534</v>
      </c>
    </row>
    <row r="332" spans="1:11" ht="17">
      <c r="A332" s="81" t="s">
        <v>197</v>
      </c>
      <c r="B332" s="81" t="s">
        <v>2009</v>
      </c>
      <c r="C332" s="81" t="s">
        <v>4581</v>
      </c>
      <c r="D332" s="81" t="s">
        <v>197</v>
      </c>
      <c r="E332" s="81">
        <v>330</v>
      </c>
      <c r="F332" s="81" t="s">
        <v>15</v>
      </c>
      <c r="G332" s="81" t="s">
        <v>3137</v>
      </c>
      <c r="H332" s="81" t="s">
        <v>4580</v>
      </c>
      <c r="I332" s="81" t="s">
        <v>4579</v>
      </c>
      <c r="J332" s="81" t="s">
        <v>2870</v>
      </c>
      <c r="K332" s="81" t="s">
        <v>3567</v>
      </c>
    </row>
    <row r="333" spans="1:11" ht="17">
      <c r="A333" s="81" t="s">
        <v>231</v>
      </c>
      <c r="B333" s="81" t="s">
        <v>2021</v>
      </c>
      <c r="C333" s="81" t="s">
        <v>4578</v>
      </c>
      <c r="D333" s="81" t="s">
        <v>231</v>
      </c>
      <c r="E333" s="81">
        <v>370</v>
      </c>
      <c r="F333" s="81" t="s">
        <v>53</v>
      </c>
      <c r="G333" s="81" t="s">
        <v>44</v>
      </c>
      <c r="H333" s="81" t="s">
        <v>4467</v>
      </c>
      <c r="I333" s="81" t="s">
        <v>4577</v>
      </c>
      <c r="J333" s="81" t="s">
        <v>2870</v>
      </c>
      <c r="K333" s="81" t="s">
        <v>3410</v>
      </c>
    </row>
    <row r="334" spans="1:11">
      <c r="A334" s="81" t="s">
        <v>212</v>
      </c>
      <c r="B334" s="81" t="s">
        <v>2040</v>
      </c>
      <c r="C334" s="81" t="s">
        <v>212</v>
      </c>
      <c r="D334" s="81" t="s">
        <v>212</v>
      </c>
      <c r="E334" s="81">
        <v>349</v>
      </c>
      <c r="F334" s="81" t="s">
        <v>15</v>
      </c>
      <c r="G334" s="81" t="s">
        <v>44</v>
      </c>
      <c r="H334" s="81" t="s">
        <v>4575</v>
      </c>
      <c r="I334" s="81" t="s">
        <v>4576</v>
      </c>
      <c r="J334" s="81" t="s">
        <v>2870</v>
      </c>
      <c r="K334" s="81" t="s">
        <v>4395</v>
      </c>
    </row>
    <row r="335" spans="1:11">
      <c r="A335" s="81" t="s">
        <v>213</v>
      </c>
      <c r="B335" s="81" t="s">
        <v>2041</v>
      </c>
      <c r="C335" s="81" t="s">
        <v>213</v>
      </c>
      <c r="D335" s="81" t="s">
        <v>213</v>
      </c>
      <c r="E335" s="81">
        <v>350</v>
      </c>
      <c r="F335" s="81" t="s">
        <v>15</v>
      </c>
      <c r="G335" s="81" t="s">
        <v>44</v>
      </c>
      <c r="H335" s="81" t="s">
        <v>4575</v>
      </c>
      <c r="I335" s="81" t="s">
        <v>4574</v>
      </c>
      <c r="J335" s="81" t="s">
        <v>2870</v>
      </c>
      <c r="K335" s="81" t="s">
        <v>4394</v>
      </c>
    </row>
    <row r="336" spans="1:11" ht="17">
      <c r="A336" s="81" t="s">
        <v>202</v>
      </c>
      <c r="B336" s="81" t="s">
        <v>2042</v>
      </c>
      <c r="C336" s="81" t="s">
        <v>4573</v>
      </c>
      <c r="D336" s="81" t="s">
        <v>202</v>
      </c>
      <c r="E336" s="81">
        <v>338</v>
      </c>
      <c r="F336" s="81" t="s">
        <v>15</v>
      </c>
      <c r="G336" s="81" t="s">
        <v>2964</v>
      </c>
      <c r="H336" s="81" t="s">
        <v>4510</v>
      </c>
      <c r="I336" s="81" t="s">
        <v>4572</v>
      </c>
      <c r="J336" s="81" t="s">
        <v>2870</v>
      </c>
      <c r="K336" s="81" t="s">
        <v>2975</v>
      </c>
    </row>
    <row r="337" spans="1:11" ht="17">
      <c r="A337" s="81" t="s">
        <v>3573</v>
      </c>
      <c r="B337" s="81" t="s">
        <v>2079</v>
      </c>
      <c r="C337" s="81" t="s">
        <v>4571</v>
      </c>
      <c r="D337" s="81" t="s">
        <v>3573</v>
      </c>
      <c r="E337" s="81">
        <v>339</v>
      </c>
      <c r="F337" s="81" t="s">
        <v>15</v>
      </c>
      <c r="G337" s="81" t="s">
        <v>2964</v>
      </c>
      <c r="H337" s="81" t="s">
        <v>4510</v>
      </c>
      <c r="I337" s="81" t="s">
        <v>4570</v>
      </c>
      <c r="J337" s="81" t="s">
        <v>2870</v>
      </c>
      <c r="K337" s="81" t="s">
        <v>2870</v>
      </c>
    </row>
    <row r="338" spans="1:11">
      <c r="A338" s="81" t="s">
        <v>208</v>
      </c>
      <c r="B338" s="81" t="s">
        <v>2090</v>
      </c>
      <c r="C338" s="81" t="s">
        <v>2546</v>
      </c>
      <c r="D338" s="81" t="s">
        <v>208</v>
      </c>
      <c r="E338" s="81">
        <v>345</v>
      </c>
      <c r="F338" s="81" t="s">
        <v>15</v>
      </c>
      <c r="G338" s="81" t="s">
        <v>2964</v>
      </c>
      <c r="H338" s="81" t="s">
        <v>4510</v>
      </c>
      <c r="I338" s="81" t="s">
        <v>4569</v>
      </c>
      <c r="J338" s="81" t="s">
        <v>2870</v>
      </c>
      <c r="K338" s="81" t="s">
        <v>3561</v>
      </c>
    </row>
    <row r="339" spans="1:11" ht="17">
      <c r="A339" s="81" t="s">
        <v>3656</v>
      </c>
      <c r="B339" s="81" t="s">
        <v>2092</v>
      </c>
      <c r="C339" s="81" t="s">
        <v>4568</v>
      </c>
      <c r="D339" s="81" t="s">
        <v>3656</v>
      </c>
      <c r="E339" s="81">
        <v>335</v>
      </c>
      <c r="F339" s="81" t="s">
        <v>15</v>
      </c>
      <c r="G339" s="81" t="s">
        <v>2993</v>
      </c>
      <c r="H339" s="81" t="s">
        <v>4565</v>
      </c>
      <c r="I339" s="81" t="s">
        <v>4567</v>
      </c>
      <c r="J339" s="81" t="s">
        <v>2870</v>
      </c>
      <c r="K339" s="81" t="s">
        <v>2870</v>
      </c>
    </row>
    <row r="340" spans="1:11" ht="17">
      <c r="A340" s="81" t="s">
        <v>3652</v>
      </c>
      <c r="B340" s="81" t="s">
        <v>2100</v>
      </c>
      <c r="C340" s="81" t="s">
        <v>4566</v>
      </c>
      <c r="D340" s="81" t="s">
        <v>3652</v>
      </c>
      <c r="E340" s="81">
        <v>336</v>
      </c>
      <c r="F340" s="81" t="s">
        <v>15</v>
      </c>
      <c r="G340" s="81" t="s">
        <v>2993</v>
      </c>
      <c r="H340" s="81" t="s">
        <v>4565</v>
      </c>
      <c r="I340" s="81" t="s">
        <v>4564</v>
      </c>
      <c r="J340" s="81" t="s">
        <v>2870</v>
      </c>
      <c r="K340" s="81" t="s">
        <v>2870</v>
      </c>
    </row>
    <row r="341" spans="1:11">
      <c r="A341" s="81" t="s">
        <v>201</v>
      </c>
      <c r="B341" s="81" t="s">
        <v>2102</v>
      </c>
      <c r="C341" s="81" t="s">
        <v>2545</v>
      </c>
      <c r="D341" s="81" t="s">
        <v>201</v>
      </c>
      <c r="E341" s="81">
        <v>337</v>
      </c>
      <c r="F341" s="81" t="s">
        <v>15</v>
      </c>
      <c r="G341" s="81" t="s">
        <v>44</v>
      </c>
      <c r="H341" s="81" t="s">
        <v>4563</v>
      </c>
      <c r="I341" s="81" t="s">
        <v>4562</v>
      </c>
      <c r="J341" s="81" t="s">
        <v>2870</v>
      </c>
      <c r="K341" s="81" t="s">
        <v>201</v>
      </c>
    </row>
    <row r="342" spans="1:11">
      <c r="A342" s="81" t="s">
        <v>102</v>
      </c>
      <c r="B342" s="81" t="s">
        <v>3465</v>
      </c>
      <c r="C342" s="81" t="s">
        <v>102</v>
      </c>
      <c r="D342" s="81" t="s">
        <v>101</v>
      </c>
      <c r="E342" s="81">
        <v>113</v>
      </c>
      <c r="F342" s="81" t="s">
        <v>15</v>
      </c>
      <c r="G342" s="81" t="s">
        <v>3252</v>
      </c>
      <c r="H342" s="81" t="s">
        <v>4491</v>
      </c>
      <c r="I342" s="81" t="s">
        <v>4561</v>
      </c>
      <c r="J342" s="81" t="s">
        <v>102</v>
      </c>
      <c r="K342" s="81" t="s">
        <v>2870</v>
      </c>
    </row>
    <row r="343" spans="1:11">
      <c r="A343" s="81" t="s">
        <v>200</v>
      </c>
      <c r="B343" s="81" t="s">
        <v>2109</v>
      </c>
      <c r="C343" s="81" t="s">
        <v>2111</v>
      </c>
      <c r="D343" s="81" t="s">
        <v>200</v>
      </c>
      <c r="E343" s="81">
        <v>334</v>
      </c>
      <c r="F343" s="81" t="s">
        <v>15</v>
      </c>
      <c r="G343" s="81" t="s">
        <v>2964</v>
      </c>
      <c r="H343" s="81" t="s">
        <v>4560</v>
      </c>
      <c r="I343" s="81" t="s">
        <v>4559</v>
      </c>
      <c r="J343" s="81" t="s">
        <v>2870</v>
      </c>
      <c r="K343" s="81" t="s">
        <v>200</v>
      </c>
    </row>
    <row r="344" spans="1:11">
      <c r="A344" s="81" t="s">
        <v>199</v>
      </c>
      <c r="B344" s="81" t="s">
        <v>2131</v>
      </c>
      <c r="C344" s="81" t="s">
        <v>2543</v>
      </c>
      <c r="D344" s="81" t="s">
        <v>199</v>
      </c>
      <c r="E344" s="81">
        <v>332</v>
      </c>
      <c r="F344" s="81" t="s">
        <v>53</v>
      </c>
      <c r="G344" s="81" t="s">
        <v>44</v>
      </c>
      <c r="H344" s="81" t="s">
        <v>4558</v>
      </c>
      <c r="I344" s="81" t="s">
        <v>4557</v>
      </c>
      <c r="J344" s="81" t="s">
        <v>2870</v>
      </c>
      <c r="K344" s="81" t="s">
        <v>199</v>
      </c>
    </row>
    <row r="345" spans="1:11">
      <c r="A345" s="81" t="s">
        <v>3743</v>
      </c>
      <c r="B345" s="81" t="s">
        <v>2135</v>
      </c>
      <c r="C345" s="81" t="s">
        <v>4556</v>
      </c>
      <c r="D345" s="81" t="s">
        <v>3743</v>
      </c>
      <c r="E345" s="81">
        <v>333</v>
      </c>
      <c r="F345" s="81" t="s">
        <v>15</v>
      </c>
      <c r="G345" s="81" t="s">
        <v>44</v>
      </c>
      <c r="H345" s="81" t="s">
        <v>4555</v>
      </c>
      <c r="I345" s="81" t="s">
        <v>4554</v>
      </c>
      <c r="J345" s="81" t="s">
        <v>2870</v>
      </c>
      <c r="K345" s="81" t="s">
        <v>2870</v>
      </c>
    </row>
    <row r="346" spans="1:11">
      <c r="A346" s="81" t="s">
        <v>4071</v>
      </c>
      <c r="B346" s="81" t="s">
        <v>4070</v>
      </c>
      <c r="C346" s="81" t="s">
        <v>4069</v>
      </c>
      <c r="D346" s="81" t="s">
        <v>4071</v>
      </c>
      <c r="E346" s="81">
        <v>258</v>
      </c>
      <c r="F346" s="81" t="s">
        <v>57</v>
      </c>
      <c r="G346" s="81" t="s">
        <v>3252</v>
      </c>
      <c r="H346" s="81" t="s">
        <v>4553</v>
      </c>
      <c r="I346" s="81" t="s">
        <v>4552</v>
      </c>
      <c r="J346" s="81" t="s">
        <v>2870</v>
      </c>
      <c r="K346" s="81" t="s">
        <v>2870</v>
      </c>
    </row>
    <row r="347" spans="1:11">
      <c r="A347" s="81" t="s">
        <v>3733</v>
      </c>
      <c r="B347" s="81" t="s">
        <v>2139</v>
      </c>
      <c r="C347" s="81" t="s">
        <v>2140</v>
      </c>
      <c r="D347" s="81" t="s">
        <v>3733</v>
      </c>
      <c r="E347" s="81">
        <v>353</v>
      </c>
      <c r="F347" s="81" t="s">
        <v>15</v>
      </c>
      <c r="G347" s="81" t="s">
        <v>44</v>
      </c>
      <c r="H347" s="81" t="s">
        <v>4548</v>
      </c>
      <c r="I347" s="81" t="s">
        <v>4551</v>
      </c>
      <c r="J347" s="81" t="s">
        <v>2870</v>
      </c>
      <c r="K347" s="81" t="s">
        <v>2870</v>
      </c>
    </row>
    <row r="348" spans="1:11">
      <c r="A348" s="81" t="s">
        <v>3730</v>
      </c>
      <c r="B348" s="81" t="s">
        <v>2151</v>
      </c>
      <c r="C348" s="81" t="s">
        <v>2152</v>
      </c>
      <c r="D348" s="81" t="s">
        <v>3730</v>
      </c>
      <c r="E348" s="81">
        <v>354</v>
      </c>
      <c r="F348" s="81" t="s">
        <v>15</v>
      </c>
      <c r="G348" s="81" t="s">
        <v>44</v>
      </c>
      <c r="H348" s="81" t="s">
        <v>4548</v>
      </c>
      <c r="I348" s="81" t="s">
        <v>4550</v>
      </c>
      <c r="J348" s="81" t="s">
        <v>2870</v>
      </c>
      <c r="K348" s="81" t="s">
        <v>2870</v>
      </c>
    </row>
    <row r="349" spans="1:11">
      <c r="A349" s="81" t="s">
        <v>214</v>
      </c>
      <c r="B349" s="81" t="s">
        <v>2153</v>
      </c>
      <c r="C349" s="81" t="s">
        <v>214</v>
      </c>
      <c r="D349" s="81" t="s">
        <v>214</v>
      </c>
      <c r="E349" s="81">
        <v>351</v>
      </c>
      <c r="F349" s="81" t="s">
        <v>15</v>
      </c>
      <c r="G349" s="81" t="s">
        <v>44</v>
      </c>
      <c r="H349" s="81" t="s">
        <v>4548</v>
      </c>
      <c r="I349" s="81" t="s">
        <v>4549</v>
      </c>
      <c r="J349" s="81" t="s">
        <v>2870</v>
      </c>
      <c r="K349" s="81" t="s">
        <v>2870</v>
      </c>
    </row>
    <row r="350" spans="1:11">
      <c r="A350" s="81" t="s">
        <v>215</v>
      </c>
      <c r="B350" s="81" t="s">
        <v>2156</v>
      </c>
      <c r="C350" s="81" t="s">
        <v>215</v>
      </c>
      <c r="D350" s="81" t="s">
        <v>215</v>
      </c>
      <c r="E350" s="81">
        <v>352</v>
      </c>
      <c r="F350" s="81" t="s">
        <v>15</v>
      </c>
      <c r="G350" s="81" t="s">
        <v>44</v>
      </c>
      <c r="H350" s="81" t="s">
        <v>4548</v>
      </c>
      <c r="I350" s="81" t="s">
        <v>4547</v>
      </c>
      <c r="J350" s="81" t="s">
        <v>2870</v>
      </c>
      <c r="K350" s="81" t="s">
        <v>2870</v>
      </c>
    </row>
    <row r="351" spans="1:11" ht="17">
      <c r="A351" s="81" t="s">
        <v>155</v>
      </c>
      <c r="B351" s="81" t="s">
        <v>2166</v>
      </c>
      <c r="C351" s="81" t="s">
        <v>4546</v>
      </c>
      <c r="D351" s="81" t="s">
        <v>155</v>
      </c>
      <c r="E351" s="81">
        <v>276</v>
      </c>
      <c r="F351" s="81" t="s">
        <v>15</v>
      </c>
      <c r="G351" s="81" t="s">
        <v>2964</v>
      </c>
      <c r="H351" s="81" t="s">
        <v>4539</v>
      </c>
      <c r="I351" s="81" t="s">
        <v>4545</v>
      </c>
      <c r="J351" s="81" t="s">
        <v>2870</v>
      </c>
      <c r="K351" s="81" t="s">
        <v>155</v>
      </c>
    </row>
    <row r="352" spans="1:11" ht="17">
      <c r="A352" s="81" t="s">
        <v>156</v>
      </c>
      <c r="B352" s="81" t="s">
        <v>2168</v>
      </c>
      <c r="C352" s="81" t="s">
        <v>4544</v>
      </c>
      <c r="D352" s="81" t="s">
        <v>156</v>
      </c>
      <c r="E352" s="81">
        <v>277</v>
      </c>
      <c r="F352" s="81" t="s">
        <v>15</v>
      </c>
      <c r="G352" s="81" t="s">
        <v>2964</v>
      </c>
      <c r="H352" s="81" t="s">
        <v>4539</v>
      </c>
      <c r="I352" s="81" t="s">
        <v>4543</v>
      </c>
      <c r="J352" s="81" t="s">
        <v>2870</v>
      </c>
      <c r="K352" s="81" t="s">
        <v>156</v>
      </c>
    </row>
    <row r="353" spans="1:11" ht="17">
      <c r="A353" s="81" t="s">
        <v>3596</v>
      </c>
      <c r="B353" s="81" t="s">
        <v>2170</v>
      </c>
      <c r="C353" s="81" t="s">
        <v>4542</v>
      </c>
      <c r="D353" s="81" t="s">
        <v>3596</v>
      </c>
      <c r="E353" s="81">
        <v>278</v>
      </c>
      <c r="F353" s="81" t="s">
        <v>15</v>
      </c>
      <c r="G353" s="81" t="s">
        <v>2964</v>
      </c>
      <c r="H353" s="81" t="s">
        <v>4539</v>
      </c>
      <c r="I353" s="81" t="s">
        <v>4541</v>
      </c>
      <c r="J353" s="81" t="s">
        <v>2870</v>
      </c>
      <c r="K353" s="81" t="s">
        <v>2870</v>
      </c>
    </row>
    <row r="354" spans="1:11" ht="17">
      <c r="A354" s="81" t="s">
        <v>157</v>
      </c>
      <c r="B354" s="81" t="s">
        <v>2172</v>
      </c>
      <c r="C354" s="81" t="s">
        <v>4540</v>
      </c>
      <c r="D354" s="81" t="s">
        <v>157</v>
      </c>
      <c r="E354" s="81">
        <v>279</v>
      </c>
      <c r="F354" s="81" t="s">
        <v>15</v>
      </c>
      <c r="G354" s="81" t="s">
        <v>2964</v>
      </c>
      <c r="H354" s="81" t="s">
        <v>4539</v>
      </c>
      <c r="I354" s="81" t="s">
        <v>4538</v>
      </c>
      <c r="J354" s="81" t="s">
        <v>2870</v>
      </c>
      <c r="K354" s="81" t="s">
        <v>157</v>
      </c>
    </row>
    <row r="355" spans="1:11">
      <c r="A355" s="81" t="s">
        <v>2926</v>
      </c>
      <c r="B355" s="81" t="s">
        <v>2174</v>
      </c>
      <c r="C355" s="81" t="s">
        <v>2925</v>
      </c>
      <c r="D355" s="81" t="s">
        <v>2926</v>
      </c>
      <c r="E355" s="81">
        <v>252</v>
      </c>
      <c r="F355" s="81" t="s">
        <v>53</v>
      </c>
      <c r="G355" s="81" t="s">
        <v>44</v>
      </c>
      <c r="H355" s="81" t="s">
        <v>4537</v>
      </c>
      <c r="I355" s="81" t="s">
        <v>2175</v>
      </c>
      <c r="J355" s="81" t="s">
        <v>2870</v>
      </c>
      <c r="K355" s="81" t="s">
        <v>2870</v>
      </c>
    </row>
    <row r="356" spans="1:11">
      <c r="A356" s="81" t="s">
        <v>3291</v>
      </c>
      <c r="B356" s="81" t="s">
        <v>3292</v>
      </c>
      <c r="C356" s="81" t="s">
        <v>3291</v>
      </c>
      <c r="D356" s="81" t="s">
        <v>3291</v>
      </c>
      <c r="E356" s="81">
        <v>239</v>
      </c>
      <c r="F356" s="81" t="s">
        <v>4536</v>
      </c>
      <c r="G356" s="81" t="s">
        <v>2993</v>
      </c>
      <c r="H356" s="81" t="s">
        <v>3287</v>
      </c>
      <c r="I356" s="81" t="s">
        <v>4535</v>
      </c>
      <c r="J356" s="81" t="s">
        <v>2870</v>
      </c>
      <c r="K356" s="81" t="s">
        <v>2870</v>
      </c>
    </row>
    <row r="357" spans="1:11">
      <c r="A357" s="81" t="s">
        <v>216</v>
      </c>
      <c r="B357" s="81" t="s">
        <v>2180</v>
      </c>
      <c r="C357" s="81" t="s">
        <v>2542</v>
      </c>
      <c r="D357" s="81" t="s">
        <v>216</v>
      </c>
      <c r="E357" s="81">
        <v>355</v>
      </c>
      <c r="F357" s="81" t="s">
        <v>15</v>
      </c>
      <c r="G357" s="81" t="s">
        <v>44</v>
      </c>
      <c r="H357" s="81" t="s">
        <v>217</v>
      </c>
      <c r="I357" s="81" t="s">
        <v>4534</v>
      </c>
      <c r="J357" s="81" t="s">
        <v>2870</v>
      </c>
      <c r="K357" s="81" t="s">
        <v>3012</v>
      </c>
    </row>
    <row r="358" spans="1:11">
      <c r="A358" s="81" t="s">
        <v>219</v>
      </c>
      <c r="B358" s="81" t="s">
        <v>2194</v>
      </c>
      <c r="C358" s="81" t="s">
        <v>2540</v>
      </c>
      <c r="D358" s="81" t="s">
        <v>219</v>
      </c>
      <c r="E358" s="81">
        <v>357</v>
      </c>
      <c r="F358" s="81" t="s">
        <v>15</v>
      </c>
      <c r="G358" s="81" t="s">
        <v>44</v>
      </c>
      <c r="H358" s="81" t="s">
        <v>217</v>
      </c>
      <c r="I358" s="81" t="s">
        <v>4533</v>
      </c>
      <c r="J358" s="81" t="s">
        <v>2870</v>
      </c>
      <c r="K358" s="81" t="s">
        <v>3007</v>
      </c>
    </row>
    <row r="359" spans="1:11">
      <c r="A359" s="81" t="s">
        <v>220</v>
      </c>
      <c r="B359" s="81" t="s">
        <v>2196</v>
      </c>
      <c r="C359" s="81" t="s">
        <v>2539</v>
      </c>
      <c r="D359" s="81" t="s">
        <v>220</v>
      </c>
      <c r="E359" s="81">
        <v>358</v>
      </c>
      <c r="F359" s="81" t="s">
        <v>15</v>
      </c>
      <c r="G359" s="81" t="s">
        <v>44</v>
      </c>
      <c r="H359" s="81" t="s">
        <v>217</v>
      </c>
      <c r="I359" s="81" t="s">
        <v>4532</v>
      </c>
      <c r="J359" s="81" t="s">
        <v>2870</v>
      </c>
      <c r="K359" s="81" t="s">
        <v>3004</v>
      </c>
    </row>
    <row r="360" spans="1:11">
      <c r="A360" s="81" t="s">
        <v>221</v>
      </c>
      <c r="B360" s="81" t="s">
        <v>2198</v>
      </c>
      <c r="C360" s="81" t="s">
        <v>2538</v>
      </c>
      <c r="D360" s="81" t="s">
        <v>221</v>
      </c>
      <c r="E360" s="81">
        <v>359</v>
      </c>
      <c r="F360" s="81" t="s">
        <v>15</v>
      </c>
      <c r="G360" s="81" t="s">
        <v>44</v>
      </c>
      <c r="H360" s="81" t="s">
        <v>217</v>
      </c>
      <c r="I360" s="81" t="s">
        <v>4531</v>
      </c>
      <c r="J360" s="81" t="s">
        <v>2870</v>
      </c>
      <c r="K360" s="81" t="s">
        <v>3002</v>
      </c>
    </row>
    <row r="361" spans="1:11">
      <c r="A361" s="81" t="s">
        <v>3511</v>
      </c>
      <c r="B361" s="81" t="s">
        <v>2200</v>
      </c>
      <c r="C361" s="81" t="s">
        <v>2955</v>
      </c>
      <c r="D361" s="81" t="s">
        <v>3511</v>
      </c>
      <c r="E361" s="81">
        <v>166</v>
      </c>
      <c r="F361" s="81" t="s">
        <v>15</v>
      </c>
      <c r="G361" s="81" t="s">
        <v>4530</v>
      </c>
      <c r="H361" s="81" t="s">
        <v>2955</v>
      </c>
      <c r="I361" s="81" t="s">
        <v>4529</v>
      </c>
      <c r="J361" s="81" t="s">
        <v>2870</v>
      </c>
      <c r="K361" s="81" t="s">
        <v>2870</v>
      </c>
    </row>
    <row r="362" spans="1:11">
      <c r="A362" s="81" t="s">
        <v>4048</v>
      </c>
      <c r="B362" s="81" t="s">
        <v>4047</v>
      </c>
      <c r="C362" s="81" t="s">
        <v>4046</v>
      </c>
      <c r="D362" s="81" t="s">
        <v>4048</v>
      </c>
      <c r="E362" s="81">
        <v>666</v>
      </c>
      <c r="F362" s="81" t="s">
        <v>4502</v>
      </c>
      <c r="G362" s="81" t="s">
        <v>4481</v>
      </c>
      <c r="H362" s="81" t="s">
        <v>4501</v>
      </c>
      <c r="I362" s="81" t="s">
        <v>4528</v>
      </c>
      <c r="J362" s="81" t="s">
        <v>2870</v>
      </c>
      <c r="K362" s="81" t="s">
        <v>2870</v>
      </c>
    </row>
    <row r="363" spans="1:11">
      <c r="A363" s="81" t="s">
        <v>4027</v>
      </c>
      <c r="B363" s="81" t="s">
        <v>4026</v>
      </c>
      <c r="C363" s="81" t="s">
        <v>4025</v>
      </c>
      <c r="D363" s="81" t="s">
        <v>4027</v>
      </c>
      <c r="E363" s="81">
        <v>667</v>
      </c>
      <c r="F363" s="81" t="s">
        <v>4502</v>
      </c>
      <c r="G363" s="81" t="s">
        <v>4481</v>
      </c>
      <c r="H363" s="81" t="s">
        <v>4501</v>
      </c>
      <c r="I363" s="81" t="s">
        <v>4527</v>
      </c>
      <c r="J363" s="81" t="s">
        <v>2870</v>
      </c>
      <c r="K363" s="81" t="s">
        <v>2870</v>
      </c>
    </row>
    <row r="364" spans="1:11">
      <c r="A364" s="81" t="s">
        <v>4024</v>
      </c>
      <c r="B364" s="81" t="s">
        <v>4023</v>
      </c>
      <c r="C364" s="81" t="s">
        <v>4022</v>
      </c>
      <c r="D364" s="81" t="s">
        <v>4024</v>
      </c>
      <c r="E364" s="81">
        <v>668</v>
      </c>
      <c r="F364" s="81" t="s">
        <v>4502</v>
      </c>
      <c r="G364" s="81" t="s">
        <v>4481</v>
      </c>
      <c r="H364" s="81" t="s">
        <v>4501</v>
      </c>
      <c r="I364" s="81" t="s">
        <v>4526</v>
      </c>
      <c r="J364" s="81" t="s">
        <v>2870</v>
      </c>
      <c r="K364" s="81" t="s">
        <v>2870</v>
      </c>
    </row>
    <row r="365" spans="1:11">
      <c r="A365" s="81" t="s">
        <v>4021</v>
      </c>
      <c r="B365" s="81" t="s">
        <v>4020</v>
      </c>
      <c r="C365" s="81" t="s">
        <v>4019</v>
      </c>
      <c r="D365" s="81" t="s">
        <v>4021</v>
      </c>
      <c r="E365" s="81">
        <v>669</v>
      </c>
      <c r="F365" s="81" t="s">
        <v>4502</v>
      </c>
      <c r="G365" s="81" t="s">
        <v>4481</v>
      </c>
      <c r="H365" s="81" t="s">
        <v>4501</v>
      </c>
      <c r="I365" s="81" t="s">
        <v>4525</v>
      </c>
      <c r="J365" s="81" t="s">
        <v>2870</v>
      </c>
      <c r="K365" s="81" t="s">
        <v>2870</v>
      </c>
    </row>
    <row r="366" spans="1:11">
      <c r="A366" s="81" t="s">
        <v>4018</v>
      </c>
      <c r="B366" s="81" t="s">
        <v>4017</v>
      </c>
      <c r="C366" s="81" t="s">
        <v>4016</v>
      </c>
      <c r="D366" s="81" t="s">
        <v>4018</v>
      </c>
      <c r="E366" s="81">
        <v>670</v>
      </c>
      <c r="F366" s="81" t="s">
        <v>4502</v>
      </c>
      <c r="G366" s="81" t="s">
        <v>4481</v>
      </c>
      <c r="H366" s="81" t="s">
        <v>4501</v>
      </c>
      <c r="I366" s="81" t="s">
        <v>4524</v>
      </c>
      <c r="J366" s="81" t="s">
        <v>2870</v>
      </c>
      <c r="K366" s="81" t="s">
        <v>2870</v>
      </c>
    </row>
    <row r="367" spans="1:11">
      <c r="A367" s="81" t="s">
        <v>4014</v>
      </c>
      <c r="B367" s="81" t="s">
        <v>4013</v>
      </c>
      <c r="C367" s="81" t="s">
        <v>4012</v>
      </c>
      <c r="D367" s="81" t="s">
        <v>4014</v>
      </c>
      <c r="E367" s="81">
        <v>671</v>
      </c>
      <c r="F367" s="81" t="s">
        <v>4502</v>
      </c>
      <c r="G367" s="81" t="s">
        <v>4481</v>
      </c>
      <c r="H367" s="81" t="s">
        <v>4501</v>
      </c>
      <c r="I367" s="81" t="s">
        <v>4523</v>
      </c>
      <c r="J367" s="81" t="s">
        <v>2870</v>
      </c>
      <c r="K367" s="81" t="s">
        <v>2870</v>
      </c>
    </row>
    <row r="368" spans="1:11">
      <c r="A368" s="81" t="s">
        <v>4010</v>
      </c>
      <c r="B368" s="81" t="s">
        <v>4009</v>
      </c>
      <c r="C368" s="81" t="s">
        <v>4008</v>
      </c>
      <c r="D368" s="81" t="s">
        <v>4010</v>
      </c>
      <c r="E368" s="81">
        <v>673</v>
      </c>
      <c r="F368" s="81" t="s">
        <v>4502</v>
      </c>
      <c r="G368" s="81" t="s">
        <v>4481</v>
      </c>
      <c r="H368" s="81" t="s">
        <v>4501</v>
      </c>
      <c r="I368" s="81" t="s">
        <v>4522</v>
      </c>
      <c r="J368" s="81" t="s">
        <v>2870</v>
      </c>
      <c r="K368" s="81" t="s">
        <v>2870</v>
      </c>
    </row>
    <row r="369" spans="1:11">
      <c r="A369" s="81" t="s">
        <v>4006</v>
      </c>
      <c r="B369" s="81" t="s">
        <v>4005</v>
      </c>
      <c r="C369" s="81" t="s">
        <v>4004</v>
      </c>
      <c r="D369" s="81" t="s">
        <v>4006</v>
      </c>
      <c r="E369" s="81">
        <v>674</v>
      </c>
      <c r="F369" s="81" t="s">
        <v>4502</v>
      </c>
      <c r="G369" s="81" t="s">
        <v>4481</v>
      </c>
      <c r="H369" s="81" t="s">
        <v>4501</v>
      </c>
      <c r="I369" s="81" t="s">
        <v>4521</v>
      </c>
      <c r="J369" s="81" t="s">
        <v>2870</v>
      </c>
      <c r="K369" s="81" t="s">
        <v>2870</v>
      </c>
    </row>
    <row r="370" spans="1:11">
      <c r="A370" s="81" t="s">
        <v>4002</v>
      </c>
      <c r="B370" s="81" t="s">
        <v>4001</v>
      </c>
      <c r="C370" s="81" t="s">
        <v>4000</v>
      </c>
      <c r="D370" s="81" t="s">
        <v>4002</v>
      </c>
      <c r="E370" s="81">
        <v>682</v>
      </c>
      <c r="F370" s="81" t="s">
        <v>4502</v>
      </c>
      <c r="G370" s="81" t="s">
        <v>4481</v>
      </c>
      <c r="H370" s="81" t="s">
        <v>4501</v>
      </c>
      <c r="I370" s="81" t="s">
        <v>4520</v>
      </c>
      <c r="J370" s="81" t="s">
        <v>2870</v>
      </c>
      <c r="K370" s="81" t="s">
        <v>2870</v>
      </c>
    </row>
    <row r="371" spans="1:11">
      <c r="A371" s="81" t="s">
        <v>3998</v>
      </c>
      <c r="B371" s="81" t="s">
        <v>3997</v>
      </c>
      <c r="C371" s="81" t="s">
        <v>3996</v>
      </c>
      <c r="D371" s="81" t="s">
        <v>3998</v>
      </c>
      <c r="E371" s="81">
        <v>675</v>
      </c>
      <c r="F371" s="81" t="s">
        <v>4502</v>
      </c>
      <c r="G371" s="81" t="s">
        <v>4481</v>
      </c>
      <c r="H371" s="81" t="s">
        <v>4501</v>
      </c>
      <c r="I371" s="81" t="s">
        <v>4519</v>
      </c>
      <c r="J371" s="81" t="s">
        <v>2870</v>
      </c>
      <c r="K371" s="81" t="s">
        <v>2870</v>
      </c>
    </row>
    <row r="372" spans="1:11">
      <c r="A372" s="81" t="s">
        <v>3995</v>
      </c>
      <c r="B372" s="81" t="s">
        <v>3994</v>
      </c>
      <c r="C372" s="81" t="s">
        <v>3993</v>
      </c>
      <c r="D372" s="81" t="s">
        <v>3995</v>
      </c>
      <c r="E372" s="81">
        <v>676</v>
      </c>
      <c r="F372" s="81" t="s">
        <v>4502</v>
      </c>
      <c r="G372" s="81" t="s">
        <v>4481</v>
      </c>
      <c r="H372" s="81" t="s">
        <v>4501</v>
      </c>
      <c r="I372" s="81" t="s">
        <v>4518</v>
      </c>
      <c r="J372" s="81" t="s">
        <v>2870</v>
      </c>
      <c r="K372" s="81" t="s">
        <v>2870</v>
      </c>
    </row>
    <row r="373" spans="1:11">
      <c r="A373" s="81" t="s">
        <v>3991</v>
      </c>
      <c r="B373" s="81" t="s">
        <v>3990</v>
      </c>
      <c r="C373" s="81" t="s">
        <v>3989</v>
      </c>
      <c r="D373" s="81" t="s">
        <v>3991</v>
      </c>
      <c r="E373" s="81">
        <v>680</v>
      </c>
      <c r="F373" s="81" t="s">
        <v>4502</v>
      </c>
      <c r="G373" s="81" t="s">
        <v>4481</v>
      </c>
      <c r="H373" s="81" t="s">
        <v>4501</v>
      </c>
      <c r="I373" s="81" t="s">
        <v>4517</v>
      </c>
      <c r="J373" s="81" t="s">
        <v>2870</v>
      </c>
      <c r="K373" s="81" t="s">
        <v>2870</v>
      </c>
    </row>
    <row r="374" spans="1:11">
      <c r="A374" s="81" t="s">
        <v>3988</v>
      </c>
      <c r="B374" s="81" t="s">
        <v>3987</v>
      </c>
      <c r="C374" s="81" t="s">
        <v>3986</v>
      </c>
      <c r="D374" s="81" t="s">
        <v>3988</v>
      </c>
      <c r="E374" s="81">
        <v>672</v>
      </c>
      <c r="F374" s="81" t="s">
        <v>4502</v>
      </c>
      <c r="G374" s="81" t="s">
        <v>4481</v>
      </c>
      <c r="H374" s="81" t="s">
        <v>4501</v>
      </c>
      <c r="I374" s="81" t="s">
        <v>4516</v>
      </c>
      <c r="J374" s="81" t="s">
        <v>2870</v>
      </c>
      <c r="K374" s="81" t="s">
        <v>2870</v>
      </c>
    </row>
    <row r="375" spans="1:11">
      <c r="A375" s="81" t="s">
        <v>3984</v>
      </c>
      <c r="B375" s="81" t="s">
        <v>3983</v>
      </c>
      <c r="C375" s="81" t="s">
        <v>3982</v>
      </c>
      <c r="D375" s="81" t="s">
        <v>3984</v>
      </c>
      <c r="E375" s="81">
        <v>678</v>
      </c>
      <c r="F375" s="81" t="s">
        <v>4502</v>
      </c>
      <c r="G375" s="81" t="s">
        <v>4481</v>
      </c>
      <c r="H375" s="81" t="s">
        <v>4501</v>
      </c>
      <c r="I375" s="81" t="s">
        <v>4515</v>
      </c>
      <c r="J375" s="81" t="s">
        <v>2870</v>
      </c>
      <c r="K375" s="81" t="s">
        <v>2870</v>
      </c>
    </row>
    <row r="376" spans="1:11">
      <c r="A376" s="81" t="s">
        <v>3981</v>
      </c>
      <c r="B376" s="81" t="s">
        <v>3980</v>
      </c>
      <c r="C376" s="81" t="s">
        <v>3979</v>
      </c>
      <c r="D376" s="81" t="s">
        <v>3981</v>
      </c>
      <c r="E376" s="81">
        <v>2828</v>
      </c>
      <c r="F376" s="81" t="s">
        <v>4502</v>
      </c>
      <c r="G376" s="81" t="s">
        <v>4481</v>
      </c>
      <c r="H376" s="81" t="s">
        <v>4501</v>
      </c>
      <c r="I376" s="81" t="s">
        <v>4514</v>
      </c>
      <c r="J376" s="81" t="s">
        <v>2870</v>
      </c>
      <c r="K376" s="81" t="s">
        <v>2870</v>
      </c>
    </row>
    <row r="377" spans="1:11">
      <c r="A377" s="81" t="s">
        <v>3977</v>
      </c>
      <c r="B377" s="81" t="s">
        <v>3976</v>
      </c>
      <c r="C377" s="81" t="s">
        <v>3975</v>
      </c>
      <c r="D377" s="81" t="s">
        <v>3977</v>
      </c>
      <c r="E377" s="81">
        <v>679</v>
      </c>
      <c r="F377" s="81" t="s">
        <v>4502</v>
      </c>
      <c r="G377" s="81" t="s">
        <v>4481</v>
      </c>
      <c r="H377" s="81" t="s">
        <v>4501</v>
      </c>
      <c r="I377" s="81" t="s">
        <v>4513</v>
      </c>
      <c r="J377" s="81" t="s">
        <v>2870</v>
      </c>
      <c r="K377" s="81" t="s">
        <v>2870</v>
      </c>
    </row>
    <row r="378" spans="1:11">
      <c r="A378" s="81" t="s">
        <v>3974</v>
      </c>
      <c r="B378" s="81" t="s">
        <v>3973</v>
      </c>
      <c r="C378" s="81" t="s">
        <v>3972</v>
      </c>
      <c r="D378" s="81" t="s">
        <v>3974</v>
      </c>
      <c r="E378" s="81">
        <v>677</v>
      </c>
      <c r="F378" s="81" t="s">
        <v>4502</v>
      </c>
      <c r="G378" s="81" t="s">
        <v>4481</v>
      </c>
      <c r="H378" s="81" t="s">
        <v>4501</v>
      </c>
      <c r="I378" s="81" t="s">
        <v>4512</v>
      </c>
      <c r="J378" s="81" t="s">
        <v>2870</v>
      </c>
      <c r="K378" s="81" t="s">
        <v>2870</v>
      </c>
    </row>
    <row r="379" spans="1:11">
      <c r="A379" s="81" t="s">
        <v>3971</v>
      </c>
      <c r="B379" s="81" t="s">
        <v>3970</v>
      </c>
      <c r="C379" s="81" t="s">
        <v>3969</v>
      </c>
      <c r="D379" s="81" t="s">
        <v>3971</v>
      </c>
      <c r="E379" s="81">
        <v>681</v>
      </c>
      <c r="F379" s="81" t="s">
        <v>4502</v>
      </c>
      <c r="G379" s="81" t="s">
        <v>4481</v>
      </c>
      <c r="H379" s="81" t="s">
        <v>4501</v>
      </c>
      <c r="I379" s="81" t="s">
        <v>4511</v>
      </c>
      <c r="J379" s="81" t="s">
        <v>2870</v>
      </c>
      <c r="K379" s="81" t="s">
        <v>2870</v>
      </c>
    </row>
    <row r="380" spans="1:11">
      <c r="A380" s="81" t="s">
        <v>209</v>
      </c>
      <c r="B380" s="81" t="s">
        <v>2210</v>
      </c>
      <c r="C380" s="81" t="s">
        <v>2537</v>
      </c>
      <c r="D380" s="81" t="s">
        <v>209</v>
      </c>
      <c r="E380" s="81">
        <v>346</v>
      </c>
      <c r="F380" s="81" t="s">
        <v>15</v>
      </c>
      <c r="G380" s="81" t="s">
        <v>2964</v>
      </c>
      <c r="H380" s="81" t="s">
        <v>4510</v>
      </c>
      <c r="I380" s="81" t="s">
        <v>4509</v>
      </c>
      <c r="J380" s="81" t="s">
        <v>2870</v>
      </c>
      <c r="K380" s="81" t="s">
        <v>2969</v>
      </c>
    </row>
    <row r="381" spans="1:11">
      <c r="A381" s="81" t="s">
        <v>4042</v>
      </c>
      <c r="B381" s="81" t="s">
        <v>4041</v>
      </c>
      <c r="C381" s="81" t="s">
        <v>4040</v>
      </c>
      <c r="D381" s="81" t="s">
        <v>4042</v>
      </c>
      <c r="E381" s="81">
        <v>659</v>
      </c>
      <c r="F381" s="81" t="s">
        <v>4502</v>
      </c>
      <c r="G381" s="81" t="s">
        <v>4481</v>
      </c>
      <c r="H381" s="81" t="s">
        <v>4501</v>
      </c>
      <c r="I381" s="81" t="s">
        <v>4508</v>
      </c>
      <c r="J381" s="81" t="s">
        <v>2870</v>
      </c>
      <c r="K381" s="81" t="s">
        <v>2870</v>
      </c>
    </row>
    <row r="382" spans="1:11">
      <c r="A382" s="81" t="s">
        <v>4039</v>
      </c>
      <c r="B382" s="81" t="s">
        <v>4038</v>
      </c>
      <c r="C382" s="81" t="s">
        <v>4037</v>
      </c>
      <c r="D382" s="81" t="s">
        <v>4039</v>
      </c>
      <c r="E382" s="81">
        <v>660</v>
      </c>
      <c r="F382" s="81" t="s">
        <v>4502</v>
      </c>
      <c r="G382" s="81" t="s">
        <v>4481</v>
      </c>
      <c r="H382" s="81" t="s">
        <v>4501</v>
      </c>
      <c r="I382" s="81" t="s">
        <v>4507</v>
      </c>
      <c r="J382" s="81" t="s">
        <v>2870</v>
      </c>
      <c r="K382" s="81" t="s">
        <v>2870</v>
      </c>
    </row>
    <row r="383" spans="1:11">
      <c r="A383" s="81" t="s">
        <v>4036</v>
      </c>
      <c r="B383" s="81" t="s">
        <v>4035</v>
      </c>
      <c r="C383" s="81" t="s">
        <v>4034</v>
      </c>
      <c r="D383" s="81" t="s">
        <v>4036</v>
      </c>
      <c r="E383" s="81">
        <v>661</v>
      </c>
      <c r="F383" s="81" t="s">
        <v>4502</v>
      </c>
      <c r="G383" s="81" t="s">
        <v>4481</v>
      </c>
      <c r="H383" s="81" t="s">
        <v>4501</v>
      </c>
      <c r="I383" s="81" t="s">
        <v>4506</v>
      </c>
      <c r="J383" s="81" t="s">
        <v>2870</v>
      </c>
      <c r="K383" s="81" t="s">
        <v>2870</v>
      </c>
    </row>
    <row r="384" spans="1:11">
      <c r="A384" s="81" t="s">
        <v>4033</v>
      </c>
      <c r="B384" s="81" t="s">
        <v>4032</v>
      </c>
      <c r="C384" s="81" t="s">
        <v>4031</v>
      </c>
      <c r="D384" s="81" t="s">
        <v>4033</v>
      </c>
      <c r="E384" s="81">
        <v>662</v>
      </c>
      <c r="F384" s="81" t="s">
        <v>4502</v>
      </c>
      <c r="G384" s="81" t="s">
        <v>4481</v>
      </c>
      <c r="H384" s="81" t="s">
        <v>4501</v>
      </c>
      <c r="I384" s="81" t="s">
        <v>4505</v>
      </c>
      <c r="J384" s="81" t="s">
        <v>2870</v>
      </c>
      <c r="K384" s="81" t="s">
        <v>2870</v>
      </c>
    </row>
    <row r="385" spans="1:11">
      <c r="A385" s="81" t="s">
        <v>4030</v>
      </c>
      <c r="B385" s="81" t="s">
        <v>4029</v>
      </c>
      <c r="C385" s="81" t="s">
        <v>4028</v>
      </c>
      <c r="D385" s="81" t="s">
        <v>4030</v>
      </c>
      <c r="E385" s="81">
        <v>663</v>
      </c>
      <c r="F385" s="81" t="s">
        <v>4502</v>
      </c>
      <c r="G385" s="81" t="s">
        <v>4481</v>
      </c>
      <c r="H385" s="81" t="s">
        <v>4501</v>
      </c>
      <c r="I385" s="81" t="s">
        <v>4504</v>
      </c>
      <c r="J385" s="81" t="s">
        <v>2870</v>
      </c>
      <c r="K385" s="81" t="s">
        <v>2870</v>
      </c>
    </row>
    <row r="386" spans="1:11">
      <c r="A386" s="81" t="s">
        <v>4045</v>
      </c>
      <c r="B386" s="81" t="s">
        <v>4044</v>
      </c>
      <c r="C386" s="81" t="s">
        <v>4043</v>
      </c>
      <c r="D386" s="81" t="s">
        <v>4045</v>
      </c>
      <c r="E386" s="81">
        <v>664</v>
      </c>
      <c r="F386" s="81" t="s">
        <v>4502</v>
      </c>
      <c r="G386" s="81" t="s">
        <v>4481</v>
      </c>
      <c r="H386" s="81" t="s">
        <v>4501</v>
      </c>
      <c r="I386" s="81" t="s">
        <v>4503</v>
      </c>
      <c r="J386" s="81" t="s">
        <v>2870</v>
      </c>
      <c r="K386" s="81" t="s">
        <v>2870</v>
      </c>
    </row>
    <row r="387" spans="1:11">
      <c r="A387" s="81" t="s">
        <v>4051</v>
      </c>
      <c r="B387" s="81" t="s">
        <v>4050</v>
      </c>
      <c r="C387" s="81" t="s">
        <v>4049</v>
      </c>
      <c r="D387" s="81" t="s">
        <v>4051</v>
      </c>
      <c r="E387" s="81">
        <v>665</v>
      </c>
      <c r="F387" s="81" t="s">
        <v>4502</v>
      </c>
      <c r="G387" s="81" t="s">
        <v>4481</v>
      </c>
      <c r="H387" s="81" t="s">
        <v>4501</v>
      </c>
      <c r="I387" s="81" t="s">
        <v>4500</v>
      </c>
      <c r="J387" s="81" t="s">
        <v>2870</v>
      </c>
      <c r="K387" s="81" t="s">
        <v>2870</v>
      </c>
    </row>
    <row r="388" spans="1:11" ht="17">
      <c r="A388" s="81" t="s">
        <v>3881</v>
      </c>
      <c r="B388" s="81" t="s">
        <v>2217</v>
      </c>
      <c r="C388" s="81" t="s">
        <v>4499</v>
      </c>
      <c r="D388" s="81" t="s">
        <v>3881</v>
      </c>
      <c r="E388" s="81">
        <v>364</v>
      </c>
      <c r="F388" s="81" t="s">
        <v>15</v>
      </c>
      <c r="G388" s="81" t="s">
        <v>2854</v>
      </c>
      <c r="H388" s="81" t="s">
        <v>4498</v>
      </c>
      <c r="I388" s="81" t="s">
        <v>4497</v>
      </c>
      <c r="J388" s="81" t="s">
        <v>2870</v>
      </c>
      <c r="K388" s="81" t="s">
        <v>2870</v>
      </c>
    </row>
    <row r="389" spans="1:11">
      <c r="A389" s="81" t="s">
        <v>4229</v>
      </c>
      <c r="B389" s="81" t="s">
        <v>4230</v>
      </c>
      <c r="C389" s="81" t="s">
        <v>4229</v>
      </c>
      <c r="D389" s="81" t="s">
        <v>4229</v>
      </c>
      <c r="E389" s="81">
        <v>167</v>
      </c>
      <c r="F389" s="81" t="s">
        <v>15</v>
      </c>
      <c r="G389" s="81" t="s">
        <v>3252</v>
      </c>
      <c r="H389" s="81" t="s">
        <v>4491</v>
      </c>
      <c r="I389" s="81" t="s">
        <v>4496</v>
      </c>
      <c r="J389" s="81" t="s">
        <v>2870</v>
      </c>
      <c r="K389" s="81" t="s">
        <v>2870</v>
      </c>
    </row>
    <row r="390" spans="1:11">
      <c r="A390" s="81" t="s">
        <v>4227</v>
      </c>
      <c r="B390" s="81" t="s">
        <v>2238</v>
      </c>
      <c r="C390" s="81" t="s">
        <v>4227</v>
      </c>
      <c r="D390" s="81" t="s">
        <v>4227</v>
      </c>
      <c r="E390" s="81">
        <v>168</v>
      </c>
      <c r="F390" s="81" t="s">
        <v>15</v>
      </c>
      <c r="G390" s="81" t="s">
        <v>3252</v>
      </c>
      <c r="H390" s="81" t="s">
        <v>4491</v>
      </c>
      <c r="I390" s="81" t="s">
        <v>4495</v>
      </c>
      <c r="J390" s="81" t="s">
        <v>2870</v>
      </c>
      <c r="K390" s="81" t="s">
        <v>2870</v>
      </c>
    </row>
    <row r="391" spans="1:11">
      <c r="A391" s="81" t="s">
        <v>4223</v>
      </c>
      <c r="B391" s="81" t="s">
        <v>4224</v>
      </c>
      <c r="C391" s="81" t="s">
        <v>4223</v>
      </c>
      <c r="D391" s="81" t="s">
        <v>4223</v>
      </c>
      <c r="E391" s="81">
        <v>170</v>
      </c>
      <c r="F391" s="81" t="s">
        <v>15</v>
      </c>
      <c r="G391" s="81" t="s">
        <v>3252</v>
      </c>
      <c r="H391" s="81" t="s">
        <v>4491</v>
      </c>
      <c r="I391" s="81" t="s">
        <v>4494</v>
      </c>
      <c r="J391" s="81" t="s">
        <v>2870</v>
      </c>
      <c r="K391" s="81" t="s">
        <v>2870</v>
      </c>
    </row>
    <row r="392" spans="1:11">
      <c r="A392" s="81" t="s">
        <v>4220</v>
      </c>
      <c r="B392" s="81" t="s">
        <v>4221</v>
      </c>
      <c r="C392" s="81" t="s">
        <v>4220</v>
      </c>
      <c r="D392" s="81" t="s">
        <v>4220</v>
      </c>
      <c r="E392" s="81">
        <v>171</v>
      </c>
      <c r="F392" s="81" t="s">
        <v>15</v>
      </c>
      <c r="G392" s="81" t="s">
        <v>3252</v>
      </c>
      <c r="H392" s="81" t="s">
        <v>4491</v>
      </c>
      <c r="I392" s="81" t="s">
        <v>4493</v>
      </c>
      <c r="J392" s="81" t="s">
        <v>2870</v>
      </c>
      <c r="K392" s="81" t="s">
        <v>2870</v>
      </c>
    </row>
    <row r="393" spans="1:11">
      <c r="A393" s="81" t="s">
        <v>4252</v>
      </c>
      <c r="B393" s="81" t="s">
        <v>4253</v>
      </c>
      <c r="C393" s="81" t="s">
        <v>4252</v>
      </c>
      <c r="D393" s="81" t="s">
        <v>4252</v>
      </c>
      <c r="E393" s="81">
        <v>172</v>
      </c>
      <c r="F393" s="81" t="s">
        <v>15</v>
      </c>
      <c r="G393" s="81" t="s">
        <v>3252</v>
      </c>
      <c r="H393" s="81" t="s">
        <v>4491</v>
      </c>
      <c r="I393" s="81" t="s">
        <v>4492</v>
      </c>
      <c r="J393" s="81" t="s">
        <v>2870</v>
      </c>
      <c r="K393" s="81" t="s">
        <v>2870</v>
      </c>
    </row>
    <row r="394" spans="1:11">
      <c r="A394" s="81" t="s">
        <v>4217</v>
      </c>
      <c r="B394" s="81" t="s">
        <v>4218</v>
      </c>
      <c r="C394" s="81" t="s">
        <v>4217</v>
      </c>
      <c r="D394" s="81" t="s">
        <v>4217</v>
      </c>
      <c r="E394" s="81">
        <v>173</v>
      </c>
      <c r="F394" s="81" t="s">
        <v>15</v>
      </c>
      <c r="G394" s="81" t="s">
        <v>3252</v>
      </c>
      <c r="H394" s="81" t="s">
        <v>4491</v>
      </c>
      <c r="I394" s="81" t="s">
        <v>4490</v>
      </c>
      <c r="J394" s="81" t="s">
        <v>2870</v>
      </c>
      <c r="K394" s="81" t="s">
        <v>2870</v>
      </c>
    </row>
    <row r="395" spans="1:11">
      <c r="A395" s="81" t="s">
        <v>3954</v>
      </c>
      <c r="B395" s="81" t="s">
        <v>3955</v>
      </c>
      <c r="C395" s="81" t="s">
        <v>3954</v>
      </c>
      <c r="D395" s="81" t="s">
        <v>3954</v>
      </c>
      <c r="E395" s="81">
        <v>655</v>
      </c>
      <c r="F395" s="81" t="s">
        <v>4489</v>
      </c>
      <c r="G395" s="81" t="s">
        <v>3252</v>
      </c>
      <c r="H395" s="81" t="s">
        <v>4488</v>
      </c>
      <c r="I395" s="81" t="s">
        <v>4487</v>
      </c>
      <c r="J395" s="81" t="s">
        <v>2870</v>
      </c>
      <c r="K395" s="81" t="s">
        <v>2870</v>
      </c>
    </row>
    <row r="396" spans="1:11" ht="17">
      <c r="A396" s="81" t="s">
        <v>225</v>
      </c>
      <c r="B396" s="81" t="s">
        <v>2244</v>
      </c>
      <c r="C396" s="81" t="s">
        <v>4486</v>
      </c>
      <c r="D396" s="81" t="s">
        <v>225</v>
      </c>
      <c r="E396" s="81">
        <v>363</v>
      </c>
      <c r="F396" s="81" t="s">
        <v>15</v>
      </c>
      <c r="G396" s="81" t="s">
        <v>44</v>
      </c>
      <c r="H396" s="81" t="s">
        <v>4485</v>
      </c>
      <c r="I396" s="81" t="s">
        <v>4484</v>
      </c>
      <c r="J396" s="81" t="s">
        <v>2870</v>
      </c>
      <c r="K396" s="81" t="s">
        <v>2870</v>
      </c>
    </row>
    <row r="397" spans="1:11">
      <c r="A397" s="81" t="s">
        <v>4096</v>
      </c>
      <c r="B397" s="81" t="s">
        <v>4095</v>
      </c>
      <c r="C397" s="81" t="s">
        <v>4094</v>
      </c>
      <c r="D397" s="81" t="s">
        <v>4096</v>
      </c>
      <c r="E397" s="81">
        <v>656</v>
      </c>
      <c r="F397" s="81" t="s">
        <v>57</v>
      </c>
      <c r="G397" s="81" t="s">
        <v>4481</v>
      </c>
      <c r="H397" s="81" t="s">
        <v>4480</v>
      </c>
      <c r="I397" s="81" t="s">
        <v>4483</v>
      </c>
      <c r="J397" s="81" t="s">
        <v>2870</v>
      </c>
      <c r="K397" s="81" t="s">
        <v>2870</v>
      </c>
    </row>
    <row r="398" spans="1:11">
      <c r="A398" s="81" t="s">
        <v>4092</v>
      </c>
      <c r="B398" s="81" t="s">
        <v>4091</v>
      </c>
      <c r="C398" s="81" t="s">
        <v>4090</v>
      </c>
      <c r="D398" s="81" t="s">
        <v>4092</v>
      </c>
      <c r="E398" s="81">
        <v>657</v>
      </c>
      <c r="F398" s="81" t="s">
        <v>57</v>
      </c>
      <c r="G398" s="81" t="s">
        <v>4481</v>
      </c>
      <c r="H398" s="81" t="s">
        <v>4480</v>
      </c>
      <c r="I398" s="81" t="s">
        <v>4482</v>
      </c>
      <c r="J398" s="81" t="s">
        <v>2870</v>
      </c>
      <c r="K398" s="81" t="s">
        <v>2870</v>
      </c>
    </row>
    <row r="399" spans="1:11">
      <c r="A399" s="81" t="s">
        <v>4088</v>
      </c>
      <c r="B399" s="81" t="s">
        <v>4087</v>
      </c>
      <c r="C399" s="81" t="s">
        <v>4086</v>
      </c>
      <c r="D399" s="81" t="s">
        <v>4088</v>
      </c>
      <c r="E399" s="81">
        <v>658</v>
      </c>
      <c r="F399" s="81" t="s">
        <v>57</v>
      </c>
      <c r="G399" s="81" t="s">
        <v>4481</v>
      </c>
      <c r="H399" s="81" t="s">
        <v>4480</v>
      </c>
      <c r="I399" s="81" t="s">
        <v>4479</v>
      </c>
      <c r="J399" s="81" t="s">
        <v>2870</v>
      </c>
      <c r="K399" s="81" t="s">
        <v>2870</v>
      </c>
    </row>
    <row r="400" spans="1:11">
      <c r="A400" s="81" t="s">
        <v>3659</v>
      </c>
      <c r="B400" s="81" t="s">
        <v>2252</v>
      </c>
      <c r="C400" s="81" t="s">
        <v>2254</v>
      </c>
      <c r="D400" s="81" t="s">
        <v>3659</v>
      </c>
      <c r="E400" s="81">
        <v>255</v>
      </c>
      <c r="F400" s="81" t="s">
        <v>15</v>
      </c>
      <c r="G400" s="81" t="s">
        <v>2993</v>
      </c>
      <c r="H400" s="81" t="s">
        <v>4478</v>
      </c>
      <c r="I400" s="81" t="s">
        <v>4477</v>
      </c>
      <c r="J400" s="81" t="s">
        <v>2870</v>
      </c>
      <c r="K400" s="81" t="s">
        <v>2870</v>
      </c>
    </row>
    <row r="401" spans="1:11">
      <c r="A401" s="81" t="s">
        <v>226</v>
      </c>
      <c r="B401" s="81" t="s">
        <v>2257</v>
      </c>
      <c r="C401" s="81" t="s">
        <v>2536</v>
      </c>
      <c r="D401" s="81" t="s">
        <v>226</v>
      </c>
      <c r="E401" s="81">
        <v>365</v>
      </c>
      <c r="F401" s="81" t="s">
        <v>15</v>
      </c>
      <c r="G401" s="81" t="s">
        <v>44</v>
      </c>
      <c r="H401" s="81" t="s">
        <v>4476</v>
      </c>
      <c r="I401" s="81" t="s">
        <v>4475</v>
      </c>
      <c r="J401" s="81" t="s">
        <v>2870</v>
      </c>
      <c r="K401" s="81" t="s">
        <v>3705</v>
      </c>
    </row>
    <row r="402" spans="1:11" ht="17">
      <c r="A402" s="81" t="s">
        <v>229</v>
      </c>
      <c r="B402" s="81" t="s">
        <v>2268</v>
      </c>
      <c r="C402" s="81" t="s">
        <v>4474</v>
      </c>
      <c r="D402" s="81" t="s">
        <v>229</v>
      </c>
      <c r="E402" s="81">
        <v>367</v>
      </c>
      <c r="F402" s="81" t="s">
        <v>15</v>
      </c>
      <c r="G402" s="81" t="s">
        <v>44</v>
      </c>
      <c r="H402" s="81" t="s">
        <v>4473</v>
      </c>
      <c r="I402" s="81" t="s">
        <v>4472</v>
      </c>
      <c r="J402" s="81" t="s">
        <v>2870</v>
      </c>
      <c r="K402" s="81" t="s">
        <v>3085</v>
      </c>
    </row>
    <row r="403" spans="1:11" ht="17">
      <c r="A403" s="81" t="s">
        <v>232</v>
      </c>
      <c r="B403" s="81" t="s">
        <v>347</v>
      </c>
      <c r="C403" s="81" t="s">
        <v>4471</v>
      </c>
      <c r="D403" s="81" t="s">
        <v>232</v>
      </c>
      <c r="E403" s="81">
        <v>371</v>
      </c>
      <c r="F403" s="81" t="s">
        <v>53</v>
      </c>
      <c r="G403" s="81" t="s">
        <v>44</v>
      </c>
      <c r="H403" s="81" t="s">
        <v>4467</v>
      </c>
      <c r="I403" s="81" t="s">
        <v>4470</v>
      </c>
      <c r="J403" s="81" t="s">
        <v>4469</v>
      </c>
      <c r="K403" s="81" t="s">
        <v>2870</v>
      </c>
    </row>
    <row r="404" spans="1:11" ht="17">
      <c r="A404" s="81" t="s">
        <v>2904</v>
      </c>
      <c r="B404" s="81" t="s">
        <v>2272</v>
      </c>
      <c r="C404" s="81" t="s">
        <v>4468</v>
      </c>
      <c r="D404" s="81" t="s">
        <v>2904</v>
      </c>
      <c r="E404" s="81">
        <v>372</v>
      </c>
      <c r="F404" s="81" t="s">
        <v>53</v>
      </c>
      <c r="G404" s="81" t="s">
        <v>44</v>
      </c>
      <c r="H404" s="81" t="s">
        <v>4467</v>
      </c>
      <c r="I404" s="81" t="s">
        <v>4466</v>
      </c>
      <c r="J404" s="81" t="s">
        <v>2870</v>
      </c>
      <c r="K404" s="81" t="s">
        <v>2870</v>
      </c>
    </row>
    <row r="405" spans="1:11">
      <c r="A405" s="81" t="s">
        <v>79</v>
      </c>
      <c r="B405" s="81" t="s">
        <v>2274</v>
      </c>
      <c r="C405" s="81" t="s">
        <v>79</v>
      </c>
      <c r="D405" s="81" t="s">
        <v>79</v>
      </c>
      <c r="E405" s="81">
        <v>75</v>
      </c>
      <c r="F405" s="81" t="s">
        <v>15</v>
      </c>
      <c r="G405" s="81" t="s">
        <v>2993</v>
      </c>
      <c r="H405" s="81" t="s">
        <v>4465</v>
      </c>
      <c r="I405" s="81" t="s">
        <v>4464</v>
      </c>
      <c r="J405" s="81" t="s">
        <v>2870</v>
      </c>
      <c r="K405" s="81" t="s">
        <v>2870</v>
      </c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B086-BE56-DE4D-A265-684822B00903}">
  <dimension ref="A1:M782"/>
  <sheetViews>
    <sheetView zoomScale="140" zoomScaleNormal="140" workbookViewId="0">
      <pane ySplit="1" topLeftCell="A2" activePane="bottomLeft" state="frozen"/>
      <selection sqref="A1:XFD1"/>
      <selection pane="bottomLeft" activeCell="D782" sqref="D782"/>
    </sheetView>
  </sheetViews>
  <sheetFormatPr baseColWidth="10" defaultRowHeight="16"/>
  <cols>
    <col min="1" max="1" width="12.6640625" bestFit="1" customWidth="1"/>
    <col min="2" max="2" width="9.1640625" bestFit="1" customWidth="1"/>
    <col min="3" max="3" width="30" bestFit="1" customWidth="1"/>
    <col min="4" max="4" width="20.5" customWidth="1"/>
    <col min="5" max="5" width="13.5" bestFit="1" customWidth="1"/>
    <col min="6" max="6" width="21" customWidth="1"/>
    <col min="7" max="7" width="14.33203125" bestFit="1" customWidth="1"/>
    <col min="8" max="8" width="17" bestFit="1" customWidth="1"/>
    <col min="9" max="9" width="17" customWidth="1"/>
    <col min="10" max="10" width="21.5" bestFit="1" customWidth="1"/>
    <col min="11" max="11" width="15.33203125" customWidth="1"/>
    <col min="12" max="12" width="12.1640625" customWidth="1"/>
    <col min="13" max="13" width="31.1640625" bestFit="1" customWidth="1"/>
  </cols>
  <sheetData>
    <row r="1" spans="1:13" s="115" customFormat="1">
      <c r="A1" s="190" t="s">
        <v>586</v>
      </c>
      <c r="B1" s="190" t="s">
        <v>587</v>
      </c>
      <c r="C1" s="190" t="s">
        <v>588</v>
      </c>
      <c r="D1" s="190" t="s">
        <v>590</v>
      </c>
      <c r="E1" s="191" t="s">
        <v>589</v>
      </c>
      <c r="F1" s="190" t="s">
        <v>591</v>
      </c>
      <c r="G1" s="190" t="s">
        <v>592</v>
      </c>
      <c r="H1" s="191" t="s">
        <v>593</v>
      </c>
      <c r="I1" s="190" t="s">
        <v>594</v>
      </c>
      <c r="J1" s="190" t="s">
        <v>595</v>
      </c>
      <c r="K1" s="190" t="s">
        <v>596</v>
      </c>
      <c r="L1" s="190" t="s">
        <v>597</v>
      </c>
      <c r="M1" s="190" t="s">
        <v>598</v>
      </c>
    </row>
    <row r="2" spans="1:13">
      <c r="A2" s="10" t="s">
        <v>2312</v>
      </c>
      <c r="B2" s="10" t="s">
        <v>275</v>
      </c>
      <c r="C2" s="10" t="s">
        <v>699</v>
      </c>
      <c r="D2" s="10" t="s">
        <v>700</v>
      </c>
      <c r="E2" s="11">
        <v>566</v>
      </c>
      <c r="F2" s="10"/>
      <c r="G2" s="10" t="s">
        <v>701</v>
      </c>
      <c r="H2" s="11">
        <v>32051</v>
      </c>
      <c r="I2" s="10"/>
      <c r="J2" s="10"/>
      <c r="K2" s="10" t="s">
        <v>702</v>
      </c>
      <c r="L2" s="10"/>
      <c r="M2" s="10"/>
    </row>
    <row r="3" spans="1:13">
      <c r="A3" s="10" t="s">
        <v>2401</v>
      </c>
      <c r="B3" s="10" t="s">
        <v>290</v>
      </c>
      <c r="C3" s="10" t="s">
        <v>1497</v>
      </c>
      <c r="D3" s="10" t="s">
        <v>700</v>
      </c>
      <c r="E3" s="11">
        <v>566</v>
      </c>
      <c r="F3" s="10"/>
      <c r="G3" s="10" t="s">
        <v>701</v>
      </c>
      <c r="H3" s="11">
        <v>32051</v>
      </c>
      <c r="I3" s="10"/>
      <c r="J3" s="10"/>
      <c r="K3" s="10" t="s">
        <v>702</v>
      </c>
      <c r="L3" s="10"/>
      <c r="M3" s="10"/>
    </row>
    <row r="4" spans="1:13">
      <c r="A4" s="10" t="s">
        <v>2325</v>
      </c>
      <c r="B4" s="10" t="s">
        <v>829</v>
      </c>
      <c r="C4" s="10" t="s">
        <v>830</v>
      </c>
      <c r="D4" s="10" t="s">
        <v>831</v>
      </c>
      <c r="E4" s="11">
        <v>707</v>
      </c>
      <c r="F4" s="10"/>
      <c r="G4" s="10" t="s">
        <v>701</v>
      </c>
      <c r="H4" s="11"/>
      <c r="I4" s="10"/>
      <c r="J4" s="10"/>
      <c r="K4" s="10" t="s">
        <v>832</v>
      </c>
      <c r="L4" s="10"/>
      <c r="M4" s="10"/>
    </row>
    <row r="5" spans="1:13">
      <c r="A5" s="10" t="s">
        <v>2325</v>
      </c>
      <c r="B5" s="10" t="s">
        <v>829</v>
      </c>
      <c r="C5" s="10" t="s">
        <v>830</v>
      </c>
      <c r="D5" s="10" t="s">
        <v>833</v>
      </c>
      <c r="E5" s="11">
        <v>708</v>
      </c>
      <c r="F5" s="10"/>
      <c r="G5" s="10" t="s">
        <v>701</v>
      </c>
      <c r="H5" s="11">
        <v>888</v>
      </c>
      <c r="I5" s="10"/>
      <c r="J5" s="10"/>
      <c r="K5" s="10" t="s">
        <v>834</v>
      </c>
      <c r="L5" s="10"/>
      <c r="M5" s="10"/>
    </row>
    <row r="6" spans="1:13">
      <c r="A6" s="10" t="s">
        <v>5413</v>
      </c>
      <c r="B6" s="10" t="s">
        <v>3462</v>
      </c>
      <c r="C6" s="10" t="s">
        <v>5414</v>
      </c>
      <c r="D6" t="s">
        <v>2744</v>
      </c>
      <c r="E6" s="9">
        <v>2346</v>
      </c>
      <c r="G6" s="10" t="s">
        <v>701</v>
      </c>
      <c r="H6" s="9">
        <v>1038</v>
      </c>
    </row>
    <row r="7" spans="1:13">
      <c r="A7" s="10" t="s">
        <v>2281</v>
      </c>
      <c r="B7" s="10" t="s">
        <v>256</v>
      </c>
      <c r="C7" s="10" t="s">
        <v>599</v>
      </c>
      <c r="D7" s="10" t="s">
        <v>600</v>
      </c>
      <c r="E7" s="11">
        <v>5</v>
      </c>
      <c r="F7" s="10"/>
      <c r="G7" s="10" t="s">
        <v>601</v>
      </c>
      <c r="H7" s="11">
        <v>5202</v>
      </c>
      <c r="I7" s="10" t="s">
        <v>602</v>
      </c>
      <c r="J7" s="10"/>
      <c r="K7" s="10" t="s">
        <v>603</v>
      </c>
      <c r="L7" s="10" t="s">
        <v>604</v>
      </c>
      <c r="M7" s="10" t="s">
        <v>605</v>
      </c>
    </row>
    <row r="8" spans="1:13">
      <c r="A8" s="10" t="s">
        <v>2282</v>
      </c>
      <c r="B8" s="10" t="s">
        <v>257</v>
      </c>
      <c r="C8" s="10" t="s">
        <v>606</v>
      </c>
      <c r="D8" s="10" t="s">
        <v>600</v>
      </c>
      <c r="E8" s="11">
        <v>5</v>
      </c>
      <c r="F8" s="10"/>
      <c r="G8" s="10" t="s">
        <v>601</v>
      </c>
      <c r="H8" s="11">
        <v>5202</v>
      </c>
      <c r="I8" s="10" t="s">
        <v>602</v>
      </c>
      <c r="J8" s="10"/>
      <c r="K8" s="10" t="s">
        <v>603</v>
      </c>
      <c r="L8" s="10" t="s">
        <v>604</v>
      </c>
      <c r="M8" s="10" t="s">
        <v>605</v>
      </c>
    </row>
    <row r="9" spans="1:13">
      <c r="A9" s="10" t="s">
        <v>2283</v>
      </c>
      <c r="B9" s="10" t="s">
        <v>258</v>
      </c>
      <c r="C9" s="10" t="s">
        <v>614</v>
      </c>
      <c r="D9" s="10" t="s">
        <v>600</v>
      </c>
      <c r="E9" s="11">
        <v>5</v>
      </c>
      <c r="F9" s="10"/>
      <c r="G9" s="10" t="s">
        <v>601</v>
      </c>
      <c r="H9" s="11">
        <v>5202</v>
      </c>
      <c r="I9" s="10" t="s">
        <v>602</v>
      </c>
      <c r="J9" s="10"/>
      <c r="K9" s="10" t="s">
        <v>603</v>
      </c>
      <c r="L9" s="10" t="s">
        <v>604</v>
      </c>
      <c r="M9" s="10" t="s">
        <v>605</v>
      </c>
    </row>
    <row r="10" spans="1:13">
      <c r="A10" s="10" t="s">
        <v>2284</v>
      </c>
      <c r="B10" s="10" t="s">
        <v>615</v>
      </c>
      <c r="C10" s="10" t="s">
        <v>616</v>
      </c>
      <c r="D10" s="10" t="s">
        <v>600</v>
      </c>
      <c r="E10" s="11">
        <v>5</v>
      </c>
      <c r="F10" s="10"/>
      <c r="G10" s="10" t="s">
        <v>601</v>
      </c>
      <c r="H10" s="11">
        <v>5202</v>
      </c>
      <c r="I10" s="10" t="s">
        <v>602</v>
      </c>
      <c r="J10" s="10"/>
      <c r="K10" s="10" t="s">
        <v>603</v>
      </c>
      <c r="L10" s="10" t="s">
        <v>604</v>
      </c>
      <c r="M10" s="10" t="s">
        <v>605</v>
      </c>
    </row>
    <row r="11" spans="1:13">
      <c r="A11" s="10" t="s">
        <v>2285</v>
      </c>
      <c r="B11" s="10" t="s">
        <v>617</v>
      </c>
      <c r="C11" s="10" t="s">
        <v>618</v>
      </c>
      <c r="D11" s="10" t="s">
        <v>600</v>
      </c>
      <c r="E11" s="11">
        <v>5</v>
      </c>
      <c r="F11" s="10"/>
      <c r="G11" s="10" t="s">
        <v>601</v>
      </c>
      <c r="H11" s="11">
        <v>5202</v>
      </c>
      <c r="I11" s="10" t="s">
        <v>602</v>
      </c>
      <c r="J11" s="10"/>
      <c r="K11" s="10" t="s">
        <v>603</v>
      </c>
      <c r="L11" s="10" t="s">
        <v>604</v>
      </c>
      <c r="M11" s="10" t="s">
        <v>605</v>
      </c>
    </row>
    <row r="12" spans="1:13">
      <c r="A12" s="10" t="s">
        <v>2286</v>
      </c>
      <c r="B12" s="10" t="s">
        <v>259</v>
      </c>
      <c r="C12" s="10" t="s">
        <v>619</v>
      </c>
      <c r="D12" s="10" t="s">
        <v>600</v>
      </c>
      <c r="E12" s="11">
        <v>5</v>
      </c>
      <c r="F12" s="10"/>
      <c r="G12" s="10" t="s">
        <v>601</v>
      </c>
      <c r="H12" s="11">
        <v>5202</v>
      </c>
      <c r="I12" s="10" t="s">
        <v>602</v>
      </c>
      <c r="J12" s="10"/>
      <c r="K12" s="10" t="s">
        <v>603</v>
      </c>
      <c r="L12" s="10" t="s">
        <v>604</v>
      </c>
      <c r="M12" s="10" t="s">
        <v>605</v>
      </c>
    </row>
    <row r="13" spans="1:13">
      <c r="A13" s="10" t="s">
        <v>2287</v>
      </c>
      <c r="B13" s="10" t="s">
        <v>260</v>
      </c>
      <c r="C13" s="10" t="s">
        <v>620</v>
      </c>
      <c r="D13" s="10" t="s">
        <v>600</v>
      </c>
      <c r="E13" s="11">
        <v>5</v>
      </c>
      <c r="F13" s="10"/>
      <c r="G13" s="10" t="s">
        <v>601</v>
      </c>
      <c r="H13" s="11">
        <v>5202</v>
      </c>
      <c r="I13" s="10" t="s">
        <v>602</v>
      </c>
      <c r="J13" s="10"/>
      <c r="K13" s="10" t="s">
        <v>603</v>
      </c>
      <c r="L13" s="10" t="s">
        <v>604</v>
      </c>
      <c r="M13" s="10" t="s">
        <v>605</v>
      </c>
    </row>
    <row r="14" spans="1:13">
      <c r="A14" s="10" t="s">
        <v>2288</v>
      </c>
      <c r="B14" s="10" t="s">
        <v>261</v>
      </c>
      <c r="C14" s="10" t="s">
        <v>621</v>
      </c>
      <c r="D14" s="10" t="s">
        <v>600</v>
      </c>
      <c r="E14" s="11">
        <v>5</v>
      </c>
      <c r="F14" s="10"/>
      <c r="G14" s="10" t="s">
        <v>601</v>
      </c>
      <c r="H14" s="11">
        <v>5202</v>
      </c>
      <c r="I14" s="10" t="s">
        <v>602</v>
      </c>
      <c r="J14" s="10"/>
      <c r="K14" s="10" t="s">
        <v>603</v>
      </c>
      <c r="L14" s="10" t="s">
        <v>604</v>
      </c>
      <c r="M14" s="10" t="s">
        <v>605</v>
      </c>
    </row>
    <row r="15" spans="1:13">
      <c r="A15" s="10" t="s">
        <v>2289</v>
      </c>
      <c r="B15" s="10" t="s">
        <v>622</v>
      </c>
      <c r="C15" s="10" t="s">
        <v>623</v>
      </c>
      <c r="D15" s="10" t="s">
        <v>600</v>
      </c>
      <c r="E15" s="11">
        <v>5</v>
      </c>
      <c r="F15" s="10"/>
      <c r="G15" s="10" t="s">
        <v>601</v>
      </c>
      <c r="H15" s="11">
        <v>5202</v>
      </c>
      <c r="I15" s="10" t="s">
        <v>602</v>
      </c>
      <c r="J15" s="10"/>
      <c r="K15" s="10" t="s">
        <v>603</v>
      </c>
      <c r="L15" s="10" t="s">
        <v>604</v>
      </c>
      <c r="M15" s="10" t="s">
        <v>605</v>
      </c>
    </row>
    <row r="16" spans="1:13">
      <c r="A16" s="10" t="s">
        <v>2290</v>
      </c>
      <c r="B16" s="10" t="s">
        <v>624</v>
      </c>
      <c r="C16" s="10" t="s">
        <v>625</v>
      </c>
      <c r="D16" s="10" t="s">
        <v>600</v>
      </c>
      <c r="E16" s="11">
        <v>5</v>
      </c>
      <c r="F16" s="10"/>
      <c r="G16" s="10" t="s">
        <v>601</v>
      </c>
      <c r="H16" s="11">
        <v>5202</v>
      </c>
      <c r="I16" s="10" t="s">
        <v>602</v>
      </c>
      <c r="J16" s="10"/>
      <c r="K16" s="10" t="s">
        <v>603</v>
      </c>
      <c r="L16" s="10" t="s">
        <v>604</v>
      </c>
      <c r="M16" s="10" t="s">
        <v>605</v>
      </c>
    </row>
    <row r="17" spans="1:13">
      <c r="A17" s="10" t="s">
        <v>2291</v>
      </c>
      <c r="B17" s="10" t="s">
        <v>626</v>
      </c>
      <c r="C17" s="10" t="s">
        <v>627</v>
      </c>
      <c r="D17" s="10" t="s">
        <v>600</v>
      </c>
      <c r="E17" s="11">
        <v>5</v>
      </c>
      <c r="F17" s="10"/>
      <c r="G17" s="10" t="s">
        <v>601</v>
      </c>
      <c r="H17" s="11">
        <v>5202</v>
      </c>
      <c r="I17" s="10" t="s">
        <v>602</v>
      </c>
      <c r="J17" s="10"/>
      <c r="K17" s="10" t="s">
        <v>603</v>
      </c>
      <c r="L17" s="10" t="s">
        <v>604</v>
      </c>
      <c r="M17" s="10" t="s">
        <v>605</v>
      </c>
    </row>
    <row r="18" spans="1:13">
      <c r="A18" s="10" t="s">
        <v>2292</v>
      </c>
      <c r="B18" s="10" t="s">
        <v>628</v>
      </c>
      <c r="C18" s="10" t="s">
        <v>629</v>
      </c>
      <c r="D18" s="10" t="s">
        <v>600</v>
      </c>
      <c r="E18" s="11">
        <v>5</v>
      </c>
      <c r="F18" s="10"/>
      <c r="G18" s="10" t="s">
        <v>601</v>
      </c>
      <c r="H18" s="11">
        <v>5202</v>
      </c>
      <c r="I18" s="10" t="s">
        <v>602</v>
      </c>
      <c r="J18" s="10"/>
      <c r="K18" s="10" t="s">
        <v>603</v>
      </c>
      <c r="L18" s="10" t="s">
        <v>604</v>
      </c>
      <c r="M18" s="10" t="s">
        <v>605</v>
      </c>
    </row>
    <row r="19" spans="1:13">
      <c r="A19" s="10" t="s">
        <v>2351</v>
      </c>
      <c r="B19" s="10" t="s">
        <v>293</v>
      </c>
      <c r="C19" s="10" t="s">
        <v>1034</v>
      </c>
      <c r="D19" s="10" t="s">
        <v>600</v>
      </c>
      <c r="E19" s="11">
        <v>5</v>
      </c>
      <c r="F19" s="10"/>
      <c r="G19" s="10" t="s">
        <v>601</v>
      </c>
      <c r="H19" s="11">
        <v>5202</v>
      </c>
      <c r="I19" s="10" t="s">
        <v>602</v>
      </c>
      <c r="J19" s="10"/>
      <c r="K19" s="10" t="s">
        <v>603</v>
      </c>
      <c r="L19" s="10" t="s">
        <v>604</v>
      </c>
      <c r="M19" s="10" t="s">
        <v>605</v>
      </c>
    </row>
    <row r="20" spans="1:13">
      <c r="A20" s="10" t="s">
        <v>2355</v>
      </c>
      <c r="B20" s="10" t="s">
        <v>295</v>
      </c>
      <c r="C20" s="10" t="s">
        <v>1045</v>
      </c>
      <c r="D20" s="10" t="s">
        <v>600</v>
      </c>
      <c r="E20" s="11">
        <v>5</v>
      </c>
      <c r="F20" s="10"/>
      <c r="G20" s="10" t="s">
        <v>601</v>
      </c>
      <c r="H20" s="11">
        <v>5202</v>
      </c>
      <c r="I20" s="10" t="s">
        <v>602</v>
      </c>
      <c r="J20" s="10"/>
      <c r="K20" s="10" t="s">
        <v>603</v>
      </c>
      <c r="L20" s="10" t="s">
        <v>604</v>
      </c>
      <c r="M20" s="10" t="s">
        <v>605</v>
      </c>
    </row>
    <row r="21" spans="1:13">
      <c r="A21" s="10" t="s">
        <v>2282</v>
      </c>
      <c r="B21" s="10" t="s">
        <v>257</v>
      </c>
      <c r="C21" s="10" t="s">
        <v>606</v>
      </c>
      <c r="D21" s="10" t="s">
        <v>607</v>
      </c>
      <c r="E21" s="11">
        <v>125</v>
      </c>
      <c r="F21" s="10"/>
      <c r="G21" s="10" t="s">
        <v>601</v>
      </c>
      <c r="H21" s="11">
        <v>1150</v>
      </c>
      <c r="I21" s="10" t="s">
        <v>608</v>
      </c>
      <c r="J21" s="10"/>
      <c r="K21" s="10"/>
      <c r="L21" s="10" t="s">
        <v>609</v>
      </c>
      <c r="M21" s="10" t="s">
        <v>610</v>
      </c>
    </row>
    <row r="22" spans="1:13">
      <c r="A22" s="10" t="s">
        <v>2284</v>
      </c>
      <c r="B22" s="10" t="s">
        <v>615</v>
      </c>
      <c r="C22" s="10" t="s">
        <v>616</v>
      </c>
      <c r="D22" s="10" t="s">
        <v>607</v>
      </c>
      <c r="E22" s="11">
        <v>125</v>
      </c>
      <c r="F22" s="10"/>
      <c r="G22" s="10" t="s">
        <v>601</v>
      </c>
      <c r="H22" s="11">
        <v>1150</v>
      </c>
      <c r="I22" s="10" t="s">
        <v>608</v>
      </c>
      <c r="J22" s="10"/>
      <c r="K22" s="10"/>
      <c r="L22" s="10" t="s">
        <v>609</v>
      </c>
      <c r="M22" s="10" t="s">
        <v>610</v>
      </c>
    </row>
    <row r="23" spans="1:13">
      <c r="A23" s="10" t="s">
        <v>2286</v>
      </c>
      <c r="B23" s="10" t="s">
        <v>259</v>
      </c>
      <c r="C23" s="10" t="s">
        <v>619</v>
      </c>
      <c r="D23" s="10" t="s">
        <v>607</v>
      </c>
      <c r="E23" s="11">
        <v>125</v>
      </c>
      <c r="F23" s="10"/>
      <c r="G23" s="10" t="s">
        <v>601</v>
      </c>
      <c r="H23" s="11">
        <v>1150</v>
      </c>
      <c r="I23" s="10" t="s">
        <v>608</v>
      </c>
      <c r="J23" s="10"/>
      <c r="K23" s="10"/>
      <c r="L23" s="10" t="s">
        <v>609</v>
      </c>
      <c r="M23" s="10" t="s">
        <v>610</v>
      </c>
    </row>
    <row r="24" spans="1:13">
      <c r="A24" s="10" t="s">
        <v>2446</v>
      </c>
      <c r="B24" s="10" t="s">
        <v>319</v>
      </c>
      <c r="C24" s="10" t="s">
        <v>1746</v>
      </c>
      <c r="D24" s="10" t="s">
        <v>1747</v>
      </c>
      <c r="E24" s="11">
        <v>224</v>
      </c>
      <c r="F24" s="10"/>
      <c r="G24" s="10" t="s">
        <v>601</v>
      </c>
      <c r="H24" s="11">
        <v>896</v>
      </c>
      <c r="I24" s="10" t="s">
        <v>1748</v>
      </c>
      <c r="J24" s="10"/>
      <c r="K24" s="10" t="s">
        <v>1749</v>
      </c>
      <c r="L24" s="10" t="s">
        <v>1750</v>
      </c>
      <c r="M24" s="10" t="s">
        <v>1751</v>
      </c>
    </row>
    <row r="25" spans="1:13">
      <c r="A25" s="10" t="s">
        <v>2447</v>
      </c>
      <c r="B25" s="10" t="s">
        <v>320</v>
      </c>
      <c r="C25" s="10" t="s">
        <v>1752</v>
      </c>
      <c r="D25" s="10" t="s">
        <v>1747</v>
      </c>
      <c r="E25" s="11">
        <v>224</v>
      </c>
      <c r="F25" s="10"/>
      <c r="G25" s="10" t="s">
        <v>601</v>
      </c>
      <c r="H25" s="11">
        <v>896</v>
      </c>
      <c r="I25" s="10" t="s">
        <v>1748</v>
      </c>
      <c r="J25" s="10"/>
      <c r="K25" s="10" t="s">
        <v>1749</v>
      </c>
      <c r="L25" s="10" t="s">
        <v>1750</v>
      </c>
      <c r="M25" s="10" t="s">
        <v>1751</v>
      </c>
    </row>
    <row r="26" spans="1:13">
      <c r="A26" s="10" t="s">
        <v>2299</v>
      </c>
      <c r="B26" s="10" t="s">
        <v>262</v>
      </c>
      <c r="C26" s="10" t="s">
        <v>655</v>
      </c>
      <c r="D26" s="10" t="s">
        <v>656</v>
      </c>
      <c r="E26" s="11">
        <v>294</v>
      </c>
      <c r="F26" s="10"/>
      <c r="G26" s="10" t="s">
        <v>601</v>
      </c>
      <c r="H26" s="11">
        <v>187</v>
      </c>
      <c r="I26" s="10" t="s">
        <v>657</v>
      </c>
      <c r="J26" s="10" t="s">
        <v>658</v>
      </c>
      <c r="K26" s="10" t="s">
        <v>659</v>
      </c>
      <c r="L26" s="10" t="s">
        <v>660</v>
      </c>
      <c r="M26" s="10" t="s">
        <v>661</v>
      </c>
    </row>
    <row r="27" spans="1:13">
      <c r="A27" s="10" t="s">
        <v>2300</v>
      </c>
      <c r="B27" s="10" t="s">
        <v>263</v>
      </c>
      <c r="C27" s="10" t="s">
        <v>662</v>
      </c>
      <c r="D27" s="10" t="s">
        <v>656</v>
      </c>
      <c r="E27" s="11">
        <v>294</v>
      </c>
      <c r="F27" s="10"/>
      <c r="G27" s="10" t="s">
        <v>601</v>
      </c>
      <c r="H27" s="11">
        <v>187</v>
      </c>
      <c r="I27" s="10" t="s">
        <v>657</v>
      </c>
      <c r="J27" s="10" t="s">
        <v>658</v>
      </c>
      <c r="K27" s="10" t="s">
        <v>659</v>
      </c>
      <c r="L27" s="10" t="s">
        <v>660</v>
      </c>
      <c r="M27" s="10" t="s">
        <v>661</v>
      </c>
    </row>
    <row r="28" spans="1:13">
      <c r="A28" s="10" t="s">
        <v>2301</v>
      </c>
      <c r="B28" s="10" t="s">
        <v>264</v>
      </c>
      <c r="C28" s="10" t="s">
        <v>663</v>
      </c>
      <c r="D28" s="10" t="s">
        <v>656</v>
      </c>
      <c r="E28" s="11">
        <v>294</v>
      </c>
      <c r="F28" s="10"/>
      <c r="G28" s="10" t="s">
        <v>601</v>
      </c>
      <c r="H28" s="11">
        <v>187</v>
      </c>
      <c r="I28" s="10" t="s">
        <v>657</v>
      </c>
      <c r="J28" s="10" t="s">
        <v>658</v>
      </c>
      <c r="K28" s="10" t="s">
        <v>659</v>
      </c>
      <c r="L28" s="10" t="s">
        <v>660</v>
      </c>
      <c r="M28" s="10" t="s">
        <v>661</v>
      </c>
    </row>
    <row r="29" spans="1:13">
      <c r="A29" s="10" t="s">
        <v>2302</v>
      </c>
      <c r="B29" s="10" t="s">
        <v>265</v>
      </c>
      <c r="C29" s="10" t="s">
        <v>664</v>
      </c>
      <c r="D29" s="10" t="s">
        <v>656</v>
      </c>
      <c r="E29" s="11">
        <v>294</v>
      </c>
      <c r="F29" s="10"/>
      <c r="G29" s="10" t="s">
        <v>601</v>
      </c>
      <c r="H29" s="11">
        <v>187</v>
      </c>
      <c r="I29" s="10" t="s">
        <v>657</v>
      </c>
      <c r="J29" s="10" t="s">
        <v>658</v>
      </c>
      <c r="K29" s="10" t="s">
        <v>659</v>
      </c>
      <c r="L29" s="10" t="s">
        <v>660</v>
      </c>
      <c r="M29" s="10" t="s">
        <v>661</v>
      </c>
    </row>
    <row r="30" spans="1:13">
      <c r="A30" s="10" t="s">
        <v>2303</v>
      </c>
      <c r="B30" s="10" t="s">
        <v>665</v>
      </c>
      <c r="C30" s="10" t="s">
        <v>666</v>
      </c>
      <c r="D30" s="10" t="s">
        <v>656</v>
      </c>
      <c r="E30" s="11">
        <v>294</v>
      </c>
      <c r="F30" s="10"/>
      <c r="G30" s="10" t="s">
        <v>601</v>
      </c>
      <c r="H30" s="11">
        <v>187</v>
      </c>
      <c r="I30" s="10" t="s">
        <v>657</v>
      </c>
      <c r="J30" s="10" t="s">
        <v>658</v>
      </c>
      <c r="K30" s="10" t="s">
        <v>659</v>
      </c>
      <c r="L30" s="10" t="s">
        <v>660</v>
      </c>
      <c r="M30" s="10" t="s">
        <v>661</v>
      </c>
    </row>
    <row r="31" spans="1:13">
      <c r="A31" s="10" t="s">
        <v>2305</v>
      </c>
      <c r="B31" s="10" t="s">
        <v>270</v>
      </c>
      <c r="C31" s="10" t="s">
        <v>674</v>
      </c>
      <c r="D31" s="10" t="s">
        <v>675</v>
      </c>
      <c r="E31" s="11">
        <v>479</v>
      </c>
      <c r="F31" s="10"/>
      <c r="G31" s="10" t="s">
        <v>601</v>
      </c>
      <c r="H31" s="11">
        <v>5816</v>
      </c>
      <c r="I31" s="10" t="s">
        <v>676</v>
      </c>
      <c r="J31" s="10" t="s">
        <v>677</v>
      </c>
      <c r="K31" s="10" t="s">
        <v>678</v>
      </c>
      <c r="L31" s="10" t="s">
        <v>679</v>
      </c>
      <c r="M31" s="10" t="s">
        <v>680</v>
      </c>
    </row>
    <row r="32" spans="1:13">
      <c r="A32" s="10" t="s">
        <v>2306</v>
      </c>
      <c r="B32" s="10" t="s">
        <v>687</v>
      </c>
      <c r="C32" s="10" t="s">
        <v>688</v>
      </c>
      <c r="D32" s="10" t="s">
        <v>675</v>
      </c>
      <c r="E32" s="11">
        <v>479</v>
      </c>
      <c r="F32" s="10"/>
      <c r="G32" s="10" t="s">
        <v>601</v>
      </c>
      <c r="H32" s="11">
        <v>5816</v>
      </c>
      <c r="I32" s="10" t="s">
        <v>676</v>
      </c>
      <c r="J32" s="10" t="s">
        <v>677</v>
      </c>
      <c r="K32" s="10" t="s">
        <v>678</v>
      </c>
      <c r="L32" s="10" t="s">
        <v>679</v>
      </c>
      <c r="M32" s="10" t="s">
        <v>680</v>
      </c>
    </row>
    <row r="33" spans="1:13">
      <c r="A33" s="10" t="s">
        <v>2307</v>
      </c>
      <c r="B33" s="10" t="s">
        <v>689</v>
      </c>
      <c r="C33" s="10" t="s">
        <v>690</v>
      </c>
      <c r="D33" s="10" t="s">
        <v>675</v>
      </c>
      <c r="E33" s="11">
        <v>479</v>
      </c>
      <c r="F33" s="10"/>
      <c r="G33" s="10" t="s">
        <v>601</v>
      </c>
      <c r="H33" s="11">
        <v>5816</v>
      </c>
      <c r="I33" s="10" t="s">
        <v>676</v>
      </c>
      <c r="J33" s="10" t="s">
        <v>677</v>
      </c>
      <c r="K33" s="10" t="s">
        <v>678</v>
      </c>
      <c r="L33" s="10" t="s">
        <v>679</v>
      </c>
      <c r="M33" s="10" t="s">
        <v>680</v>
      </c>
    </row>
    <row r="34" spans="1:13">
      <c r="A34" s="10" t="s">
        <v>2308</v>
      </c>
      <c r="B34" s="10" t="s">
        <v>271</v>
      </c>
      <c r="C34" s="10" t="s">
        <v>691</v>
      </c>
      <c r="D34" s="10" t="s">
        <v>675</v>
      </c>
      <c r="E34" s="11">
        <v>479</v>
      </c>
      <c r="F34" s="10"/>
      <c r="G34" s="10" t="s">
        <v>601</v>
      </c>
      <c r="H34" s="11">
        <v>5816</v>
      </c>
      <c r="I34" s="10" t="s">
        <v>676</v>
      </c>
      <c r="J34" s="10" t="s">
        <v>677</v>
      </c>
      <c r="K34" s="10" t="s">
        <v>678</v>
      </c>
      <c r="L34" s="10" t="s">
        <v>679</v>
      </c>
      <c r="M34" s="10" t="s">
        <v>680</v>
      </c>
    </row>
    <row r="35" spans="1:13">
      <c r="A35" s="10" t="s">
        <v>2309</v>
      </c>
      <c r="B35" s="10" t="s">
        <v>272</v>
      </c>
      <c r="C35" s="10" t="s">
        <v>692</v>
      </c>
      <c r="D35" s="10" t="s">
        <v>675</v>
      </c>
      <c r="E35" s="11">
        <v>479</v>
      </c>
      <c r="F35" s="10"/>
      <c r="G35" s="10" t="s">
        <v>601</v>
      </c>
      <c r="H35" s="11">
        <v>5816</v>
      </c>
      <c r="I35" s="10" t="s">
        <v>676</v>
      </c>
      <c r="J35" s="10" t="s">
        <v>677</v>
      </c>
      <c r="K35" s="10" t="s">
        <v>678</v>
      </c>
      <c r="L35" s="10" t="s">
        <v>679</v>
      </c>
      <c r="M35" s="10" t="s">
        <v>680</v>
      </c>
    </row>
    <row r="36" spans="1:13">
      <c r="A36" s="10" t="s">
        <v>2310</v>
      </c>
      <c r="B36" s="10" t="s">
        <v>273</v>
      </c>
      <c r="C36" s="10" t="s">
        <v>693</v>
      </c>
      <c r="D36" s="10" t="s">
        <v>675</v>
      </c>
      <c r="E36" s="11">
        <v>479</v>
      </c>
      <c r="F36" s="10"/>
      <c r="G36" s="10" t="s">
        <v>601</v>
      </c>
      <c r="H36" s="11">
        <v>5816</v>
      </c>
      <c r="I36" s="10" t="s">
        <v>676</v>
      </c>
      <c r="J36" s="10" t="s">
        <v>677</v>
      </c>
      <c r="K36" s="10" t="s">
        <v>678</v>
      </c>
      <c r="L36" s="10" t="s">
        <v>679</v>
      </c>
      <c r="M36" s="10" t="s">
        <v>680</v>
      </c>
    </row>
    <row r="37" spans="1:13">
      <c r="A37" s="10" t="s">
        <v>2311</v>
      </c>
      <c r="B37" s="10" t="s">
        <v>274</v>
      </c>
      <c r="C37" s="10" t="s">
        <v>694</v>
      </c>
      <c r="D37" s="10" t="s">
        <v>675</v>
      </c>
      <c r="E37" s="11">
        <v>479</v>
      </c>
      <c r="F37" s="10"/>
      <c r="G37" s="10" t="s">
        <v>601</v>
      </c>
      <c r="H37" s="11">
        <v>5816</v>
      </c>
      <c r="I37" s="10" t="s">
        <v>676</v>
      </c>
      <c r="J37" s="10" t="s">
        <v>677</v>
      </c>
      <c r="K37" s="10" t="s">
        <v>678</v>
      </c>
      <c r="L37" s="10" t="s">
        <v>679</v>
      </c>
      <c r="M37" s="10" t="s">
        <v>680</v>
      </c>
    </row>
    <row r="38" spans="1:13">
      <c r="A38" s="10" t="s">
        <v>2312</v>
      </c>
      <c r="B38" s="10" t="s">
        <v>275</v>
      </c>
      <c r="C38" s="10" t="s">
        <v>699</v>
      </c>
      <c r="D38" s="10" t="s">
        <v>675</v>
      </c>
      <c r="E38" s="11">
        <v>479</v>
      </c>
      <c r="F38" s="10"/>
      <c r="G38" s="10" t="s">
        <v>601</v>
      </c>
      <c r="H38" s="11">
        <v>5816</v>
      </c>
      <c r="I38" s="10" t="s">
        <v>676</v>
      </c>
      <c r="J38" s="10" t="s">
        <v>677</v>
      </c>
      <c r="K38" s="10" t="s">
        <v>678</v>
      </c>
      <c r="L38" s="10" t="s">
        <v>679</v>
      </c>
      <c r="M38" s="10" t="s">
        <v>680</v>
      </c>
    </row>
    <row r="39" spans="1:13">
      <c r="A39" s="10" t="s">
        <v>2313</v>
      </c>
      <c r="B39" s="10" t="s">
        <v>703</v>
      </c>
      <c r="C39" s="10" t="s">
        <v>704</v>
      </c>
      <c r="D39" s="10" t="s">
        <v>675</v>
      </c>
      <c r="E39" s="11">
        <v>479</v>
      </c>
      <c r="F39" s="10"/>
      <c r="G39" s="10" t="s">
        <v>601</v>
      </c>
      <c r="H39" s="11">
        <v>5816</v>
      </c>
      <c r="I39" s="10" t="s">
        <v>676</v>
      </c>
      <c r="J39" s="10" t="s">
        <v>677</v>
      </c>
      <c r="K39" s="10" t="s">
        <v>678</v>
      </c>
      <c r="L39" s="10" t="s">
        <v>679</v>
      </c>
      <c r="M39" s="10" t="s">
        <v>680</v>
      </c>
    </row>
    <row r="40" spans="1:13">
      <c r="A40" s="10" t="s">
        <v>2311</v>
      </c>
      <c r="B40" s="10" t="s">
        <v>274</v>
      </c>
      <c r="C40" s="10" t="s">
        <v>694</v>
      </c>
      <c r="D40" s="10" t="s">
        <v>695</v>
      </c>
      <c r="E40" s="11">
        <v>484</v>
      </c>
      <c r="F40" s="10"/>
      <c r="G40" s="10" t="s">
        <v>601</v>
      </c>
      <c r="H40" s="11">
        <v>951</v>
      </c>
      <c r="I40" s="10" t="s">
        <v>696</v>
      </c>
      <c r="J40" s="10"/>
      <c r="K40" s="10" t="s">
        <v>683</v>
      </c>
      <c r="L40" s="10" t="s">
        <v>697</v>
      </c>
      <c r="M40" s="10" t="s">
        <v>698</v>
      </c>
    </row>
    <row r="41" spans="1:13">
      <c r="A41" s="10" t="s">
        <v>2312</v>
      </c>
      <c r="B41" s="10" t="s">
        <v>275</v>
      </c>
      <c r="C41" s="10" t="s">
        <v>699</v>
      </c>
      <c r="D41" s="10" t="s">
        <v>695</v>
      </c>
      <c r="E41" s="11">
        <v>484</v>
      </c>
      <c r="F41" s="10"/>
      <c r="G41" s="10" t="s">
        <v>601</v>
      </c>
      <c r="H41" s="11">
        <v>951</v>
      </c>
      <c r="I41" s="10" t="s">
        <v>696</v>
      </c>
      <c r="J41" s="10"/>
      <c r="K41" s="10" t="s">
        <v>683</v>
      </c>
      <c r="L41" s="10" t="s">
        <v>697</v>
      </c>
      <c r="M41" s="10" t="s">
        <v>698</v>
      </c>
    </row>
    <row r="42" spans="1:13">
      <c r="A42" s="10" t="s">
        <v>2351</v>
      </c>
      <c r="B42" s="10" t="s">
        <v>293</v>
      </c>
      <c r="C42" s="10" t="s">
        <v>1034</v>
      </c>
      <c r="D42" s="10" t="s">
        <v>695</v>
      </c>
      <c r="E42" s="11">
        <v>484</v>
      </c>
      <c r="F42" s="10"/>
      <c r="G42" s="10" t="s">
        <v>601</v>
      </c>
      <c r="H42" s="11">
        <v>951</v>
      </c>
      <c r="I42" s="10" t="s">
        <v>696</v>
      </c>
      <c r="J42" s="10"/>
      <c r="K42" s="10" t="s">
        <v>683</v>
      </c>
      <c r="L42" s="10" t="s">
        <v>697</v>
      </c>
      <c r="M42" s="10" t="s">
        <v>698</v>
      </c>
    </row>
    <row r="43" spans="1:13">
      <c r="A43" s="10" t="s">
        <v>2355</v>
      </c>
      <c r="B43" s="10" t="s">
        <v>295</v>
      </c>
      <c r="C43" s="10" t="s">
        <v>1045</v>
      </c>
      <c r="D43" s="10" t="s">
        <v>695</v>
      </c>
      <c r="E43" s="11">
        <v>484</v>
      </c>
      <c r="F43" s="10"/>
      <c r="G43" s="10" t="s">
        <v>601</v>
      </c>
      <c r="H43" s="11">
        <v>951</v>
      </c>
      <c r="I43" s="10" t="s">
        <v>696</v>
      </c>
      <c r="J43" s="10"/>
      <c r="K43" s="10" t="s">
        <v>683</v>
      </c>
      <c r="L43" s="10" t="s">
        <v>697</v>
      </c>
      <c r="M43" s="10" t="s">
        <v>698</v>
      </c>
    </row>
    <row r="44" spans="1:13">
      <c r="A44" s="10" t="s">
        <v>2305</v>
      </c>
      <c r="B44" s="10" t="s">
        <v>270</v>
      </c>
      <c r="C44" s="10" t="s">
        <v>674</v>
      </c>
      <c r="D44" s="10" t="s">
        <v>681</v>
      </c>
      <c r="E44" s="11">
        <v>505</v>
      </c>
      <c r="F44" s="10"/>
      <c r="G44" s="10" t="s">
        <v>601</v>
      </c>
      <c r="H44" s="11">
        <v>439260</v>
      </c>
      <c r="I44" s="10" t="s">
        <v>682</v>
      </c>
      <c r="J44" s="10" t="s">
        <v>683</v>
      </c>
      <c r="K44" s="10" t="s">
        <v>684</v>
      </c>
      <c r="L44" s="10" t="s">
        <v>685</v>
      </c>
      <c r="M44" s="10" t="s">
        <v>686</v>
      </c>
    </row>
    <row r="45" spans="1:13">
      <c r="A45" s="10" t="s">
        <v>2306</v>
      </c>
      <c r="B45" s="10" t="s">
        <v>687</v>
      </c>
      <c r="C45" s="10" t="s">
        <v>688</v>
      </c>
      <c r="D45" s="10" t="s">
        <v>681</v>
      </c>
      <c r="E45" s="11">
        <v>505</v>
      </c>
      <c r="F45" s="10"/>
      <c r="G45" s="10" t="s">
        <v>601</v>
      </c>
      <c r="H45" s="11">
        <v>439260</v>
      </c>
      <c r="I45" s="10" t="s">
        <v>682</v>
      </c>
      <c r="J45" s="10" t="s">
        <v>683</v>
      </c>
      <c r="K45" s="10" t="s">
        <v>684</v>
      </c>
      <c r="L45" s="10" t="s">
        <v>685</v>
      </c>
      <c r="M45" s="10" t="s">
        <v>686</v>
      </c>
    </row>
    <row r="46" spans="1:13">
      <c r="A46" s="10" t="s">
        <v>2307</v>
      </c>
      <c r="B46" s="10" t="s">
        <v>689</v>
      </c>
      <c r="C46" s="10" t="s">
        <v>690</v>
      </c>
      <c r="D46" s="10" t="s">
        <v>681</v>
      </c>
      <c r="E46" s="11">
        <v>505</v>
      </c>
      <c r="F46" s="10"/>
      <c r="G46" s="10" t="s">
        <v>601</v>
      </c>
      <c r="H46" s="11">
        <v>439260</v>
      </c>
      <c r="I46" s="10" t="s">
        <v>682</v>
      </c>
      <c r="J46" s="10" t="s">
        <v>683</v>
      </c>
      <c r="K46" s="10" t="s">
        <v>684</v>
      </c>
      <c r="L46" s="10" t="s">
        <v>685</v>
      </c>
      <c r="M46" s="10" t="s">
        <v>686</v>
      </c>
    </row>
    <row r="47" spans="1:13">
      <c r="A47" s="10" t="s">
        <v>2308</v>
      </c>
      <c r="B47" s="10" t="s">
        <v>271</v>
      </c>
      <c r="C47" s="10" t="s">
        <v>691</v>
      </c>
      <c r="D47" s="10" t="s">
        <v>681</v>
      </c>
      <c r="E47" s="11">
        <v>505</v>
      </c>
      <c r="F47" s="10"/>
      <c r="G47" s="10" t="s">
        <v>601</v>
      </c>
      <c r="H47" s="11">
        <v>439260</v>
      </c>
      <c r="I47" s="10" t="s">
        <v>682</v>
      </c>
      <c r="J47" s="10" t="s">
        <v>683</v>
      </c>
      <c r="K47" s="10" t="s">
        <v>684</v>
      </c>
      <c r="L47" s="10" t="s">
        <v>685</v>
      </c>
      <c r="M47" s="10" t="s">
        <v>686</v>
      </c>
    </row>
    <row r="48" spans="1:13">
      <c r="A48" s="10" t="s">
        <v>2309</v>
      </c>
      <c r="B48" s="10" t="s">
        <v>272</v>
      </c>
      <c r="C48" s="10" t="s">
        <v>692</v>
      </c>
      <c r="D48" s="10" t="s">
        <v>681</v>
      </c>
      <c r="E48" s="11">
        <v>505</v>
      </c>
      <c r="F48" s="10"/>
      <c r="G48" s="10" t="s">
        <v>601</v>
      </c>
      <c r="H48" s="11">
        <v>439260</v>
      </c>
      <c r="I48" s="10" t="s">
        <v>682</v>
      </c>
      <c r="J48" s="10" t="s">
        <v>683</v>
      </c>
      <c r="K48" s="10" t="s">
        <v>684</v>
      </c>
      <c r="L48" s="10" t="s">
        <v>685</v>
      </c>
      <c r="M48" s="10" t="s">
        <v>686</v>
      </c>
    </row>
    <row r="49" spans="1:13">
      <c r="A49" s="10" t="s">
        <v>2310</v>
      </c>
      <c r="B49" s="10" t="s">
        <v>273</v>
      </c>
      <c r="C49" s="10" t="s">
        <v>693</v>
      </c>
      <c r="D49" s="10" t="s">
        <v>681</v>
      </c>
      <c r="E49" s="11">
        <v>505</v>
      </c>
      <c r="F49" s="10"/>
      <c r="G49" s="10" t="s">
        <v>601</v>
      </c>
      <c r="H49" s="11">
        <v>439260</v>
      </c>
      <c r="I49" s="10" t="s">
        <v>682</v>
      </c>
      <c r="J49" s="10" t="s">
        <v>683</v>
      </c>
      <c r="K49" s="10" t="s">
        <v>684</v>
      </c>
      <c r="L49" s="10" t="s">
        <v>685</v>
      </c>
      <c r="M49" s="10" t="s">
        <v>686</v>
      </c>
    </row>
    <row r="50" spans="1:13">
      <c r="A50" s="10" t="s">
        <v>2311</v>
      </c>
      <c r="B50" s="10" t="s">
        <v>274</v>
      </c>
      <c r="C50" s="10" t="s">
        <v>694</v>
      </c>
      <c r="D50" s="10" t="s">
        <v>681</v>
      </c>
      <c r="E50" s="11">
        <v>505</v>
      </c>
      <c r="F50" s="10"/>
      <c r="G50" s="10" t="s">
        <v>601</v>
      </c>
      <c r="H50" s="11">
        <v>439260</v>
      </c>
      <c r="I50" s="10" t="s">
        <v>682</v>
      </c>
      <c r="J50" s="10" t="s">
        <v>683</v>
      </c>
      <c r="K50" s="10" t="s">
        <v>684</v>
      </c>
      <c r="L50" s="10" t="s">
        <v>685</v>
      </c>
      <c r="M50" s="10" t="s">
        <v>686</v>
      </c>
    </row>
    <row r="51" spans="1:13">
      <c r="A51" s="10" t="s">
        <v>2312</v>
      </c>
      <c r="B51" s="10" t="s">
        <v>275</v>
      </c>
      <c r="C51" s="10" t="s">
        <v>699</v>
      </c>
      <c r="D51" s="10" t="s">
        <v>681</v>
      </c>
      <c r="E51" s="11">
        <v>505</v>
      </c>
      <c r="F51" s="10"/>
      <c r="G51" s="10" t="s">
        <v>601</v>
      </c>
      <c r="H51" s="11">
        <v>439260</v>
      </c>
      <c r="I51" s="10" t="s">
        <v>682</v>
      </c>
      <c r="J51" s="10" t="s">
        <v>683</v>
      </c>
      <c r="K51" s="10" t="s">
        <v>684</v>
      </c>
      <c r="L51" s="10" t="s">
        <v>685</v>
      </c>
      <c r="M51" s="10" t="s">
        <v>686</v>
      </c>
    </row>
    <row r="52" spans="1:13">
      <c r="A52" s="10" t="s">
        <v>2313</v>
      </c>
      <c r="B52" s="10" t="s">
        <v>703</v>
      </c>
      <c r="C52" s="10" t="s">
        <v>704</v>
      </c>
      <c r="D52" s="10" t="s">
        <v>681</v>
      </c>
      <c r="E52" s="11">
        <v>505</v>
      </c>
      <c r="F52" s="10"/>
      <c r="G52" s="10" t="s">
        <v>601</v>
      </c>
      <c r="H52" s="11">
        <v>439260</v>
      </c>
      <c r="I52" s="10" t="s">
        <v>682</v>
      </c>
      <c r="J52" s="10" t="s">
        <v>683</v>
      </c>
      <c r="K52" s="10" t="s">
        <v>684</v>
      </c>
      <c r="L52" s="10" t="s">
        <v>685</v>
      </c>
      <c r="M52" s="10" t="s">
        <v>686</v>
      </c>
    </row>
    <row r="53" spans="1:13">
      <c r="A53" s="10" t="s">
        <v>2313</v>
      </c>
      <c r="B53" s="10" t="s">
        <v>703</v>
      </c>
      <c r="C53" s="10" t="s">
        <v>704</v>
      </c>
      <c r="D53" s="10" t="s">
        <v>705</v>
      </c>
      <c r="E53" s="11">
        <v>509</v>
      </c>
      <c r="F53" s="10"/>
      <c r="G53" s="10" t="s">
        <v>601</v>
      </c>
      <c r="H53" s="11">
        <v>838</v>
      </c>
      <c r="I53" s="10" t="s">
        <v>706</v>
      </c>
      <c r="J53" s="10" t="s">
        <v>707</v>
      </c>
      <c r="K53" s="10" t="s">
        <v>708</v>
      </c>
      <c r="L53" s="10" t="s">
        <v>709</v>
      </c>
      <c r="M53" s="10" t="s">
        <v>710</v>
      </c>
    </row>
    <row r="54" spans="1:13">
      <c r="A54" s="10" t="s">
        <v>2389</v>
      </c>
      <c r="B54" s="10" t="s">
        <v>278</v>
      </c>
      <c r="C54" s="10" t="s">
        <v>1360</v>
      </c>
      <c r="D54" s="10" t="s">
        <v>1361</v>
      </c>
      <c r="E54" s="11">
        <v>608</v>
      </c>
      <c r="F54" s="10"/>
      <c r="G54" s="10" t="s">
        <v>601</v>
      </c>
      <c r="H54" s="11">
        <v>10133</v>
      </c>
      <c r="I54" s="10" t="s">
        <v>1362</v>
      </c>
      <c r="J54" s="10" t="s">
        <v>1361</v>
      </c>
      <c r="K54" s="10" t="s">
        <v>1363</v>
      </c>
      <c r="L54" s="10" t="s">
        <v>1364</v>
      </c>
      <c r="M54" s="10" t="s">
        <v>1365</v>
      </c>
    </row>
    <row r="55" spans="1:13">
      <c r="A55" s="10" t="s">
        <v>2389</v>
      </c>
      <c r="B55" s="10" t="s">
        <v>278</v>
      </c>
      <c r="C55" s="10" t="s">
        <v>1360</v>
      </c>
      <c r="D55" s="10" t="s">
        <v>1366</v>
      </c>
      <c r="E55" s="11">
        <v>609</v>
      </c>
      <c r="F55" s="10"/>
      <c r="G55" s="10" t="s">
        <v>601</v>
      </c>
      <c r="H55" s="11">
        <v>221493</v>
      </c>
      <c r="I55" s="10" t="s">
        <v>1367</v>
      </c>
      <c r="J55" s="10"/>
      <c r="K55" s="10" t="s">
        <v>1368</v>
      </c>
      <c r="L55" s="10" t="s">
        <v>1369</v>
      </c>
      <c r="M55" s="10" t="s">
        <v>1370</v>
      </c>
    </row>
    <row r="56" spans="1:13">
      <c r="A56" s="10" t="s">
        <v>2389</v>
      </c>
      <c r="B56" s="10" t="s">
        <v>278</v>
      </c>
      <c r="C56" s="10" t="s">
        <v>1360</v>
      </c>
      <c r="D56" s="10" t="s">
        <v>1371</v>
      </c>
      <c r="E56" s="11">
        <v>610</v>
      </c>
      <c r="F56" s="10"/>
      <c r="G56" s="10" t="s">
        <v>601</v>
      </c>
      <c r="H56" s="11">
        <v>222528</v>
      </c>
      <c r="I56" s="10" t="s">
        <v>1372</v>
      </c>
      <c r="J56" s="10"/>
      <c r="K56" s="10" t="s">
        <v>1373</v>
      </c>
      <c r="L56" s="10" t="s">
        <v>1374</v>
      </c>
      <c r="M56" s="10" t="s">
        <v>1375</v>
      </c>
    </row>
    <row r="57" spans="1:13">
      <c r="A57" s="10" t="s">
        <v>2389</v>
      </c>
      <c r="B57" s="10" t="s">
        <v>278</v>
      </c>
      <c r="C57" s="10" t="s">
        <v>1360</v>
      </c>
      <c r="D57" s="10" t="s">
        <v>1376</v>
      </c>
      <c r="E57" s="11">
        <v>611</v>
      </c>
      <c r="F57" s="10"/>
      <c r="G57" s="10" t="s">
        <v>601</v>
      </c>
      <c r="H57" s="11">
        <v>9903</v>
      </c>
      <c r="I57" s="10" t="s">
        <v>1377</v>
      </c>
      <c r="J57" s="10"/>
      <c r="K57" s="10" t="s">
        <v>1378</v>
      </c>
      <c r="L57" s="10" t="s">
        <v>1379</v>
      </c>
      <c r="M57" s="10" t="s">
        <v>1380</v>
      </c>
    </row>
    <row r="58" spans="1:13">
      <c r="A58" s="10" t="s">
        <v>2325</v>
      </c>
      <c r="B58" s="10" t="s">
        <v>829</v>
      </c>
      <c r="C58" s="10" t="s">
        <v>830</v>
      </c>
      <c r="D58" s="10" t="s">
        <v>835</v>
      </c>
      <c r="E58" s="11">
        <v>710</v>
      </c>
      <c r="F58" s="10"/>
      <c r="G58" s="10" t="s">
        <v>601</v>
      </c>
      <c r="H58" s="11">
        <v>1103</v>
      </c>
      <c r="I58" s="10" t="s">
        <v>836</v>
      </c>
      <c r="J58" s="10"/>
      <c r="K58" s="10"/>
      <c r="L58" s="10" t="s">
        <v>837</v>
      </c>
      <c r="M58" s="10" t="s">
        <v>838</v>
      </c>
    </row>
    <row r="59" spans="1:13">
      <c r="A59" s="10" t="s">
        <v>2325</v>
      </c>
      <c r="B59" s="10" t="s">
        <v>829</v>
      </c>
      <c r="C59" s="10" t="s">
        <v>830</v>
      </c>
      <c r="D59" s="10" t="s">
        <v>839</v>
      </c>
      <c r="E59" s="11">
        <v>717</v>
      </c>
      <c r="F59" s="10"/>
      <c r="G59" s="10" t="s">
        <v>601</v>
      </c>
      <c r="H59" s="11">
        <v>6305</v>
      </c>
      <c r="I59" s="10" t="s">
        <v>840</v>
      </c>
      <c r="J59" s="10" t="s">
        <v>841</v>
      </c>
      <c r="K59" s="10" t="s">
        <v>842</v>
      </c>
      <c r="L59" s="10" t="s">
        <v>843</v>
      </c>
      <c r="M59" s="10" t="s">
        <v>844</v>
      </c>
    </row>
    <row r="60" spans="1:13">
      <c r="A60" s="10" t="s">
        <v>2385</v>
      </c>
      <c r="B60" s="10" t="s">
        <v>1298</v>
      </c>
      <c r="C60" s="10" t="s">
        <v>1299</v>
      </c>
      <c r="D60" s="10" t="s">
        <v>839</v>
      </c>
      <c r="E60" s="11">
        <v>717</v>
      </c>
      <c r="F60" s="10"/>
      <c r="G60" s="10" t="s">
        <v>601</v>
      </c>
      <c r="H60" s="11">
        <v>6305</v>
      </c>
      <c r="I60" s="10" t="s">
        <v>840</v>
      </c>
      <c r="J60" s="10" t="s">
        <v>841</v>
      </c>
      <c r="K60" s="10" t="s">
        <v>842</v>
      </c>
      <c r="L60" s="10" t="s">
        <v>843</v>
      </c>
      <c r="M60" s="10" t="s">
        <v>844</v>
      </c>
    </row>
    <row r="61" spans="1:13">
      <c r="A61" s="10" t="s">
        <v>2390</v>
      </c>
      <c r="B61" s="10" t="s">
        <v>1381</v>
      </c>
      <c r="C61" s="10" t="s">
        <v>1382</v>
      </c>
      <c r="D61" s="10" t="s">
        <v>1383</v>
      </c>
      <c r="E61" s="11">
        <v>720</v>
      </c>
      <c r="F61" s="10"/>
      <c r="G61" s="10" t="s">
        <v>601</v>
      </c>
      <c r="H61" s="11">
        <v>5950</v>
      </c>
      <c r="I61" s="10" t="s">
        <v>1384</v>
      </c>
      <c r="J61" s="10" t="s">
        <v>1385</v>
      </c>
      <c r="K61" s="10" t="s">
        <v>1386</v>
      </c>
      <c r="L61" s="10" t="s">
        <v>1387</v>
      </c>
      <c r="M61" s="10" t="s">
        <v>1388</v>
      </c>
    </row>
    <row r="62" spans="1:13">
      <c r="A62" s="10" t="s">
        <v>2390</v>
      </c>
      <c r="B62" s="10" t="s">
        <v>1381</v>
      </c>
      <c r="C62" s="10" t="s">
        <v>1382</v>
      </c>
      <c r="D62" s="10" t="s">
        <v>1389</v>
      </c>
      <c r="E62" s="11">
        <v>721</v>
      </c>
      <c r="F62" s="10"/>
      <c r="G62" s="10" t="s">
        <v>601</v>
      </c>
      <c r="H62" s="11">
        <v>6322</v>
      </c>
      <c r="I62" s="10" t="s">
        <v>1390</v>
      </c>
      <c r="J62" s="10" t="s">
        <v>1391</v>
      </c>
      <c r="K62" s="10" t="s">
        <v>1392</v>
      </c>
      <c r="L62" s="10" t="s">
        <v>1393</v>
      </c>
      <c r="M62" s="10" t="s">
        <v>1394</v>
      </c>
    </row>
    <row r="63" spans="1:13">
      <c r="A63" s="10" t="s">
        <v>2390</v>
      </c>
      <c r="B63" s="10" t="s">
        <v>1381</v>
      </c>
      <c r="C63" s="10" t="s">
        <v>1382</v>
      </c>
      <c r="D63" s="10" t="s">
        <v>1399</v>
      </c>
      <c r="E63" s="11">
        <v>723</v>
      </c>
      <c r="F63" s="10"/>
      <c r="G63" s="10" t="s">
        <v>601</v>
      </c>
      <c r="H63" s="11">
        <v>5961</v>
      </c>
      <c r="I63" s="10" t="s">
        <v>1400</v>
      </c>
      <c r="J63" s="10" t="s">
        <v>1401</v>
      </c>
      <c r="K63" s="10"/>
      <c r="L63" s="10" t="s">
        <v>1402</v>
      </c>
      <c r="M63" s="10" t="s">
        <v>1403</v>
      </c>
    </row>
    <row r="64" spans="1:13">
      <c r="A64" s="10" t="s">
        <v>2390</v>
      </c>
      <c r="B64" s="10" t="s">
        <v>1381</v>
      </c>
      <c r="C64" s="10" t="s">
        <v>1382</v>
      </c>
      <c r="D64" s="10" t="s">
        <v>1404</v>
      </c>
      <c r="E64" s="11">
        <v>724</v>
      </c>
      <c r="F64" s="10"/>
      <c r="G64" s="10" t="s">
        <v>601</v>
      </c>
      <c r="H64" s="11">
        <v>5962</v>
      </c>
      <c r="I64" s="10" t="s">
        <v>1405</v>
      </c>
      <c r="J64" s="10" t="s">
        <v>1406</v>
      </c>
      <c r="K64" s="10" t="s">
        <v>1407</v>
      </c>
      <c r="L64" s="10" t="s">
        <v>1408</v>
      </c>
      <c r="M64" s="10" t="s">
        <v>1409</v>
      </c>
    </row>
    <row r="65" spans="1:13">
      <c r="A65" s="10" t="s">
        <v>2390</v>
      </c>
      <c r="B65" s="10" t="s">
        <v>1381</v>
      </c>
      <c r="C65" s="10" t="s">
        <v>1382</v>
      </c>
      <c r="D65" s="10" t="s">
        <v>1410</v>
      </c>
      <c r="E65" s="11">
        <v>725</v>
      </c>
      <c r="F65" s="10"/>
      <c r="G65" s="10" t="s">
        <v>601</v>
      </c>
      <c r="H65" s="11">
        <v>6262</v>
      </c>
      <c r="I65" s="10" t="s">
        <v>1411</v>
      </c>
      <c r="J65" s="10" t="s">
        <v>1412</v>
      </c>
      <c r="K65" s="10"/>
      <c r="L65" s="10" t="s">
        <v>1413</v>
      </c>
      <c r="M65" s="10" t="s">
        <v>1414</v>
      </c>
    </row>
    <row r="66" spans="1:13">
      <c r="A66" s="10" t="s">
        <v>2390</v>
      </c>
      <c r="B66" s="10" t="s">
        <v>1381</v>
      </c>
      <c r="C66" s="10" t="s">
        <v>1382</v>
      </c>
      <c r="D66" s="10" t="s">
        <v>1415</v>
      </c>
      <c r="E66" s="11">
        <v>726</v>
      </c>
      <c r="F66" s="10"/>
      <c r="G66" s="10" t="s">
        <v>601</v>
      </c>
      <c r="H66" s="11">
        <v>5951</v>
      </c>
      <c r="I66" s="10" t="s">
        <v>1416</v>
      </c>
      <c r="J66" s="10" t="s">
        <v>1417</v>
      </c>
      <c r="K66" s="10" t="s">
        <v>1418</v>
      </c>
      <c r="L66" s="10" t="s">
        <v>1419</v>
      </c>
      <c r="M66" s="10" t="s">
        <v>1420</v>
      </c>
    </row>
    <row r="67" spans="1:13">
      <c r="A67" s="10" t="s">
        <v>2390</v>
      </c>
      <c r="B67" s="10" t="s">
        <v>1381</v>
      </c>
      <c r="C67" s="10" t="s">
        <v>1382</v>
      </c>
      <c r="D67" s="10" t="s">
        <v>1421</v>
      </c>
      <c r="E67" s="11">
        <v>727</v>
      </c>
      <c r="F67" s="10"/>
      <c r="G67" s="10" t="s">
        <v>601</v>
      </c>
      <c r="H67" s="11">
        <v>750</v>
      </c>
      <c r="I67" s="10" t="s">
        <v>1422</v>
      </c>
      <c r="J67" s="10" t="s">
        <v>1421</v>
      </c>
      <c r="K67" s="10"/>
      <c r="L67" s="10" t="s">
        <v>1423</v>
      </c>
      <c r="M67" s="10" t="s">
        <v>1424</v>
      </c>
    </row>
    <row r="68" spans="1:13">
      <c r="A68" s="10" t="s">
        <v>2341</v>
      </c>
      <c r="B68" s="10" t="s">
        <v>281</v>
      </c>
      <c r="C68" s="10" t="s">
        <v>968</v>
      </c>
      <c r="D68" s="10" t="s">
        <v>969</v>
      </c>
      <c r="E68" s="11">
        <v>729</v>
      </c>
      <c r="F68" s="10"/>
      <c r="G68" s="10" t="s">
        <v>601</v>
      </c>
      <c r="H68" s="11">
        <v>5282280</v>
      </c>
      <c r="I68" s="10" t="s">
        <v>970</v>
      </c>
      <c r="J68" s="10"/>
      <c r="K68" s="10" t="s">
        <v>971</v>
      </c>
      <c r="L68" s="10" t="s">
        <v>972</v>
      </c>
      <c r="M68" s="10" t="s">
        <v>973</v>
      </c>
    </row>
    <row r="69" spans="1:13">
      <c r="A69" s="10" t="s">
        <v>2342</v>
      </c>
      <c r="B69" s="10" t="s">
        <v>282</v>
      </c>
      <c r="C69" s="10" t="s">
        <v>979</v>
      </c>
      <c r="D69" s="10" t="s">
        <v>969</v>
      </c>
      <c r="E69" s="11">
        <v>729</v>
      </c>
      <c r="F69" s="10"/>
      <c r="G69" s="10" t="s">
        <v>601</v>
      </c>
      <c r="H69" s="11">
        <v>5282280</v>
      </c>
      <c r="I69" s="10" t="s">
        <v>970</v>
      </c>
      <c r="J69" s="10"/>
      <c r="K69" s="10" t="s">
        <v>971</v>
      </c>
      <c r="L69" s="10" t="s">
        <v>972</v>
      </c>
      <c r="M69" s="10" t="s">
        <v>973</v>
      </c>
    </row>
    <row r="70" spans="1:13">
      <c r="A70" s="10" t="s">
        <v>2402</v>
      </c>
      <c r="B70" s="10" t="s">
        <v>1499</v>
      </c>
      <c r="C70" s="10" t="s">
        <v>1500</v>
      </c>
      <c r="D70" s="10" t="s">
        <v>969</v>
      </c>
      <c r="E70" s="11">
        <v>729</v>
      </c>
      <c r="F70" s="10"/>
      <c r="G70" s="10" t="s">
        <v>601</v>
      </c>
      <c r="H70" s="11">
        <v>5282280</v>
      </c>
      <c r="I70" s="10" t="s">
        <v>970</v>
      </c>
      <c r="J70" s="10"/>
      <c r="K70" s="10" t="s">
        <v>971</v>
      </c>
      <c r="L70" s="10" t="s">
        <v>972</v>
      </c>
      <c r="M70" s="10" t="s">
        <v>973</v>
      </c>
    </row>
    <row r="71" spans="1:13">
      <c r="A71" s="10" t="s">
        <v>2392</v>
      </c>
      <c r="B71" s="10" t="s">
        <v>1434</v>
      </c>
      <c r="C71" s="10" t="s">
        <v>1435</v>
      </c>
      <c r="D71" s="10" t="s">
        <v>1436</v>
      </c>
      <c r="E71" s="11">
        <v>911</v>
      </c>
      <c r="F71" s="10"/>
      <c r="G71" s="10" t="s">
        <v>601</v>
      </c>
      <c r="H71" s="11">
        <v>5283560</v>
      </c>
      <c r="I71" s="10" t="s">
        <v>1437</v>
      </c>
      <c r="J71" s="10"/>
      <c r="K71" s="10" t="s">
        <v>1438</v>
      </c>
      <c r="L71" s="10" t="s">
        <v>1439</v>
      </c>
      <c r="M71" s="10" t="s">
        <v>1440</v>
      </c>
    </row>
    <row r="72" spans="1:13">
      <c r="A72" s="10" t="s">
        <v>2395</v>
      </c>
      <c r="B72" s="10" t="s">
        <v>1470</v>
      </c>
      <c r="C72" s="10" t="s">
        <v>1471</v>
      </c>
      <c r="D72" s="10" t="s">
        <v>1436</v>
      </c>
      <c r="E72" s="11">
        <v>911</v>
      </c>
      <c r="F72" s="10"/>
      <c r="G72" s="10" t="s">
        <v>601</v>
      </c>
      <c r="H72" s="11">
        <v>5283560</v>
      </c>
      <c r="I72" s="10" t="s">
        <v>1437</v>
      </c>
      <c r="J72" s="10"/>
      <c r="K72" s="10" t="s">
        <v>1438</v>
      </c>
      <c r="L72" s="10" t="s">
        <v>1439</v>
      </c>
      <c r="M72" s="10" t="s">
        <v>1440</v>
      </c>
    </row>
    <row r="73" spans="1:13">
      <c r="A73" s="10" t="s">
        <v>2403</v>
      </c>
      <c r="B73" s="10" t="s">
        <v>1510</v>
      </c>
      <c r="C73" s="10" t="s">
        <v>1511</v>
      </c>
      <c r="D73" s="10" t="s">
        <v>1436</v>
      </c>
      <c r="E73" s="11">
        <v>911</v>
      </c>
      <c r="F73" s="10"/>
      <c r="G73" s="10" t="s">
        <v>601</v>
      </c>
      <c r="H73" s="11">
        <v>5283560</v>
      </c>
      <c r="I73" s="10" t="s">
        <v>1437</v>
      </c>
      <c r="J73" s="10"/>
      <c r="K73" s="10" t="s">
        <v>1438</v>
      </c>
      <c r="L73" s="10" t="s">
        <v>1439</v>
      </c>
      <c r="M73" s="10" t="s">
        <v>1440</v>
      </c>
    </row>
    <row r="74" spans="1:13">
      <c r="A74" s="10" t="s">
        <v>2404</v>
      </c>
      <c r="B74" s="10" t="s">
        <v>1512</v>
      </c>
      <c r="C74" s="10" t="s">
        <v>1513</v>
      </c>
      <c r="D74" s="10" t="s">
        <v>1436</v>
      </c>
      <c r="E74" s="11">
        <v>911</v>
      </c>
      <c r="F74" s="10"/>
      <c r="G74" s="10" t="s">
        <v>601</v>
      </c>
      <c r="H74" s="11">
        <v>5283560</v>
      </c>
      <c r="I74" s="10" t="s">
        <v>1437</v>
      </c>
      <c r="J74" s="10"/>
      <c r="K74" s="10" t="s">
        <v>1438</v>
      </c>
      <c r="L74" s="10" t="s">
        <v>1439</v>
      </c>
      <c r="M74" s="10" t="s">
        <v>1440</v>
      </c>
    </row>
    <row r="75" spans="1:13">
      <c r="A75" s="10" t="s">
        <v>2478</v>
      </c>
      <c r="B75" s="10" t="s">
        <v>2001</v>
      </c>
      <c r="C75" s="10" t="s">
        <v>2002</v>
      </c>
      <c r="D75" s="10" t="s">
        <v>1436</v>
      </c>
      <c r="E75" s="11">
        <v>911</v>
      </c>
      <c r="F75" s="10"/>
      <c r="G75" s="10" t="s">
        <v>601</v>
      </c>
      <c r="H75" s="11">
        <v>5283560</v>
      </c>
      <c r="I75" s="10" t="s">
        <v>1437</v>
      </c>
      <c r="J75" s="10"/>
      <c r="K75" s="10" t="s">
        <v>1438</v>
      </c>
      <c r="L75" s="10" t="s">
        <v>1439</v>
      </c>
      <c r="M75" s="10" t="s">
        <v>1440</v>
      </c>
    </row>
    <row r="76" spans="1:13">
      <c r="A76" s="10" t="s">
        <v>2506</v>
      </c>
      <c r="B76" s="10" t="s">
        <v>316</v>
      </c>
      <c r="C76" s="10" t="s">
        <v>2160</v>
      </c>
      <c r="D76" s="10" t="s">
        <v>1436</v>
      </c>
      <c r="E76" s="11">
        <v>911</v>
      </c>
      <c r="F76" s="10"/>
      <c r="G76" s="10" t="s">
        <v>601</v>
      </c>
      <c r="H76" s="11">
        <v>5283560</v>
      </c>
      <c r="I76" s="10" t="s">
        <v>1437</v>
      </c>
      <c r="J76" s="10"/>
      <c r="K76" s="10" t="s">
        <v>1438</v>
      </c>
      <c r="L76" s="10" t="s">
        <v>1439</v>
      </c>
      <c r="M76" s="10" t="s">
        <v>1440</v>
      </c>
    </row>
    <row r="77" spans="1:13">
      <c r="A77" s="10" t="s">
        <v>2507</v>
      </c>
      <c r="B77" s="10" t="s">
        <v>2166</v>
      </c>
      <c r="C77" s="10" t="s">
        <v>2167</v>
      </c>
      <c r="D77" s="10" t="s">
        <v>1436</v>
      </c>
      <c r="E77" s="11">
        <v>911</v>
      </c>
      <c r="F77" s="10"/>
      <c r="G77" s="10" t="s">
        <v>601</v>
      </c>
      <c r="H77" s="11">
        <v>5283560</v>
      </c>
      <c r="I77" s="10" t="s">
        <v>1437</v>
      </c>
      <c r="J77" s="10"/>
      <c r="K77" s="10" t="s">
        <v>1438</v>
      </c>
      <c r="L77" s="10" t="s">
        <v>1439</v>
      </c>
      <c r="M77" s="10" t="s">
        <v>1440</v>
      </c>
    </row>
    <row r="78" spans="1:13">
      <c r="A78" s="10" t="s">
        <v>2508</v>
      </c>
      <c r="B78" s="10" t="s">
        <v>2168</v>
      </c>
      <c r="C78" s="10" t="s">
        <v>2169</v>
      </c>
      <c r="D78" s="10" t="s">
        <v>1436</v>
      </c>
      <c r="E78" s="11">
        <v>911</v>
      </c>
      <c r="F78" s="10"/>
      <c r="G78" s="10" t="s">
        <v>601</v>
      </c>
      <c r="H78" s="11">
        <v>5283560</v>
      </c>
      <c r="I78" s="10" t="s">
        <v>1437</v>
      </c>
      <c r="J78" s="10"/>
      <c r="K78" s="10" t="s">
        <v>1438</v>
      </c>
      <c r="L78" s="10" t="s">
        <v>1439</v>
      </c>
      <c r="M78" s="10" t="s">
        <v>1440</v>
      </c>
    </row>
    <row r="79" spans="1:13">
      <c r="A79" s="10" t="s">
        <v>2509</v>
      </c>
      <c r="B79" s="10" t="s">
        <v>2170</v>
      </c>
      <c r="C79" s="10" t="s">
        <v>2171</v>
      </c>
      <c r="D79" s="10" t="s">
        <v>1436</v>
      </c>
      <c r="E79" s="11">
        <v>911</v>
      </c>
      <c r="F79" s="10"/>
      <c r="G79" s="10" t="s">
        <v>601</v>
      </c>
      <c r="H79" s="11">
        <v>5283560</v>
      </c>
      <c r="I79" s="10" t="s">
        <v>1437</v>
      </c>
      <c r="J79" s="10"/>
      <c r="K79" s="10" t="s">
        <v>1438</v>
      </c>
      <c r="L79" s="10" t="s">
        <v>1439</v>
      </c>
      <c r="M79" s="10" t="s">
        <v>1440</v>
      </c>
    </row>
    <row r="80" spans="1:13">
      <c r="A80" s="10" t="s">
        <v>2510</v>
      </c>
      <c r="B80" s="10" t="s">
        <v>2172</v>
      </c>
      <c r="C80" s="10" t="s">
        <v>2173</v>
      </c>
      <c r="D80" s="10" t="s">
        <v>1436</v>
      </c>
      <c r="E80" s="11">
        <v>911</v>
      </c>
      <c r="F80" s="10"/>
      <c r="G80" s="10" t="s">
        <v>601</v>
      </c>
      <c r="H80" s="11">
        <v>5283560</v>
      </c>
      <c r="I80" s="10" t="s">
        <v>1437</v>
      </c>
      <c r="J80" s="10"/>
      <c r="K80" s="10" t="s">
        <v>1438</v>
      </c>
      <c r="L80" s="10" t="s">
        <v>1439</v>
      </c>
      <c r="M80" s="10" t="s">
        <v>1440</v>
      </c>
    </row>
    <row r="81" spans="1:13">
      <c r="A81" s="10" t="s">
        <v>2351</v>
      </c>
      <c r="B81" s="10" t="s">
        <v>293</v>
      </c>
      <c r="C81" s="10" t="s">
        <v>1034</v>
      </c>
      <c r="D81" s="10" t="s">
        <v>1035</v>
      </c>
      <c r="E81" s="11">
        <v>940</v>
      </c>
      <c r="F81" s="10"/>
      <c r="G81" s="10" t="s">
        <v>601</v>
      </c>
      <c r="H81" s="11">
        <v>681</v>
      </c>
      <c r="I81" s="10" t="s">
        <v>1036</v>
      </c>
      <c r="J81" s="10" t="s">
        <v>1035</v>
      </c>
      <c r="K81" s="10" t="s">
        <v>1037</v>
      </c>
      <c r="L81" s="10" t="s">
        <v>1038</v>
      </c>
      <c r="M81" s="10" t="s">
        <v>1039</v>
      </c>
    </row>
    <row r="82" spans="1:13">
      <c r="A82" s="10" t="s">
        <v>2352</v>
      </c>
      <c r="B82" s="10" t="s">
        <v>294</v>
      </c>
      <c r="C82" s="10" t="s">
        <v>1040</v>
      </c>
      <c r="D82" s="10" t="s">
        <v>1035</v>
      </c>
      <c r="E82" s="11">
        <v>940</v>
      </c>
      <c r="F82" s="10"/>
      <c r="G82" s="10" t="s">
        <v>601</v>
      </c>
      <c r="H82" s="11">
        <v>681</v>
      </c>
      <c r="I82" s="10" t="s">
        <v>1036</v>
      </c>
      <c r="J82" s="10" t="s">
        <v>1035</v>
      </c>
      <c r="K82" s="10" t="s">
        <v>1037</v>
      </c>
      <c r="L82" s="10" t="s">
        <v>1038</v>
      </c>
      <c r="M82" s="10" t="s">
        <v>1039</v>
      </c>
    </row>
    <row r="83" spans="1:13">
      <c r="A83" s="10" t="s">
        <v>2353</v>
      </c>
      <c r="B83" s="10" t="s">
        <v>1041</v>
      </c>
      <c r="C83" s="10" t="s">
        <v>1042</v>
      </c>
      <c r="D83" s="10" t="s">
        <v>1035</v>
      </c>
      <c r="E83" s="11">
        <v>940</v>
      </c>
      <c r="F83" s="10"/>
      <c r="G83" s="10" t="s">
        <v>601</v>
      </c>
      <c r="H83" s="11">
        <v>681</v>
      </c>
      <c r="I83" s="10" t="s">
        <v>1036</v>
      </c>
      <c r="J83" s="10" t="s">
        <v>1035</v>
      </c>
      <c r="K83" s="10" t="s">
        <v>1037</v>
      </c>
      <c r="L83" s="10" t="s">
        <v>1038</v>
      </c>
      <c r="M83" s="10" t="s">
        <v>1039</v>
      </c>
    </row>
    <row r="84" spans="1:13">
      <c r="A84" s="10" t="s">
        <v>2354</v>
      </c>
      <c r="B84" s="10" t="s">
        <v>1043</v>
      </c>
      <c r="C84" s="10" t="s">
        <v>1044</v>
      </c>
      <c r="D84" s="10" t="s">
        <v>1035</v>
      </c>
      <c r="E84" s="11">
        <v>940</v>
      </c>
      <c r="F84" s="10"/>
      <c r="G84" s="10" t="s">
        <v>601</v>
      </c>
      <c r="H84" s="11">
        <v>681</v>
      </c>
      <c r="I84" s="10" t="s">
        <v>1036</v>
      </c>
      <c r="J84" s="10" t="s">
        <v>1035</v>
      </c>
      <c r="K84" s="10" t="s">
        <v>1037</v>
      </c>
      <c r="L84" s="10" t="s">
        <v>1038</v>
      </c>
      <c r="M84" s="10" t="s">
        <v>1039</v>
      </c>
    </row>
    <row r="85" spans="1:13">
      <c r="A85" s="10" t="s">
        <v>2355</v>
      </c>
      <c r="B85" s="10" t="s">
        <v>295</v>
      </c>
      <c r="C85" s="10" t="s">
        <v>1045</v>
      </c>
      <c r="D85" s="10" t="s">
        <v>1035</v>
      </c>
      <c r="E85" s="11">
        <v>940</v>
      </c>
      <c r="F85" s="10"/>
      <c r="G85" s="10" t="s">
        <v>601</v>
      </c>
      <c r="H85" s="11">
        <v>681</v>
      </c>
      <c r="I85" s="10" t="s">
        <v>1036</v>
      </c>
      <c r="J85" s="10" t="s">
        <v>1035</v>
      </c>
      <c r="K85" s="10" t="s">
        <v>1037</v>
      </c>
      <c r="L85" s="10" t="s">
        <v>1038</v>
      </c>
      <c r="M85" s="10" t="s">
        <v>1039</v>
      </c>
    </row>
    <row r="86" spans="1:13">
      <c r="A86" s="10" t="s">
        <v>2519</v>
      </c>
      <c r="B86" s="10" t="s">
        <v>2217</v>
      </c>
      <c r="C86" s="10" t="s">
        <v>2218</v>
      </c>
      <c r="D86" s="10" t="s">
        <v>1035</v>
      </c>
      <c r="E86" s="11">
        <v>940</v>
      </c>
      <c r="F86" s="10"/>
      <c r="G86" s="10" t="s">
        <v>601</v>
      </c>
      <c r="H86" s="11">
        <v>681</v>
      </c>
      <c r="I86" s="10" t="s">
        <v>1036</v>
      </c>
      <c r="J86" s="10" t="s">
        <v>1035</v>
      </c>
      <c r="K86" s="10" t="s">
        <v>1037</v>
      </c>
      <c r="L86" s="10" t="s">
        <v>1038</v>
      </c>
      <c r="M86" s="10" t="s">
        <v>1039</v>
      </c>
    </row>
    <row r="87" spans="1:13">
      <c r="A87" s="10" t="s">
        <v>2391</v>
      </c>
      <c r="B87" s="10" t="s">
        <v>1425</v>
      </c>
      <c r="C87" s="10" t="s">
        <v>1426</v>
      </c>
      <c r="D87" s="10" t="s">
        <v>1427</v>
      </c>
      <c r="E87" s="11">
        <v>1013</v>
      </c>
      <c r="F87" s="10"/>
      <c r="G87" s="10" t="s">
        <v>601</v>
      </c>
      <c r="H87" s="11">
        <v>5757</v>
      </c>
      <c r="I87" s="10" t="s">
        <v>1428</v>
      </c>
      <c r="J87" s="10" t="s">
        <v>1429</v>
      </c>
      <c r="K87" s="10" t="s">
        <v>1430</v>
      </c>
      <c r="L87" s="10" t="s">
        <v>1431</v>
      </c>
      <c r="M87" s="10" t="s">
        <v>1432</v>
      </c>
    </row>
    <row r="88" spans="1:13">
      <c r="A88" s="10" t="s">
        <v>2363</v>
      </c>
      <c r="B88" s="10" t="s">
        <v>1130</v>
      </c>
      <c r="C88" s="10" t="s">
        <v>1131</v>
      </c>
      <c r="D88" s="10" t="s">
        <v>1132</v>
      </c>
      <c r="E88" s="11">
        <v>1034</v>
      </c>
      <c r="F88" s="10"/>
      <c r="G88" s="10" t="s">
        <v>601</v>
      </c>
      <c r="H88" s="11">
        <v>5280914</v>
      </c>
      <c r="I88" s="10" t="s">
        <v>1133</v>
      </c>
      <c r="J88" s="10"/>
      <c r="K88" s="10" t="s">
        <v>1134</v>
      </c>
      <c r="L88" s="10" t="s">
        <v>1135</v>
      </c>
      <c r="M88" s="10" t="s">
        <v>1136</v>
      </c>
    </row>
    <row r="89" spans="1:13">
      <c r="A89" s="10" t="s">
        <v>2397</v>
      </c>
      <c r="B89" s="10" t="s">
        <v>1479</v>
      </c>
      <c r="C89" s="10" t="s">
        <v>1480</v>
      </c>
      <c r="D89" s="10" t="s">
        <v>1132</v>
      </c>
      <c r="E89" s="11">
        <v>1034</v>
      </c>
      <c r="F89" s="10"/>
      <c r="G89" s="10" t="s">
        <v>601</v>
      </c>
      <c r="H89" s="11">
        <v>5280914</v>
      </c>
      <c r="I89" s="10" t="s">
        <v>1133</v>
      </c>
      <c r="J89" s="10"/>
      <c r="K89" s="10" t="s">
        <v>1134</v>
      </c>
      <c r="L89" s="10" t="s">
        <v>1135</v>
      </c>
      <c r="M89" s="10" t="s">
        <v>1136</v>
      </c>
    </row>
    <row r="90" spans="1:13">
      <c r="A90" s="10" t="s">
        <v>2358</v>
      </c>
      <c r="B90" s="10" t="s">
        <v>1061</v>
      </c>
      <c r="C90" s="10" t="s">
        <v>1062</v>
      </c>
      <c r="D90" s="10" t="s">
        <v>1063</v>
      </c>
      <c r="E90" s="11">
        <v>1049</v>
      </c>
      <c r="F90" s="10"/>
      <c r="G90" s="10" t="s">
        <v>601</v>
      </c>
      <c r="H90" s="11">
        <v>5280934</v>
      </c>
      <c r="I90" s="10" t="s">
        <v>1064</v>
      </c>
      <c r="J90" s="10"/>
      <c r="K90" s="10" t="s">
        <v>1065</v>
      </c>
      <c r="L90" s="10" t="s">
        <v>1066</v>
      </c>
      <c r="M90" s="10" t="s">
        <v>1067</v>
      </c>
    </row>
    <row r="91" spans="1:13">
      <c r="A91" s="10" t="s">
        <v>2361</v>
      </c>
      <c r="B91" s="10" t="s">
        <v>299</v>
      </c>
      <c r="C91" s="10" t="s">
        <v>1110</v>
      </c>
      <c r="D91" s="10" t="s">
        <v>1063</v>
      </c>
      <c r="E91" s="11">
        <v>1049</v>
      </c>
      <c r="F91" s="10"/>
      <c r="G91" s="10" t="s">
        <v>601</v>
      </c>
      <c r="H91" s="11">
        <v>5280934</v>
      </c>
      <c r="I91" s="10" t="s">
        <v>1064</v>
      </c>
      <c r="J91" s="10"/>
      <c r="K91" s="10" t="s">
        <v>1065</v>
      </c>
      <c r="L91" s="10" t="s">
        <v>1066</v>
      </c>
      <c r="M91" s="10" t="s">
        <v>1067</v>
      </c>
    </row>
    <row r="92" spans="1:13">
      <c r="A92" s="10" t="s">
        <v>2358</v>
      </c>
      <c r="B92" s="10" t="s">
        <v>1061</v>
      </c>
      <c r="C92" s="10" t="s">
        <v>1062</v>
      </c>
      <c r="D92" s="10" t="s">
        <v>1068</v>
      </c>
      <c r="E92" s="11">
        <v>1051</v>
      </c>
      <c r="F92" s="10"/>
      <c r="G92" s="10" t="s">
        <v>601</v>
      </c>
      <c r="H92" s="11">
        <v>445580</v>
      </c>
      <c r="I92" s="10" t="s">
        <v>1069</v>
      </c>
      <c r="J92" s="10" t="s">
        <v>1070</v>
      </c>
      <c r="K92" s="10" t="s">
        <v>1071</v>
      </c>
      <c r="L92" s="10" t="s">
        <v>1072</v>
      </c>
      <c r="M92" s="10" t="s">
        <v>1073</v>
      </c>
    </row>
    <row r="93" spans="1:13">
      <c r="A93" s="10" t="s">
        <v>2361</v>
      </c>
      <c r="B93" s="10" t="s">
        <v>299</v>
      </c>
      <c r="C93" s="10" t="s">
        <v>1110</v>
      </c>
      <c r="D93" s="10" t="s">
        <v>1111</v>
      </c>
      <c r="E93" s="11">
        <v>1052</v>
      </c>
      <c r="F93" s="10"/>
      <c r="G93" s="10" t="s">
        <v>601</v>
      </c>
      <c r="H93" s="11">
        <v>5280450</v>
      </c>
      <c r="I93" s="10" t="s">
        <v>1112</v>
      </c>
      <c r="J93" s="10"/>
      <c r="K93" s="10" t="s">
        <v>1113</v>
      </c>
      <c r="L93" s="10" t="s">
        <v>1114</v>
      </c>
      <c r="M93" s="10" t="s">
        <v>1115</v>
      </c>
    </row>
    <row r="94" spans="1:13">
      <c r="A94" s="10" t="s">
        <v>2358</v>
      </c>
      <c r="B94" s="10" t="s">
        <v>1061</v>
      </c>
      <c r="C94" s="10" t="s">
        <v>1062</v>
      </c>
      <c r="D94" s="10" t="s">
        <v>1074</v>
      </c>
      <c r="E94" s="11">
        <v>1054</v>
      </c>
      <c r="F94" s="10"/>
      <c r="G94" s="10" t="s">
        <v>601</v>
      </c>
      <c r="H94" s="11">
        <v>445639</v>
      </c>
      <c r="I94" s="10" t="s">
        <v>1075</v>
      </c>
      <c r="J94" s="10"/>
      <c r="K94" s="10" t="s">
        <v>1076</v>
      </c>
      <c r="L94" s="10" t="s">
        <v>1077</v>
      </c>
      <c r="M94" s="10" t="s">
        <v>1078</v>
      </c>
    </row>
    <row r="95" spans="1:13">
      <c r="A95" s="10" t="s">
        <v>2361</v>
      </c>
      <c r="B95" s="10" t="s">
        <v>299</v>
      </c>
      <c r="C95" s="10" t="s">
        <v>1110</v>
      </c>
      <c r="D95" s="10" t="s">
        <v>1074</v>
      </c>
      <c r="E95" s="11">
        <v>1054</v>
      </c>
      <c r="F95" s="10"/>
      <c r="G95" s="10" t="s">
        <v>601</v>
      </c>
      <c r="H95" s="11">
        <v>445639</v>
      </c>
      <c r="I95" s="10" t="s">
        <v>1075</v>
      </c>
      <c r="J95" s="10"/>
      <c r="K95" s="10" t="s">
        <v>1076</v>
      </c>
      <c r="L95" s="10" t="s">
        <v>1077</v>
      </c>
      <c r="M95" s="10" t="s">
        <v>1078</v>
      </c>
    </row>
    <row r="96" spans="1:13">
      <c r="A96" s="10" t="s">
        <v>2359</v>
      </c>
      <c r="B96" s="10" t="s">
        <v>297</v>
      </c>
      <c r="C96" s="10" t="s">
        <v>1084</v>
      </c>
      <c r="D96" s="10" t="s">
        <v>1085</v>
      </c>
      <c r="E96" s="11">
        <v>1058</v>
      </c>
      <c r="F96" s="10"/>
      <c r="G96" s="10" t="s">
        <v>601</v>
      </c>
      <c r="H96" s="11">
        <v>176</v>
      </c>
      <c r="I96" s="10" t="s">
        <v>1085</v>
      </c>
      <c r="J96" s="10"/>
      <c r="K96" s="10" t="s">
        <v>1086</v>
      </c>
      <c r="L96" s="10" t="s">
        <v>1087</v>
      </c>
      <c r="M96" s="10" t="s">
        <v>1088</v>
      </c>
    </row>
    <row r="97" spans="1:13">
      <c r="A97" s="10" t="s">
        <v>2359</v>
      </c>
      <c r="B97" s="10" t="s">
        <v>297</v>
      </c>
      <c r="C97" s="10" t="s">
        <v>1084</v>
      </c>
      <c r="D97" s="10" t="s">
        <v>1089</v>
      </c>
      <c r="E97" s="11">
        <v>1059</v>
      </c>
      <c r="F97" s="10"/>
      <c r="G97" s="10" t="s">
        <v>601</v>
      </c>
      <c r="H97" s="11">
        <v>264</v>
      </c>
      <c r="I97" s="10" t="s">
        <v>1090</v>
      </c>
      <c r="J97" s="10"/>
      <c r="K97" s="10" t="s">
        <v>1091</v>
      </c>
      <c r="L97" s="10" t="s">
        <v>1092</v>
      </c>
      <c r="M97" s="10" t="s">
        <v>1093</v>
      </c>
    </row>
    <row r="98" spans="1:13">
      <c r="A98" s="10" t="s">
        <v>2360</v>
      </c>
      <c r="B98" s="10" t="s">
        <v>298</v>
      </c>
      <c r="C98" s="10" t="s">
        <v>1109</v>
      </c>
      <c r="D98" s="10" t="s">
        <v>1089</v>
      </c>
      <c r="E98" s="11">
        <v>1059</v>
      </c>
      <c r="F98" s="10"/>
      <c r="G98" s="10" t="s">
        <v>601</v>
      </c>
      <c r="H98" s="11">
        <v>264</v>
      </c>
      <c r="I98" s="10" t="s">
        <v>1090</v>
      </c>
      <c r="J98" s="10"/>
      <c r="K98" s="10" t="s">
        <v>1091</v>
      </c>
      <c r="L98" s="10" t="s">
        <v>1092</v>
      </c>
      <c r="M98" s="10" t="s">
        <v>1093</v>
      </c>
    </row>
    <row r="99" spans="1:13">
      <c r="A99" s="10" t="s">
        <v>2417</v>
      </c>
      <c r="B99" s="10" t="s">
        <v>308</v>
      </c>
      <c r="C99" s="10" t="s">
        <v>1586</v>
      </c>
      <c r="D99" s="10" t="s">
        <v>1089</v>
      </c>
      <c r="E99" s="11">
        <v>1059</v>
      </c>
      <c r="F99" s="10"/>
      <c r="G99" s="10" t="s">
        <v>601</v>
      </c>
      <c r="H99" s="11">
        <v>264</v>
      </c>
      <c r="I99" s="10" t="s">
        <v>1090</v>
      </c>
      <c r="J99" s="10"/>
      <c r="K99" s="10" t="s">
        <v>1091</v>
      </c>
      <c r="L99" s="10" t="s">
        <v>1092</v>
      </c>
      <c r="M99" s="10" t="s">
        <v>1093</v>
      </c>
    </row>
    <row r="100" spans="1:13">
      <c r="A100" s="10" t="s">
        <v>2359</v>
      </c>
      <c r="B100" s="10" t="s">
        <v>297</v>
      </c>
      <c r="C100" s="10" t="s">
        <v>1084</v>
      </c>
      <c r="D100" s="10" t="s">
        <v>1094</v>
      </c>
      <c r="E100" s="11">
        <v>1062</v>
      </c>
      <c r="F100" s="10"/>
      <c r="G100" s="10" t="s">
        <v>601</v>
      </c>
      <c r="H100" s="11">
        <v>1032</v>
      </c>
      <c r="I100" s="10" t="s">
        <v>1095</v>
      </c>
      <c r="J100" s="10"/>
      <c r="K100" s="10" t="s">
        <v>1096</v>
      </c>
      <c r="L100" s="10" t="s">
        <v>1097</v>
      </c>
      <c r="M100" s="10" t="s">
        <v>1098</v>
      </c>
    </row>
    <row r="101" spans="1:13">
      <c r="A101" s="10" t="s">
        <v>2360</v>
      </c>
      <c r="B101" s="10" t="s">
        <v>298</v>
      </c>
      <c r="C101" s="10" t="s">
        <v>1109</v>
      </c>
      <c r="D101" s="10" t="s">
        <v>1094</v>
      </c>
      <c r="E101" s="11">
        <v>1062</v>
      </c>
      <c r="F101" s="10"/>
      <c r="G101" s="10" t="s">
        <v>601</v>
      </c>
      <c r="H101" s="11">
        <v>1032</v>
      </c>
      <c r="I101" s="10" t="s">
        <v>1095</v>
      </c>
      <c r="J101" s="10"/>
      <c r="K101" s="10" t="s">
        <v>1096</v>
      </c>
      <c r="L101" s="10" t="s">
        <v>1097</v>
      </c>
      <c r="M101" s="10" t="s">
        <v>1098</v>
      </c>
    </row>
    <row r="102" spans="1:13">
      <c r="A102" s="10" t="s">
        <v>2370</v>
      </c>
      <c r="B102" s="10" t="s">
        <v>1202</v>
      </c>
      <c r="C102" s="10" t="s">
        <v>1203</v>
      </c>
      <c r="D102" s="10" t="s">
        <v>1204</v>
      </c>
      <c r="E102" s="11">
        <v>1067</v>
      </c>
      <c r="F102" s="10"/>
      <c r="G102" s="10" t="s">
        <v>601</v>
      </c>
      <c r="H102" s="11">
        <v>119</v>
      </c>
      <c r="I102" s="10" t="s">
        <v>1205</v>
      </c>
      <c r="J102" s="10"/>
      <c r="K102" s="10" t="s">
        <v>1206</v>
      </c>
      <c r="L102" s="10" t="s">
        <v>1207</v>
      </c>
      <c r="M102" s="10" t="s">
        <v>1208</v>
      </c>
    </row>
    <row r="103" spans="1:13">
      <c r="A103" s="10" t="s">
        <v>2419</v>
      </c>
      <c r="B103" s="10" t="s">
        <v>306</v>
      </c>
      <c r="C103" s="10" t="s">
        <v>1598</v>
      </c>
      <c r="D103" s="10" t="s">
        <v>1599</v>
      </c>
      <c r="E103" s="11">
        <v>1204</v>
      </c>
      <c r="F103" s="10"/>
      <c r="G103" s="10" t="s">
        <v>601</v>
      </c>
      <c r="H103" s="11">
        <v>774</v>
      </c>
      <c r="I103" s="10" t="s">
        <v>1600</v>
      </c>
      <c r="J103" s="10"/>
      <c r="K103" s="10"/>
      <c r="L103" s="10" t="s">
        <v>1601</v>
      </c>
      <c r="M103" s="10" t="s">
        <v>1602</v>
      </c>
    </row>
    <row r="104" spans="1:13">
      <c r="A104" s="10" t="s">
        <v>2420</v>
      </c>
      <c r="B104" s="10" t="s">
        <v>307</v>
      </c>
      <c r="C104" s="10" t="s">
        <v>1603</v>
      </c>
      <c r="D104" s="10" t="s">
        <v>1599</v>
      </c>
      <c r="E104" s="11">
        <v>1204</v>
      </c>
      <c r="F104" s="10"/>
      <c r="G104" s="10" t="s">
        <v>601</v>
      </c>
      <c r="H104" s="11">
        <v>774</v>
      </c>
      <c r="I104" s="10" t="s">
        <v>1600</v>
      </c>
      <c r="J104" s="10"/>
      <c r="K104" s="10"/>
      <c r="L104" s="10" t="s">
        <v>1601</v>
      </c>
      <c r="M104" s="10" t="s">
        <v>1602</v>
      </c>
    </row>
    <row r="105" spans="1:13">
      <c r="A105" s="10" t="s">
        <v>2421</v>
      </c>
      <c r="B105" s="10" t="s">
        <v>1604</v>
      </c>
      <c r="C105" s="10" t="s">
        <v>1605</v>
      </c>
      <c r="D105" s="10" t="s">
        <v>1599</v>
      </c>
      <c r="E105" s="11">
        <v>1204</v>
      </c>
      <c r="F105" s="10"/>
      <c r="G105" s="10" t="s">
        <v>601</v>
      </c>
      <c r="H105" s="11">
        <v>774</v>
      </c>
      <c r="I105" s="10" t="s">
        <v>1600</v>
      </c>
      <c r="J105" s="10"/>
      <c r="K105" s="10"/>
      <c r="L105" s="10" t="s">
        <v>1601</v>
      </c>
      <c r="M105" s="10" t="s">
        <v>1602</v>
      </c>
    </row>
    <row r="106" spans="1:13">
      <c r="A106" s="10" t="s">
        <v>2422</v>
      </c>
      <c r="B106" s="10" t="s">
        <v>1606</v>
      </c>
      <c r="C106" s="10" t="s">
        <v>1607</v>
      </c>
      <c r="D106" s="10" t="s">
        <v>1599</v>
      </c>
      <c r="E106" s="11">
        <v>1204</v>
      </c>
      <c r="F106" s="10"/>
      <c r="G106" s="10" t="s">
        <v>601</v>
      </c>
      <c r="H106" s="11">
        <v>774</v>
      </c>
      <c r="I106" s="10" t="s">
        <v>1600</v>
      </c>
      <c r="J106" s="10"/>
      <c r="K106" s="10"/>
      <c r="L106" s="10" t="s">
        <v>1601</v>
      </c>
      <c r="M106" s="10" t="s">
        <v>1602</v>
      </c>
    </row>
    <row r="107" spans="1:13">
      <c r="A107" s="10" t="s">
        <v>2407</v>
      </c>
      <c r="B107" s="10" t="s">
        <v>1533</v>
      </c>
      <c r="C107" s="10" t="s">
        <v>1534</v>
      </c>
      <c r="D107" s="10" t="s">
        <v>1535</v>
      </c>
      <c r="E107" s="11">
        <v>1369</v>
      </c>
      <c r="F107" s="10"/>
      <c r="G107" s="10" t="s">
        <v>601</v>
      </c>
      <c r="H107" s="11">
        <v>33032</v>
      </c>
      <c r="I107" s="10" t="s">
        <v>1536</v>
      </c>
      <c r="J107" s="10" t="s">
        <v>1537</v>
      </c>
      <c r="K107" s="10" t="s">
        <v>1538</v>
      </c>
      <c r="L107" s="10" t="s">
        <v>1539</v>
      </c>
      <c r="M107" s="10" t="s">
        <v>1540</v>
      </c>
    </row>
    <row r="108" spans="1:13">
      <c r="A108" s="10" t="s">
        <v>2408</v>
      </c>
      <c r="B108" s="10" t="s">
        <v>321</v>
      </c>
      <c r="C108" s="10" t="s">
        <v>1541</v>
      </c>
      <c r="D108" s="10" t="s">
        <v>1535</v>
      </c>
      <c r="E108" s="11">
        <v>1369</v>
      </c>
      <c r="F108" s="10"/>
      <c r="G108" s="10" t="s">
        <v>601</v>
      </c>
      <c r="H108" s="11">
        <v>33032</v>
      </c>
      <c r="I108" s="10" t="s">
        <v>1536</v>
      </c>
      <c r="J108" s="10" t="s">
        <v>1537</v>
      </c>
      <c r="K108" s="10" t="s">
        <v>1538</v>
      </c>
      <c r="L108" s="10" t="s">
        <v>1539</v>
      </c>
      <c r="M108" s="10" t="s">
        <v>1540</v>
      </c>
    </row>
    <row r="109" spans="1:13">
      <c r="A109" s="10" t="s">
        <v>2409</v>
      </c>
      <c r="B109" s="10" t="s">
        <v>1542</v>
      </c>
      <c r="C109" s="10" t="s">
        <v>1543</v>
      </c>
      <c r="D109" s="10" t="s">
        <v>1535</v>
      </c>
      <c r="E109" s="11">
        <v>1369</v>
      </c>
      <c r="F109" s="10"/>
      <c r="G109" s="10" t="s">
        <v>601</v>
      </c>
      <c r="H109" s="11">
        <v>33032</v>
      </c>
      <c r="I109" s="10" t="s">
        <v>1536</v>
      </c>
      <c r="J109" s="10" t="s">
        <v>1537</v>
      </c>
      <c r="K109" s="10" t="s">
        <v>1538</v>
      </c>
      <c r="L109" s="10" t="s">
        <v>1539</v>
      </c>
      <c r="M109" s="10" t="s">
        <v>1540</v>
      </c>
    </row>
    <row r="110" spans="1:13">
      <c r="A110" s="10" t="s">
        <v>2410</v>
      </c>
      <c r="B110" s="10" t="s">
        <v>322</v>
      </c>
      <c r="C110" s="10" t="s">
        <v>1550</v>
      </c>
      <c r="D110" s="10" t="s">
        <v>1535</v>
      </c>
      <c r="E110" s="11">
        <v>1369</v>
      </c>
      <c r="F110" s="10"/>
      <c r="G110" s="10" t="s">
        <v>601</v>
      </c>
      <c r="H110" s="11">
        <v>33032</v>
      </c>
      <c r="I110" s="10" t="s">
        <v>1536</v>
      </c>
      <c r="J110" s="10" t="s">
        <v>1537</v>
      </c>
      <c r="K110" s="10" t="s">
        <v>1538</v>
      </c>
      <c r="L110" s="10" t="s">
        <v>1539</v>
      </c>
      <c r="M110" s="10" t="s">
        <v>1540</v>
      </c>
    </row>
    <row r="111" spans="1:13">
      <c r="A111" s="10" t="s">
        <v>2411</v>
      </c>
      <c r="B111" s="10" t="s">
        <v>323</v>
      </c>
      <c r="C111" s="10" t="s">
        <v>1557</v>
      </c>
      <c r="D111" s="10" t="s">
        <v>1535</v>
      </c>
      <c r="E111" s="11">
        <v>1369</v>
      </c>
      <c r="F111" s="10"/>
      <c r="G111" s="10" t="s">
        <v>601</v>
      </c>
      <c r="H111" s="11">
        <v>33032</v>
      </c>
      <c r="I111" s="10" t="s">
        <v>1536</v>
      </c>
      <c r="J111" s="10" t="s">
        <v>1537</v>
      </c>
      <c r="K111" s="10" t="s">
        <v>1538</v>
      </c>
      <c r="L111" s="10" t="s">
        <v>1539</v>
      </c>
      <c r="M111" s="10" t="s">
        <v>1540</v>
      </c>
    </row>
    <row r="112" spans="1:13">
      <c r="A112" s="10" t="s">
        <v>2412</v>
      </c>
      <c r="B112" s="10" t="s">
        <v>324</v>
      </c>
      <c r="C112" s="10" t="s">
        <v>1558</v>
      </c>
      <c r="D112" s="10" t="s">
        <v>1535</v>
      </c>
      <c r="E112" s="11">
        <v>1369</v>
      </c>
      <c r="F112" s="10"/>
      <c r="G112" s="10" t="s">
        <v>601</v>
      </c>
      <c r="H112" s="11">
        <v>33032</v>
      </c>
      <c r="I112" s="10" t="s">
        <v>1536</v>
      </c>
      <c r="J112" s="10" t="s">
        <v>1537</v>
      </c>
      <c r="K112" s="10" t="s">
        <v>1538</v>
      </c>
      <c r="L112" s="10" t="s">
        <v>1539</v>
      </c>
      <c r="M112" s="10" t="s">
        <v>1540</v>
      </c>
    </row>
    <row r="113" spans="1:13">
      <c r="A113" s="10" t="s">
        <v>2413</v>
      </c>
      <c r="B113" s="10" t="s">
        <v>1559</v>
      </c>
      <c r="C113" s="10" t="s">
        <v>1560</v>
      </c>
      <c r="D113" s="10" t="s">
        <v>1535</v>
      </c>
      <c r="E113" s="11">
        <v>1369</v>
      </c>
      <c r="F113" s="10"/>
      <c r="G113" s="10" t="s">
        <v>601</v>
      </c>
      <c r="H113" s="11">
        <v>33032</v>
      </c>
      <c r="I113" s="10" t="s">
        <v>1536</v>
      </c>
      <c r="J113" s="10" t="s">
        <v>1537</v>
      </c>
      <c r="K113" s="10" t="s">
        <v>1538</v>
      </c>
      <c r="L113" s="10" t="s">
        <v>1539</v>
      </c>
      <c r="M113" s="10" t="s">
        <v>1540</v>
      </c>
    </row>
    <row r="114" spans="1:13">
      <c r="A114" s="10" t="s">
        <v>2414</v>
      </c>
      <c r="B114" s="10" t="s">
        <v>325</v>
      </c>
      <c r="C114" s="10" t="s">
        <v>1561</v>
      </c>
      <c r="D114" s="10" t="s">
        <v>1535</v>
      </c>
      <c r="E114" s="11">
        <v>1369</v>
      </c>
      <c r="F114" s="10"/>
      <c r="G114" s="10" t="s">
        <v>601</v>
      </c>
      <c r="H114" s="11">
        <v>33032</v>
      </c>
      <c r="I114" s="10" t="s">
        <v>1536</v>
      </c>
      <c r="J114" s="10" t="s">
        <v>1537</v>
      </c>
      <c r="K114" s="10" t="s">
        <v>1538</v>
      </c>
      <c r="L114" s="10" t="s">
        <v>1539</v>
      </c>
      <c r="M114" s="10" t="s">
        <v>1540</v>
      </c>
    </row>
    <row r="115" spans="1:13">
      <c r="A115" s="10" t="s">
        <v>2409</v>
      </c>
      <c r="B115" s="10" t="s">
        <v>1542</v>
      </c>
      <c r="C115" s="10" t="s">
        <v>1543</v>
      </c>
      <c r="D115" s="10" t="s">
        <v>1544</v>
      </c>
      <c r="E115" s="11">
        <v>1405</v>
      </c>
      <c r="F115" s="10"/>
      <c r="G115" s="10" t="s">
        <v>601</v>
      </c>
      <c r="H115" s="11">
        <v>188803</v>
      </c>
      <c r="I115" s="10" t="s">
        <v>1545</v>
      </c>
      <c r="J115" s="10" t="s">
        <v>1546</v>
      </c>
      <c r="K115" s="10" t="s">
        <v>1547</v>
      </c>
      <c r="L115" s="10" t="s">
        <v>1548</v>
      </c>
      <c r="M115" s="10" t="s">
        <v>1549</v>
      </c>
    </row>
    <row r="116" spans="1:13">
      <c r="A116" s="10" t="s">
        <v>2410</v>
      </c>
      <c r="B116" s="10" t="s">
        <v>322</v>
      </c>
      <c r="C116" s="10" t="s">
        <v>1550</v>
      </c>
      <c r="D116" s="10" t="s">
        <v>1551</v>
      </c>
      <c r="E116" s="11">
        <v>1411</v>
      </c>
      <c r="F116" s="10"/>
      <c r="G116" s="10" t="s">
        <v>601</v>
      </c>
      <c r="H116" s="11">
        <v>68841</v>
      </c>
      <c r="I116" s="10" t="s">
        <v>1552</v>
      </c>
      <c r="J116" s="10" t="s">
        <v>1553</v>
      </c>
      <c r="K116" s="10" t="s">
        <v>1554</v>
      </c>
      <c r="L116" s="10" t="s">
        <v>1555</v>
      </c>
      <c r="M116" s="10" t="s">
        <v>1556</v>
      </c>
    </row>
    <row r="117" spans="1:13">
      <c r="A117" s="10" t="s">
        <v>2412</v>
      </c>
      <c r="B117" s="10" t="s">
        <v>324</v>
      </c>
      <c r="C117" s="10" t="s">
        <v>1558</v>
      </c>
      <c r="D117" s="10" t="s">
        <v>1551</v>
      </c>
      <c r="E117" s="11">
        <v>1411</v>
      </c>
      <c r="F117" s="10"/>
      <c r="G117" s="10" t="s">
        <v>601</v>
      </c>
      <c r="H117" s="11">
        <v>68841</v>
      </c>
      <c r="I117" s="10" t="s">
        <v>1552</v>
      </c>
      <c r="J117" s="10" t="s">
        <v>1553</v>
      </c>
      <c r="K117" s="10" t="s">
        <v>1554</v>
      </c>
      <c r="L117" s="10" t="s">
        <v>1555</v>
      </c>
      <c r="M117" s="10" t="s">
        <v>1556</v>
      </c>
    </row>
    <row r="118" spans="1:13">
      <c r="A118" s="10" t="s">
        <v>2413</v>
      </c>
      <c r="B118" s="10" t="s">
        <v>1559</v>
      </c>
      <c r="C118" s="10" t="s">
        <v>1560</v>
      </c>
      <c r="D118" s="10" t="s">
        <v>1551</v>
      </c>
      <c r="E118" s="11">
        <v>1411</v>
      </c>
      <c r="F118" s="10"/>
      <c r="G118" s="10" t="s">
        <v>601</v>
      </c>
      <c r="H118" s="11">
        <v>68841</v>
      </c>
      <c r="I118" s="10" t="s">
        <v>1552</v>
      </c>
      <c r="J118" s="10" t="s">
        <v>1553</v>
      </c>
      <c r="K118" s="10" t="s">
        <v>1554</v>
      </c>
      <c r="L118" s="10" t="s">
        <v>1555</v>
      </c>
      <c r="M118" s="10" t="s">
        <v>1556</v>
      </c>
    </row>
    <row r="119" spans="1:13">
      <c r="A119" s="10" t="s">
        <v>2414</v>
      </c>
      <c r="B119" s="10" t="s">
        <v>325</v>
      </c>
      <c r="C119" s="10" t="s">
        <v>1561</v>
      </c>
      <c r="D119" s="10" t="s">
        <v>1551</v>
      </c>
      <c r="E119" s="11">
        <v>1411</v>
      </c>
      <c r="F119" s="10"/>
      <c r="G119" s="10" t="s">
        <v>601</v>
      </c>
      <c r="H119" s="11">
        <v>68841</v>
      </c>
      <c r="I119" s="10" t="s">
        <v>1552</v>
      </c>
      <c r="J119" s="10" t="s">
        <v>1553</v>
      </c>
      <c r="K119" s="10" t="s">
        <v>1554</v>
      </c>
      <c r="L119" s="10" t="s">
        <v>1555</v>
      </c>
      <c r="M119" s="10" t="s">
        <v>1556</v>
      </c>
    </row>
    <row r="120" spans="1:13">
      <c r="A120" s="10" t="s">
        <v>2474</v>
      </c>
      <c r="B120" s="10" t="s">
        <v>1984</v>
      </c>
      <c r="C120" s="10" t="s">
        <v>1985</v>
      </c>
      <c r="D120" s="10" t="s">
        <v>1986</v>
      </c>
      <c r="E120" s="11">
        <v>1712</v>
      </c>
      <c r="F120" s="10"/>
      <c r="G120" s="10" t="s">
        <v>601</v>
      </c>
      <c r="H120" s="11">
        <v>6022</v>
      </c>
      <c r="I120" s="10" t="s">
        <v>1987</v>
      </c>
      <c r="J120" s="10"/>
      <c r="K120" s="10" t="s">
        <v>1988</v>
      </c>
      <c r="L120" s="10" t="s">
        <v>1989</v>
      </c>
      <c r="M120" s="10" t="s">
        <v>1990</v>
      </c>
    </row>
    <row r="121" spans="1:13">
      <c r="A121" s="10" t="s">
        <v>2477</v>
      </c>
      <c r="B121" s="10" t="s">
        <v>1999</v>
      </c>
      <c r="C121" s="10" t="s">
        <v>2000</v>
      </c>
      <c r="D121" s="10" t="s">
        <v>1986</v>
      </c>
      <c r="E121" s="11">
        <v>1712</v>
      </c>
      <c r="F121" s="10"/>
      <c r="G121" s="10" t="s">
        <v>601</v>
      </c>
      <c r="H121" s="11">
        <v>6022</v>
      </c>
      <c r="I121" s="10" t="s">
        <v>1987</v>
      </c>
      <c r="J121" s="10"/>
      <c r="K121" s="10" t="s">
        <v>1988</v>
      </c>
      <c r="L121" s="10" t="s">
        <v>1989</v>
      </c>
      <c r="M121" s="10" t="s">
        <v>1990</v>
      </c>
    </row>
    <row r="122" spans="1:13">
      <c r="A122" s="10" t="s">
        <v>2479</v>
      </c>
      <c r="B122" s="10" t="s">
        <v>2003</v>
      </c>
      <c r="C122" s="10" t="s">
        <v>2004</v>
      </c>
      <c r="D122" s="10" t="s">
        <v>1986</v>
      </c>
      <c r="E122" s="11">
        <v>1712</v>
      </c>
      <c r="F122" s="10"/>
      <c r="G122" s="10" t="s">
        <v>601</v>
      </c>
      <c r="H122" s="11">
        <v>6022</v>
      </c>
      <c r="I122" s="10" t="s">
        <v>1987</v>
      </c>
      <c r="J122" s="10"/>
      <c r="K122" s="10" t="s">
        <v>1988</v>
      </c>
      <c r="L122" s="10" t="s">
        <v>1989</v>
      </c>
      <c r="M122" s="10" t="s">
        <v>1990</v>
      </c>
    </row>
    <row r="123" spans="1:13">
      <c r="A123" s="10" t="s">
        <v>2480</v>
      </c>
      <c r="B123" s="10" t="s">
        <v>2005</v>
      </c>
      <c r="C123" s="10" t="s">
        <v>2006</v>
      </c>
      <c r="D123" s="10" t="s">
        <v>1986</v>
      </c>
      <c r="E123" s="11">
        <v>1712</v>
      </c>
      <c r="F123" s="10"/>
      <c r="G123" s="10" t="s">
        <v>601</v>
      </c>
      <c r="H123" s="11">
        <v>6022</v>
      </c>
      <c r="I123" s="10" t="s">
        <v>1987</v>
      </c>
      <c r="J123" s="10"/>
      <c r="K123" s="10" t="s">
        <v>1988</v>
      </c>
      <c r="L123" s="10" t="s">
        <v>1989</v>
      </c>
      <c r="M123" s="10" t="s">
        <v>1990</v>
      </c>
    </row>
    <row r="124" spans="1:13">
      <c r="A124" s="10" t="s">
        <v>2481</v>
      </c>
      <c r="B124" s="10" t="s">
        <v>2007</v>
      </c>
      <c r="C124" s="10" t="s">
        <v>2008</v>
      </c>
      <c r="D124" s="10" t="s">
        <v>1986</v>
      </c>
      <c r="E124" s="11">
        <v>1712</v>
      </c>
      <c r="F124" s="10"/>
      <c r="G124" s="10" t="s">
        <v>601</v>
      </c>
      <c r="H124" s="11">
        <v>6022</v>
      </c>
      <c r="I124" s="10" t="s">
        <v>1987</v>
      </c>
      <c r="J124" s="10"/>
      <c r="K124" s="10" t="s">
        <v>1988</v>
      </c>
      <c r="L124" s="10" t="s">
        <v>1989</v>
      </c>
      <c r="M124" s="10" t="s">
        <v>1990</v>
      </c>
    </row>
    <row r="125" spans="1:13">
      <c r="A125" s="10" t="s">
        <v>2393</v>
      </c>
      <c r="B125" s="10" t="s">
        <v>1441</v>
      </c>
      <c r="C125" s="10" t="s">
        <v>1442</v>
      </c>
      <c r="D125" s="10" t="s">
        <v>1443</v>
      </c>
      <c r="E125" s="11">
        <v>1713</v>
      </c>
      <c r="F125" s="10"/>
      <c r="G125" s="10" t="s">
        <v>601</v>
      </c>
      <c r="H125" s="11">
        <v>5957</v>
      </c>
      <c r="I125" s="10" t="s">
        <v>1444</v>
      </c>
      <c r="J125" s="10"/>
      <c r="K125" s="10" t="s">
        <v>1445</v>
      </c>
      <c r="L125" s="10" t="s">
        <v>1446</v>
      </c>
      <c r="M125" s="10" t="s">
        <v>1447</v>
      </c>
    </row>
    <row r="126" spans="1:13">
      <c r="A126" s="10" t="s">
        <v>2474</v>
      </c>
      <c r="B126" s="10" t="s">
        <v>1984</v>
      </c>
      <c r="C126" s="10" t="s">
        <v>1985</v>
      </c>
      <c r="D126" s="10" t="s">
        <v>1443</v>
      </c>
      <c r="E126" s="11">
        <v>1713</v>
      </c>
      <c r="F126" s="10"/>
      <c r="G126" s="10" t="s">
        <v>601</v>
      </c>
      <c r="H126" s="11">
        <v>5957</v>
      </c>
      <c r="I126" s="10" t="s">
        <v>1444</v>
      </c>
      <c r="J126" s="10"/>
      <c r="K126" s="10" t="s">
        <v>1445</v>
      </c>
      <c r="L126" s="10" t="s">
        <v>1446</v>
      </c>
      <c r="M126" s="10" t="s">
        <v>1447</v>
      </c>
    </row>
    <row r="127" spans="1:13">
      <c r="A127" s="10" t="s">
        <v>2475</v>
      </c>
      <c r="B127" s="10" t="s">
        <v>335</v>
      </c>
      <c r="C127" s="10" t="s">
        <v>1991</v>
      </c>
      <c r="D127" s="10" t="s">
        <v>1443</v>
      </c>
      <c r="E127" s="11">
        <v>1713</v>
      </c>
      <c r="F127" s="10"/>
      <c r="G127" s="10" t="s">
        <v>601</v>
      </c>
      <c r="H127" s="11">
        <v>5957</v>
      </c>
      <c r="I127" s="10" t="s">
        <v>1444</v>
      </c>
      <c r="J127" s="10"/>
      <c r="K127" s="10" t="s">
        <v>1445</v>
      </c>
      <c r="L127" s="10" t="s">
        <v>1446</v>
      </c>
      <c r="M127" s="10" t="s">
        <v>1447</v>
      </c>
    </row>
    <row r="128" spans="1:13">
      <c r="A128" s="10" t="s">
        <v>2476</v>
      </c>
      <c r="B128" s="10" t="s">
        <v>1997</v>
      </c>
      <c r="C128" s="10" t="s">
        <v>1998</v>
      </c>
      <c r="D128" s="10" t="s">
        <v>1443</v>
      </c>
      <c r="E128" s="11">
        <v>1713</v>
      </c>
      <c r="F128" s="10"/>
      <c r="G128" s="10" t="s">
        <v>601</v>
      </c>
      <c r="H128" s="11">
        <v>5957</v>
      </c>
      <c r="I128" s="10" t="s">
        <v>1444</v>
      </c>
      <c r="J128" s="10"/>
      <c r="K128" s="10" t="s">
        <v>1445</v>
      </c>
      <c r="L128" s="10" t="s">
        <v>1446</v>
      </c>
      <c r="M128" s="10" t="s">
        <v>1447</v>
      </c>
    </row>
    <row r="129" spans="1:13">
      <c r="A129" s="10" t="s">
        <v>2479</v>
      </c>
      <c r="B129" s="10" t="s">
        <v>2003</v>
      </c>
      <c r="C129" s="10" t="s">
        <v>2004</v>
      </c>
      <c r="D129" s="10" t="s">
        <v>1443</v>
      </c>
      <c r="E129" s="11">
        <v>1713</v>
      </c>
      <c r="F129" s="10"/>
      <c r="G129" s="10" t="s">
        <v>601</v>
      </c>
      <c r="H129" s="11">
        <v>5957</v>
      </c>
      <c r="I129" s="10" t="s">
        <v>1444</v>
      </c>
      <c r="J129" s="10"/>
      <c r="K129" s="10" t="s">
        <v>1445</v>
      </c>
      <c r="L129" s="10" t="s">
        <v>1446</v>
      </c>
      <c r="M129" s="10" t="s">
        <v>1447</v>
      </c>
    </row>
    <row r="130" spans="1:13">
      <c r="A130" s="10" t="s">
        <v>2480</v>
      </c>
      <c r="B130" s="10" t="s">
        <v>2005</v>
      </c>
      <c r="C130" s="10" t="s">
        <v>2006</v>
      </c>
      <c r="D130" s="10" t="s">
        <v>1443</v>
      </c>
      <c r="E130" s="11">
        <v>1713</v>
      </c>
      <c r="F130" s="10"/>
      <c r="G130" s="10" t="s">
        <v>601</v>
      </c>
      <c r="H130" s="11">
        <v>5957</v>
      </c>
      <c r="I130" s="10" t="s">
        <v>1444</v>
      </c>
      <c r="J130" s="10"/>
      <c r="K130" s="10" t="s">
        <v>1445</v>
      </c>
      <c r="L130" s="10" t="s">
        <v>1446</v>
      </c>
      <c r="M130" s="10" t="s">
        <v>1447</v>
      </c>
    </row>
    <row r="131" spans="1:13">
      <c r="A131" s="10" t="s">
        <v>2481</v>
      </c>
      <c r="B131" s="10" t="s">
        <v>2007</v>
      </c>
      <c r="C131" s="10" t="s">
        <v>2008</v>
      </c>
      <c r="D131" s="10" t="s">
        <v>1443</v>
      </c>
      <c r="E131" s="11">
        <v>1713</v>
      </c>
      <c r="F131" s="10"/>
      <c r="G131" s="10" t="s">
        <v>601</v>
      </c>
      <c r="H131" s="11">
        <v>5957</v>
      </c>
      <c r="I131" s="10" t="s">
        <v>1444</v>
      </c>
      <c r="J131" s="10"/>
      <c r="K131" s="10" t="s">
        <v>1445</v>
      </c>
      <c r="L131" s="10" t="s">
        <v>1446</v>
      </c>
      <c r="M131" s="10" t="s">
        <v>1447</v>
      </c>
    </row>
    <row r="132" spans="1:13">
      <c r="A132" s="10" t="s">
        <v>2475</v>
      </c>
      <c r="B132" s="10" t="s">
        <v>335</v>
      </c>
      <c r="C132" s="10" t="s">
        <v>1991</v>
      </c>
      <c r="D132" s="10" t="s">
        <v>1992</v>
      </c>
      <c r="E132" s="11">
        <v>1734</v>
      </c>
      <c r="F132" s="10"/>
      <c r="G132" s="10" t="s">
        <v>601</v>
      </c>
      <c r="H132" s="11">
        <v>6133</v>
      </c>
      <c r="I132" s="10" t="s">
        <v>1993</v>
      </c>
      <c r="J132" s="10"/>
      <c r="K132" s="10" t="s">
        <v>1994</v>
      </c>
      <c r="L132" s="10" t="s">
        <v>1995</v>
      </c>
      <c r="M132" s="10" t="s">
        <v>1996</v>
      </c>
    </row>
    <row r="133" spans="1:13">
      <c r="A133" s="10" t="s">
        <v>2476</v>
      </c>
      <c r="B133" s="10" t="s">
        <v>1997</v>
      </c>
      <c r="C133" s="10" t="s">
        <v>1998</v>
      </c>
      <c r="D133" s="10" t="s">
        <v>1992</v>
      </c>
      <c r="E133" s="11">
        <v>1734</v>
      </c>
      <c r="F133" s="10"/>
      <c r="G133" s="10" t="s">
        <v>601</v>
      </c>
      <c r="H133" s="11">
        <v>6133</v>
      </c>
      <c r="I133" s="10" t="s">
        <v>1993</v>
      </c>
      <c r="J133" s="10"/>
      <c r="K133" s="10" t="s">
        <v>1994</v>
      </c>
      <c r="L133" s="10" t="s">
        <v>1995</v>
      </c>
      <c r="M133" s="10" t="s">
        <v>1996</v>
      </c>
    </row>
    <row r="134" spans="1:13">
      <c r="A134" s="10" t="s">
        <v>2477</v>
      </c>
      <c r="B134" s="10" t="s">
        <v>1999</v>
      </c>
      <c r="C134" s="10" t="s">
        <v>2000</v>
      </c>
      <c r="D134" s="10" t="s">
        <v>1992</v>
      </c>
      <c r="E134" s="11">
        <v>1734</v>
      </c>
      <c r="F134" s="10"/>
      <c r="G134" s="10" t="s">
        <v>601</v>
      </c>
      <c r="H134" s="11">
        <v>6133</v>
      </c>
      <c r="I134" s="10" t="s">
        <v>1993</v>
      </c>
      <c r="J134" s="10"/>
      <c r="K134" s="10" t="s">
        <v>1994</v>
      </c>
      <c r="L134" s="10" t="s">
        <v>1995</v>
      </c>
      <c r="M134" s="10" t="s">
        <v>1996</v>
      </c>
    </row>
    <row r="135" spans="1:13">
      <c r="A135" s="10" t="s">
        <v>2479</v>
      </c>
      <c r="B135" s="10" t="s">
        <v>2003</v>
      </c>
      <c r="C135" s="10" t="s">
        <v>2004</v>
      </c>
      <c r="D135" s="10" t="s">
        <v>1992</v>
      </c>
      <c r="E135" s="11">
        <v>1734</v>
      </c>
      <c r="F135" s="10"/>
      <c r="G135" s="10" t="s">
        <v>601</v>
      </c>
      <c r="H135" s="11">
        <v>6133</v>
      </c>
      <c r="I135" s="10" t="s">
        <v>1993</v>
      </c>
      <c r="J135" s="10"/>
      <c r="K135" s="10" t="s">
        <v>1994</v>
      </c>
      <c r="L135" s="10" t="s">
        <v>1995</v>
      </c>
      <c r="M135" s="10" t="s">
        <v>1996</v>
      </c>
    </row>
    <row r="136" spans="1:13">
      <c r="A136" s="10" t="s">
        <v>2393</v>
      </c>
      <c r="B136" s="10" t="s">
        <v>1441</v>
      </c>
      <c r="C136" s="10" t="s">
        <v>1442</v>
      </c>
      <c r="D136" s="10" t="s">
        <v>1448</v>
      </c>
      <c r="E136" s="11">
        <v>1749</v>
      </c>
      <c r="F136" s="10"/>
      <c r="G136" s="10" t="s">
        <v>601</v>
      </c>
      <c r="H136" s="11">
        <v>6031</v>
      </c>
      <c r="I136" s="10" t="s">
        <v>1449</v>
      </c>
      <c r="J136" s="10"/>
      <c r="K136" s="10" t="s">
        <v>1450</v>
      </c>
      <c r="L136" s="10" t="s">
        <v>1451</v>
      </c>
      <c r="M136" s="10" t="s">
        <v>1452</v>
      </c>
    </row>
    <row r="137" spans="1:13">
      <c r="A137" s="10" t="s">
        <v>2477</v>
      </c>
      <c r="B137" s="10" t="s">
        <v>1999</v>
      </c>
      <c r="C137" s="10" t="s">
        <v>2000</v>
      </c>
      <c r="D137" s="10" t="s">
        <v>1448</v>
      </c>
      <c r="E137" s="11">
        <v>1749</v>
      </c>
      <c r="F137" s="10"/>
      <c r="G137" s="10" t="s">
        <v>601</v>
      </c>
      <c r="H137" s="11">
        <v>6031</v>
      </c>
      <c r="I137" s="10" t="s">
        <v>1449</v>
      </c>
      <c r="J137" s="10"/>
      <c r="K137" s="10" t="s">
        <v>1450</v>
      </c>
      <c r="L137" s="10" t="s">
        <v>1451</v>
      </c>
      <c r="M137" s="10" t="s">
        <v>1452</v>
      </c>
    </row>
    <row r="138" spans="1:13">
      <c r="A138" s="10" t="s">
        <v>2482</v>
      </c>
      <c r="B138" s="10" t="s">
        <v>2009</v>
      </c>
      <c r="C138" s="10" t="s">
        <v>2010</v>
      </c>
      <c r="D138" s="10" t="s">
        <v>1448</v>
      </c>
      <c r="E138" s="11">
        <v>1749</v>
      </c>
      <c r="F138" s="10"/>
      <c r="G138" s="10" t="s">
        <v>601</v>
      </c>
      <c r="H138" s="11">
        <v>6031</v>
      </c>
      <c r="I138" s="10" t="s">
        <v>1449</v>
      </c>
      <c r="J138" s="10"/>
      <c r="K138" s="10" t="s">
        <v>1450</v>
      </c>
      <c r="L138" s="10" t="s">
        <v>1451</v>
      </c>
      <c r="M138" s="10" t="s">
        <v>1452</v>
      </c>
    </row>
    <row r="139" spans="1:13">
      <c r="A139" s="10" t="s">
        <v>2482</v>
      </c>
      <c r="B139" s="10" t="s">
        <v>2009</v>
      </c>
      <c r="C139" s="10" t="s">
        <v>2010</v>
      </c>
      <c r="D139" s="10" t="s">
        <v>2011</v>
      </c>
      <c r="E139" s="11">
        <v>1779</v>
      </c>
      <c r="F139" s="10"/>
      <c r="G139" s="10" t="s">
        <v>601</v>
      </c>
      <c r="H139" s="11">
        <v>445675</v>
      </c>
      <c r="I139" s="10" t="s">
        <v>2012</v>
      </c>
      <c r="J139" s="10"/>
      <c r="K139" s="10" t="s">
        <v>2013</v>
      </c>
      <c r="L139" s="10" t="s">
        <v>2014</v>
      </c>
      <c r="M139" s="10" t="s">
        <v>2015</v>
      </c>
    </row>
    <row r="140" spans="1:13">
      <c r="A140" s="10" t="s">
        <v>2393</v>
      </c>
      <c r="B140" s="10" t="s">
        <v>1441</v>
      </c>
      <c r="C140" s="10" t="s">
        <v>1442</v>
      </c>
      <c r="D140" s="10" t="s">
        <v>1453</v>
      </c>
      <c r="E140" s="11">
        <v>1782</v>
      </c>
      <c r="F140" s="10"/>
      <c r="G140" s="10" t="s">
        <v>601</v>
      </c>
      <c r="H140" s="11">
        <v>18068</v>
      </c>
      <c r="I140" s="10" t="s">
        <v>1454</v>
      </c>
      <c r="J140" s="10"/>
      <c r="K140" s="10" t="s">
        <v>1455</v>
      </c>
      <c r="L140" s="10" t="s">
        <v>1456</v>
      </c>
      <c r="M140" s="10" t="s">
        <v>1457</v>
      </c>
    </row>
    <row r="141" spans="1:13">
      <c r="A141" s="10" t="s">
        <v>2482</v>
      </c>
      <c r="B141" s="10" t="s">
        <v>2009</v>
      </c>
      <c r="C141" s="10" t="s">
        <v>2010</v>
      </c>
      <c r="D141" s="10" t="s">
        <v>1453</v>
      </c>
      <c r="E141" s="11">
        <v>1782</v>
      </c>
      <c r="F141" s="10"/>
      <c r="G141" s="10" t="s">
        <v>601</v>
      </c>
      <c r="H141" s="11">
        <v>18068</v>
      </c>
      <c r="I141" s="10" t="s">
        <v>1454</v>
      </c>
      <c r="J141" s="10"/>
      <c r="K141" s="10" t="s">
        <v>1455</v>
      </c>
      <c r="L141" s="10" t="s">
        <v>1456</v>
      </c>
      <c r="M141" s="10" t="s">
        <v>1457</v>
      </c>
    </row>
    <row r="142" spans="1:13">
      <c r="A142" s="10" t="s">
        <v>2393</v>
      </c>
      <c r="B142" s="10" t="s">
        <v>1441</v>
      </c>
      <c r="C142" s="10" t="s">
        <v>1442</v>
      </c>
      <c r="D142" s="10" t="s">
        <v>1458</v>
      </c>
      <c r="E142" s="11">
        <v>1783</v>
      </c>
      <c r="F142" s="10"/>
      <c r="G142" s="10" t="s">
        <v>601</v>
      </c>
      <c r="H142" s="11">
        <v>8629</v>
      </c>
      <c r="I142" s="10" t="s">
        <v>1459</v>
      </c>
      <c r="J142" s="10"/>
      <c r="K142" s="10" t="s">
        <v>1460</v>
      </c>
      <c r="L142" s="10" t="s">
        <v>1461</v>
      </c>
      <c r="M142" s="10" t="s">
        <v>1462</v>
      </c>
    </row>
    <row r="143" spans="1:13">
      <c r="A143" s="10" t="s">
        <v>2482</v>
      </c>
      <c r="B143" s="10" t="s">
        <v>2009</v>
      </c>
      <c r="C143" s="10" t="s">
        <v>2010</v>
      </c>
      <c r="D143" s="10" t="s">
        <v>1458</v>
      </c>
      <c r="E143" s="11">
        <v>1783</v>
      </c>
      <c r="F143" s="10"/>
      <c r="G143" s="10" t="s">
        <v>601</v>
      </c>
      <c r="H143" s="11">
        <v>8629</v>
      </c>
      <c r="I143" s="10" t="s">
        <v>1459</v>
      </c>
      <c r="J143" s="10"/>
      <c r="K143" s="10" t="s">
        <v>1460</v>
      </c>
      <c r="L143" s="10" t="s">
        <v>1461</v>
      </c>
      <c r="M143" s="10" t="s">
        <v>1462</v>
      </c>
    </row>
    <row r="144" spans="1:13">
      <c r="A144" s="10" t="s">
        <v>2482</v>
      </c>
      <c r="B144" s="10" t="s">
        <v>2009</v>
      </c>
      <c r="C144" s="10" t="s">
        <v>2010</v>
      </c>
      <c r="D144" s="10" t="s">
        <v>2016</v>
      </c>
      <c r="E144" s="11">
        <v>1784</v>
      </c>
      <c r="F144" s="10"/>
      <c r="G144" s="10" t="s">
        <v>601</v>
      </c>
      <c r="H144" s="11">
        <v>17473</v>
      </c>
      <c r="I144" s="10" t="s">
        <v>2017</v>
      </c>
      <c r="J144" s="10"/>
      <c r="K144" s="10" t="s">
        <v>2018</v>
      </c>
      <c r="L144" s="10" t="s">
        <v>2019</v>
      </c>
      <c r="M144" s="10" t="s">
        <v>2020</v>
      </c>
    </row>
    <row r="145" spans="1:13">
      <c r="A145" s="10" t="s">
        <v>2498</v>
      </c>
      <c r="B145" s="10" t="s">
        <v>2109</v>
      </c>
      <c r="C145" s="10" t="s">
        <v>2110</v>
      </c>
      <c r="D145" s="10" t="s">
        <v>2111</v>
      </c>
      <c r="E145" s="11">
        <v>1831</v>
      </c>
      <c r="F145" s="10"/>
      <c r="G145" s="10" t="s">
        <v>601</v>
      </c>
      <c r="H145" s="11">
        <v>108156</v>
      </c>
      <c r="I145" s="10" t="s">
        <v>2112</v>
      </c>
      <c r="J145" s="10"/>
      <c r="K145" s="10" t="s">
        <v>2113</v>
      </c>
      <c r="L145" s="10" t="s">
        <v>2114</v>
      </c>
      <c r="M145" s="10" t="s">
        <v>2115</v>
      </c>
    </row>
    <row r="146" spans="1:13">
      <c r="A146" s="10" t="s">
        <v>2487</v>
      </c>
      <c r="B146" s="10" t="s">
        <v>2042</v>
      </c>
      <c r="C146" s="10" t="s">
        <v>2043</v>
      </c>
      <c r="D146" s="10" t="s">
        <v>2044</v>
      </c>
      <c r="E146" s="11">
        <v>1881</v>
      </c>
      <c r="F146" s="10"/>
      <c r="G146" s="10" t="s">
        <v>601</v>
      </c>
      <c r="H146" s="11">
        <v>448457</v>
      </c>
      <c r="I146" s="10" t="s">
        <v>2045</v>
      </c>
      <c r="J146" s="10"/>
      <c r="K146" s="10" t="s">
        <v>2046</v>
      </c>
      <c r="L146" s="10" t="s">
        <v>2047</v>
      </c>
      <c r="M146" s="10" t="s">
        <v>2048</v>
      </c>
    </row>
    <row r="147" spans="1:13">
      <c r="A147" s="10" t="s">
        <v>2488</v>
      </c>
      <c r="B147" s="10" t="s">
        <v>2079</v>
      </c>
      <c r="C147" s="10" t="s">
        <v>2080</v>
      </c>
      <c r="D147" s="10" t="s">
        <v>2044</v>
      </c>
      <c r="E147" s="11">
        <v>1881</v>
      </c>
      <c r="F147" s="10"/>
      <c r="G147" s="10" t="s">
        <v>601</v>
      </c>
      <c r="H147" s="11">
        <v>448457</v>
      </c>
      <c r="I147" s="10" t="s">
        <v>2045</v>
      </c>
      <c r="J147" s="10"/>
      <c r="K147" s="10" t="s">
        <v>2046</v>
      </c>
      <c r="L147" s="10" t="s">
        <v>2047</v>
      </c>
      <c r="M147" s="10" t="s">
        <v>2048</v>
      </c>
    </row>
    <row r="148" spans="1:13">
      <c r="A148" s="10" t="s">
        <v>2489</v>
      </c>
      <c r="B148" s="10" t="s">
        <v>337</v>
      </c>
      <c r="C148" s="10" t="s">
        <v>2085</v>
      </c>
      <c r="D148" s="10" t="s">
        <v>2044</v>
      </c>
      <c r="E148" s="11">
        <v>1881</v>
      </c>
      <c r="F148" s="10"/>
      <c r="G148" s="10" t="s">
        <v>601</v>
      </c>
      <c r="H148" s="11">
        <v>448457</v>
      </c>
      <c r="I148" s="10" t="s">
        <v>2045</v>
      </c>
      <c r="J148" s="10"/>
      <c r="K148" s="10" t="s">
        <v>2046</v>
      </c>
      <c r="L148" s="10" t="s">
        <v>2047</v>
      </c>
      <c r="M148" s="10" t="s">
        <v>2048</v>
      </c>
    </row>
    <row r="149" spans="1:13">
      <c r="A149" s="10" t="s">
        <v>2490</v>
      </c>
      <c r="B149" s="10" t="s">
        <v>338</v>
      </c>
      <c r="C149" s="10" t="s">
        <v>2086</v>
      </c>
      <c r="D149" s="10" t="s">
        <v>2044</v>
      </c>
      <c r="E149" s="11">
        <v>1881</v>
      </c>
      <c r="F149" s="10"/>
      <c r="G149" s="10" t="s">
        <v>601</v>
      </c>
      <c r="H149" s="11">
        <v>448457</v>
      </c>
      <c r="I149" s="10" t="s">
        <v>2045</v>
      </c>
      <c r="J149" s="10"/>
      <c r="K149" s="10" t="s">
        <v>2046</v>
      </c>
      <c r="L149" s="10" t="s">
        <v>2047</v>
      </c>
      <c r="M149" s="10" t="s">
        <v>2048</v>
      </c>
    </row>
    <row r="150" spans="1:13">
      <c r="A150" s="10" t="s">
        <v>2491</v>
      </c>
      <c r="B150" s="10" t="s">
        <v>339</v>
      </c>
      <c r="C150" s="10" t="s">
        <v>2087</v>
      </c>
      <c r="D150" s="10" t="s">
        <v>2044</v>
      </c>
      <c r="E150" s="11">
        <v>1881</v>
      </c>
      <c r="F150" s="10"/>
      <c r="G150" s="10" t="s">
        <v>601</v>
      </c>
      <c r="H150" s="11">
        <v>448457</v>
      </c>
      <c r="I150" s="10" t="s">
        <v>2045</v>
      </c>
      <c r="J150" s="10"/>
      <c r="K150" s="10" t="s">
        <v>2046</v>
      </c>
      <c r="L150" s="10" t="s">
        <v>2047</v>
      </c>
      <c r="M150" s="10" t="s">
        <v>2048</v>
      </c>
    </row>
    <row r="151" spans="1:13">
      <c r="A151" s="10" t="s">
        <v>2492</v>
      </c>
      <c r="B151" s="10" t="s">
        <v>340</v>
      </c>
      <c r="C151" s="10" t="s">
        <v>2088</v>
      </c>
      <c r="D151" s="10" t="s">
        <v>2044</v>
      </c>
      <c r="E151" s="11">
        <v>1881</v>
      </c>
      <c r="F151" s="10"/>
      <c r="G151" s="10" t="s">
        <v>601</v>
      </c>
      <c r="H151" s="11">
        <v>448457</v>
      </c>
      <c r="I151" s="10" t="s">
        <v>2045</v>
      </c>
      <c r="J151" s="10"/>
      <c r="K151" s="10" t="s">
        <v>2046</v>
      </c>
      <c r="L151" s="10" t="s">
        <v>2047</v>
      </c>
      <c r="M151" s="10" t="s">
        <v>2048</v>
      </c>
    </row>
    <row r="152" spans="1:13">
      <c r="A152" s="10" t="s">
        <v>2493</v>
      </c>
      <c r="B152" s="10" t="s">
        <v>341</v>
      </c>
      <c r="C152" s="10" t="s">
        <v>2089</v>
      </c>
      <c r="D152" s="10" t="s">
        <v>2044</v>
      </c>
      <c r="E152" s="11">
        <v>1881</v>
      </c>
      <c r="F152" s="10"/>
      <c r="G152" s="10" t="s">
        <v>601</v>
      </c>
      <c r="H152" s="11">
        <v>448457</v>
      </c>
      <c r="I152" s="10" t="s">
        <v>2045</v>
      </c>
      <c r="J152" s="10"/>
      <c r="K152" s="10" t="s">
        <v>2046</v>
      </c>
      <c r="L152" s="10" t="s">
        <v>2047</v>
      </c>
      <c r="M152" s="10" t="s">
        <v>2048</v>
      </c>
    </row>
    <row r="153" spans="1:13">
      <c r="A153" s="10" t="s">
        <v>2494</v>
      </c>
      <c r="B153" s="10" t="s">
        <v>2090</v>
      </c>
      <c r="C153" s="10" t="s">
        <v>2091</v>
      </c>
      <c r="D153" s="10" t="s">
        <v>2044</v>
      </c>
      <c r="E153" s="11">
        <v>1881</v>
      </c>
      <c r="F153" s="10"/>
      <c r="G153" s="10" t="s">
        <v>601</v>
      </c>
      <c r="H153" s="11">
        <v>448457</v>
      </c>
      <c r="I153" s="10" t="s">
        <v>2045</v>
      </c>
      <c r="J153" s="10"/>
      <c r="K153" s="10" t="s">
        <v>2046</v>
      </c>
      <c r="L153" s="10" t="s">
        <v>2047</v>
      </c>
      <c r="M153" s="10" t="s">
        <v>2048</v>
      </c>
    </row>
    <row r="154" spans="1:13">
      <c r="A154" s="10" t="s">
        <v>2518</v>
      </c>
      <c r="B154" s="10" t="s">
        <v>2210</v>
      </c>
      <c r="C154" s="10" t="s">
        <v>2211</v>
      </c>
      <c r="D154" s="10" t="s">
        <v>2044</v>
      </c>
      <c r="E154" s="11">
        <v>1881</v>
      </c>
      <c r="F154" s="10"/>
      <c r="G154" s="10" t="s">
        <v>601</v>
      </c>
      <c r="H154" s="11">
        <v>448457</v>
      </c>
      <c r="I154" s="10" t="s">
        <v>2045</v>
      </c>
      <c r="J154" s="10"/>
      <c r="K154" s="10" t="s">
        <v>2046</v>
      </c>
      <c r="L154" s="10" t="s">
        <v>2047</v>
      </c>
      <c r="M154" s="10" t="s">
        <v>2048</v>
      </c>
    </row>
    <row r="155" spans="1:13">
      <c r="A155" s="10" t="s">
        <v>2487</v>
      </c>
      <c r="B155" s="10" t="s">
        <v>2042</v>
      </c>
      <c r="C155" s="10" t="s">
        <v>2043</v>
      </c>
      <c r="D155" s="10" t="s">
        <v>2056</v>
      </c>
      <c r="E155" s="11">
        <v>1883</v>
      </c>
      <c r="F155" s="10"/>
      <c r="G155" s="10" t="s">
        <v>601</v>
      </c>
      <c r="H155" s="11">
        <v>5280360</v>
      </c>
      <c r="I155" s="10" t="s">
        <v>2057</v>
      </c>
      <c r="J155" s="10" t="s">
        <v>2058</v>
      </c>
      <c r="K155" s="10" t="s">
        <v>2059</v>
      </c>
      <c r="L155" s="10" t="s">
        <v>2060</v>
      </c>
      <c r="M155" s="10" t="s">
        <v>2061</v>
      </c>
    </row>
    <row r="156" spans="1:13">
      <c r="A156" s="10" t="s">
        <v>2488</v>
      </c>
      <c r="B156" s="10" t="s">
        <v>2079</v>
      </c>
      <c r="C156" s="10" t="s">
        <v>2080</v>
      </c>
      <c r="D156" s="10" t="s">
        <v>2056</v>
      </c>
      <c r="E156" s="11">
        <v>1883</v>
      </c>
      <c r="F156" s="10"/>
      <c r="G156" s="10" t="s">
        <v>601</v>
      </c>
      <c r="H156" s="11">
        <v>5280360</v>
      </c>
      <c r="I156" s="10" t="s">
        <v>2057</v>
      </c>
      <c r="J156" s="10" t="s">
        <v>2058</v>
      </c>
      <c r="K156" s="10" t="s">
        <v>2059</v>
      </c>
      <c r="L156" s="10" t="s">
        <v>2060</v>
      </c>
      <c r="M156" s="10" t="s">
        <v>2061</v>
      </c>
    </row>
    <row r="157" spans="1:13">
      <c r="A157" s="10" t="s">
        <v>2489</v>
      </c>
      <c r="B157" s="10" t="s">
        <v>337</v>
      </c>
      <c r="C157" s="10" t="s">
        <v>2085</v>
      </c>
      <c r="D157" s="10" t="s">
        <v>2056</v>
      </c>
      <c r="E157" s="11">
        <v>1883</v>
      </c>
      <c r="F157" s="10"/>
      <c r="G157" s="10" t="s">
        <v>601</v>
      </c>
      <c r="H157" s="11">
        <v>5280360</v>
      </c>
      <c r="I157" s="10" t="s">
        <v>2057</v>
      </c>
      <c r="J157" s="10" t="s">
        <v>2058</v>
      </c>
      <c r="K157" s="10" t="s">
        <v>2059</v>
      </c>
      <c r="L157" s="10" t="s">
        <v>2060</v>
      </c>
      <c r="M157" s="10" t="s">
        <v>2061</v>
      </c>
    </row>
    <row r="158" spans="1:13">
      <c r="A158" s="10" t="s">
        <v>2490</v>
      </c>
      <c r="B158" s="10" t="s">
        <v>338</v>
      </c>
      <c r="C158" s="10" t="s">
        <v>2086</v>
      </c>
      <c r="D158" s="10" t="s">
        <v>2056</v>
      </c>
      <c r="E158" s="11">
        <v>1883</v>
      </c>
      <c r="F158" s="10"/>
      <c r="G158" s="10" t="s">
        <v>601</v>
      </c>
      <c r="H158" s="11">
        <v>5280360</v>
      </c>
      <c r="I158" s="10" t="s">
        <v>2057</v>
      </c>
      <c r="J158" s="10" t="s">
        <v>2058</v>
      </c>
      <c r="K158" s="10" t="s">
        <v>2059</v>
      </c>
      <c r="L158" s="10" t="s">
        <v>2060</v>
      </c>
      <c r="M158" s="10" t="s">
        <v>2061</v>
      </c>
    </row>
    <row r="159" spans="1:13">
      <c r="A159" s="10" t="s">
        <v>2491</v>
      </c>
      <c r="B159" s="10" t="s">
        <v>339</v>
      </c>
      <c r="C159" s="10" t="s">
        <v>2087</v>
      </c>
      <c r="D159" s="10" t="s">
        <v>2056</v>
      </c>
      <c r="E159" s="11">
        <v>1883</v>
      </c>
      <c r="F159" s="10"/>
      <c r="G159" s="10" t="s">
        <v>601</v>
      </c>
      <c r="H159" s="11">
        <v>5280360</v>
      </c>
      <c r="I159" s="10" t="s">
        <v>2057</v>
      </c>
      <c r="J159" s="10" t="s">
        <v>2058</v>
      </c>
      <c r="K159" s="10" t="s">
        <v>2059</v>
      </c>
      <c r="L159" s="10" t="s">
        <v>2060</v>
      </c>
      <c r="M159" s="10" t="s">
        <v>2061</v>
      </c>
    </row>
    <row r="160" spans="1:13">
      <c r="A160" s="10" t="s">
        <v>2492</v>
      </c>
      <c r="B160" s="10" t="s">
        <v>340</v>
      </c>
      <c r="C160" s="10" t="s">
        <v>2088</v>
      </c>
      <c r="D160" s="10" t="s">
        <v>2056</v>
      </c>
      <c r="E160" s="11">
        <v>1883</v>
      </c>
      <c r="F160" s="10"/>
      <c r="G160" s="10" t="s">
        <v>601</v>
      </c>
      <c r="H160" s="11">
        <v>5280360</v>
      </c>
      <c r="I160" s="10" t="s">
        <v>2057</v>
      </c>
      <c r="J160" s="10" t="s">
        <v>2058</v>
      </c>
      <c r="K160" s="10" t="s">
        <v>2059</v>
      </c>
      <c r="L160" s="10" t="s">
        <v>2060</v>
      </c>
      <c r="M160" s="10" t="s">
        <v>2061</v>
      </c>
    </row>
    <row r="161" spans="1:13">
      <c r="A161" s="10" t="s">
        <v>2493</v>
      </c>
      <c r="B161" s="10" t="s">
        <v>341</v>
      </c>
      <c r="C161" s="10" t="s">
        <v>2089</v>
      </c>
      <c r="D161" s="10" t="s">
        <v>2056</v>
      </c>
      <c r="E161" s="11">
        <v>1883</v>
      </c>
      <c r="F161" s="10"/>
      <c r="G161" s="10" t="s">
        <v>601</v>
      </c>
      <c r="H161" s="11">
        <v>5280360</v>
      </c>
      <c r="I161" s="10" t="s">
        <v>2057</v>
      </c>
      <c r="J161" s="10" t="s">
        <v>2058</v>
      </c>
      <c r="K161" s="10" t="s">
        <v>2059</v>
      </c>
      <c r="L161" s="10" t="s">
        <v>2060</v>
      </c>
      <c r="M161" s="10" t="s">
        <v>2061</v>
      </c>
    </row>
    <row r="162" spans="1:13">
      <c r="A162" s="10" t="s">
        <v>2494</v>
      </c>
      <c r="B162" s="10" t="s">
        <v>2090</v>
      </c>
      <c r="C162" s="10" t="s">
        <v>2091</v>
      </c>
      <c r="D162" s="10" t="s">
        <v>2056</v>
      </c>
      <c r="E162" s="11">
        <v>1883</v>
      </c>
      <c r="F162" s="10"/>
      <c r="G162" s="10" t="s">
        <v>601</v>
      </c>
      <c r="H162" s="11">
        <v>5280360</v>
      </c>
      <c r="I162" s="10" t="s">
        <v>2057</v>
      </c>
      <c r="J162" s="10" t="s">
        <v>2058</v>
      </c>
      <c r="K162" s="10" t="s">
        <v>2059</v>
      </c>
      <c r="L162" s="10" t="s">
        <v>2060</v>
      </c>
      <c r="M162" s="10" t="s">
        <v>2061</v>
      </c>
    </row>
    <row r="163" spans="1:13">
      <c r="A163" s="10" t="s">
        <v>2518</v>
      </c>
      <c r="B163" s="10" t="s">
        <v>2210</v>
      </c>
      <c r="C163" s="10" t="s">
        <v>2211</v>
      </c>
      <c r="D163" s="10" t="s">
        <v>2056</v>
      </c>
      <c r="E163" s="11">
        <v>1883</v>
      </c>
      <c r="F163" s="10"/>
      <c r="G163" s="10" t="s">
        <v>601</v>
      </c>
      <c r="H163" s="11">
        <v>5280360</v>
      </c>
      <c r="I163" s="10" t="s">
        <v>2057</v>
      </c>
      <c r="J163" s="10" t="s">
        <v>2058</v>
      </c>
      <c r="K163" s="10" t="s">
        <v>2059</v>
      </c>
      <c r="L163" s="10" t="s">
        <v>2060</v>
      </c>
      <c r="M163" s="10" t="s">
        <v>2061</v>
      </c>
    </row>
    <row r="164" spans="1:13">
      <c r="A164" s="10" t="s">
        <v>2487</v>
      </c>
      <c r="B164" s="10" t="s">
        <v>2042</v>
      </c>
      <c r="C164" s="10" t="s">
        <v>2043</v>
      </c>
      <c r="D164" s="10" t="s">
        <v>2062</v>
      </c>
      <c r="E164" s="11">
        <v>1884</v>
      </c>
      <c r="F164" s="10"/>
      <c r="G164" s="10" t="s">
        <v>601</v>
      </c>
      <c r="H164" s="11">
        <v>5280363</v>
      </c>
      <c r="I164" s="10" t="s">
        <v>2063</v>
      </c>
      <c r="J164" s="10" t="s">
        <v>2064</v>
      </c>
      <c r="K164" s="10" t="s">
        <v>2065</v>
      </c>
      <c r="L164" s="10" t="s">
        <v>2066</v>
      </c>
      <c r="M164" s="10" t="s">
        <v>2067</v>
      </c>
    </row>
    <row r="165" spans="1:13">
      <c r="A165" s="10" t="s">
        <v>2488</v>
      </c>
      <c r="B165" s="10" t="s">
        <v>2079</v>
      </c>
      <c r="C165" s="10" t="s">
        <v>2080</v>
      </c>
      <c r="D165" s="10" t="s">
        <v>2062</v>
      </c>
      <c r="E165" s="11">
        <v>1884</v>
      </c>
      <c r="F165" s="10"/>
      <c r="G165" s="10" t="s">
        <v>601</v>
      </c>
      <c r="H165" s="11">
        <v>5280363</v>
      </c>
      <c r="I165" s="10" t="s">
        <v>2063</v>
      </c>
      <c r="J165" s="10" t="s">
        <v>2064</v>
      </c>
      <c r="K165" s="10" t="s">
        <v>2065</v>
      </c>
      <c r="L165" s="10" t="s">
        <v>2066</v>
      </c>
      <c r="M165" s="10" t="s">
        <v>2067</v>
      </c>
    </row>
    <row r="166" spans="1:13">
      <c r="A166" s="10" t="s">
        <v>2489</v>
      </c>
      <c r="B166" s="10" t="s">
        <v>337</v>
      </c>
      <c r="C166" s="10" t="s">
        <v>2085</v>
      </c>
      <c r="D166" s="10" t="s">
        <v>2062</v>
      </c>
      <c r="E166" s="11">
        <v>1884</v>
      </c>
      <c r="F166" s="10"/>
      <c r="G166" s="10" t="s">
        <v>601</v>
      </c>
      <c r="H166" s="11">
        <v>5280363</v>
      </c>
      <c r="I166" s="10" t="s">
        <v>2063</v>
      </c>
      <c r="J166" s="10" t="s">
        <v>2064</v>
      </c>
      <c r="K166" s="10" t="s">
        <v>2065</v>
      </c>
      <c r="L166" s="10" t="s">
        <v>2066</v>
      </c>
      <c r="M166" s="10" t="s">
        <v>2067</v>
      </c>
    </row>
    <row r="167" spans="1:13">
      <c r="A167" s="10" t="s">
        <v>2490</v>
      </c>
      <c r="B167" s="10" t="s">
        <v>338</v>
      </c>
      <c r="C167" s="10" t="s">
        <v>2086</v>
      </c>
      <c r="D167" s="10" t="s">
        <v>2062</v>
      </c>
      <c r="E167" s="11">
        <v>1884</v>
      </c>
      <c r="F167" s="10"/>
      <c r="G167" s="10" t="s">
        <v>601</v>
      </c>
      <c r="H167" s="11">
        <v>5280363</v>
      </c>
      <c r="I167" s="10" t="s">
        <v>2063</v>
      </c>
      <c r="J167" s="10" t="s">
        <v>2064</v>
      </c>
      <c r="K167" s="10" t="s">
        <v>2065</v>
      </c>
      <c r="L167" s="10" t="s">
        <v>2066</v>
      </c>
      <c r="M167" s="10" t="s">
        <v>2067</v>
      </c>
    </row>
    <row r="168" spans="1:13">
      <c r="A168" s="10" t="s">
        <v>2491</v>
      </c>
      <c r="B168" s="10" t="s">
        <v>339</v>
      </c>
      <c r="C168" s="10" t="s">
        <v>2087</v>
      </c>
      <c r="D168" s="10" t="s">
        <v>2062</v>
      </c>
      <c r="E168" s="11">
        <v>1884</v>
      </c>
      <c r="F168" s="10"/>
      <c r="G168" s="10" t="s">
        <v>601</v>
      </c>
      <c r="H168" s="11">
        <v>5280363</v>
      </c>
      <c r="I168" s="10" t="s">
        <v>2063</v>
      </c>
      <c r="J168" s="10" t="s">
        <v>2064</v>
      </c>
      <c r="K168" s="10" t="s">
        <v>2065</v>
      </c>
      <c r="L168" s="10" t="s">
        <v>2066</v>
      </c>
      <c r="M168" s="10" t="s">
        <v>2067</v>
      </c>
    </row>
    <row r="169" spans="1:13">
      <c r="A169" s="10" t="s">
        <v>2492</v>
      </c>
      <c r="B169" s="10" t="s">
        <v>340</v>
      </c>
      <c r="C169" s="10" t="s">
        <v>2088</v>
      </c>
      <c r="D169" s="10" t="s">
        <v>2062</v>
      </c>
      <c r="E169" s="11">
        <v>1884</v>
      </c>
      <c r="F169" s="10"/>
      <c r="G169" s="10" t="s">
        <v>601</v>
      </c>
      <c r="H169" s="11">
        <v>5280363</v>
      </c>
      <c r="I169" s="10" t="s">
        <v>2063</v>
      </c>
      <c r="J169" s="10" t="s">
        <v>2064</v>
      </c>
      <c r="K169" s="10" t="s">
        <v>2065</v>
      </c>
      <c r="L169" s="10" t="s">
        <v>2066</v>
      </c>
      <c r="M169" s="10" t="s">
        <v>2067</v>
      </c>
    </row>
    <row r="170" spans="1:13">
      <c r="A170" s="10" t="s">
        <v>2493</v>
      </c>
      <c r="B170" s="10" t="s">
        <v>341</v>
      </c>
      <c r="C170" s="10" t="s">
        <v>2089</v>
      </c>
      <c r="D170" s="10" t="s">
        <v>2062</v>
      </c>
      <c r="E170" s="11">
        <v>1884</v>
      </c>
      <c r="F170" s="10"/>
      <c r="G170" s="10" t="s">
        <v>601</v>
      </c>
      <c r="H170" s="11">
        <v>5280363</v>
      </c>
      <c r="I170" s="10" t="s">
        <v>2063</v>
      </c>
      <c r="J170" s="10" t="s">
        <v>2064</v>
      </c>
      <c r="K170" s="10" t="s">
        <v>2065</v>
      </c>
      <c r="L170" s="10" t="s">
        <v>2066</v>
      </c>
      <c r="M170" s="10" t="s">
        <v>2067</v>
      </c>
    </row>
    <row r="171" spans="1:13">
      <c r="A171" s="10" t="s">
        <v>2494</v>
      </c>
      <c r="B171" s="10" t="s">
        <v>2090</v>
      </c>
      <c r="C171" s="10" t="s">
        <v>2091</v>
      </c>
      <c r="D171" s="10" t="s">
        <v>2062</v>
      </c>
      <c r="E171" s="11">
        <v>1884</v>
      </c>
      <c r="F171" s="10"/>
      <c r="G171" s="10" t="s">
        <v>601</v>
      </c>
      <c r="H171" s="11">
        <v>5280363</v>
      </c>
      <c r="I171" s="10" t="s">
        <v>2063</v>
      </c>
      <c r="J171" s="10" t="s">
        <v>2064</v>
      </c>
      <c r="K171" s="10" t="s">
        <v>2065</v>
      </c>
      <c r="L171" s="10" t="s">
        <v>2066</v>
      </c>
      <c r="M171" s="10" t="s">
        <v>2067</v>
      </c>
    </row>
    <row r="172" spans="1:13">
      <c r="A172" s="10" t="s">
        <v>2518</v>
      </c>
      <c r="B172" s="10" t="s">
        <v>2210</v>
      </c>
      <c r="C172" s="10" t="s">
        <v>2211</v>
      </c>
      <c r="D172" s="10" t="s">
        <v>2062</v>
      </c>
      <c r="E172" s="11">
        <v>1884</v>
      </c>
      <c r="F172" s="10"/>
      <c r="G172" s="10" t="s">
        <v>601</v>
      </c>
      <c r="H172" s="11">
        <v>5280363</v>
      </c>
      <c r="I172" s="10" t="s">
        <v>2063</v>
      </c>
      <c r="J172" s="10" t="s">
        <v>2064</v>
      </c>
      <c r="K172" s="10" t="s">
        <v>2065</v>
      </c>
      <c r="L172" s="10" t="s">
        <v>2066</v>
      </c>
      <c r="M172" s="10" t="s">
        <v>2067</v>
      </c>
    </row>
    <row r="173" spans="1:13">
      <c r="A173" s="10" t="s">
        <v>2487</v>
      </c>
      <c r="B173" s="10" t="s">
        <v>2042</v>
      </c>
      <c r="C173" s="10" t="s">
        <v>2043</v>
      </c>
      <c r="D173" s="10" t="s">
        <v>2068</v>
      </c>
      <c r="E173" s="11">
        <v>1885</v>
      </c>
      <c r="F173" s="10"/>
      <c r="G173" s="10" t="s">
        <v>601</v>
      </c>
      <c r="H173" s="11">
        <v>5280884</v>
      </c>
      <c r="I173" s="10" t="s">
        <v>2069</v>
      </c>
      <c r="J173" s="10"/>
      <c r="K173" s="10" t="s">
        <v>2070</v>
      </c>
      <c r="L173" s="10" t="s">
        <v>2071</v>
      </c>
      <c r="M173" s="10" t="s">
        <v>2072</v>
      </c>
    </row>
    <row r="174" spans="1:13">
      <c r="A174" s="10" t="s">
        <v>2488</v>
      </c>
      <c r="B174" s="10" t="s">
        <v>2079</v>
      </c>
      <c r="C174" s="10" t="s">
        <v>2080</v>
      </c>
      <c r="D174" s="10" t="s">
        <v>2068</v>
      </c>
      <c r="E174" s="11">
        <v>1885</v>
      </c>
      <c r="F174" s="10"/>
      <c r="G174" s="10" t="s">
        <v>601</v>
      </c>
      <c r="H174" s="11">
        <v>5280884</v>
      </c>
      <c r="I174" s="10" t="s">
        <v>2069</v>
      </c>
      <c r="J174" s="10"/>
      <c r="K174" s="10" t="s">
        <v>2070</v>
      </c>
      <c r="L174" s="10" t="s">
        <v>2071</v>
      </c>
      <c r="M174" s="10" t="s">
        <v>2072</v>
      </c>
    </row>
    <row r="175" spans="1:13">
      <c r="A175" s="10" t="s">
        <v>2487</v>
      </c>
      <c r="B175" s="10" t="s">
        <v>2042</v>
      </c>
      <c r="C175" s="10" t="s">
        <v>2043</v>
      </c>
      <c r="D175" s="10" t="s">
        <v>2073</v>
      </c>
      <c r="E175" s="11">
        <v>1915</v>
      </c>
      <c r="F175" s="10"/>
      <c r="G175" s="10" t="s">
        <v>601</v>
      </c>
      <c r="H175" s="11">
        <v>5282411</v>
      </c>
      <c r="I175" s="10" t="s">
        <v>2074</v>
      </c>
      <c r="J175" s="10" t="s">
        <v>2075</v>
      </c>
      <c r="K175" s="10" t="s">
        <v>2076</v>
      </c>
      <c r="L175" s="10" t="s">
        <v>2077</v>
      </c>
      <c r="M175" s="10" t="s">
        <v>2078</v>
      </c>
    </row>
    <row r="176" spans="1:13">
      <c r="A176" s="10" t="s">
        <v>2488</v>
      </c>
      <c r="B176" s="10" t="s">
        <v>2079</v>
      </c>
      <c r="C176" s="10" t="s">
        <v>2080</v>
      </c>
      <c r="D176" s="10" t="s">
        <v>2073</v>
      </c>
      <c r="E176" s="11">
        <v>1915</v>
      </c>
      <c r="F176" s="10"/>
      <c r="G176" s="10" t="s">
        <v>601</v>
      </c>
      <c r="H176" s="11">
        <v>5282411</v>
      </c>
      <c r="I176" s="10" t="s">
        <v>2074</v>
      </c>
      <c r="J176" s="10" t="s">
        <v>2075</v>
      </c>
      <c r="K176" s="10" t="s">
        <v>2076</v>
      </c>
      <c r="L176" s="10" t="s">
        <v>2077</v>
      </c>
      <c r="M176" s="10" t="s">
        <v>2078</v>
      </c>
    </row>
    <row r="177" spans="1:13">
      <c r="A177" s="10" t="s">
        <v>2489</v>
      </c>
      <c r="B177" s="10" t="s">
        <v>337</v>
      </c>
      <c r="C177" s="10" t="s">
        <v>2085</v>
      </c>
      <c r="D177" s="10" t="s">
        <v>2073</v>
      </c>
      <c r="E177" s="11">
        <v>1915</v>
      </c>
      <c r="F177" s="10"/>
      <c r="G177" s="10" t="s">
        <v>601</v>
      </c>
      <c r="H177" s="11">
        <v>5282411</v>
      </c>
      <c r="I177" s="10" t="s">
        <v>2074</v>
      </c>
      <c r="J177" s="10" t="s">
        <v>2075</v>
      </c>
      <c r="K177" s="10" t="s">
        <v>2076</v>
      </c>
      <c r="L177" s="10" t="s">
        <v>2077</v>
      </c>
      <c r="M177" s="10" t="s">
        <v>2078</v>
      </c>
    </row>
    <row r="178" spans="1:13">
      <c r="A178" s="10" t="s">
        <v>2490</v>
      </c>
      <c r="B178" s="10" t="s">
        <v>338</v>
      </c>
      <c r="C178" s="10" t="s">
        <v>2086</v>
      </c>
      <c r="D178" s="10" t="s">
        <v>2073</v>
      </c>
      <c r="E178" s="11">
        <v>1915</v>
      </c>
      <c r="F178" s="10"/>
      <c r="G178" s="10" t="s">
        <v>601</v>
      </c>
      <c r="H178" s="11">
        <v>5282411</v>
      </c>
      <c r="I178" s="10" t="s">
        <v>2074</v>
      </c>
      <c r="J178" s="10" t="s">
        <v>2075</v>
      </c>
      <c r="K178" s="10" t="s">
        <v>2076</v>
      </c>
      <c r="L178" s="10" t="s">
        <v>2077</v>
      </c>
      <c r="M178" s="10" t="s">
        <v>2078</v>
      </c>
    </row>
    <row r="179" spans="1:13">
      <c r="A179" s="10" t="s">
        <v>2491</v>
      </c>
      <c r="B179" s="10" t="s">
        <v>339</v>
      </c>
      <c r="C179" s="10" t="s">
        <v>2087</v>
      </c>
      <c r="D179" s="10" t="s">
        <v>2073</v>
      </c>
      <c r="E179" s="11">
        <v>1915</v>
      </c>
      <c r="F179" s="10"/>
      <c r="G179" s="10" t="s">
        <v>601</v>
      </c>
      <c r="H179" s="11">
        <v>5282411</v>
      </c>
      <c r="I179" s="10" t="s">
        <v>2074</v>
      </c>
      <c r="J179" s="10" t="s">
        <v>2075</v>
      </c>
      <c r="K179" s="10" t="s">
        <v>2076</v>
      </c>
      <c r="L179" s="10" t="s">
        <v>2077</v>
      </c>
      <c r="M179" s="10" t="s">
        <v>2078</v>
      </c>
    </row>
    <row r="180" spans="1:13">
      <c r="A180" s="10" t="s">
        <v>2492</v>
      </c>
      <c r="B180" s="10" t="s">
        <v>340</v>
      </c>
      <c r="C180" s="10" t="s">
        <v>2088</v>
      </c>
      <c r="D180" s="10" t="s">
        <v>2073</v>
      </c>
      <c r="E180" s="11">
        <v>1915</v>
      </c>
      <c r="F180" s="10"/>
      <c r="G180" s="10" t="s">
        <v>601</v>
      </c>
      <c r="H180" s="11">
        <v>5282411</v>
      </c>
      <c r="I180" s="10" t="s">
        <v>2074</v>
      </c>
      <c r="J180" s="10" t="s">
        <v>2075</v>
      </c>
      <c r="K180" s="10" t="s">
        <v>2076</v>
      </c>
      <c r="L180" s="10" t="s">
        <v>2077</v>
      </c>
      <c r="M180" s="10" t="s">
        <v>2078</v>
      </c>
    </row>
    <row r="181" spans="1:13">
      <c r="A181" s="10" t="s">
        <v>2493</v>
      </c>
      <c r="B181" s="10" t="s">
        <v>341</v>
      </c>
      <c r="C181" s="10" t="s">
        <v>2089</v>
      </c>
      <c r="D181" s="10" t="s">
        <v>2073</v>
      </c>
      <c r="E181" s="11">
        <v>1915</v>
      </c>
      <c r="F181" s="10"/>
      <c r="G181" s="10" t="s">
        <v>601</v>
      </c>
      <c r="H181" s="11">
        <v>5282411</v>
      </c>
      <c r="I181" s="10" t="s">
        <v>2074</v>
      </c>
      <c r="J181" s="10" t="s">
        <v>2075</v>
      </c>
      <c r="K181" s="10" t="s">
        <v>2076</v>
      </c>
      <c r="L181" s="10" t="s">
        <v>2077</v>
      </c>
      <c r="M181" s="10" t="s">
        <v>2078</v>
      </c>
    </row>
    <row r="182" spans="1:13">
      <c r="A182" s="10" t="s">
        <v>2494</v>
      </c>
      <c r="B182" s="10" t="s">
        <v>2090</v>
      </c>
      <c r="C182" s="10" t="s">
        <v>2091</v>
      </c>
      <c r="D182" s="10" t="s">
        <v>2073</v>
      </c>
      <c r="E182" s="11">
        <v>1915</v>
      </c>
      <c r="F182" s="10"/>
      <c r="G182" s="10" t="s">
        <v>601</v>
      </c>
      <c r="H182" s="11">
        <v>5282411</v>
      </c>
      <c r="I182" s="10" t="s">
        <v>2074</v>
      </c>
      <c r="J182" s="10" t="s">
        <v>2075</v>
      </c>
      <c r="K182" s="10" t="s">
        <v>2076</v>
      </c>
      <c r="L182" s="10" t="s">
        <v>2077</v>
      </c>
      <c r="M182" s="10" t="s">
        <v>2078</v>
      </c>
    </row>
    <row r="183" spans="1:13">
      <c r="A183" s="10" t="s">
        <v>2518</v>
      </c>
      <c r="B183" s="10" t="s">
        <v>2210</v>
      </c>
      <c r="C183" s="10" t="s">
        <v>2211</v>
      </c>
      <c r="D183" s="10" t="s">
        <v>2073</v>
      </c>
      <c r="E183" s="11">
        <v>1915</v>
      </c>
      <c r="F183" s="10"/>
      <c r="G183" s="10" t="s">
        <v>601</v>
      </c>
      <c r="H183" s="11">
        <v>5282411</v>
      </c>
      <c r="I183" s="10" t="s">
        <v>2074</v>
      </c>
      <c r="J183" s="10" t="s">
        <v>2075</v>
      </c>
      <c r="K183" s="10" t="s">
        <v>2076</v>
      </c>
      <c r="L183" s="10" t="s">
        <v>2077</v>
      </c>
      <c r="M183" s="10" t="s">
        <v>2078</v>
      </c>
    </row>
    <row r="184" spans="1:13">
      <c r="A184" s="10" t="s">
        <v>2519</v>
      </c>
      <c r="B184" s="10" t="s">
        <v>2217</v>
      </c>
      <c r="C184" s="10" t="s">
        <v>2218</v>
      </c>
      <c r="D184" s="10" t="s">
        <v>2219</v>
      </c>
      <c r="E184" s="11">
        <v>2144</v>
      </c>
      <c r="F184" s="10"/>
      <c r="G184" s="10" t="s">
        <v>601</v>
      </c>
      <c r="H184" s="11">
        <v>1001</v>
      </c>
      <c r="I184" s="10" t="s">
        <v>2220</v>
      </c>
      <c r="J184" s="10"/>
      <c r="K184" s="10" t="s">
        <v>2221</v>
      </c>
      <c r="L184" s="10" t="s">
        <v>2222</v>
      </c>
      <c r="M184" s="10" t="s">
        <v>2223</v>
      </c>
    </row>
    <row r="185" spans="1:13">
      <c r="A185" s="10" t="s">
        <v>2519</v>
      </c>
      <c r="B185" s="10" t="s">
        <v>2217</v>
      </c>
      <c r="C185" s="10" t="s">
        <v>2218</v>
      </c>
      <c r="D185" s="10" t="s">
        <v>2224</v>
      </c>
      <c r="E185" s="11">
        <v>2145</v>
      </c>
      <c r="F185" s="10"/>
      <c r="G185" s="10" t="s">
        <v>601</v>
      </c>
      <c r="H185" s="11">
        <v>11501277</v>
      </c>
      <c r="I185" s="10" t="s">
        <v>2225</v>
      </c>
      <c r="J185" s="10"/>
      <c r="K185" s="10" t="s">
        <v>2226</v>
      </c>
      <c r="L185" s="10" t="s">
        <v>2227</v>
      </c>
      <c r="M185" s="10" t="s">
        <v>2228</v>
      </c>
    </row>
    <row r="186" spans="1:13">
      <c r="A186" s="10" t="s">
        <v>2519</v>
      </c>
      <c r="B186" s="10" t="s">
        <v>2217</v>
      </c>
      <c r="C186" s="10" t="s">
        <v>2218</v>
      </c>
      <c r="D186" s="10" t="s">
        <v>2229</v>
      </c>
      <c r="E186" s="11">
        <v>2149</v>
      </c>
      <c r="F186" s="10"/>
      <c r="G186" s="10" t="s">
        <v>601</v>
      </c>
      <c r="H186" s="11">
        <v>4581</v>
      </c>
      <c r="I186" s="10" t="s">
        <v>2230</v>
      </c>
      <c r="J186" s="10" t="s">
        <v>2229</v>
      </c>
      <c r="K186" s="10"/>
      <c r="L186" s="10" t="s">
        <v>2231</v>
      </c>
      <c r="M186" s="10" t="s">
        <v>2232</v>
      </c>
    </row>
    <row r="187" spans="1:13">
      <c r="A187" s="10" t="s">
        <v>2519</v>
      </c>
      <c r="B187" s="10" t="s">
        <v>2217</v>
      </c>
      <c r="C187" s="10" t="s">
        <v>2218</v>
      </c>
      <c r="D187" s="10" t="s">
        <v>2233</v>
      </c>
      <c r="E187" s="11">
        <v>2150</v>
      </c>
      <c r="F187" s="10"/>
      <c r="G187" s="10" t="s">
        <v>601</v>
      </c>
      <c r="H187" s="11">
        <v>5610</v>
      </c>
      <c r="I187" s="10" t="s">
        <v>2234</v>
      </c>
      <c r="J187" s="10"/>
      <c r="K187" s="10" t="s">
        <v>2235</v>
      </c>
      <c r="L187" s="10" t="s">
        <v>2236</v>
      </c>
      <c r="M187" s="10" t="s">
        <v>2237</v>
      </c>
    </row>
    <row r="188" spans="1:13">
      <c r="A188" s="10" t="s">
        <v>2341</v>
      </c>
      <c r="B188" s="10" t="s">
        <v>281</v>
      </c>
      <c r="C188" s="10" t="s">
        <v>968</v>
      </c>
      <c r="D188" s="10" t="s">
        <v>974</v>
      </c>
      <c r="E188" s="11">
        <v>2364</v>
      </c>
      <c r="F188" s="10"/>
      <c r="G188" s="10" t="s">
        <v>601</v>
      </c>
      <c r="H188" s="11">
        <v>5281969</v>
      </c>
      <c r="I188" s="10" t="s">
        <v>975</v>
      </c>
      <c r="J188" s="10"/>
      <c r="K188" s="10" t="s">
        <v>976</v>
      </c>
      <c r="L188" s="10" t="s">
        <v>977</v>
      </c>
      <c r="M188" s="10" t="s">
        <v>978</v>
      </c>
    </row>
    <row r="189" spans="1:13">
      <c r="A189" s="10" t="s">
        <v>2342</v>
      </c>
      <c r="B189" s="10" t="s">
        <v>282</v>
      </c>
      <c r="C189" s="10" t="s">
        <v>979</v>
      </c>
      <c r="D189" s="10" t="s">
        <v>974</v>
      </c>
      <c r="E189" s="11">
        <v>2364</v>
      </c>
      <c r="F189" s="10"/>
      <c r="G189" s="10" t="s">
        <v>601</v>
      </c>
      <c r="H189" s="11">
        <v>5281969</v>
      </c>
      <c r="I189" s="10" t="s">
        <v>975</v>
      </c>
      <c r="J189" s="10"/>
      <c r="K189" s="10" t="s">
        <v>976</v>
      </c>
      <c r="L189" s="10" t="s">
        <v>977</v>
      </c>
      <c r="M189" s="10" t="s">
        <v>978</v>
      </c>
    </row>
    <row r="190" spans="1:13">
      <c r="A190" s="10" t="s">
        <v>2402</v>
      </c>
      <c r="B190" s="10" t="s">
        <v>1499</v>
      </c>
      <c r="C190" s="10" t="s">
        <v>1500</v>
      </c>
      <c r="D190" s="10" t="s">
        <v>974</v>
      </c>
      <c r="E190" s="11">
        <v>2364</v>
      </c>
      <c r="F190" s="10"/>
      <c r="G190" s="10" t="s">
        <v>601</v>
      </c>
      <c r="H190" s="11">
        <v>5281969</v>
      </c>
      <c r="I190" s="10" t="s">
        <v>975</v>
      </c>
      <c r="J190" s="10"/>
      <c r="K190" s="10" t="s">
        <v>976</v>
      </c>
      <c r="L190" s="10" t="s">
        <v>977</v>
      </c>
      <c r="M190" s="10" t="s">
        <v>978</v>
      </c>
    </row>
    <row r="191" spans="1:13">
      <c r="A191" s="10" t="s">
        <v>2441</v>
      </c>
      <c r="B191" s="10" t="s">
        <v>1723</v>
      </c>
      <c r="C191" s="10" t="s">
        <v>1724</v>
      </c>
      <c r="D191" s="10" t="s">
        <v>1725</v>
      </c>
      <c r="E191" s="11">
        <v>2365</v>
      </c>
      <c r="F191" s="10"/>
      <c r="G191" s="10" t="s">
        <v>601</v>
      </c>
      <c r="H191" s="11">
        <v>239</v>
      </c>
      <c r="I191" s="10" t="s">
        <v>1726</v>
      </c>
      <c r="J191" s="10"/>
      <c r="K191" s="10"/>
      <c r="L191" s="10" t="s">
        <v>1727</v>
      </c>
      <c r="M191" s="10" t="s">
        <v>1728</v>
      </c>
    </row>
    <row r="192" spans="1:13">
      <c r="A192" s="10" t="s">
        <v>2435</v>
      </c>
      <c r="B192" s="10" t="s">
        <v>313</v>
      </c>
      <c r="C192" s="10" t="s">
        <v>1680</v>
      </c>
      <c r="D192" s="10" t="s">
        <v>1681</v>
      </c>
      <c r="E192" s="11">
        <v>2481</v>
      </c>
      <c r="F192" s="10"/>
      <c r="G192" s="10" t="s">
        <v>601</v>
      </c>
      <c r="H192" s="11">
        <v>5280892</v>
      </c>
      <c r="I192" s="10" t="s">
        <v>1682</v>
      </c>
      <c r="J192" s="10"/>
      <c r="K192" s="10" t="s">
        <v>1683</v>
      </c>
      <c r="L192" s="10" t="s">
        <v>1684</v>
      </c>
      <c r="M192" s="10" t="s">
        <v>1685</v>
      </c>
    </row>
    <row r="193" spans="1:13">
      <c r="A193" s="10" t="s">
        <v>2471</v>
      </c>
      <c r="B193" s="10" t="s">
        <v>1924</v>
      </c>
      <c r="C193" s="10" t="s">
        <v>1925</v>
      </c>
      <c r="D193" s="10" t="s">
        <v>1926</v>
      </c>
      <c r="E193" s="11">
        <v>2483</v>
      </c>
      <c r="F193" s="10"/>
      <c r="G193" s="10" t="s">
        <v>601</v>
      </c>
      <c r="H193" s="11">
        <v>5280778</v>
      </c>
      <c r="I193" s="10" t="s">
        <v>1927</v>
      </c>
      <c r="J193" s="10"/>
      <c r="K193" s="10" t="s">
        <v>1928</v>
      </c>
      <c r="L193" s="10" t="s">
        <v>1929</v>
      </c>
      <c r="M193" s="10" t="s">
        <v>1930</v>
      </c>
    </row>
    <row r="194" spans="1:13">
      <c r="A194" s="10" t="s">
        <v>2434</v>
      </c>
      <c r="B194" s="10" t="s">
        <v>312</v>
      </c>
      <c r="C194" s="10" t="s">
        <v>1665</v>
      </c>
      <c r="D194" s="10" t="s">
        <v>1666</v>
      </c>
      <c r="E194" s="11">
        <v>2487</v>
      </c>
      <c r="F194" s="10"/>
      <c r="G194" s="10" t="s">
        <v>601</v>
      </c>
      <c r="H194" s="11">
        <v>5280492</v>
      </c>
      <c r="I194" s="10" t="s">
        <v>1667</v>
      </c>
      <c r="J194" s="10"/>
      <c r="K194" s="10" t="s">
        <v>1668</v>
      </c>
      <c r="L194" s="10" t="s">
        <v>1669</v>
      </c>
      <c r="M194" s="10" t="s">
        <v>1670</v>
      </c>
    </row>
    <row r="195" spans="1:13">
      <c r="A195" s="10" t="s">
        <v>2435</v>
      </c>
      <c r="B195" s="10" t="s">
        <v>313</v>
      </c>
      <c r="C195" s="10" t="s">
        <v>1680</v>
      </c>
      <c r="D195" s="10" t="s">
        <v>1666</v>
      </c>
      <c r="E195" s="11">
        <v>2487</v>
      </c>
      <c r="F195" s="10"/>
      <c r="G195" s="10" t="s">
        <v>601</v>
      </c>
      <c r="H195" s="11">
        <v>5280492</v>
      </c>
      <c r="I195" s="10" t="s">
        <v>1667</v>
      </c>
      <c r="J195" s="10"/>
      <c r="K195" s="10" t="s">
        <v>1668</v>
      </c>
      <c r="L195" s="10" t="s">
        <v>1669</v>
      </c>
      <c r="M195" s="10" t="s">
        <v>1670</v>
      </c>
    </row>
    <row r="196" spans="1:13">
      <c r="A196" s="10" t="s">
        <v>2383</v>
      </c>
      <c r="B196" s="10" t="s">
        <v>1273</v>
      </c>
      <c r="C196" s="10" t="s">
        <v>1274</v>
      </c>
      <c r="D196" s="10" t="s">
        <v>1275</v>
      </c>
      <c r="E196" s="11">
        <v>2661</v>
      </c>
      <c r="F196" s="10"/>
      <c r="G196" s="10" t="s">
        <v>601</v>
      </c>
      <c r="H196" s="11">
        <v>5283454</v>
      </c>
      <c r="I196" s="10" t="s">
        <v>1276</v>
      </c>
      <c r="J196" s="10"/>
      <c r="K196" s="10" t="s">
        <v>1277</v>
      </c>
      <c r="L196" s="10" t="s">
        <v>1278</v>
      </c>
      <c r="M196" s="10" t="s">
        <v>1279</v>
      </c>
    </row>
    <row r="197" spans="1:13">
      <c r="A197" s="10" t="s">
        <v>2388</v>
      </c>
      <c r="B197" s="10" t="s">
        <v>289</v>
      </c>
      <c r="C197" s="10" t="s">
        <v>1320</v>
      </c>
      <c r="D197" s="10" t="s">
        <v>1321</v>
      </c>
      <c r="E197" s="11">
        <v>2752</v>
      </c>
      <c r="F197" s="10"/>
      <c r="G197" s="10" t="s">
        <v>601</v>
      </c>
      <c r="H197" s="11">
        <v>123976</v>
      </c>
      <c r="I197" s="10" t="s">
        <v>1322</v>
      </c>
      <c r="J197" s="10"/>
      <c r="K197" s="10" t="s">
        <v>1323</v>
      </c>
      <c r="L197" s="10" t="s">
        <v>1324</v>
      </c>
      <c r="M197" s="10" t="s">
        <v>1325</v>
      </c>
    </row>
    <row r="198" spans="1:13">
      <c r="A198" s="10" t="s">
        <v>2358</v>
      </c>
      <c r="B198" s="10" t="s">
        <v>1061</v>
      </c>
      <c r="C198" s="10" t="s">
        <v>1062</v>
      </c>
      <c r="D198" s="10" t="s">
        <v>1079</v>
      </c>
      <c r="E198" s="11">
        <v>2806</v>
      </c>
      <c r="F198" s="10"/>
      <c r="G198" s="10" t="s">
        <v>601</v>
      </c>
      <c r="H198" s="11">
        <v>11005</v>
      </c>
      <c r="I198" s="10" t="s">
        <v>1080</v>
      </c>
      <c r="J198" s="10"/>
      <c r="K198" s="10" t="s">
        <v>1081</v>
      </c>
      <c r="L198" s="10" t="s">
        <v>1082</v>
      </c>
      <c r="M198" s="10" t="s">
        <v>1083</v>
      </c>
    </row>
    <row r="199" spans="1:13">
      <c r="A199" s="10" t="s">
        <v>2361</v>
      </c>
      <c r="B199" s="10" t="s">
        <v>299</v>
      </c>
      <c r="C199" s="10" t="s">
        <v>1110</v>
      </c>
      <c r="D199" s="10" t="s">
        <v>1079</v>
      </c>
      <c r="E199" s="11">
        <v>2806</v>
      </c>
      <c r="F199" s="10"/>
      <c r="G199" s="10" t="s">
        <v>601</v>
      </c>
      <c r="H199" s="11">
        <v>11005</v>
      </c>
      <c r="I199" s="10" t="s">
        <v>1080</v>
      </c>
      <c r="J199" s="10"/>
      <c r="K199" s="10" t="s">
        <v>1081</v>
      </c>
      <c r="L199" s="10" t="s">
        <v>1082</v>
      </c>
      <c r="M199" s="10" t="s">
        <v>1083</v>
      </c>
    </row>
    <row r="200" spans="1:13">
      <c r="A200" s="10" t="s">
        <v>2293</v>
      </c>
      <c r="B200" s="10" t="s">
        <v>266</v>
      </c>
      <c r="C200" s="10" t="s">
        <v>630</v>
      </c>
      <c r="D200" s="10" t="s">
        <v>631</v>
      </c>
      <c r="E200" s="11">
        <v>2844</v>
      </c>
      <c r="F200" s="10"/>
      <c r="G200" s="10" t="s">
        <v>601</v>
      </c>
      <c r="H200" s="11">
        <v>60961</v>
      </c>
      <c r="I200" s="10" t="s">
        <v>632</v>
      </c>
      <c r="J200" s="10"/>
      <c r="K200" s="10" t="s">
        <v>633</v>
      </c>
      <c r="L200" s="10" t="s">
        <v>634</v>
      </c>
      <c r="M200" s="10" t="s">
        <v>635</v>
      </c>
    </row>
    <row r="201" spans="1:13">
      <c r="A201" s="10" t="s">
        <v>2294</v>
      </c>
      <c r="B201" s="10" t="s">
        <v>267</v>
      </c>
      <c r="C201" s="10" t="s">
        <v>636</v>
      </c>
      <c r="D201" s="10" t="s">
        <v>631</v>
      </c>
      <c r="E201" s="11">
        <v>2844</v>
      </c>
      <c r="F201" s="10"/>
      <c r="G201" s="10" t="s">
        <v>601</v>
      </c>
      <c r="H201" s="11">
        <v>60961</v>
      </c>
      <c r="I201" s="10" t="s">
        <v>632</v>
      </c>
      <c r="J201" s="10"/>
      <c r="K201" s="10" t="s">
        <v>633</v>
      </c>
      <c r="L201" s="10" t="s">
        <v>634</v>
      </c>
      <c r="M201" s="10" t="s">
        <v>635</v>
      </c>
    </row>
    <row r="202" spans="1:13">
      <c r="A202" s="10" t="s">
        <v>2295</v>
      </c>
      <c r="B202" s="10" t="s">
        <v>268</v>
      </c>
      <c r="C202" s="10" t="s">
        <v>637</v>
      </c>
      <c r="D202" s="10" t="s">
        <v>631</v>
      </c>
      <c r="E202" s="11">
        <v>2844</v>
      </c>
      <c r="F202" s="10"/>
      <c r="G202" s="10" t="s">
        <v>601</v>
      </c>
      <c r="H202" s="11">
        <v>60961</v>
      </c>
      <c r="I202" s="10" t="s">
        <v>632</v>
      </c>
      <c r="J202" s="10"/>
      <c r="K202" s="10" t="s">
        <v>633</v>
      </c>
      <c r="L202" s="10" t="s">
        <v>634</v>
      </c>
      <c r="M202" s="10" t="s">
        <v>635</v>
      </c>
    </row>
    <row r="203" spans="1:13">
      <c r="A203" s="10" t="s">
        <v>2296</v>
      </c>
      <c r="B203" s="10" t="s">
        <v>269</v>
      </c>
      <c r="C203" s="10" t="s">
        <v>638</v>
      </c>
      <c r="D203" s="10" t="s">
        <v>631</v>
      </c>
      <c r="E203" s="11">
        <v>2844</v>
      </c>
      <c r="F203" s="10"/>
      <c r="G203" s="10" t="s">
        <v>601</v>
      </c>
      <c r="H203" s="11">
        <v>60961</v>
      </c>
      <c r="I203" s="10" t="s">
        <v>632</v>
      </c>
      <c r="J203" s="10"/>
      <c r="K203" s="10" t="s">
        <v>633</v>
      </c>
      <c r="L203" s="10" t="s">
        <v>634</v>
      </c>
      <c r="M203" s="10" t="s">
        <v>635</v>
      </c>
    </row>
    <row r="204" spans="1:13">
      <c r="A204" s="10" t="s">
        <v>2388</v>
      </c>
      <c r="B204" s="10" t="s">
        <v>289</v>
      </c>
      <c r="C204" s="10" t="s">
        <v>1320</v>
      </c>
      <c r="D204" s="10" t="s">
        <v>1326</v>
      </c>
      <c r="E204" s="11">
        <v>2885</v>
      </c>
      <c r="F204" s="10"/>
      <c r="G204" s="10" t="s">
        <v>601</v>
      </c>
      <c r="H204" s="11">
        <v>65094</v>
      </c>
      <c r="I204" s="10" t="s">
        <v>1327</v>
      </c>
      <c r="J204" s="10"/>
      <c r="K204" s="10" t="s">
        <v>1328</v>
      </c>
      <c r="L204" s="10" t="s">
        <v>1329</v>
      </c>
      <c r="M204" s="10" t="s">
        <v>1330</v>
      </c>
    </row>
    <row r="205" spans="1:13">
      <c r="A205" s="10" t="s">
        <v>2406</v>
      </c>
      <c r="B205" s="10" t="s">
        <v>1526</v>
      </c>
      <c r="C205" s="10" t="s">
        <v>1527</v>
      </c>
      <c r="D205" s="10" t="s">
        <v>1528</v>
      </c>
      <c r="E205" s="11">
        <v>2906</v>
      </c>
      <c r="F205" s="10"/>
      <c r="G205" s="10" t="s">
        <v>601</v>
      </c>
      <c r="H205" s="11">
        <v>5497152</v>
      </c>
      <c r="I205" s="10" t="s">
        <v>1529</v>
      </c>
      <c r="J205" s="10"/>
      <c r="K205" s="10" t="s">
        <v>1530</v>
      </c>
      <c r="L205" s="10" t="s">
        <v>1531</v>
      </c>
      <c r="M205" s="10" t="s">
        <v>1532</v>
      </c>
    </row>
    <row r="206" spans="1:13">
      <c r="A206" s="10" t="s">
        <v>2427</v>
      </c>
      <c r="B206" s="10" t="s">
        <v>314</v>
      </c>
      <c r="C206" s="10" t="s">
        <v>1638</v>
      </c>
      <c r="D206" s="10" t="s">
        <v>1528</v>
      </c>
      <c r="E206" s="11">
        <v>2906</v>
      </c>
      <c r="F206" s="10"/>
      <c r="G206" s="10" t="s">
        <v>601</v>
      </c>
      <c r="H206" s="11">
        <v>5497152</v>
      </c>
      <c r="I206" s="10" t="s">
        <v>1529</v>
      </c>
      <c r="J206" s="10"/>
      <c r="K206" s="10" t="s">
        <v>1530</v>
      </c>
      <c r="L206" s="10" t="s">
        <v>1531</v>
      </c>
      <c r="M206" s="10" t="s">
        <v>1532</v>
      </c>
    </row>
    <row r="207" spans="1:13">
      <c r="A207" s="10" t="s">
        <v>2428</v>
      </c>
      <c r="B207" s="10" t="s">
        <v>315</v>
      </c>
      <c r="C207" s="10" t="s">
        <v>1639</v>
      </c>
      <c r="D207" s="10" t="s">
        <v>1528</v>
      </c>
      <c r="E207" s="11">
        <v>2906</v>
      </c>
      <c r="F207" s="10"/>
      <c r="G207" s="10" t="s">
        <v>601</v>
      </c>
      <c r="H207" s="11">
        <v>5497152</v>
      </c>
      <c r="I207" s="10" t="s">
        <v>1529</v>
      </c>
      <c r="J207" s="10"/>
      <c r="K207" s="10" t="s">
        <v>1530</v>
      </c>
      <c r="L207" s="10" t="s">
        <v>1531</v>
      </c>
      <c r="M207" s="10" t="s">
        <v>1532</v>
      </c>
    </row>
    <row r="208" spans="1:13">
      <c r="A208" s="10" t="s">
        <v>2429</v>
      </c>
      <c r="B208" s="10" t="s">
        <v>1650</v>
      </c>
      <c r="C208" s="10" t="s">
        <v>1651</v>
      </c>
      <c r="D208" s="10" t="s">
        <v>1528</v>
      </c>
      <c r="E208" s="11">
        <v>2906</v>
      </c>
      <c r="F208" s="10"/>
      <c r="G208" s="10" t="s">
        <v>601</v>
      </c>
      <c r="H208" s="11">
        <v>5497152</v>
      </c>
      <c r="I208" s="10" t="s">
        <v>1529</v>
      </c>
      <c r="J208" s="10"/>
      <c r="K208" s="10" t="s">
        <v>1530</v>
      </c>
      <c r="L208" s="10" t="s">
        <v>1531</v>
      </c>
      <c r="M208" s="10" t="s">
        <v>1532</v>
      </c>
    </row>
    <row r="209" spans="1:13">
      <c r="A209" s="10" t="s">
        <v>2430</v>
      </c>
      <c r="B209" s="10" t="s">
        <v>1652</v>
      </c>
      <c r="C209" s="10" t="s">
        <v>1653</v>
      </c>
      <c r="D209" s="10" t="s">
        <v>1528</v>
      </c>
      <c r="E209" s="11">
        <v>2906</v>
      </c>
      <c r="F209" s="10"/>
      <c r="G209" s="10" t="s">
        <v>601</v>
      </c>
      <c r="H209" s="11">
        <v>5497152</v>
      </c>
      <c r="I209" s="10" t="s">
        <v>1529</v>
      </c>
      <c r="J209" s="10"/>
      <c r="K209" s="10" t="s">
        <v>1530</v>
      </c>
      <c r="L209" s="10" t="s">
        <v>1531</v>
      </c>
      <c r="M209" s="10" t="s">
        <v>1532</v>
      </c>
    </row>
    <row r="210" spans="1:13">
      <c r="A210" s="10" t="s">
        <v>2431</v>
      </c>
      <c r="B210" s="10" t="s">
        <v>1654</v>
      </c>
      <c r="C210" s="10" t="s">
        <v>1655</v>
      </c>
      <c r="D210" s="10" t="s">
        <v>1528</v>
      </c>
      <c r="E210" s="11">
        <v>2906</v>
      </c>
      <c r="F210" s="10"/>
      <c r="G210" s="10" t="s">
        <v>601</v>
      </c>
      <c r="H210" s="11">
        <v>5497152</v>
      </c>
      <c r="I210" s="10" t="s">
        <v>1529</v>
      </c>
      <c r="J210" s="10"/>
      <c r="K210" s="10" t="s">
        <v>1530</v>
      </c>
      <c r="L210" s="10" t="s">
        <v>1531</v>
      </c>
      <c r="M210" s="10" t="s">
        <v>1532</v>
      </c>
    </row>
    <row r="211" spans="1:13">
      <c r="A211" s="10" t="s">
        <v>2432</v>
      </c>
      <c r="B211" s="10" t="s">
        <v>1656</v>
      </c>
      <c r="C211" s="10" t="s">
        <v>1657</v>
      </c>
      <c r="D211" s="10" t="s">
        <v>1528</v>
      </c>
      <c r="E211" s="11">
        <v>2906</v>
      </c>
      <c r="F211" s="10"/>
      <c r="G211" s="10" t="s">
        <v>601</v>
      </c>
      <c r="H211" s="11">
        <v>5497152</v>
      </c>
      <c r="I211" s="10" t="s">
        <v>1529</v>
      </c>
      <c r="J211" s="10"/>
      <c r="K211" s="10" t="s">
        <v>1530</v>
      </c>
      <c r="L211" s="10" t="s">
        <v>1531</v>
      </c>
      <c r="M211" s="10" t="s">
        <v>1532</v>
      </c>
    </row>
    <row r="212" spans="1:13">
      <c r="A212" s="10" t="s">
        <v>2478</v>
      </c>
      <c r="B212" s="10" t="s">
        <v>2001</v>
      </c>
      <c r="C212" s="10" t="s">
        <v>2002</v>
      </c>
      <c r="D212" s="10" t="s">
        <v>1528</v>
      </c>
      <c r="E212" s="11">
        <v>2906</v>
      </c>
      <c r="F212" s="10"/>
      <c r="G212" s="10" t="s">
        <v>601</v>
      </c>
      <c r="H212" s="11">
        <v>5497152</v>
      </c>
      <c r="I212" s="10" t="s">
        <v>1529</v>
      </c>
      <c r="J212" s="10"/>
      <c r="K212" s="10" t="s">
        <v>1530</v>
      </c>
      <c r="L212" s="10" t="s">
        <v>1531</v>
      </c>
      <c r="M212" s="10" t="s">
        <v>1532</v>
      </c>
    </row>
    <row r="213" spans="1:13">
      <c r="A213" s="10" t="s">
        <v>2506</v>
      </c>
      <c r="B213" s="10" t="s">
        <v>316</v>
      </c>
      <c r="C213" s="10" t="s">
        <v>2160</v>
      </c>
      <c r="D213" s="10" t="s">
        <v>1528</v>
      </c>
      <c r="E213" s="11">
        <v>2906</v>
      </c>
      <c r="F213" s="10"/>
      <c r="G213" s="10" t="s">
        <v>601</v>
      </c>
      <c r="H213" s="11">
        <v>5497152</v>
      </c>
      <c r="I213" s="10" t="s">
        <v>1529</v>
      </c>
      <c r="J213" s="10"/>
      <c r="K213" s="10" t="s">
        <v>1530</v>
      </c>
      <c r="L213" s="10" t="s">
        <v>1531</v>
      </c>
      <c r="M213" s="10" t="s">
        <v>1532</v>
      </c>
    </row>
    <row r="214" spans="1:13">
      <c r="A214" s="10" t="s">
        <v>2428</v>
      </c>
      <c r="B214" s="10" t="s">
        <v>315</v>
      </c>
      <c r="C214" s="10" t="s">
        <v>1639</v>
      </c>
      <c r="D214" s="10" t="s">
        <v>1640</v>
      </c>
      <c r="E214" s="11">
        <v>2910</v>
      </c>
      <c r="F214" s="10"/>
      <c r="G214" s="10" t="s">
        <v>601</v>
      </c>
      <c r="H214" s="11">
        <v>11132720</v>
      </c>
      <c r="I214" s="10" t="s">
        <v>1641</v>
      </c>
      <c r="J214" s="10"/>
      <c r="K214" s="10" t="s">
        <v>1642</v>
      </c>
      <c r="L214" s="10" t="s">
        <v>1643</v>
      </c>
      <c r="M214" s="10" t="s">
        <v>1644</v>
      </c>
    </row>
    <row r="215" spans="1:13">
      <c r="A215" s="10" t="s">
        <v>2429</v>
      </c>
      <c r="B215" s="10" t="s">
        <v>1650</v>
      </c>
      <c r="C215" s="10" t="s">
        <v>1651</v>
      </c>
      <c r="D215" s="10" t="s">
        <v>1640</v>
      </c>
      <c r="E215" s="11">
        <v>2910</v>
      </c>
      <c r="F215" s="10"/>
      <c r="G215" s="10" t="s">
        <v>601</v>
      </c>
      <c r="H215" s="11">
        <v>11132720</v>
      </c>
      <c r="I215" s="10" t="s">
        <v>1641</v>
      </c>
      <c r="J215" s="10"/>
      <c r="K215" s="10" t="s">
        <v>1642</v>
      </c>
      <c r="L215" s="10" t="s">
        <v>1643</v>
      </c>
      <c r="M215" s="10" t="s">
        <v>1644</v>
      </c>
    </row>
    <row r="216" spans="1:13">
      <c r="A216" s="10" t="s">
        <v>2430</v>
      </c>
      <c r="B216" s="10" t="s">
        <v>1652</v>
      </c>
      <c r="C216" s="10" t="s">
        <v>1653</v>
      </c>
      <c r="D216" s="10" t="s">
        <v>1640</v>
      </c>
      <c r="E216" s="11">
        <v>2910</v>
      </c>
      <c r="F216" s="10"/>
      <c r="G216" s="10" t="s">
        <v>601</v>
      </c>
      <c r="H216" s="11">
        <v>11132720</v>
      </c>
      <c r="I216" s="10" t="s">
        <v>1641</v>
      </c>
      <c r="J216" s="10"/>
      <c r="K216" s="10" t="s">
        <v>1642</v>
      </c>
      <c r="L216" s="10" t="s">
        <v>1643</v>
      </c>
      <c r="M216" s="10" t="s">
        <v>1644</v>
      </c>
    </row>
    <row r="217" spans="1:13">
      <c r="A217" s="10" t="s">
        <v>2431</v>
      </c>
      <c r="B217" s="10" t="s">
        <v>1654</v>
      </c>
      <c r="C217" s="10" t="s">
        <v>1655</v>
      </c>
      <c r="D217" s="10" t="s">
        <v>1640</v>
      </c>
      <c r="E217" s="11">
        <v>2910</v>
      </c>
      <c r="F217" s="10"/>
      <c r="G217" s="10" t="s">
        <v>601</v>
      </c>
      <c r="H217" s="11">
        <v>11132720</v>
      </c>
      <c r="I217" s="10" t="s">
        <v>1641</v>
      </c>
      <c r="J217" s="10"/>
      <c r="K217" s="10" t="s">
        <v>1642</v>
      </c>
      <c r="L217" s="10" t="s">
        <v>1643</v>
      </c>
      <c r="M217" s="10" t="s">
        <v>1644</v>
      </c>
    </row>
    <row r="218" spans="1:13">
      <c r="A218" s="10" t="s">
        <v>2428</v>
      </c>
      <c r="B218" s="10" t="s">
        <v>315</v>
      </c>
      <c r="C218" s="10" t="s">
        <v>1639</v>
      </c>
      <c r="D218" s="10" t="s">
        <v>1645</v>
      </c>
      <c r="E218" s="11">
        <v>2911</v>
      </c>
      <c r="F218" s="10"/>
      <c r="G218" s="10" t="s">
        <v>601</v>
      </c>
      <c r="H218" s="11">
        <v>6440220</v>
      </c>
      <c r="I218" s="10" t="s">
        <v>1646</v>
      </c>
      <c r="J218" s="10"/>
      <c r="K218" s="10" t="s">
        <v>1647</v>
      </c>
      <c r="L218" s="10" t="s">
        <v>1648</v>
      </c>
      <c r="M218" s="10" t="s">
        <v>1649</v>
      </c>
    </row>
    <row r="219" spans="1:13">
      <c r="A219" s="10" t="s">
        <v>2429</v>
      </c>
      <c r="B219" s="10" t="s">
        <v>1650</v>
      </c>
      <c r="C219" s="10" t="s">
        <v>1651</v>
      </c>
      <c r="D219" s="10" t="s">
        <v>1645</v>
      </c>
      <c r="E219" s="11">
        <v>2911</v>
      </c>
      <c r="F219" s="10"/>
      <c r="G219" s="10" t="s">
        <v>601</v>
      </c>
      <c r="H219" s="11">
        <v>6440220</v>
      </c>
      <c r="I219" s="10" t="s">
        <v>1646</v>
      </c>
      <c r="J219" s="10"/>
      <c r="K219" s="10" t="s">
        <v>1647</v>
      </c>
      <c r="L219" s="10" t="s">
        <v>1648</v>
      </c>
      <c r="M219" s="10" t="s">
        <v>1649</v>
      </c>
    </row>
    <row r="220" spans="1:13">
      <c r="A220" s="10" t="s">
        <v>2431</v>
      </c>
      <c r="B220" s="10" t="s">
        <v>1654</v>
      </c>
      <c r="C220" s="10" t="s">
        <v>1655</v>
      </c>
      <c r="D220" s="10" t="s">
        <v>1645</v>
      </c>
      <c r="E220" s="11">
        <v>2911</v>
      </c>
      <c r="F220" s="10"/>
      <c r="G220" s="10" t="s">
        <v>601</v>
      </c>
      <c r="H220" s="11">
        <v>6440220</v>
      </c>
      <c r="I220" s="10" t="s">
        <v>1646</v>
      </c>
      <c r="J220" s="10"/>
      <c r="K220" s="10" t="s">
        <v>1647</v>
      </c>
      <c r="L220" s="10" t="s">
        <v>1648</v>
      </c>
      <c r="M220" s="10" t="s">
        <v>1649</v>
      </c>
    </row>
    <row r="221" spans="1:13">
      <c r="A221" s="10" t="s">
        <v>2399</v>
      </c>
      <c r="B221" s="10" t="s">
        <v>1483</v>
      </c>
      <c r="C221" s="10" t="s">
        <v>1484</v>
      </c>
      <c r="D221" s="10" t="s">
        <v>1485</v>
      </c>
      <c r="E221" s="11">
        <v>2918</v>
      </c>
      <c r="F221" s="10"/>
      <c r="G221" s="10" t="s">
        <v>601</v>
      </c>
      <c r="H221" s="11">
        <v>3845</v>
      </c>
      <c r="I221" s="10" t="s">
        <v>1486</v>
      </c>
      <c r="J221" s="10"/>
      <c r="K221" s="10" t="s">
        <v>1487</v>
      </c>
      <c r="L221" s="10" t="s">
        <v>1488</v>
      </c>
      <c r="M221" s="10" t="s">
        <v>1489</v>
      </c>
    </row>
    <row r="222" spans="1:13">
      <c r="A222" s="10" t="s">
        <v>2416</v>
      </c>
      <c r="B222" s="10" t="s">
        <v>1579</v>
      </c>
      <c r="C222" s="10" t="s">
        <v>1580</v>
      </c>
      <c r="D222" s="10" t="s">
        <v>1581</v>
      </c>
      <c r="E222" s="11">
        <v>2932</v>
      </c>
      <c r="F222" s="10"/>
      <c r="G222" s="10" t="s">
        <v>601</v>
      </c>
      <c r="H222" s="11">
        <v>107689</v>
      </c>
      <c r="I222" s="10" t="s">
        <v>1582</v>
      </c>
      <c r="J222" s="10"/>
      <c r="K222" s="10" t="s">
        <v>1583</v>
      </c>
      <c r="L222" s="10" t="s">
        <v>1584</v>
      </c>
      <c r="M222" s="10" t="s">
        <v>1585</v>
      </c>
    </row>
    <row r="223" spans="1:13">
      <c r="A223" s="10" t="s">
        <v>2418</v>
      </c>
      <c r="B223" s="10" t="s">
        <v>309</v>
      </c>
      <c r="C223" s="10" t="s">
        <v>1592</v>
      </c>
      <c r="D223" s="10" t="s">
        <v>1593</v>
      </c>
      <c r="E223" s="11">
        <v>2933</v>
      </c>
      <c r="F223" s="10"/>
      <c r="G223" s="10" t="s">
        <v>601</v>
      </c>
      <c r="H223" s="11">
        <v>11367166</v>
      </c>
      <c r="I223" s="10" t="s">
        <v>1594</v>
      </c>
      <c r="J223" s="10"/>
      <c r="K223" s="10" t="s">
        <v>1595</v>
      </c>
      <c r="L223" s="10" t="s">
        <v>1596</v>
      </c>
      <c r="M223" s="10" t="s">
        <v>1597</v>
      </c>
    </row>
    <row r="224" spans="1:13">
      <c r="A224" s="10" t="s">
        <v>2385</v>
      </c>
      <c r="B224" s="10" t="s">
        <v>1298</v>
      </c>
      <c r="C224" s="10" t="s">
        <v>1299</v>
      </c>
      <c r="D224" s="10" t="s">
        <v>1300</v>
      </c>
      <c r="E224" s="11">
        <v>3313</v>
      </c>
      <c r="F224" s="10"/>
      <c r="G224" s="10" t="s">
        <v>601</v>
      </c>
      <c r="H224" s="11">
        <v>6140</v>
      </c>
      <c r="I224" s="10" t="s">
        <v>1301</v>
      </c>
      <c r="J224" s="10" t="s">
        <v>1302</v>
      </c>
      <c r="K224" s="10" t="s">
        <v>1303</v>
      </c>
      <c r="L224" s="10" t="s">
        <v>1304</v>
      </c>
      <c r="M224" s="10" t="s">
        <v>1305</v>
      </c>
    </row>
    <row r="225" spans="1:13">
      <c r="A225" s="10" t="s">
        <v>2340</v>
      </c>
      <c r="B225" s="10" t="s">
        <v>958</v>
      </c>
      <c r="C225" s="10" t="s">
        <v>959</v>
      </c>
      <c r="D225" s="10" t="s">
        <v>963</v>
      </c>
      <c r="E225" s="11">
        <v>3333</v>
      </c>
      <c r="F225" s="10"/>
      <c r="G225" s="10" t="s">
        <v>601</v>
      </c>
      <c r="H225" s="11">
        <v>10473088</v>
      </c>
      <c r="I225" s="10" t="s">
        <v>964</v>
      </c>
      <c r="J225" s="10"/>
      <c r="K225" s="10" t="s">
        <v>965</v>
      </c>
      <c r="L225" s="10" t="s">
        <v>966</v>
      </c>
      <c r="M225" s="10" t="s">
        <v>967</v>
      </c>
    </row>
    <row r="226" spans="1:13">
      <c r="A226" s="10" t="s">
        <v>2338</v>
      </c>
      <c r="B226" s="10" t="s">
        <v>310</v>
      </c>
      <c r="C226" s="10" t="s">
        <v>941</v>
      </c>
      <c r="D226" s="10" t="s">
        <v>942</v>
      </c>
      <c r="E226" s="11">
        <v>3352</v>
      </c>
      <c r="F226" s="10"/>
      <c r="G226" s="10" t="s">
        <v>601</v>
      </c>
      <c r="H226" s="11">
        <v>5280879</v>
      </c>
      <c r="I226" s="10" t="s">
        <v>943</v>
      </c>
      <c r="J226" s="10"/>
      <c r="K226" s="10" t="s">
        <v>944</v>
      </c>
      <c r="L226" s="10" t="s">
        <v>945</v>
      </c>
      <c r="M226" s="10" t="s">
        <v>946</v>
      </c>
    </row>
    <row r="227" spans="1:13">
      <c r="A227" s="10" t="s">
        <v>2339</v>
      </c>
      <c r="B227" s="10" t="s">
        <v>311</v>
      </c>
      <c r="C227" s="10" t="s">
        <v>957</v>
      </c>
      <c r="D227" s="10" t="s">
        <v>942</v>
      </c>
      <c r="E227" s="11">
        <v>3352</v>
      </c>
      <c r="F227" s="10"/>
      <c r="G227" s="10" t="s">
        <v>601</v>
      </c>
      <c r="H227" s="11">
        <v>5280879</v>
      </c>
      <c r="I227" s="10" t="s">
        <v>943</v>
      </c>
      <c r="J227" s="10"/>
      <c r="K227" s="10" t="s">
        <v>944</v>
      </c>
      <c r="L227" s="10" t="s">
        <v>945</v>
      </c>
      <c r="M227" s="10" t="s">
        <v>946</v>
      </c>
    </row>
    <row r="228" spans="1:13">
      <c r="A228" s="10" t="s">
        <v>2393</v>
      </c>
      <c r="B228" s="10" t="s">
        <v>1441</v>
      </c>
      <c r="C228" s="10" t="s">
        <v>1442</v>
      </c>
      <c r="D228" s="10" t="s">
        <v>942</v>
      </c>
      <c r="E228" s="11">
        <v>3352</v>
      </c>
      <c r="F228" s="10"/>
      <c r="G228" s="10" t="s">
        <v>601</v>
      </c>
      <c r="H228" s="11">
        <v>5280879</v>
      </c>
      <c r="I228" s="10" t="s">
        <v>943</v>
      </c>
      <c r="J228" s="10"/>
      <c r="K228" s="10" t="s">
        <v>944</v>
      </c>
      <c r="L228" s="10" t="s">
        <v>945</v>
      </c>
      <c r="M228" s="10" t="s">
        <v>946</v>
      </c>
    </row>
    <row r="229" spans="1:13">
      <c r="A229" s="10" t="s">
        <v>2338</v>
      </c>
      <c r="B229" s="10" t="s">
        <v>310</v>
      </c>
      <c r="C229" s="10" t="s">
        <v>941</v>
      </c>
      <c r="D229" s="10" t="s">
        <v>947</v>
      </c>
      <c r="E229" s="11">
        <v>3353</v>
      </c>
      <c r="F229" s="10"/>
      <c r="G229" s="10" t="s">
        <v>601</v>
      </c>
      <c r="H229" s="11">
        <v>6435286</v>
      </c>
      <c r="I229" s="10" t="s">
        <v>948</v>
      </c>
      <c r="J229" s="10"/>
      <c r="K229" s="10" t="s">
        <v>949</v>
      </c>
      <c r="L229" s="10" t="s">
        <v>950</v>
      </c>
      <c r="M229" s="10" t="s">
        <v>951</v>
      </c>
    </row>
    <row r="230" spans="1:13">
      <c r="A230" s="10" t="s">
        <v>2339</v>
      </c>
      <c r="B230" s="10" t="s">
        <v>311</v>
      </c>
      <c r="C230" s="10" t="s">
        <v>957</v>
      </c>
      <c r="D230" s="10" t="s">
        <v>947</v>
      </c>
      <c r="E230" s="11">
        <v>3353</v>
      </c>
      <c r="F230" s="10"/>
      <c r="G230" s="10" t="s">
        <v>601</v>
      </c>
      <c r="H230" s="11">
        <v>6435286</v>
      </c>
      <c r="I230" s="10" t="s">
        <v>948</v>
      </c>
      <c r="J230" s="10"/>
      <c r="K230" s="10" t="s">
        <v>949</v>
      </c>
      <c r="L230" s="10" t="s">
        <v>950</v>
      </c>
      <c r="M230" s="10" t="s">
        <v>951</v>
      </c>
    </row>
    <row r="231" spans="1:13">
      <c r="A231" s="10" t="s">
        <v>2393</v>
      </c>
      <c r="B231" s="10" t="s">
        <v>1441</v>
      </c>
      <c r="C231" s="10" t="s">
        <v>1442</v>
      </c>
      <c r="D231" s="10" t="s">
        <v>947</v>
      </c>
      <c r="E231" s="11">
        <v>3353</v>
      </c>
      <c r="F231" s="10"/>
      <c r="G231" s="10" t="s">
        <v>601</v>
      </c>
      <c r="H231" s="11">
        <v>6435286</v>
      </c>
      <c r="I231" s="10" t="s">
        <v>948</v>
      </c>
      <c r="J231" s="10"/>
      <c r="K231" s="10" t="s">
        <v>949</v>
      </c>
      <c r="L231" s="10" t="s">
        <v>950</v>
      </c>
      <c r="M231" s="10" t="s">
        <v>951</v>
      </c>
    </row>
    <row r="232" spans="1:13">
      <c r="A232" s="10" t="s">
        <v>2338</v>
      </c>
      <c r="B232" s="10" t="s">
        <v>310</v>
      </c>
      <c r="C232" s="10" t="s">
        <v>941</v>
      </c>
      <c r="D232" s="10" t="s">
        <v>952</v>
      </c>
      <c r="E232" s="11">
        <v>3354</v>
      </c>
      <c r="F232" s="10"/>
      <c r="G232" s="10" t="s">
        <v>601</v>
      </c>
      <c r="H232" s="11">
        <v>5280493</v>
      </c>
      <c r="I232" s="10" t="s">
        <v>953</v>
      </c>
      <c r="J232" s="10"/>
      <c r="K232" s="10" t="s">
        <v>954</v>
      </c>
      <c r="L232" s="10" t="s">
        <v>955</v>
      </c>
      <c r="M232" s="10" t="s">
        <v>956</v>
      </c>
    </row>
    <row r="233" spans="1:13">
      <c r="A233" s="10" t="s">
        <v>2339</v>
      </c>
      <c r="B233" s="10" t="s">
        <v>311</v>
      </c>
      <c r="C233" s="10" t="s">
        <v>957</v>
      </c>
      <c r="D233" s="10" t="s">
        <v>952</v>
      </c>
      <c r="E233" s="11">
        <v>3354</v>
      </c>
      <c r="F233" s="10"/>
      <c r="G233" s="10" t="s">
        <v>601</v>
      </c>
      <c r="H233" s="11">
        <v>5280493</v>
      </c>
      <c r="I233" s="10" t="s">
        <v>953</v>
      </c>
      <c r="J233" s="10"/>
      <c r="K233" s="10" t="s">
        <v>954</v>
      </c>
      <c r="L233" s="10" t="s">
        <v>955</v>
      </c>
      <c r="M233" s="10" t="s">
        <v>956</v>
      </c>
    </row>
    <row r="234" spans="1:13">
      <c r="A234" s="10" t="s">
        <v>2393</v>
      </c>
      <c r="B234" s="10" t="s">
        <v>1441</v>
      </c>
      <c r="C234" s="10" t="s">
        <v>1442</v>
      </c>
      <c r="D234" s="10" t="s">
        <v>952</v>
      </c>
      <c r="E234" s="11">
        <v>3354</v>
      </c>
      <c r="F234" s="10"/>
      <c r="G234" s="10" t="s">
        <v>601</v>
      </c>
      <c r="H234" s="11">
        <v>5280493</v>
      </c>
      <c r="I234" s="10" t="s">
        <v>953</v>
      </c>
      <c r="J234" s="10"/>
      <c r="K234" s="10" t="s">
        <v>954</v>
      </c>
      <c r="L234" s="10" t="s">
        <v>955</v>
      </c>
      <c r="M234" s="10" t="s">
        <v>956</v>
      </c>
    </row>
    <row r="235" spans="1:13">
      <c r="A235" s="10" t="s">
        <v>2471</v>
      </c>
      <c r="B235" s="10" t="s">
        <v>1924</v>
      </c>
      <c r="C235" s="10" t="s">
        <v>1925</v>
      </c>
      <c r="D235" s="10" t="s">
        <v>1931</v>
      </c>
      <c r="E235" s="11">
        <v>3390</v>
      </c>
      <c r="F235" s="10"/>
      <c r="G235" s="10" t="s">
        <v>601</v>
      </c>
      <c r="H235" s="11">
        <v>5280733</v>
      </c>
      <c r="I235" s="10" t="s">
        <v>1932</v>
      </c>
      <c r="J235" s="10"/>
      <c r="K235" s="10" t="s">
        <v>1933</v>
      </c>
      <c r="L235" s="10" t="s">
        <v>1934</v>
      </c>
      <c r="M235" s="10" t="s">
        <v>1935</v>
      </c>
    </row>
    <row r="236" spans="1:13">
      <c r="A236" s="10" t="s">
        <v>2471</v>
      </c>
      <c r="B236" s="10" t="s">
        <v>1924</v>
      </c>
      <c r="C236" s="10" t="s">
        <v>1925</v>
      </c>
      <c r="D236" s="10" t="s">
        <v>1936</v>
      </c>
      <c r="E236" s="11">
        <v>3391</v>
      </c>
      <c r="F236" s="10"/>
      <c r="G236" s="10" t="s">
        <v>601</v>
      </c>
      <c r="H236" s="11">
        <v>5283159</v>
      </c>
      <c r="I236" s="10" t="s">
        <v>1937</v>
      </c>
      <c r="J236" s="10"/>
      <c r="K236" s="10"/>
      <c r="L236" s="10" t="s">
        <v>1938</v>
      </c>
      <c r="M236" s="10" t="s">
        <v>1939</v>
      </c>
    </row>
    <row r="237" spans="1:13">
      <c r="A237" s="10" t="s">
        <v>2471</v>
      </c>
      <c r="B237" s="10" t="s">
        <v>1924</v>
      </c>
      <c r="C237" s="10" t="s">
        <v>1925</v>
      </c>
      <c r="D237" s="10" t="s">
        <v>1940</v>
      </c>
      <c r="E237" s="11">
        <v>3392</v>
      </c>
      <c r="F237" s="10"/>
      <c r="G237" s="10" t="s">
        <v>601</v>
      </c>
      <c r="H237" s="11">
        <v>56947094</v>
      </c>
      <c r="I237" s="10" t="s">
        <v>1941</v>
      </c>
      <c r="J237" s="10"/>
      <c r="K237" s="10" t="s">
        <v>1942</v>
      </c>
      <c r="L237" s="10" t="s">
        <v>1943</v>
      </c>
      <c r="M237" s="10" t="s">
        <v>1944</v>
      </c>
    </row>
    <row r="238" spans="1:13">
      <c r="A238" s="10" t="s">
        <v>2434</v>
      </c>
      <c r="B238" s="10" t="s">
        <v>312</v>
      </c>
      <c r="C238" s="10" t="s">
        <v>1665</v>
      </c>
      <c r="D238" s="10" t="s">
        <v>1671</v>
      </c>
      <c r="E238" s="11">
        <v>3399</v>
      </c>
      <c r="F238" s="10"/>
      <c r="G238" s="10" t="s">
        <v>601</v>
      </c>
      <c r="H238" s="11">
        <v>5280745</v>
      </c>
      <c r="I238" s="10" t="s">
        <v>1672</v>
      </c>
      <c r="J238" s="10"/>
      <c r="K238" s="10"/>
      <c r="L238" s="10" t="s">
        <v>1673</v>
      </c>
      <c r="M238" s="10" t="s">
        <v>1674</v>
      </c>
    </row>
    <row r="239" spans="1:13">
      <c r="A239" s="10" t="s">
        <v>2435</v>
      </c>
      <c r="B239" s="10" t="s">
        <v>313</v>
      </c>
      <c r="C239" s="10" t="s">
        <v>1680</v>
      </c>
      <c r="D239" s="10" t="s">
        <v>1671</v>
      </c>
      <c r="E239" s="11">
        <v>3399</v>
      </c>
      <c r="F239" s="10"/>
      <c r="G239" s="10" t="s">
        <v>601</v>
      </c>
      <c r="H239" s="11">
        <v>5280745</v>
      </c>
      <c r="I239" s="10" t="s">
        <v>1672</v>
      </c>
      <c r="J239" s="10"/>
      <c r="K239" s="10"/>
      <c r="L239" s="10" t="s">
        <v>1673</v>
      </c>
      <c r="M239" s="10" t="s">
        <v>1674</v>
      </c>
    </row>
    <row r="240" spans="1:13">
      <c r="A240" s="10" t="s">
        <v>2435</v>
      </c>
      <c r="B240" s="10" t="s">
        <v>313</v>
      </c>
      <c r="C240" s="10" t="s">
        <v>1680</v>
      </c>
      <c r="D240" s="10" t="s">
        <v>1686</v>
      </c>
      <c r="E240" s="11">
        <v>3401</v>
      </c>
      <c r="F240" s="10"/>
      <c r="G240" s="10" t="s">
        <v>601</v>
      </c>
      <c r="H240" s="11">
        <v>5280724</v>
      </c>
      <c r="I240" s="10" t="s">
        <v>1687</v>
      </c>
      <c r="J240" s="10" t="s">
        <v>1688</v>
      </c>
      <c r="K240" s="10" t="s">
        <v>1689</v>
      </c>
      <c r="L240" s="10" t="s">
        <v>1690</v>
      </c>
      <c r="M240" s="10" t="s">
        <v>1691</v>
      </c>
    </row>
    <row r="241" spans="1:13">
      <c r="A241" s="10" t="s">
        <v>2396</v>
      </c>
      <c r="B241" s="10" t="s">
        <v>1472</v>
      </c>
      <c r="C241" s="10" t="s">
        <v>1473</v>
      </c>
      <c r="D241" s="10" t="s">
        <v>1474</v>
      </c>
      <c r="E241" s="11">
        <v>3404</v>
      </c>
      <c r="F241" s="10"/>
      <c r="G241" s="10" t="s">
        <v>601</v>
      </c>
      <c r="H241" s="11">
        <v>5283155</v>
      </c>
      <c r="I241" s="10" t="s">
        <v>1475</v>
      </c>
      <c r="J241" s="10"/>
      <c r="K241" s="10" t="s">
        <v>1476</v>
      </c>
      <c r="L241" s="10" t="s">
        <v>1477</v>
      </c>
      <c r="M241" s="10" t="s">
        <v>1478</v>
      </c>
    </row>
    <row r="242" spans="1:13">
      <c r="A242" s="10" t="s">
        <v>2435</v>
      </c>
      <c r="B242" s="10" t="s">
        <v>313</v>
      </c>
      <c r="C242" s="10" t="s">
        <v>1680</v>
      </c>
      <c r="D242" s="10" t="s">
        <v>1474</v>
      </c>
      <c r="E242" s="11">
        <v>3404</v>
      </c>
      <c r="F242" s="10"/>
      <c r="G242" s="10" t="s">
        <v>601</v>
      </c>
      <c r="H242" s="11">
        <v>5283155</v>
      </c>
      <c r="I242" s="10" t="s">
        <v>1475</v>
      </c>
      <c r="J242" s="10"/>
      <c r="K242" s="10" t="s">
        <v>1476</v>
      </c>
      <c r="L242" s="10" t="s">
        <v>1477</v>
      </c>
      <c r="M242" s="10" t="s">
        <v>1478</v>
      </c>
    </row>
    <row r="243" spans="1:13">
      <c r="A243" s="10" t="s">
        <v>2434</v>
      </c>
      <c r="B243" s="10" t="s">
        <v>312</v>
      </c>
      <c r="C243" s="10" t="s">
        <v>1665</v>
      </c>
      <c r="D243" s="10" t="s">
        <v>1675</v>
      </c>
      <c r="E243" s="11">
        <v>3405</v>
      </c>
      <c r="F243" s="10"/>
      <c r="G243" s="10" t="s">
        <v>601</v>
      </c>
      <c r="H243" s="11">
        <v>5283156</v>
      </c>
      <c r="I243" s="10" t="s">
        <v>1676</v>
      </c>
      <c r="J243" s="10"/>
      <c r="K243" s="10" t="s">
        <v>1677</v>
      </c>
      <c r="L243" s="10" t="s">
        <v>1678</v>
      </c>
      <c r="M243" s="10" t="s">
        <v>1679</v>
      </c>
    </row>
    <row r="244" spans="1:13">
      <c r="A244" s="10" t="s">
        <v>2435</v>
      </c>
      <c r="B244" s="10" t="s">
        <v>313</v>
      </c>
      <c r="C244" s="10" t="s">
        <v>1680</v>
      </c>
      <c r="D244" s="10" t="s">
        <v>1675</v>
      </c>
      <c r="E244" s="11">
        <v>3405</v>
      </c>
      <c r="F244" s="10"/>
      <c r="G244" s="10" t="s">
        <v>601</v>
      </c>
      <c r="H244" s="11">
        <v>5283156</v>
      </c>
      <c r="I244" s="10" t="s">
        <v>1676</v>
      </c>
      <c r="J244" s="10"/>
      <c r="K244" s="10" t="s">
        <v>1677</v>
      </c>
      <c r="L244" s="10" t="s">
        <v>1678</v>
      </c>
      <c r="M244" s="10" t="s">
        <v>1679</v>
      </c>
    </row>
    <row r="245" spans="1:13">
      <c r="A245" s="10" t="s">
        <v>2498</v>
      </c>
      <c r="B245" s="10" t="s">
        <v>2109</v>
      </c>
      <c r="C245" s="10" t="s">
        <v>2110</v>
      </c>
      <c r="D245" s="10" t="s">
        <v>2116</v>
      </c>
      <c r="E245" s="11">
        <v>3427</v>
      </c>
      <c r="F245" s="10"/>
      <c r="G245" s="10" t="s">
        <v>601</v>
      </c>
      <c r="H245" s="11">
        <v>124663</v>
      </c>
      <c r="I245" s="10" t="s">
        <v>2117</v>
      </c>
      <c r="J245" s="10"/>
      <c r="K245" s="10" t="s">
        <v>2118</v>
      </c>
      <c r="L245" s="10" t="s">
        <v>2119</v>
      </c>
      <c r="M245" s="10" t="s">
        <v>2120</v>
      </c>
    </row>
    <row r="246" spans="1:13">
      <c r="A246" s="10" t="s">
        <v>2383</v>
      </c>
      <c r="B246" s="10" t="s">
        <v>1273</v>
      </c>
      <c r="C246" s="10" t="s">
        <v>1274</v>
      </c>
      <c r="D246" s="10" t="s">
        <v>1280</v>
      </c>
      <c r="E246" s="11">
        <v>3621</v>
      </c>
      <c r="F246" s="10"/>
      <c r="G246" s="10" t="s">
        <v>601</v>
      </c>
      <c r="H246" s="11">
        <v>27902</v>
      </c>
      <c r="I246" s="10" t="s">
        <v>1281</v>
      </c>
      <c r="J246" s="10"/>
      <c r="K246" s="10" t="s">
        <v>1282</v>
      </c>
      <c r="L246" s="10" t="s">
        <v>1283</v>
      </c>
      <c r="M246" s="10" t="s">
        <v>1284</v>
      </c>
    </row>
    <row r="247" spans="1:13">
      <c r="A247" s="10" t="s">
        <v>2383</v>
      </c>
      <c r="B247" s="10" t="s">
        <v>1273</v>
      </c>
      <c r="C247" s="10" t="s">
        <v>1274</v>
      </c>
      <c r="D247" s="10" t="s">
        <v>1285</v>
      </c>
      <c r="E247" s="11">
        <v>3622</v>
      </c>
      <c r="F247" s="10"/>
      <c r="G247" s="10" t="s">
        <v>601</v>
      </c>
      <c r="H247" s="11">
        <v>4671</v>
      </c>
      <c r="I247" s="10" t="s">
        <v>1286</v>
      </c>
      <c r="J247" s="10" t="s">
        <v>1287</v>
      </c>
      <c r="K247" s="10" t="s">
        <v>1288</v>
      </c>
      <c r="L247" s="10" t="s">
        <v>1289</v>
      </c>
      <c r="M247" s="10" t="s">
        <v>1290</v>
      </c>
    </row>
    <row r="248" spans="1:13">
      <c r="A248" s="10" t="s">
        <v>2402</v>
      </c>
      <c r="B248" s="10" t="s">
        <v>1499</v>
      </c>
      <c r="C248" s="10" t="s">
        <v>1500</v>
      </c>
      <c r="D248" s="10" t="s">
        <v>1285</v>
      </c>
      <c r="E248" s="11">
        <v>3622</v>
      </c>
      <c r="F248" s="10"/>
      <c r="G248" s="10" t="s">
        <v>601</v>
      </c>
      <c r="H248" s="11">
        <v>4671</v>
      </c>
      <c r="I248" s="10" t="s">
        <v>1286</v>
      </c>
      <c r="J248" s="10" t="s">
        <v>1287</v>
      </c>
      <c r="K248" s="10" t="s">
        <v>1288</v>
      </c>
      <c r="L248" s="10" t="s">
        <v>1289</v>
      </c>
      <c r="M248" s="10" t="s">
        <v>1290</v>
      </c>
    </row>
    <row r="249" spans="1:13">
      <c r="A249" s="10" t="s">
        <v>2394</v>
      </c>
      <c r="B249" s="10" t="s">
        <v>1463</v>
      </c>
      <c r="C249" s="10" t="s">
        <v>1464</v>
      </c>
      <c r="D249" s="10" t="s">
        <v>1465</v>
      </c>
      <c r="E249" s="11">
        <v>3635</v>
      </c>
      <c r="F249" s="10"/>
      <c r="G249" s="10" t="s">
        <v>601</v>
      </c>
      <c r="H249" s="11">
        <v>5283389</v>
      </c>
      <c r="I249" s="10" t="s">
        <v>1466</v>
      </c>
      <c r="J249" s="10"/>
      <c r="K249" s="10" t="s">
        <v>1467</v>
      </c>
      <c r="L249" s="10" t="s">
        <v>1468</v>
      </c>
      <c r="M249" s="10" t="s">
        <v>1469</v>
      </c>
    </row>
    <row r="250" spans="1:13">
      <c r="A250" s="10" t="s">
        <v>2431</v>
      </c>
      <c r="B250" s="10" t="s">
        <v>1654</v>
      </c>
      <c r="C250" s="10" t="s">
        <v>1655</v>
      </c>
      <c r="D250" s="10" t="s">
        <v>1465</v>
      </c>
      <c r="E250" s="11">
        <v>3635</v>
      </c>
      <c r="F250" s="10"/>
      <c r="G250" s="10" t="s">
        <v>601</v>
      </c>
      <c r="H250" s="11">
        <v>5283389</v>
      </c>
      <c r="I250" s="10" t="s">
        <v>1466</v>
      </c>
      <c r="J250" s="10"/>
      <c r="K250" s="10" t="s">
        <v>1467</v>
      </c>
      <c r="L250" s="10" t="s">
        <v>1468</v>
      </c>
      <c r="M250" s="10" t="s">
        <v>1469</v>
      </c>
    </row>
    <row r="251" spans="1:13">
      <c r="A251" s="10" t="s">
        <v>2472</v>
      </c>
      <c r="B251" s="10" t="s">
        <v>1965</v>
      </c>
      <c r="C251" s="10" t="s">
        <v>1966</v>
      </c>
      <c r="D251" s="10" t="s">
        <v>1967</v>
      </c>
      <c r="E251" s="11">
        <v>3636</v>
      </c>
      <c r="F251" s="10"/>
      <c r="G251" s="10" t="s">
        <v>601</v>
      </c>
      <c r="H251" s="11">
        <v>51</v>
      </c>
      <c r="I251" s="10" t="s">
        <v>1968</v>
      </c>
      <c r="J251" s="10"/>
      <c r="K251" s="10" t="s">
        <v>1969</v>
      </c>
      <c r="L251" s="10" t="s">
        <v>1970</v>
      </c>
      <c r="M251" s="10" t="s">
        <v>1971</v>
      </c>
    </row>
    <row r="252" spans="1:13">
      <c r="A252" s="10" t="s">
        <v>2517</v>
      </c>
      <c r="B252" s="10" t="s">
        <v>2200</v>
      </c>
      <c r="C252" s="10" t="s">
        <v>2201</v>
      </c>
      <c r="D252" s="10" t="s">
        <v>2202</v>
      </c>
      <c r="E252" s="11">
        <v>3637</v>
      </c>
      <c r="F252" s="10"/>
      <c r="G252" s="10" t="s">
        <v>601</v>
      </c>
      <c r="H252" s="11">
        <v>1110</v>
      </c>
      <c r="I252" s="10" t="s">
        <v>2203</v>
      </c>
      <c r="J252" s="10"/>
      <c r="K252" s="10" t="s">
        <v>2204</v>
      </c>
      <c r="L252" s="10" t="s">
        <v>2205</v>
      </c>
      <c r="M252" s="10" t="s">
        <v>2206</v>
      </c>
    </row>
    <row r="253" spans="1:13">
      <c r="A253" s="10" t="s">
        <v>2314</v>
      </c>
      <c r="B253" s="10" t="s">
        <v>711</v>
      </c>
      <c r="C253" s="10" t="s">
        <v>712</v>
      </c>
      <c r="D253" s="10" t="s">
        <v>713</v>
      </c>
      <c r="E253" s="11">
        <v>3638</v>
      </c>
      <c r="F253" s="10"/>
      <c r="G253" s="10" t="s">
        <v>601</v>
      </c>
      <c r="H253" s="11">
        <v>6323481</v>
      </c>
      <c r="I253" s="10" t="s">
        <v>714</v>
      </c>
      <c r="J253" s="10"/>
      <c r="K253" s="10" t="s">
        <v>715</v>
      </c>
      <c r="L253" s="10" t="s">
        <v>716</v>
      </c>
      <c r="M253" s="10" t="s">
        <v>717</v>
      </c>
    </row>
    <row r="254" spans="1:13">
      <c r="A254" s="10" t="s">
        <v>2386</v>
      </c>
      <c r="B254" s="10" t="s">
        <v>1306</v>
      </c>
      <c r="C254" s="10" t="s">
        <v>1307</v>
      </c>
      <c r="D254" s="10" t="s">
        <v>1308</v>
      </c>
      <c r="E254" s="11">
        <v>3639</v>
      </c>
      <c r="F254" s="10"/>
      <c r="G254" s="10" t="s">
        <v>601</v>
      </c>
      <c r="H254" s="11">
        <v>6047</v>
      </c>
      <c r="I254" s="10" t="s">
        <v>1309</v>
      </c>
      <c r="J254" s="10" t="s">
        <v>1308</v>
      </c>
      <c r="K254" s="10" t="s">
        <v>1310</v>
      </c>
      <c r="L254" s="10" t="s">
        <v>1311</v>
      </c>
      <c r="M254" s="10" t="s">
        <v>1312</v>
      </c>
    </row>
    <row r="255" spans="1:13">
      <c r="A255" s="10" t="s">
        <v>2363</v>
      </c>
      <c r="B255" s="10" t="s">
        <v>1130</v>
      </c>
      <c r="C255" s="10" t="s">
        <v>1131</v>
      </c>
      <c r="D255" s="10" t="s">
        <v>1141</v>
      </c>
      <c r="E255" s="11">
        <v>3933</v>
      </c>
      <c r="F255" s="10"/>
      <c r="G255" s="10" t="s">
        <v>601</v>
      </c>
      <c r="H255" s="11">
        <v>9841438</v>
      </c>
      <c r="I255" s="10" t="s">
        <v>1142</v>
      </c>
      <c r="J255" s="10"/>
      <c r="K255" s="10" t="s">
        <v>1143</v>
      </c>
      <c r="L255" s="10" t="s">
        <v>1144</v>
      </c>
      <c r="M255" s="10" t="s">
        <v>1145</v>
      </c>
    </row>
    <row r="256" spans="1:13">
      <c r="A256" s="10" t="s">
        <v>2363</v>
      </c>
      <c r="B256" s="10" t="s">
        <v>1130</v>
      </c>
      <c r="C256" s="10" t="s">
        <v>1131</v>
      </c>
      <c r="D256" s="10" t="s">
        <v>1146</v>
      </c>
      <c r="E256" s="11">
        <v>3934</v>
      </c>
      <c r="F256" s="10"/>
      <c r="G256" s="10" t="s">
        <v>601</v>
      </c>
      <c r="H256" s="11">
        <v>73755062</v>
      </c>
      <c r="I256" s="10" t="s">
        <v>1147</v>
      </c>
      <c r="J256" s="10"/>
      <c r="K256" s="10" t="s">
        <v>1148</v>
      </c>
      <c r="L256" s="10" t="s">
        <v>1149</v>
      </c>
      <c r="M256" s="10" t="s">
        <v>1150</v>
      </c>
    </row>
    <row r="257" spans="1:13">
      <c r="A257" s="10" t="s">
        <v>2397</v>
      </c>
      <c r="B257" s="10" t="s">
        <v>1479</v>
      </c>
      <c r="C257" s="10" t="s">
        <v>1480</v>
      </c>
      <c r="D257" s="10" t="s">
        <v>1146</v>
      </c>
      <c r="E257" s="11">
        <v>3934</v>
      </c>
      <c r="F257" s="10"/>
      <c r="G257" s="10" t="s">
        <v>601</v>
      </c>
      <c r="H257" s="11">
        <v>73755062</v>
      </c>
      <c r="I257" s="10" t="s">
        <v>1147</v>
      </c>
      <c r="J257" s="10"/>
      <c r="K257" s="10" t="s">
        <v>1148</v>
      </c>
      <c r="L257" s="10" t="s">
        <v>1149</v>
      </c>
      <c r="M257" s="10" t="s">
        <v>1150</v>
      </c>
    </row>
    <row r="258" spans="1:13">
      <c r="A258" s="10" t="s">
        <v>2402</v>
      </c>
      <c r="B258" s="10" t="s">
        <v>1499</v>
      </c>
      <c r="C258" s="10" t="s">
        <v>1500</v>
      </c>
      <c r="D258" s="10" t="s">
        <v>1501</v>
      </c>
      <c r="E258" s="11">
        <v>4028</v>
      </c>
      <c r="F258" s="10"/>
      <c r="G258" s="10" t="s">
        <v>601</v>
      </c>
      <c r="H258" s="11">
        <v>73755067</v>
      </c>
      <c r="I258" s="10"/>
      <c r="J258" s="10"/>
      <c r="K258" s="10" t="s">
        <v>1502</v>
      </c>
      <c r="L258" s="10" t="s">
        <v>1503</v>
      </c>
      <c r="M258" s="10" t="s">
        <v>1504</v>
      </c>
    </row>
    <row r="259" spans="1:13">
      <c r="A259" s="10" t="s">
        <v>2402</v>
      </c>
      <c r="B259" s="10" t="s">
        <v>1499</v>
      </c>
      <c r="C259" s="10" t="s">
        <v>1500</v>
      </c>
      <c r="D259" s="10" t="s">
        <v>1505</v>
      </c>
      <c r="E259" s="11">
        <v>4029</v>
      </c>
      <c r="F259" s="10"/>
      <c r="G259" s="10" t="s">
        <v>601</v>
      </c>
      <c r="H259" s="11">
        <v>73755068</v>
      </c>
      <c r="I259" s="10" t="s">
        <v>1506</v>
      </c>
      <c r="J259" s="10"/>
      <c r="K259" s="10" t="s">
        <v>1507</v>
      </c>
      <c r="L259" s="10" t="s">
        <v>1508</v>
      </c>
      <c r="M259" s="10" t="s">
        <v>1509</v>
      </c>
    </row>
    <row r="260" spans="1:13">
      <c r="A260" s="10" t="s">
        <v>2506</v>
      </c>
      <c r="B260" s="10" t="s">
        <v>316</v>
      </c>
      <c r="C260" s="10" t="s">
        <v>2160</v>
      </c>
      <c r="D260" s="10" t="s">
        <v>2161</v>
      </c>
      <c r="E260" s="11">
        <v>4032</v>
      </c>
      <c r="F260" s="10"/>
      <c r="G260" s="10" t="s">
        <v>601</v>
      </c>
      <c r="H260" s="11">
        <v>9847290</v>
      </c>
      <c r="I260" s="10" t="s">
        <v>2162</v>
      </c>
      <c r="J260" s="10"/>
      <c r="K260" s="10" t="s">
        <v>2163</v>
      </c>
      <c r="L260" s="10" t="s">
        <v>2164</v>
      </c>
      <c r="M260" s="10" t="s">
        <v>2165</v>
      </c>
    </row>
    <row r="261" spans="1:13">
      <c r="A261" s="10" t="s">
        <v>2507</v>
      </c>
      <c r="B261" s="10" t="s">
        <v>2166</v>
      </c>
      <c r="C261" s="10" t="s">
        <v>2167</v>
      </c>
      <c r="D261" s="10" t="s">
        <v>2161</v>
      </c>
      <c r="E261" s="11">
        <v>4032</v>
      </c>
      <c r="F261" s="10"/>
      <c r="G261" s="10" t="s">
        <v>601</v>
      </c>
      <c r="H261" s="11">
        <v>9847290</v>
      </c>
      <c r="I261" s="10" t="s">
        <v>2162</v>
      </c>
      <c r="J261" s="10"/>
      <c r="K261" s="10" t="s">
        <v>2163</v>
      </c>
      <c r="L261" s="10" t="s">
        <v>2164</v>
      </c>
      <c r="M261" s="10" t="s">
        <v>2165</v>
      </c>
    </row>
    <row r="262" spans="1:13">
      <c r="A262" s="10" t="s">
        <v>2508</v>
      </c>
      <c r="B262" s="10" t="s">
        <v>2168</v>
      </c>
      <c r="C262" s="10" t="s">
        <v>2169</v>
      </c>
      <c r="D262" s="10" t="s">
        <v>2161</v>
      </c>
      <c r="E262" s="11">
        <v>4032</v>
      </c>
      <c r="F262" s="10"/>
      <c r="G262" s="10" t="s">
        <v>601</v>
      </c>
      <c r="H262" s="11">
        <v>9847290</v>
      </c>
      <c r="I262" s="10" t="s">
        <v>2162</v>
      </c>
      <c r="J262" s="10"/>
      <c r="K262" s="10" t="s">
        <v>2163</v>
      </c>
      <c r="L262" s="10" t="s">
        <v>2164</v>
      </c>
      <c r="M262" s="10" t="s">
        <v>2165</v>
      </c>
    </row>
    <row r="263" spans="1:13">
      <c r="A263" s="10" t="s">
        <v>2509</v>
      </c>
      <c r="B263" s="10" t="s">
        <v>2170</v>
      </c>
      <c r="C263" s="10" t="s">
        <v>2171</v>
      </c>
      <c r="D263" s="10" t="s">
        <v>2161</v>
      </c>
      <c r="E263" s="11">
        <v>4032</v>
      </c>
      <c r="F263" s="10"/>
      <c r="G263" s="10" t="s">
        <v>601</v>
      </c>
      <c r="H263" s="11">
        <v>9847290</v>
      </c>
      <c r="I263" s="10" t="s">
        <v>2162</v>
      </c>
      <c r="J263" s="10"/>
      <c r="K263" s="10" t="s">
        <v>2163</v>
      </c>
      <c r="L263" s="10" t="s">
        <v>2164</v>
      </c>
      <c r="M263" s="10" t="s">
        <v>2165</v>
      </c>
    </row>
    <row r="264" spans="1:13">
      <c r="A264" s="10" t="s">
        <v>2510</v>
      </c>
      <c r="B264" s="10" t="s">
        <v>2172</v>
      </c>
      <c r="C264" s="10" t="s">
        <v>2173</v>
      </c>
      <c r="D264" s="10" t="s">
        <v>2161</v>
      </c>
      <c r="E264" s="11">
        <v>4032</v>
      </c>
      <c r="F264" s="10"/>
      <c r="G264" s="10" t="s">
        <v>601</v>
      </c>
      <c r="H264" s="11">
        <v>9847290</v>
      </c>
      <c r="I264" s="10" t="s">
        <v>2162</v>
      </c>
      <c r="J264" s="10"/>
      <c r="K264" s="10" t="s">
        <v>2163</v>
      </c>
      <c r="L264" s="10" t="s">
        <v>2164</v>
      </c>
      <c r="M264" s="10" t="s">
        <v>2165</v>
      </c>
    </row>
    <row r="265" spans="1:13">
      <c r="A265" s="10" t="s">
        <v>2387</v>
      </c>
      <c r="B265" s="10" t="s">
        <v>1313</v>
      </c>
      <c r="C265" s="10" t="s">
        <v>1314</v>
      </c>
      <c r="D265" s="10" t="s">
        <v>1315</v>
      </c>
      <c r="E265" s="11">
        <v>4064</v>
      </c>
      <c r="F265" s="10"/>
      <c r="G265" s="10" t="s">
        <v>601</v>
      </c>
      <c r="H265" s="11">
        <v>42607474</v>
      </c>
      <c r="I265" s="10" t="s">
        <v>1316</v>
      </c>
      <c r="J265" s="10"/>
      <c r="K265" s="10" t="s">
        <v>1317</v>
      </c>
      <c r="L265" s="10" t="s">
        <v>1318</v>
      </c>
      <c r="M265" s="10" t="s">
        <v>1319</v>
      </c>
    </row>
    <row r="266" spans="1:13">
      <c r="A266" s="10" t="s">
        <v>2398</v>
      </c>
      <c r="B266" s="10" t="s">
        <v>1481</v>
      </c>
      <c r="C266" s="10" t="s">
        <v>1482</v>
      </c>
      <c r="D266" s="10" t="s">
        <v>1315</v>
      </c>
      <c r="E266" s="11">
        <v>4064</v>
      </c>
      <c r="F266" s="10"/>
      <c r="G266" s="10" t="s">
        <v>601</v>
      </c>
      <c r="H266" s="11">
        <v>42607474</v>
      </c>
      <c r="I266" s="10" t="s">
        <v>1316</v>
      </c>
      <c r="J266" s="10"/>
      <c r="K266" s="10" t="s">
        <v>1317</v>
      </c>
      <c r="L266" s="10" t="s">
        <v>1318</v>
      </c>
      <c r="M266" s="10" t="s">
        <v>1319</v>
      </c>
    </row>
    <row r="267" spans="1:13">
      <c r="A267" s="10" t="s">
        <v>2388</v>
      </c>
      <c r="B267" s="10" t="s">
        <v>289</v>
      </c>
      <c r="C267" s="10" t="s">
        <v>1320</v>
      </c>
      <c r="D267" s="10" t="s">
        <v>1331</v>
      </c>
      <c r="E267" s="11">
        <v>4350</v>
      </c>
      <c r="F267" s="10"/>
      <c r="G267" s="10" t="s">
        <v>601</v>
      </c>
      <c r="H267" s="11">
        <v>11954197</v>
      </c>
      <c r="I267" s="10" t="s">
        <v>1332</v>
      </c>
      <c r="J267" s="10"/>
      <c r="K267" s="10" t="s">
        <v>1333</v>
      </c>
      <c r="L267" s="10" t="s">
        <v>1334</v>
      </c>
      <c r="M267" s="10" t="s">
        <v>1335</v>
      </c>
    </row>
    <row r="268" spans="1:13">
      <c r="A268" s="10" t="s">
        <v>2388</v>
      </c>
      <c r="B268" s="10" t="s">
        <v>289</v>
      </c>
      <c r="C268" s="10" t="s">
        <v>1320</v>
      </c>
      <c r="D268" s="10" t="s">
        <v>1336</v>
      </c>
      <c r="E268" s="11">
        <v>4351</v>
      </c>
      <c r="F268" s="10"/>
      <c r="G268" s="10" t="s">
        <v>601</v>
      </c>
      <c r="H268" s="11">
        <v>107722</v>
      </c>
      <c r="I268" s="10" t="s">
        <v>1337</v>
      </c>
      <c r="J268" s="10"/>
      <c r="K268" s="10" t="s">
        <v>1338</v>
      </c>
      <c r="L268" s="10" t="s">
        <v>1339</v>
      </c>
      <c r="M268" s="10" t="s">
        <v>1340</v>
      </c>
    </row>
    <row r="269" spans="1:13">
      <c r="A269" s="10" t="s">
        <v>2388</v>
      </c>
      <c r="B269" s="10" t="s">
        <v>289</v>
      </c>
      <c r="C269" s="10" t="s">
        <v>1320</v>
      </c>
      <c r="D269" s="10" t="s">
        <v>1341</v>
      </c>
      <c r="E269" s="11">
        <v>4352</v>
      </c>
      <c r="F269" s="10"/>
      <c r="G269" s="10" t="s">
        <v>601</v>
      </c>
      <c r="H269" s="11">
        <v>473141</v>
      </c>
      <c r="I269" s="10" t="s">
        <v>1342</v>
      </c>
      <c r="J269" s="10"/>
      <c r="K269" s="10" t="s">
        <v>1343</v>
      </c>
      <c r="L269" s="10" t="s">
        <v>1344</v>
      </c>
      <c r="M269" s="10" t="s">
        <v>1345</v>
      </c>
    </row>
    <row r="270" spans="1:13">
      <c r="A270" s="10" t="s">
        <v>2388</v>
      </c>
      <c r="B270" s="10" t="s">
        <v>289</v>
      </c>
      <c r="C270" s="10" t="s">
        <v>1320</v>
      </c>
      <c r="D270" s="10" t="s">
        <v>1346</v>
      </c>
      <c r="E270" s="11">
        <v>4353</v>
      </c>
      <c r="F270" s="10"/>
      <c r="G270" s="10" t="s">
        <v>601</v>
      </c>
      <c r="H270" s="11">
        <v>15907756</v>
      </c>
      <c r="I270" s="10" t="s">
        <v>1347</v>
      </c>
      <c r="J270" s="10"/>
      <c r="K270" s="10" t="s">
        <v>1348</v>
      </c>
      <c r="L270" s="10" t="s">
        <v>1349</v>
      </c>
      <c r="M270" s="10" t="s">
        <v>1350</v>
      </c>
    </row>
    <row r="271" spans="1:13">
      <c r="A271" s="10" t="s">
        <v>2388</v>
      </c>
      <c r="B271" s="10" t="s">
        <v>289</v>
      </c>
      <c r="C271" s="10" t="s">
        <v>1320</v>
      </c>
      <c r="D271" s="10" t="s">
        <v>1351</v>
      </c>
      <c r="E271" s="11">
        <v>4354</v>
      </c>
      <c r="F271" s="10"/>
      <c r="G271" s="10" t="s">
        <v>601</v>
      </c>
      <c r="H271" s="11">
        <v>52931518</v>
      </c>
      <c r="I271" s="10" t="s">
        <v>1352</v>
      </c>
      <c r="J271" s="10"/>
      <c r="K271" s="10" t="s">
        <v>1353</v>
      </c>
      <c r="L271" s="10" t="s">
        <v>1354</v>
      </c>
      <c r="M271" s="10" t="s">
        <v>1355</v>
      </c>
    </row>
    <row r="272" spans="1:13">
      <c r="A272" s="10" t="s">
        <v>2388</v>
      </c>
      <c r="B272" s="10" t="s">
        <v>289</v>
      </c>
      <c r="C272" s="10" t="s">
        <v>1320</v>
      </c>
      <c r="D272" s="10" t="s">
        <v>1356</v>
      </c>
      <c r="E272" s="11">
        <v>4355</v>
      </c>
      <c r="F272" s="10"/>
      <c r="G272" s="10" t="s">
        <v>601</v>
      </c>
      <c r="H272" s="11">
        <v>473142</v>
      </c>
      <c r="I272" s="10" t="s">
        <v>1357</v>
      </c>
      <c r="J272" s="10"/>
      <c r="K272" s="10"/>
      <c r="L272" s="10" t="s">
        <v>1358</v>
      </c>
      <c r="M272" s="10" t="s">
        <v>1359</v>
      </c>
    </row>
    <row r="273" spans="1:13">
      <c r="A273" s="10" t="s">
        <v>2518</v>
      </c>
      <c r="B273" s="10" t="s">
        <v>2210</v>
      </c>
      <c r="C273" s="10" t="s">
        <v>2211</v>
      </c>
      <c r="D273" s="10" t="s">
        <v>2212</v>
      </c>
      <c r="E273" s="11">
        <v>4482</v>
      </c>
      <c r="F273" s="10"/>
      <c r="G273" s="10" t="s">
        <v>601</v>
      </c>
      <c r="H273" s="11">
        <v>5280497</v>
      </c>
      <c r="I273" s="10" t="s">
        <v>2213</v>
      </c>
      <c r="J273" s="10"/>
      <c r="K273" s="10" t="s">
        <v>2214</v>
      </c>
      <c r="L273" s="10" t="s">
        <v>2215</v>
      </c>
      <c r="M273" s="10" t="s">
        <v>2216</v>
      </c>
    </row>
    <row r="274" spans="1:13">
      <c r="A274" s="10" t="s">
        <v>2520</v>
      </c>
      <c r="B274" s="10" t="s">
        <v>2238</v>
      </c>
      <c r="C274" s="10" t="s">
        <v>2239</v>
      </c>
      <c r="D274" s="10" t="s">
        <v>2240</v>
      </c>
      <c r="E274" s="11">
        <v>5506</v>
      </c>
      <c r="F274" s="10"/>
      <c r="G274" s="10" t="s">
        <v>601</v>
      </c>
      <c r="H274" s="11">
        <v>7894</v>
      </c>
      <c r="I274" s="10" t="s">
        <v>2241</v>
      </c>
      <c r="J274" s="10"/>
      <c r="K274" s="10"/>
      <c r="L274" s="10" t="s">
        <v>2242</v>
      </c>
      <c r="M274" s="10" t="s">
        <v>2243</v>
      </c>
    </row>
    <row r="275" spans="1:13">
      <c r="A275" s="10" t="s">
        <v>2404</v>
      </c>
      <c r="B275" s="10" t="s">
        <v>1512</v>
      </c>
      <c r="C275" s="10" t="s">
        <v>1513</v>
      </c>
      <c r="D275" s="10" t="s">
        <v>1519</v>
      </c>
      <c r="E275" s="11">
        <v>5512</v>
      </c>
      <c r="F275" s="10"/>
      <c r="G275" s="10" t="s">
        <v>601</v>
      </c>
      <c r="H275" s="11">
        <v>9547172</v>
      </c>
      <c r="I275" s="10" t="s">
        <v>1520</v>
      </c>
      <c r="J275" s="10"/>
      <c r="K275" s="10" t="s">
        <v>1521</v>
      </c>
      <c r="L275" s="10" t="s">
        <v>1522</v>
      </c>
      <c r="M275" s="10" t="s">
        <v>1523</v>
      </c>
    </row>
    <row r="276" spans="1:13">
      <c r="A276" s="10" t="s">
        <v>2384</v>
      </c>
      <c r="B276" s="10" t="s">
        <v>1291</v>
      </c>
      <c r="C276" s="10" t="s">
        <v>1292</v>
      </c>
      <c r="D276" s="10" t="s">
        <v>1293</v>
      </c>
      <c r="E276" s="11">
        <v>5567</v>
      </c>
      <c r="F276" s="10"/>
      <c r="G276" s="10" t="s">
        <v>601</v>
      </c>
      <c r="H276" s="11">
        <v>5312830</v>
      </c>
      <c r="I276" s="10" t="s">
        <v>1294</v>
      </c>
      <c r="J276" s="10"/>
      <c r="K276" s="10" t="s">
        <v>1295</v>
      </c>
      <c r="L276" s="10" t="s">
        <v>1296</v>
      </c>
      <c r="M276" s="10" t="s">
        <v>1297</v>
      </c>
    </row>
    <row r="277" spans="1:13">
      <c r="A277" s="10" t="s">
        <v>2435</v>
      </c>
      <c r="B277" s="10" t="s">
        <v>313</v>
      </c>
      <c r="C277" s="10" t="s">
        <v>1680</v>
      </c>
      <c r="D277" s="10" t="s">
        <v>1692</v>
      </c>
      <c r="E277" s="11">
        <v>6159</v>
      </c>
      <c r="F277" s="10"/>
      <c r="G277" s="10" t="s">
        <v>601</v>
      </c>
      <c r="H277" s="11">
        <v>5283141</v>
      </c>
      <c r="I277" s="10" t="s">
        <v>1693</v>
      </c>
      <c r="J277" s="10"/>
      <c r="K277" s="10" t="s">
        <v>1694</v>
      </c>
      <c r="L277" s="10" t="s">
        <v>1695</v>
      </c>
      <c r="M277" s="10" t="s">
        <v>1696</v>
      </c>
    </row>
    <row r="278" spans="1:13">
      <c r="A278" s="10" t="s">
        <v>2435</v>
      </c>
      <c r="B278" s="10" t="s">
        <v>313</v>
      </c>
      <c r="C278" s="10" t="s">
        <v>1680</v>
      </c>
      <c r="D278" s="10" t="s">
        <v>1697</v>
      </c>
      <c r="E278" s="11">
        <v>6160</v>
      </c>
      <c r="F278" s="10"/>
      <c r="G278" s="10" t="s">
        <v>601</v>
      </c>
      <c r="H278" s="11">
        <v>5283130</v>
      </c>
      <c r="I278" s="10" t="s">
        <v>1698</v>
      </c>
      <c r="J278" s="10"/>
      <c r="K278" s="10" t="s">
        <v>1699</v>
      </c>
      <c r="L278" s="10" t="s">
        <v>1700</v>
      </c>
      <c r="M278" s="10" t="s">
        <v>1701</v>
      </c>
    </row>
    <row r="279" spans="1:13">
      <c r="A279" s="10" t="s">
        <v>2471</v>
      </c>
      <c r="B279" s="10" t="s">
        <v>1924</v>
      </c>
      <c r="C279" s="10" t="s">
        <v>1925</v>
      </c>
      <c r="D279" s="10" t="s">
        <v>1945</v>
      </c>
      <c r="E279" s="11">
        <v>6164</v>
      </c>
      <c r="F279" s="10"/>
      <c r="G279" s="10" t="s">
        <v>601</v>
      </c>
      <c r="H279" s="11">
        <v>71751402</v>
      </c>
      <c r="I279" s="10" t="s">
        <v>1946</v>
      </c>
      <c r="J279" s="10"/>
      <c r="K279" s="10" t="s">
        <v>1947</v>
      </c>
      <c r="L279" s="10" t="s">
        <v>1948</v>
      </c>
      <c r="M279" s="10" t="s">
        <v>1949</v>
      </c>
    </row>
    <row r="280" spans="1:13">
      <c r="A280" s="10" t="s">
        <v>2471</v>
      </c>
      <c r="B280" s="10" t="s">
        <v>1924</v>
      </c>
      <c r="C280" s="10" t="s">
        <v>1925</v>
      </c>
      <c r="D280" s="10" t="s">
        <v>1950</v>
      </c>
      <c r="E280" s="11">
        <v>6167</v>
      </c>
      <c r="F280" s="10"/>
      <c r="G280" s="10" t="s">
        <v>601</v>
      </c>
      <c r="H280" s="11">
        <v>6438757</v>
      </c>
      <c r="I280" s="10" t="s">
        <v>1951</v>
      </c>
      <c r="J280" s="10"/>
      <c r="K280" s="10" t="s">
        <v>1952</v>
      </c>
      <c r="L280" s="10" t="s">
        <v>1953</v>
      </c>
      <c r="M280" s="10" t="s">
        <v>1954</v>
      </c>
    </row>
    <row r="281" spans="1:13">
      <c r="A281" s="10" t="s">
        <v>2471</v>
      </c>
      <c r="B281" s="10" t="s">
        <v>1924</v>
      </c>
      <c r="C281" s="10" t="s">
        <v>1925</v>
      </c>
      <c r="D281" s="10" t="s">
        <v>1955</v>
      </c>
      <c r="E281" s="11">
        <v>6169</v>
      </c>
      <c r="F281" s="10"/>
      <c r="G281" s="10" t="s">
        <v>601</v>
      </c>
      <c r="H281" s="11">
        <v>73755178</v>
      </c>
      <c r="I281" s="10" t="s">
        <v>1956</v>
      </c>
      <c r="J281" s="10"/>
      <c r="K281" s="10" t="s">
        <v>1957</v>
      </c>
      <c r="L281" s="10" t="s">
        <v>1958</v>
      </c>
      <c r="M281" s="10" t="s">
        <v>1959</v>
      </c>
    </row>
    <row r="282" spans="1:13">
      <c r="A282" s="10" t="s">
        <v>2471</v>
      </c>
      <c r="B282" s="10" t="s">
        <v>1924</v>
      </c>
      <c r="C282" s="10" t="s">
        <v>1925</v>
      </c>
      <c r="D282" s="10" t="s">
        <v>1960</v>
      </c>
      <c r="E282" s="11">
        <v>6171</v>
      </c>
      <c r="F282" s="10"/>
      <c r="G282" s="10" t="s">
        <v>601</v>
      </c>
      <c r="H282" s="11">
        <v>10568747</v>
      </c>
      <c r="I282" s="10" t="s">
        <v>1961</v>
      </c>
      <c r="J282" s="10"/>
      <c r="K282" s="10" t="s">
        <v>1962</v>
      </c>
      <c r="L282" s="10" t="s">
        <v>1963</v>
      </c>
      <c r="M282" s="10" t="s">
        <v>1964</v>
      </c>
    </row>
    <row r="283" spans="1:13">
      <c r="A283" s="10" t="s">
        <v>2363</v>
      </c>
      <c r="B283" s="10" t="s">
        <v>1130</v>
      </c>
      <c r="C283" s="10" t="s">
        <v>1131</v>
      </c>
      <c r="D283" s="10" t="s">
        <v>1155</v>
      </c>
      <c r="E283" s="11">
        <v>6239</v>
      </c>
      <c r="F283" s="10"/>
      <c r="G283" s="10" t="s">
        <v>601</v>
      </c>
      <c r="H283" s="11">
        <v>16126783</v>
      </c>
      <c r="I283" s="10" t="s">
        <v>1156</v>
      </c>
      <c r="J283" s="10"/>
      <c r="K283" s="10" t="s">
        <v>1157</v>
      </c>
      <c r="L283" s="10" t="s">
        <v>1158</v>
      </c>
      <c r="M283" s="10" t="s">
        <v>1159</v>
      </c>
    </row>
    <row r="284" spans="1:13">
      <c r="A284" s="10" t="s">
        <v>2417</v>
      </c>
      <c r="B284" s="10" t="s">
        <v>308</v>
      </c>
      <c r="C284" t="s">
        <v>2710</v>
      </c>
      <c r="D284" t="s">
        <v>2710</v>
      </c>
      <c r="E284" s="9">
        <v>1588</v>
      </c>
      <c r="G284" s="10" t="s">
        <v>601</v>
      </c>
      <c r="H284" s="9">
        <v>938</v>
      </c>
      <c r="I284" t="s">
        <v>5415</v>
      </c>
      <c r="J284">
        <v>373</v>
      </c>
      <c r="K284" t="s">
        <v>5416</v>
      </c>
      <c r="L284" t="s">
        <v>5417</v>
      </c>
      <c r="M284" t="s">
        <v>5418</v>
      </c>
    </row>
    <row r="285" spans="1:13">
      <c r="A285" s="10" t="s">
        <v>5419</v>
      </c>
      <c r="B285" s="10" t="s">
        <v>3456</v>
      </c>
      <c r="C285" t="s">
        <v>5420</v>
      </c>
      <c r="D285" s="4" t="s">
        <v>451</v>
      </c>
      <c r="E285" s="9">
        <v>5532</v>
      </c>
      <c r="G285" s="10" t="s">
        <v>601</v>
      </c>
      <c r="H285" s="9">
        <v>2969</v>
      </c>
      <c r="I285" t="s">
        <v>5420</v>
      </c>
      <c r="K285" t="s">
        <v>5421</v>
      </c>
      <c r="L285" t="s">
        <v>5422</v>
      </c>
      <c r="M285" t="s">
        <v>5423</v>
      </c>
    </row>
    <row r="286" spans="1:13">
      <c r="A286" s="10" t="s">
        <v>2358</v>
      </c>
      <c r="B286" s="10" t="s">
        <v>1061</v>
      </c>
      <c r="C286" s="4" t="s">
        <v>469</v>
      </c>
      <c r="D286" s="4" t="s">
        <v>469</v>
      </c>
      <c r="E286" s="9">
        <v>1055</v>
      </c>
      <c r="G286" s="10" t="s">
        <v>601</v>
      </c>
      <c r="H286" s="9">
        <v>985</v>
      </c>
      <c r="I286" t="s">
        <v>5424</v>
      </c>
      <c r="K286" t="s">
        <v>5425</v>
      </c>
      <c r="L286" t="s">
        <v>5426</v>
      </c>
      <c r="M286" t="s">
        <v>5427</v>
      </c>
    </row>
    <row r="287" spans="1:13">
      <c r="A287" s="10" t="s">
        <v>5419</v>
      </c>
      <c r="B287" s="10" t="s">
        <v>3456</v>
      </c>
      <c r="C287" t="s">
        <v>2741</v>
      </c>
      <c r="D287" t="s">
        <v>2741</v>
      </c>
      <c r="E287" s="9">
        <v>5533</v>
      </c>
      <c r="G287" s="10" t="s">
        <v>601</v>
      </c>
      <c r="H287" s="9">
        <v>8180</v>
      </c>
      <c r="I287" t="s">
        <v>2741</v>
      </c>
      <c r="K287" t="s">
        <v>5428</v>
      </c>
      <c r="L287" t="s">
        <v>5429</v>
      </c>
      <c r="M287" t="s">
        <v>5430</v>
      </c>
    </row>
    <row r="288" spans="1:13">
      <c r="A288" s="10" t="s">
        <v>2487</v>
      </c>
      <c r="B288" s="10" t="s">
        <v>2042</v>
      </c>
      <c r="C288" s="10" t="s">
        <v>2043</v>
      </c>
      <c r="D288" s="10" t="s">
        <v>2049</v>
      </c>
      <c r="E288" s="11">
        <v>1882</v>
      </c>
      <c r="F288" s="10"/>
      <c r="G288" s="10" t="s">
        <v>2050</v>
      </c>
      <c r="H288" s="11">
        <v>5280723</v>
      </c>
      <c r="I288" s="10" t="s">
        <v>2051</v>
      </c>
      <c r="J288" s="10" t="s">
        <v>2052</v>
      </c>
      <c r="K288" s="10" t="s">
        <v>2053</v>
      </c>
      <c r="L288" s="10" t="s">
        <v>2054</v>
      </c>
      <c r="M288" s="10" t="s">
        <v>2055</v>
      </c>
    </row>
    <row r="289" spans="1:13">
      <c r="A289" s="10" t="s">
        <v>2489</v>
      </c>
      <c r="B289" s="10" t="s">
        <v>337</v>
      </c>
      <c r="C289" s="10" t="s">
        <v>2085</v>
      </c>
      <c r="D289" s="10" t="s">
        <v>2049</v>
      </c>
      <c r="E289" s="11">
        <v>1882</v>
      </c>
      <c r="F289" s="10"/>
      <c r="G289" s="10" t="s">
        <v>2050</v>
      </c>
      <c r="H289" s="11">
        <v>5280723</v>
      </c>
      <c r="I289" s="10" t="s">
        <v>2051</v>
      </c>
      <c r="J289" s="10" t="s">
        <v>2052</v>
      </c>
      <c r="K289" s="10" t="s">
        <v>2053</v>
      </c>
      <c r="L289" s="10" t="s">
        <v>2054</v>
      </c>
      <c r="M289" s="10" t="s">
        <v>2055</v>
      </c>
    </row>
    <row r="290" spans="1:13">
      <c r="A290" s="10" t="s">
        <v>2490</v>
      </c>
      <c r="B290" s="10" t="s">
        <v>338</v>
      </c>
      <c r="C290" s="10" t="s">
        <v>2086</v>
      </c>
      <c r="D290" s="10" t="s">
        <v>2049</v>
      </c>
      <c r="E290" s="11">
        <v>1882</v>
      </c>
      <c r="F290" s="10"/>
      <c r="G290" s="10" t="s">
        <v>2050</v>
      </c>
      <c r="H290" s="11">
        <v>5280723</v>
      </c>
      <c r="I290" s="10" t="s">
        <v>2051</v>
      </c>
      <c r="J290" s="10" t="s">
        <v>2052</v>
      </c>
      <c r="K290" s="10" t="s">
        <v>2053</v>
      </c>
      <c r="L290" s="10" t="s">
        <v>2054</v>
      </c>
      <c r="M290" s="10" t="s">
        <v>2055</v>
      </c>
    </row>
    <row r="291" spans="1:13">
      <c r="A291" s="10" t="s">
        <v>2491</v>
      </c>
      <c r="B291" s="10" t="s">
        <v>339</v>
      </c>
      <c r="C291" s="10" t="s">
        <v>2087</v>
      </c>
      <c r="D291" s="10" t="s">
        <v>2049</v>
      </c>
      <c r="E291" s="11">
        <v>1882</v>
      </c>
      <c r="F291" s="10"/>
      <c r="G291" s="10" t="s">
        <v>2050</v>
      </c>
      <c r="H291" s="11">
        <v>5280723</v>
      </c>
      <c r="I291" s="10" t="s">
        <v>2051</v>
      </c>
      <c r="J291" s="10" t="s">
        <v>2052</v>
      </c>
      <c r="K291" s="10" t="s">
        <v>2053</v>
      </c>
      <c r="L291" s="10" t="s">
        <v>2054</v>
      </c>
      <c r="M291" s="10" t="s">
        <v>2055</v>
      </c>
    </row>
    <row r="292" spans="1:13">
      <c r="A292" s="10" t="s">
        <v>2492</v>
      </c>
      <c r="B292" s="10" t="s">
        <v>340</v>
      </c>
      <c r="C292" s="10" t="s">
        <v>2088</v>
      </c>
      <c r="D292" s="10" t="s">
        <v>2049</v>
      </c>
      <c r="E292" s="11">
        <v>1882</v>
      </c>
      <c r="F292" s="10"/>
      <c r="G292" s="10" t="s">
        <v>2050</v>
      </c>
      <c r="H292" s="11">
        <v>5280723</v>
      </c>
      <c r="I292" s="10" t="s">
        <v>2051</v>
      </c>
      <c r="J292" s="10" t="s">
        <v>2052</v>
      </c>
      <c r="K292" s="10" t="s">
        <v>2053</v>
      </c>
      <c r="L292" s="10" t="s">
        <v>2054</v>
      </c>
      <c r="M292" s="10" t="s">
        <v>2055</v>
      </c>
    </row>
    <row r="293" spans="1:13">
      <c r="A293" s="10" t="s">
        <v>2494</v>
      </c>
      <c r="B293" s="10" t="s">
        <v>2090</v>
      </c>
      <c r="C293" s="10" t="s">
        <v>2091</v>
      </c>
      <c r="D293" s="10" t="s">
        <v>2049</v>
      </c>
      <c r="E293" s="11">
        <v>1882</v>
      </c>
      <c r="F293" s="10"/>
      <c r="G293" s="10" t="s">
        <v>2050</v>
      </c>
      <c r="H293" s="11">
        <v>5280723</v>
      </c>
      <c r="I293" s="10" t="s">
        <v>2051</v>
      </c>
      <c r="J293" s="10" t="s">
        <v>2052</v>
      </c>
      <c r="K293" s="10" t="s">
        <v>2053</v>
      </c>
      <c r="L293" s="10" t="s">
        <v>2054</v>
      </c>
      <c r="M293" s="10" t="s">
        <v>2055</v>
      </c>
    </row>
    <row r="294" spans="1:13">
      <c r="A294" s="10" t="s">
        <v>2282</v>
      </c>
      <c r="B294" s="10" t="s">
        <v>257</v>
      </c>
      <c r="C294" s="10" t="s">
        <v>606</v>
      </c>
      <c r="D294" s="10" t="s">
        <v>611</v>
      </c>
      <c r="E294" s="11">
        <v>137</v>
      </c>
      <c r="F294" s="10"/>
      <c r="G294" s="10" t="s">
        <v>44</v>
      </c>
      <c r="H294" s="11">
        <v>7048566</v>
      </c>
      <c r="I294" s="10"/>
      <c r="J294" s="10"/>
      <c r="K294" s="10" t="s">
        <v>612</v>
      </c>
      <c r="L294" s="10"/>
      <c r="M294" s="10" t="s">
        <v>613</v>
      </c>
    </row>
    <row r="295" spans="1:13">
      <c r="A295" s="10" t="s">
        <v>2283</v>
      </c>
      <c r="B295" s="10" t="s">
        <v>258</v>
      </c>
      <c r="C295" s="10" t="s">
        <v>614</v>
      </c>
      <c r="D295" s="10" t="s">
        <v>611</v>
      </c>
      <c r="E295" s="11">
        <v>137</v>
      </c>
      <c r="F295" s="10"/>
      <c r="G295" s="10" t="s">
        <v>44</v>
      </c>
      <c r="H295" s="11">
        <v>7048566</v>
      </c>
      <c r="I295" s="10"/>
      <c r="J295" s="10"/>
      <c r="K295" s="10" t="s">
        <v>612</v>
      </c>
      <c r="L295" s="10"/>
      <c r="M295" s="10" t="s">
        <v>613</v>
      </c>
    </row>
    <row r="296" spans="1:13">
      <c r="A296" s="10" t="s">
        <v>2321</v>
      </c>
      <c r="B296" s="10" t="s">
        <v>791</v>
      </c>
      <c r="C296" s="10" t="s">
        <v>792</v>
      </c>
      <c r="D296" s="10" t="s">
        <v>793</v>
      </c>
      <c r="E296" s="11">
        <v>573</v>
      </c>
      <c r="F296" s="10" t="s">
        <v>794</v>
      </c>
      <c r="G296" s="10" t="s">
        <v>44</v>
      </c>
      <c r="H296" s="11"/>
      <c r="I296" s="10"/>
      <c r="J296" s="10"/>
      <c r="K296" s="10" t="s">
        <v>795</v>
      </c>
      <c r="L296" s="10"/>
      <c r="M296" s="10"/>
    </row>
    <row r="297" spans="1:13">
      <c r="A297" s="10" t="s">
        <v>2322</v>
      </c>
      <c r="B297" s="10" t="s">
        <v>291</v>
      </c>
      <c r="C297" s="10" t="s">
        <v>799</v>
      </c>
      <c r="D297" s="10" t="s">
        <v>793</v>
      </c>
      <c r="E297" s="11">
        <v>573</v>
      </c>
      <c r="F297" s="10" t="s">
        <v>794</v>
      </c>
      <c r="G297" s="10" t="s">
        <v>44</v>
      </c>
      <c r="H297" s="11"/>
      <c r="I297" s="10"/>
      <c r="J297" s="10"/>
      <c r="K297" s="10" t="s">
        <v>795</v>
      </c>
      <c r="L297" s="10"/>
      <c r="M297" s="10"/>
    </row>
    <row r="298" spans="1:13">
      <c r="A298" s="10" t="s">
        <v>2323</v>
      </c>
      <c r="B298" s="10" t="s">
        <v>805</v>
      </c>
      <c r="C298" s="10" t="s">
        <v>806</v>
      </c>
      <c r="D298" s="10" t="s">
        <v>793</v>
      </c>
      <c r="E298" s="11">
        <v>573</v>
      </c>
      <c r="F298" s="10" t="s">
        <v>794</v>
      </c>
      <c r="G298" s="10" t="s">
        <v>44</v>
      </c>
      <c r="H298" s="11"/>
      <c r="I298" s="10"/>
      <c r="J298" s="10"/>
      <c r="K298" s="10" t="s">
        <v>795</v>
      </c>
      <c r="L298" s="10"/>
      <c r="M298" s="10"/>
    </row>
    <row r="299" spans="1:13">
      <c r="A299" s="10" t="s">
        <v>2322</v>
      </c>
      <c r="B299" s="10" t="s">
        <v>291</v>
      </c>
      <c r="C299" s="10" t="s">
        <v>799</v>
      </c>
      <c r="D299" s="10" t="s">
        <v>800</v>
      </c>
      <c r="E299" s="11">
        <v>574</v>
      </c>
      <c r="F299" s="10"/>
      <c r="G299" s="10" t="s">
        <v>44</v>
      </c>
      <c r="H299" s="11"/>
      <c r="I299" s="10"/>
      <c r="J299" s="10"/>
      <c r="K299" s="10" t="s">
        <v>801</v>
      </c>
      <c r="L299" s="10"/>
      <c r="M299" s="10"/>
    </row>
    <row r="300" spans="1:13">
      <c r="A300" s="10" t="s">
        <v>2323</v>
      </c>
      <c r="B300" s="10" t="s">
        <v>805</v>
      </c>
      <c r="C300" s="10" t="s">
        <v>806</v>
      </c>
      <c r="D300" s="10" t="s">
        <v>800</v>
      </c>
      <c r="E300" s="11">
        <v>574</v>
      </c>
      <c r="F300" s="10"/>
      <c r="G300" s="10" t="s">
        <v>44</v>
      </c>
      <c r="H300" s="11"/>
      <c r="I300" s="10"/>
      <c r="J300" s="10"/>
      <c r="K300" s="10" t="s">
        <v>801</v>
      </c>
      <c r="L300" s="10"/>
      <c r="M300" s="10"/>
    </row>
    <row r="301" spans="1:13">
      <c r="A301" s="10" t="s">
        <v>2317</v>
      </c>
      <c r="B301" s="10" t="s">
        <v>735</v>
      </c>
      <c r="C301" s="10" t="s">
        <v>736</v>
      </c>
      <c r="D301" s="10" t="s">
        <v>737</v>
      </c>
      <c r="E301" s="11">
        <v>582</v>
      </c>
      <c r="F301" s="10" t="s">
        <v>723</v>
      </c>
      <c r="G301" s="10" t="s">
        <v>44</v>
      </c>
      <c r="H301" s="11">
        <v>123805</v>
      </c>
      <c r="I301" s="10" t="s">
        <v>738</v>
      </c>
      <c r="J301" s="10"/>
      <c r="K301" s="10" t="s">
        <v>739</v>
      </c>
      <c r="L301" s="10" t="s">
        <v>740</v>
      </c>
      <c r="M301" s="10" t="s">
        <v>741</v>
      </c>
    </row>
    <row r="302" spans="1:13">
      <c r="A302" s="10" t="s">
        <v>2316</v>
      </c>
      <c r="B302" s="10" t="s">
        <v>276</v>
      </c>
      <c r="C302" s="10" t="s">
        <v>721</v>
      </c>
      <c r="D302" s="10" t="s">
        <v>722</v>
      </c>
      <c r="E302" s="11">
        <v>585</v>
      </c>
      <c r="F302" s="10" t="s">
        <v>723</v>
      </c>
      <c r="G302" s="10" t="s">
        <v>44</v>
      </c>
      <c r="H302" s="11">
        <v>44299731</v>
      </c>
      <c r="I302" s="10"/>
      <c r="J302" s="10"/>
      <c r="K302" s="10" t="s">
        <v>724</v>
      </c>
      <c r="L302" s="10"/>
      <c r="M302" s="10" t="s">
        <v>725</v>
      </c>
    </row>
    <row r="303" spans="1:13">
      <c r="A303" s="10" t="s">
        <v>2317</v>
      </c>
      <c r="B303" s="10" t="s">
        <v>735</v>
      </c>
      <c r="C303" s="10" t="s">
        <v>736</v>
      </c>
      <c r="D303" s="10" t="s">
        <v>722</v>
      </c>
      <c r="E303" s="11">
        <v>585</v>
      </c>
      <c r="F303" s="10" t="s">
        <v>723</v>
      </c>
      <c r="G303" s="10" t="s">
        <v>44</v>
      </c>
      <c r="H303" s="11">
        <v>44299731</v>
      </c>
      <c r="I303" s="10"/>
      <c r="J303" s="10"/>
      <c r="K303" s="10" t="s">
        <v>724</v>
      </c>
      <c r="L303" s="10"/>
      <c r="M303" s="10" t="s">
        <v>725</v>
      </c>
    </row>
    <row r="304" spans="1:13">
      <c r="A304" s="10" t="s">
        <v>2318</v>
      </c>
      <c r="B304" s="10" t="s">
        <v>277</v>
      </c>
      <c r="C304" s="10" t="s">
        <v>742</v>
      </c>
      <c r="D304" s="10" t="s">
        <v>743</v>
      </c>
      <c r="E304" s="11">
        <v>599</v>
      </c>
      <c r="F304" s="10" t="s">
        <v>744</v>
      </c>
      <c r="G304" s="10" t="s">
        <v>44</v>
      </c>
      <c r="H304" s="11"/>
      <c r="I304" s="10"/>
      <c r="J304" s="10"/>
      <c r="K304" s="10" t="s">
        <v>745</v>
      </c>
      <c r="L304" s="10"/>
      <c r="M304" s="10"/>
    </row>
    <row r="305" spans="1:13">
      <c r="A305" s="10" t="s">
        <v>2318</v>
      </c>
      <c r="B305" s="10" t="s">
        <v>277</v>
      </c>
      <c r="C305" s="10" t="s">
        <v>742</v>
      </c>
      <c r="D305" s="10" t="s">
        <v>746</v>
      </c>
      <c r="E305" s="11">
        <v>605</v>
      </c>
      <c r="F305" s="10" t="s">
        <v>744</v>
      </c>
      <c r="G305" s="10" t="s">
        <v>44</v>
      </c>
      <c r="H305" s="11">
        <v>25078060</v>
      </c>
      <c r="I305" s="10"/>
      <c r="J305" s="10"/>
      <c r="K305" s="10" t="s">
        <v>747</v>
      </c>
      <c r="L305" s="10"/>
      <c r="M305" s="10" t="s">
        <v>748</v>
      </c>
    </row>
    <row r="306" spans="1:13">
      <c r="A306" s="10" t="s">
        <v>2318</v>
      </c>
      <c r="B306" s="10" t="s">
        <v>277</v>
      </c>
      <c r="C306" s="10" t="s">
        <v>742</v>
      </c>
      <c r="D306" s="10" t="s">
        <v>749</v>
      </c>
      <c r="E306" s="11">
        <v>606</v>
      </c>
      <c r="F306" s="10" t="s">
        <v>750</v>
      </c>
      <c r="G306" s="10" t="s">
        <v>44</v>
      </c>
      <c r="H306" s="11">
        <v>16130451</v>
      </c>
      <c r="I306" s="10"/>
      <c r="J306" s="10"/>
      <c r="K306" s="10"/>
      <c r="L306" s="10"/>
      <c r="M306" s="10"/>
    </row>
    <row r="307" spans="1:13">
      <c r="A307" s="10" t="s">
        <v>2415</v>
      </c>
      <c r="B307" s="10" t="s">
        <v>1562</v>
      </c>
      <c r="C307" s="10" t="s">
        <v>1563</v>
      </c>
      <c r="D307" s="10" t="s">
        <v>1564</v>
      </c>
      <c r="E307" s="11">
        <v>612</v>
      </c>
      <c r="F307" s="10" t="s">
        <v>1565</v>
      </c>
      <c r="G307" s="10" t="s">
        <v>44</v>
      </c>
      <c r="H307" s="11"/>
      <c r="I307" s="10"/>
      <c r="J307" s="10"/>
      <c r="K307" s="10" t="s">
        <v>1566</v>
      </c>
      <c r="L307" s="10"/>
      <c r="M307" s="10"/>
    </row>
    <row r="308" spans="1:13">
      <c r="A308" s="10" t="s">
        <v>2451</v>
      </c>
      <c r="B308" s="10" t="s">
        <v>1778</v>
      </c>
      <c r="C308" s="10" t="s">
        <v>1779</v>
      </c>
      <c r="D308" s="10" t="s">
        <v>1564</v>
      </c>
      <c r="E308" s="11">
        <v>612</v>
      </c>
      <c r="F308" s="10" t="s">
        <v>1565</v>
      </c>
      <c r="G308" s="10" t="s">
        <v>44</v>
      </c>
      <c r="H308" s="11"/>
      <c r="I308" s="10"/>
      <c r="J308" s="10"/>
      <c r="K308" s="10" t="s">
        <v>1566</v>
      </c>
      <c r="L308" s="10"/>
      <c r="M308" s="10"/>
    </row>
    <row r="309" spans="1:13">
      <c r="A309" s="10" t="s">
        <v>2415</v>
      </c>
      <c r="B309" s="10" t="s">
        <v>1562</v>
      </c>
      <c r="C309" s="10" t="s">
        <v>1563</v>
      </c>
      <c r="D309" s="10" t="s">
        <v>1567</v>
      </c>
      <c r="E309" s="11">
        <v>613</v>
      </c>
      <c r="F309" s="10" t="s">
        <v>1568</v>
      </c>
      <c r="G309" s="10" t="s">
        <v>44</v>
      </c>
      <c r="H309" s="11">
        <v>4345957</v>
      </c>
      <c r="I309" s="10" t="s">
        <v>1569</v>
      </c>
      <c r="J309" s="10"/>
      <c r="K309" s="10" t="s">
        <v>1570</v>
      </c>
      <c r="L309" s="10"/>
      <c r="M309" s="10" t="s">
        <v>1571</v>
      </c>
    </row>
    <row r="310" spans="1:13">
      <c r="A310" s="10" t="s">
        <v>2451</v>
      </c>
      <c r="B310" s="10" t="s">
        <v>1778</v>
      </c>
      <c r="C310" s="10" t="s">
        <v>1779</v>
      </c>
      <c r="D310" s="10" t="s">
        <v>1567</v>
      </c>
      <c r="E310" s="11">
        <v>613</v>
      </c>
      <c r="F310" s="10" t="s">
        <v>1568</v>
      </c>
      <c r="G310" s="10" t="s">
        <v>44</v>
      </c>
      <c r="H310" s="11">
        <v>4345957</v>
      </c>
      <c r="I310" s="10" t="s">
        <v>1569</v>
      </c>
      <c r="J310" s="10"/>
      <c r="K310" s="10" t="s">
        <v>1570</v>
      </c>
      <c r="L310" s="10"/>
      <c r="M310" s="10" t="s">
        <v>1571</v>
      </c>
    </row>
    <row r="311" spans="1:13">
      <c r="A311" s="10" t="s">
        <v>2319</v>
      </c>
      <c r="B311" s="10" t="s">
        <v>279</v>
      </c>
      <c r="C311" s="10" t="s">
        <v>762</v>
      </c>
      <c r="D311" s="10" t="s">
        <v>763</v>
      </c>
      <c r="E311" s="11">
        <v>639</v>
      </c>
      <c r="F311" s="10" t="s">
        <v>764</v>
      </c>
      <c r="G311" s="10" t="s">
        <v>44</v>
      </c>
      <c r="H311" s="11">
        <v>123643</v>
      </c>
      <c r="I311" s="10" t="s">
        <v>765</v>
      </c>
      <c r="J311" s="10"/>
      <c r="K311" s="10" t="s">
        <v>766</v>
      </c>
      <c r="L311" s="10"/>
      <c r="M311" s="10" t="s">
        <v>767</v>
      </c>
    </row>
    <row r="312" spans="1:13">
      <c r="A312" s="10" t="s">
        <v>2320</v>
      </c>
      <c r="B312" s="10" t="s">
        <v>280</v>
      </c>
      <c r="C312" s="10" t="s">
        <v>790</v>
      </c>
      <c r="D312" s="10" t="s">
        <v>763</v>
      </c>
      <c r="E312" s="11">
        <v>639</v>
      </c>
      <c r="F312" s="10" t="s">
        <v>764</v>
      </c>
      <c r="G312" s="10" t="s">
        <v>44</v>
      </c>
      <c r="H312" s="11">
        <v>123643</v>
      </c>
      <c r="I312" s="10" t="s">
        <v>765</v>
      </c>
      <c r="J312" s="10"/>
      <c r="K312" s="10" t="s">
        <v>766</v>
      </c>
      <c r="L312" s="10"/>
      <c r="M312" s="10" t="s">
        <v>767</v>
      </c>
    </row>
    <row r="313" spans="1:13">
      <c r="A313" s="10" t="s">
        <v>2319</v>
      </c>
      <c r="B313" s="10" t="s">
        <v>279</v>
      </c>
      <c r="C313" s="10" t="s">
        <v>762</v>
      </c>
      <c r="D313" s="10" t="s">
        <v>768</v>
      </c>
      <c r="E313" s="11">
        <v>644</v>
      </c>
      <c r="F313" s="10" t="s">
        <v>769</v>
      </c>
      <c r="G313" s="10" t="s">
        <v>44</v>
      </c>
      <c r="H313" s="11">
        <v>122227</v>
      </c>
      <c r="I313" s="10" t="s">
        <v>770</v>
      </c>
      <c r="J313" s="10"/>
      <c r="K313" s="10" t="s">
        <v>771</v>
      </c>
      <c r="L313" s="10"/>
      <c r="M313" s="10" t="s">
        <v>772</v>
      </c>
    </row>
    <row r="314" spans="1:13">
      <c r="A314" s="10" t="s">
        <v>2320</v>
      </c>
      <c r="B314" s="10" t="s">
        <v>280</v>
      </c>
      <c r="C314" s="10" t="s">
        <v>790</v>
      </c>
      <c r="D314" s="10" t="s">
        <v>768</v>
      </c>
      <c r="E314" s="11">
        <v>644</v>
      </c>
      <c r="F314" s="10" t="s">
        <v>769</v>
      </c>
      <c r="G314" s="10" t="s">
        <v>44</v>
      </c>
      <c r="H314" s="11">
        <v>122227</v>
      </c>
      <c r="I314" s="10" t="s">
        <v>770</v>
      </c>
      <c r="J314" s="10"/>
      <c r="K314" s="10" t="s">
        <v>771</v>
      </c>
      <c r="L314" s="10"/>
      <c r="M314" s="10" t="s">
        <v>772</v>
      </c>
    </row>
    <row r="315" spans="1:13">
      <c r="A315" s="10" t="s">
        <v>2319</v>
      </c>
      <c r="B315" s="10" t="s">
        <v>279</v>
      </c>
      <c r="C315" s="10" t="s">
        <v>762</v>
      </c>
      <c r="D315" s="10" t="s">
        <v>773</v>
      </c>
      <c r="E315" s="11">
        <v>646</v>
      </c>
      <c r="F315" s="10" t="s">
        <v>774</v>
      </c>
      <c r="G315" s="10" t="s">
        <v>44</v>
      </c>
      <c r="H315" s="11">
        <v>5128451</v>
      </c>
      <c r="I315" s="10" t="s">
        <v>775</v>
      </c>
      <c r="J315" s="10"/>
      <c r="K315" s="10" t="s">
        <v>776</v>
      </c>
      <c r="L315" s="10"/>
      <c r="M315" s="10" t="s">
        <v>777</v>
      </c>
    </row>
    <row r="316" spans="1:13">
      <c r="A316" s="10" t="s">
        <v>2320</v>
      </c>
      <c r="B316" s="10" t="s">
        <v>280</v>
      </c>
      <c r="C316" s="10" t="s">
        <v>790</v>
      </c>
      <c r="D316" s="10" t="s">
        <v>773</v>
      </c>
      <c r="E316" s="11">
        <v>646</v>
      </c>
      <c r="F316" s="10" t="s">
        <v>774</v>
      </c>
      <c r="G316" s="10" t="s">
        <v>44</v>
      </c>
      <c r="H316" s="11">
        <v>5128451</v>
      </c>
      <c r="I316" s="10" t="s">
        <v>775</v>
      </c>
      <c r="J316" s="10"/>
      <c r="K316" s="10" t="s">
        <v>776</v>
      </c>
      <c r="L316" s="10"/>
      <c r="M316" s="10" t="s">
        <v>777</v>
      </c>
    </row>
    <row r="317" spans="1:13">
      <c r="A317" s="10" t="s">
        <v>2319</v>
      </c>
      <c r="B317" s="10" t="s">
        <v>279</v>
      </c>
      <c r="C317" s="10" t="s">
        <v>762</v>
      </c>
      <c r="D317" s="10" t="s">
        <v>778</v>
      </c>
      <c r="E317" s="11">
        <v>649</v>
      </c>
      <c r="F317" s="10" t="s">
        <v>774</v>
      </c>
      <c r="G317" s="10" t="s">
        <v>44</v>
      </c>
      <c r="H317" s="11">
        <v>439201</v>
      </c>
      <c r="I317" s="10" t="s">
        <v>779</v>
      </c>
      <c r="J317" s="10"/>
      <c r="K317" s="10" t="s">
        <v>780</v>
      </c>
      <c r="L317" s="10"/>
      <c r="M317" s="10" t="s">
        <v>781</v>
      </c>
    </row>
    <row r="318" spans="1:13">
      <c r="A318" s="10" t="s">
        <v>2320</v>
      </c>
      <c r="B318" s="10" t="s">
        <v>280</v>
      </c>
      <c r="C318" s="10" t="s">
        <v>790</v>
      </c>
      <c r="D318" s="10" t="s">
        <v>778</v>
      </c>
      <c r="E318" s="11">
        <v>649</v>
      </c>
      <c r="F318" s="10" t="s">
        <v>774</v>
      </c>
      <c r="G318" s="10" t="s">
        <v>44</v>
      </c>
      <c r="H318" s="11">
        <v>439201</v>
      </c>
      <c r="I318" s="10" t="s">
        <v>779</v>
      </c>
      <c r="J318" s="10"/>
      <c r="K318" s="10" t="s">
        <v>780</v>
      </c>
      <c r="L318" s="10"/>
      <c r="M318" s="10" t="s">
        <v>781</v>
      </c>
    </row>
    <row r="319" spans="1:13">
      <c r="A319" s="10" t="s">
        <v>2319</v>
      </c>
      <c r="B319" s="10" t="s">
        <v>279</v>
      </c>
      <c r="C319" s="10" t="s">
        <v>762</v>
      </c>
      <c r="D319" s="10" t="s">
        <v>782</v>
      </c>
      <c r="E319" s="11">
        <v>650</v>
      </c>
      <c r="F319" s="10" t="s">
        <v>769</v>
      </c>
      <c r="G319" s="10" t="s">
        <v>44</v>
      </c>
      <c r="H319" s="11">
        <v>5311111</v>
      </c>
      <c r="I319" s="10" t="s">
        <v>783</v>
      </c>
      <c r="J319" s="10"/>
      <c r="K319" s="10" t="s">
        <v>784</v>
      </c>
      <c r="L319" s="10"/>
      <c r="M319" s="10" t="s">
        <v>785</v>
      </c>
    </row>
    <row r="320" spans="1:13">
      <c r="A320" s="10" t="s">
        <v>2320</v>
      </c>
      <c r="B320" s="10" t="s">
        <v>280</v>
      </c>
      <c r="C320" s="10" t="s">
        <v>790</v>
      </c>
      <c r="D320" s="10" t="s">
        <v>782</v>
      </c>
      <c r="E320" s="11">
        <v>650</v>
      </c>
      <c r="F320" s="10" t="s">
        <v>769</v>
      </c>
      <c r="G320" s="10" t="s">
        <v>44</v>
      </c>
      <c r="H320" s="11">
        <v>5311111</v>
      </c>
      <c r="I320" s="10" t="s">
        <v>783</v>
      </c>
      <c r="J320" s="10"/>
      <c r="K320" s="10" t="s">
        <v>784</v>
      </c>
      <c r="L320" s="10"/>
      <c r="M320" s="10" t="s">
        <v>785</v>
      </c>
    </row>
    <row r="321" spans="1:13">
      <c r="A321" s="10" t="s">
        <v>2324</v>
      </c>
      <c r="B321" s="10" t="s">
        <v>807</v>
      </c>
      <c r="C321" s="10" t="s">
        <v>808</v>
      </c>
      <c r="D321" s="10" t="s">
        <v>809</v>
      </c>
      <c r="E321" s="11">
        <v>681</v>
      </c>
      <c r="F321" s="10" t="s">
        <v>810</v>
      </c>
      <c r="G321" s="10" t="s">
        <v>44</v>
      </c>
      <c r="H321" s="11"/>
      <c r="I321" s="10"/>
      <c r="J321" s="10"/>
      <c r="K321" s="10" t="s">
        <v>811</v>
      </c>
      <c r="L321" s="10"/>
      <c r="M321" s="10"/>
    </row>
    <row r="322" spans="1:13">
      <c r="A322" s="10" t="s">
        <v>2324</v>
      </c>
      <c r="B322" s="10" t="s">
        <v>807</v>
      </c>
      <c r="C322" s="10" t="s">
        <v>808</v>
      </c>
      <c r="D322" s="10" t="s">
        <v>812</v>
      </c>
      <c r="E322" s="11">
        <v>682</v>
      </c>
      <c r="F322" s="10" t="s">
        <v>813</v>
      </c>
      <c r="G322" s="10" t="s">
        <v>44</v>
      </c>
      <c r="H322" s="11"/>
      <c r="I322" s="10"/>
      <c r="J322" s="10"/>
      <c r="K322" s="10" t="s">
        <v>814</v>
      </c>
      <c r="L322" s="10"/>
      <c r="M322" s="10"/>
    </row>
    <row r="323" spans="1:13">
      <c r="A323" s="10" t="s">
        <v>2324</v>
      </c>
      <c r="B323" s="10" t="s">
        <v>807</v>
      </c>
      <c r="C323" s="10" t="s">
        <v>808</v>
      </c>
      <c r="D323" s="10" t="s">
        <v>815</v>
      </c>
      <c r="E323" s="11">
        <v>683</v>
      </c>
      <c r="F323" s="10" t="s">
        <v>816</v>
      </c>
      <c r="G323" s="10" t="s">
        <v>44</v>
      </c>
      <c r="H323" s="11"/>
      <c r="I323" s="10"/>
      <c r="J323" s="10"/>
      <c r="K323" s="10" t="s">
        <v>817</v>
      </c>
      <c r="L323" s="10"/>
      <c r="M323" s="10"/>
    </row>
    <row r="324" spans="1:13">
      <c r="A324" s="10" t="s">
        <v>2324</v>
      </c>
      <c r="B324" s="10" t="s">
        <v>807</v>
      </c>
      <c r="C324" s="10" t="s">
        <v>808</v>
      </c>
      <c r="D324" s="10" t="s">
        <v>818</v>
      </c>
      <c r="E324" s="11">
        <v>684</v>
      </c>
      <c r="F324" s="10" t="s">
        <v>819</v>
      </c>
      <c r="G324" s="10" t="s">
        <v>44</v>
      </c>
      <c r="H324" s="11"/>
      <c r="I324" s="10"/>
      <c r="J324" s="10"/>
      <c r="K324" s="10" t="s">
        <v>820</v>
      </c>
      <c r="L324" s="10"/>
      <c r="M324" s="10"/>
    </row>
    <row r="325" spans="1:13">
      <c r="A325" s="10" t="s">
        <v>2324</v>
      </c>
      <c r="B325" s="10" t="s">
        <v>807</v>
      </c>
      <c r="C325" s="10" t="s">
        <v>808</v>
      </c>
      <c r="D325" s="10" t="s">
        <v>821</v>
      </c>
      <c r="E325" s="11">
        <v>685</v>
      </c>
      <c r="F325" s="10" t="s">
        <v>822</v>
      </c>
      <c r="G325" s="10" t="s">
        <v>44</v>
      </c>
      <c r="H325" s="11">
        <v>16132288</v>
      </c>
      <c r="I325" s="10"/>
      <c r="J325" s="10" t="s">
        <v>821</v>
      </c>
      <c r="K325" s="10" t="s">
        <v>823</v>
      </c>
      <c r="L325" s="10"/>
      <c r="M325" s="10"/>
    </row>
    <row r="326" spans="1:13">
      <c r="A326" s="10" t="s">
        <v>2324</v>
      </c>
      <c r="B326" s="10" t="s">
        <v>807</v>
      </c>
      <c r="C326" s="10" t="s">
        <v>808</v>
      </c>
      <c r="D326" s="10" t="s">
        <v>824</v>
      </c>
      <c r="E326" s="11">
        <v>687</v>
      </c>
      <c r="F326" s="10" t="s">
        <v>825</v>
      </c>
      <c r="G326" s="10" t="s">
        <v>44</v>
      </c>
      <c r="H326" s="11"/>
      <c r="I326" s="10"/>
      <c r="J326" s="10"/>
      <c r="K326" s="10" t="s">
        <v>826</v>
      </c>
      <c r="L326" s="10"/>
      <c r="M326" s="10"/>
    </row>
    <row r="327" spans="1:13">
      <c r="A327" s="10" t="s">
        <v>2327</v>
      </c>
      <c r="B327" s="10" t="s">
        <v>869</v>
      </c>
      <c r="C327" s="10" t="s">
        <v>62</v>
      </c>
      <c r="D327" s="10" t="s">
        <v>870</v>
      </c>
      <c r="E327" s="11">
        <v>753</v>
      </c>
      <c r="F327" s="10" t="s">
        <v>871</v>
      </c>
      <c r="G327" s="10" t="s">
        <v>44</v>
      </c>
      <c r="H327" s="11"/>
      <c r="I327" s="10"/>
      <c r="J327" s="10"/>
      <c r="K327" s="10" t="s">
        <v>872</v>
      </c>
      <c r="L327" s="10"/>
      <c r="M327" s="10"/>
    </row>
    <row r="328" spans="1:13">
      <c r="A328" s="10" t="s">
        <v>2332</v>
      </c>
      <c r="B328" s="10" t="s">
        <v>283</v>
      </c>
      <c r="C328" s="10" t="s">
        <v>67</v>
      </c>
      <c r="D328" s="10" t="s">
        <v>870</v>
      </c>
      <c r="E328" s="11">
        <v>753</v>
      </c>
      <c r="F328" s="10" t="s">
        <v>871</v>
      </c>
      <c r="G328" s="10" t="s">
        <v>44</v>
      </c>
      <c r="H328" s="11"/>
      <c r="I328" s="10"/>
      <c r="J328" s="10"/>
      <c r="K328" s="10" t="s">
        <v>872</v>
      </c>
      <c r="L328" s="10"/>
      <c r="M328" s="10"/>
    </row>
    <row r="329" spans="1:13">
      <c r="A329" s="10" t="s">
        <v>2327</v>
      </c>
      <c r="B329" s="10" t="s">
        <v>869</v>
      </c>
      <c r="C329" s="10" t="s">
        <v>62</v>
      </c>
      <c r="D329" s="10" t="s">
        <v>873</v>
      </c>
      <c r="E329" s="11">
        <v>754</v>
      </c>
      <c r="F329" s="10" t="s">
        <v>874</v>
      </c>
      <c r="G329" s="10" t="s">
        <v>44</v>
      </c>
      <c r="H329" s="11"/>
      <c r="I329" s="10"/>
      <c r="J329" s="10"/>
      <c r="K329" s="10" t="s">
        <v>875</v>
      </c>
      <c r="L329" s="10"/>
      <c r="M329" s="10"/>
    </row>
    <row r="330" spans="1:13">
      <c r="A330" s="10" t="s">
        <v>2330</v>
      </c>
      <c r="B330" s="10" t="s">
        <v>915</v>
      </c>
      <c r="C330" s="10" t="s">
        <v>65</v>
      </c>
      <c r="D330" s="10" t="s">
        <v>873</v>
      </c>
      <c r="E330" s="11">
        <v>754</v>
      </c>
      <c r="F330" s="10" t="s">
        <v>874</v>
      </c>
      <c r="G330" s="10" t="s">
        <v>44</v>
      </c>
      <c r="H330" s="11"/>
      <c r="I330" s="10"/>
      <c r="J330" s="10"/>
      <c r="K330" s="10" t="s">
        <v>875</v>
      </c>
      <c r="L330" s="10"/>
      <c r="M330" s="10"/>
    </row>
    <row r="331" spans="1:13">
      <c r="A331" s="10" t="s">
        <v>2327</v>
      </c>
      <c r="B331" s="10" t="s">
        <v>869</v>
      </c>
      <c r="C331" s="10" t="s">
        <v>62</v>
      </c>
      <c r="D331" s="10" t="s">
        <v>876</v>
      </c>
      <c r="E331" s="11">
        <v>755</v>
      </c>
      <c r="F331" s="10" t="s">
        <v>877</v>
      </c>
      <c r="G331" s="10" t="s">
        <v>44</v>
      </c>
      <c r="H331" s="11"/>
      <c r="I331" s="10"/>
      <c r="J331" s="10"/>
      <c r="K331" s="10" t="s">
        <v>878</v>
      </c>
      <c r="L331" s="10"/>
      <c r="M331" s="10"/>
    </row>
    <row r="332" spans="1:13">
      <c r="A332" s="10" t="s">
        <v>2327</v>
      </c>
      <c r="B332" s="10" t="s">
        <v>869</v>
      </c>
      <c r="C332" s="10" t="s">
        <v>62</v>
      </c>
      <c r="D332" s="10" t="s">
        <v>879</v>
      </c>
      <c r="E332" s="11">
        <v>756</v>
      </c>
      <c r="F332" s="10" t="s">
        <v>880</v>
      </c>
      <c r="G332" s="10" t="s">
        <v>44</v>
      </c>
      <c r="H332" s="11"/>
      <c r="I332" s="10"/>
      <c r="J332" s="10"/>
      <c r="K332" s="10" t="s">
        <v>881</v>
      </c>
      <c r="L332" s="10"/>
      <c r="M332" s="10"/>
    </row>
    <row r="333" spans="1:13">
      <c r="A333" s="10" t="s">
        <v>2332</v>
      </c>
      <c r="B333" s="10" t="s">
        <v>283</v>
      </c>
      <c r="C333" s="10" t="s">
        <v>67</v>
      </c>
      <c r="D333" s="10" t="s">
        <v>879</v>
      </c>
      <c r="E333" s="11">
        <v>756</v>
      </c>
      <c r="F333" s="10" t="s">
        <v>880</v>
      </c>
      <c r="G333" s="10" t="s">
        <v>44</v>
      </c>
      <c r="H333" s="11"/>
      <c r="I333" s="10"/>
      <c r="J333" s="10"/>
      <c r="K333" s="10" t="s">
        <v>881</v>
      </c>
      <c r="L333" s="10"/>
      <c r="M333" s="10"/>
    </row>
    <row r="334" spans="1:13">
      <c r="A334" s="10" t="s">
        <v>2327</v>
      </c>
      <c r="B334" s="10" t="s">
        <v>869</v>
      </c>
      <c r="C334" s="10" t="s">
        <v>62</v>
      </c>
      <c r="D334" s="10" t="s">
        <v>882</v>
      </c>
      <c r="E334" s="11">
        <v>757</v>
      </c>
      <c r="F334" s="10" t="s">
        <v>883</v>
      </c>
      <c r="G334" s="10" t="s">
        <v>44</v>
      </c>
      <c r="H334" s="11"/>
      <c r="I334" s="10"/>
      <c r="J334" s="10"/>
      <c r="K334" s="10" t="s">
        <v>884</v>
      </c>
      <c r="L334" s="10"/>
      <c r="M334" s="10"/>
    </row>
    <row r="335" spans="1:13">
      <c r="A335" s="10" t="s">
        <v>2332</v>
      </c>
      <c r="B335" s="10" t="s">
        <v>283</v>
      </c>
      <c r="C335" s="10" t="s">
        <v>67</v>
      </c>
      <c r="D335" s="10" t="s">
        <v>882</v>
      </c>
      <c r="E335" s="11">
        <v>757</v>
      </c>
      <c r="F335" s="10" t="s">
        <v>883</v>
      </c>
      <c r="G335" s="10" t="s">
        <v>44</v>
      </c>
      <c r="H335" s="11"/>
      <c r="I335" s="10"/>
      <c r="J335" s="10"/>
      <c r="K335" s="10" t="s">
        <v>884</v>
      </c>
      <c r="L335" s="10"/>
      <c r="M335" s="10"/>
    </row>
    <row r="336" spans="1:13">
      <c r="A336" s="10" t="s">
        <v>2327</v>
      </c>
      <c r="B336" s="10" t="s">
        <v>869</v>
      </c>
      <c r="C336" s="10" t="s">
        <v>62</v>
      </c>
      <c r="D336" s="10" t="s">
        <v>885</v>
      </c>
      <c r="E336" s="11">
        <v>758</v>
      </c>
      <c r="F336" s="10" t="s">
        <v>886</v>
      </c>
      <c r="G336" s="10" t="s">
        <v>44</v>
      </c>
      <c r="H336" s="11"/>
      <c r="I336" s="10"/>
      <c r="J336" s="10"/>
      <c r="K336" s="10" t="s">
        <v>887</v>
      </c>
      <c r="L336" s="10"/>
      <c r="M336" s="10"/>
    </row>
    <row r="337" spans="1:13">
      <c r="A337" s="10" t="s">
        <v>2330</v>
      </c>
      <c r="B337" s="10" t="s">
        <v>915</v>
      </c>
      <c r="C337" s="10" t="s">
        <v>65</v>
      </c>
      <c r="D337" s="10" t="s">
        <v>885</v>
      </c>
      <c r="E337" s="11">
        <v>758</v>
      </c>
      <c r="F337" s="10" t="s">
        <v>886</v>
      </c>
      <c r="G337" s="10" t="s">
        <v>44</v>
      </c>
      <c r="H337" s="11"/>
      <c r="I337" s="10"/>
      <c r="J337" s="10"/>
      <c r="K337" s="10" t="s">
        <v>887</v>
      </c>
      <c r="L337" s="10"/>
      <c r="M337" s="10"/>
    </row>
    <row r="338" spans="1:13">
      <c r="A338" s="10" t="s">
        <v>2332</v>
      </c>
      <c r="B338" s="10" t="s">
        <v>283</v>
      </c>
      <c r="C338" s="10" t="s">
        <v>67</v>
      </c>
      <c r="D338" s="10" t="s">
        <v>885</v>
      </c>
      <c r="E338" s="11">
        <v>758</v>
      </c>
      <c r="F338" s="10" t="s">
        <v>886</v>
      </c>
      <c r="G338" s="10" t="s">
        <v>44</v>
      </c>
      <c r="H338" s="11"/>
      <c r="I338" s="10"/>
      <c r="J338" s="10"/>
      <c r="K338" s="10" t="s">
        <v>887</v>
      </c>
      <c r="L338" s="10"/>
      <c r="M338" s="10"/>
    </row>
    <row r="339" spans="1:13">
      <c r="A339" s="10" t="s">
        <v>2347</v>
      </c>
      <c r="B339" s="10" t="s">
        <v>1021</v>
      </c>
      <c r="C339" s="10" t="s">
        <v>75</v>
      </c>
      <c r="D339" s="10" t="s">
        <v>885</v>
      </c>
      <c r="E339" s="11">
        <v>758</v>
      </c>
      <c r="F339" s="10" t="s">
        <v>886</v>
      </c>
      <c r="G339" s="10" t="s">
        <v>44</v>
      </c>
      <c r="H339" s="11"/>
      <c r="I339" s="10"/>
      <c r="J339" s="10"/>
      <c r="K339" s="10" t="s">
        <v>887</v>
      </c>
      <c r="L339" s="10"/>
      <c r="M339" s="10"/>
    </row>
    <row r="340" spans="1:13">
      <c r="A340" s="10" t="s">
        <v>2405</v>
      </c>
      <c r="B340" s="10" t="s">
        <v>1524</v>
      </c>
      <c r="C340" s="10" t="s">
        <v>1525</v>
      </c>
      <c r="D340" s="10" t="s">
        <v>885</v>
      </c>
      <c r="E340" s="11">
        <v>758</v>
      </c>
      <c r="F340" s="10" t="s">
        <v>886</v>
      </c>
      <c r="G340" s="10" t="s">
        <v>44</v>
      </c>
      <c r="H340" s="11"/>
      <c r="I340" s="10"/>
      <c r="J340" s="10"/>
      <c r="K340" s="10" t="s">
        <v>887</v>
      </c>
      <c r="L340" s="10"/>
      <c r="M340" s="10"/>
    </row>
    <row r="341" spans="1:13">
      <c r="A341" s="10" t="s">
        <v>2327</v>
      </c>
      <c r="B341" s="10" t="s">
        <v>869</v>
      </c>
      <c r="C341" s="10" t="s">
        <v>62</v>
      </c>
      <c r="D341" s="10" t="s">
        <v>888</v>
      </c>
      <c r="E341" s="11">
        <v>759</v>
      </c>
      <c r="F341" s="10" t="s">
        <v>889</v>
      </c>
      <c r="G341" s="10" t="s">
        <v>44</v>
      </c>
      <c r="H341" s="11"/>
      <c r="I341" s="10"/>
      <c r="J341" s="10"/>
      <c r="K341" s="10"/>
      <c r="L341" s="10"/>
      <c r="M341" s="10"/>
    </row>
    <row r="342" spans="1:13">
      <c r="A342" s="10" t="s">
        <v>2329</v>
      </c>
      <c r="B342" s="10" t="s">
        <v>903</v>
      </c>
      <c r="C342" s="10" t="s">
        <v>64</v>
      </c>
      <c r="D342" s="10" t="s">
        <v>888</v>
      </c>
      <c r="E342" s="11">
        <v>759</v>
      </c>
      <c r="F342" s="10" t="s">
        <v>889</v>
      </c>
      <c r="G342" s="10" t="s">
        <v>44</v>
      </c>
      <c r="H342" s="11"/>
      <c r="I342" s="10"/>
      <c r="J342" s="10"/>
      <c r="K342" s="10"/>
      <c r="L342" s="10"/>
      <c r="M342" s="10"/>
    </row>
    <row r="343" spans="1:13">
      <c r="A343" s="10" t="s">
        <v>2330</v>
      </c>
      <c r="B343" s="10" t="s">
        <v>915</v>
      </c>
      <c r="C343" s="10" t="s">
        <v>65</v>
      </c>
      <c r="D343" s="10" t="s">
        <v>888</v>
      </c>
      <c r="E343" s="11">
        <v>759</v>
      </c>
      <c r="F343" s="10" t="s">
        <v>889</v>
      </c>
      <c r="G343" s="10" t="s">
        <v>44</v>
      </c>
      <c r="H343" s="11"/>
      <c r="I343" s="10"/>
      <c r="J343" s="10"/>
      <c r="K343" s="10"/>
      <c r="L343" s="10"/>
      <c r="M343" s="10"/>
    </row>
    <row r="344" spans="1:13">
      <c r="A344" s="10" t="s">
        <v>2332</v>
      </c>
      <c r="B344" s="10" t="s">
        <v>283</v>
      </c>
      <c r="C344" s="10" t="s">
        <v>67</v>
      </c>
      <c r="D344" s="10" t="s">
        <v>888</v>
      </c>
      <c r="E344" s="11">
        <v>759</v>
      </c>
      <c r="F344" s="10" t="s">
        <v>889</v>
      </c>
      <c r="G344" s="10" t="s">
        <v>44</v>
      </c>
      <c r="H344" s="11"/>
      <c r="I344" s="10"/>
      <c r="J344" s="10"/>
      <c r="K344" s="10"/>
      <c r="L344" s="10"/>
      <c r="M344" s="10"/>
    </row>
    <row r="345" spans="1:13">
      <c r="A345" s="10" t="s">
        <v>2347</v>
      </c>
      <c r="B345" s="10" t="s">
        <v>1021</v>
      </c>
      <c r="C345" s="10" t="s">
        <v>75</v>
      </c>
      <c r="D345" s="10" t="s">
        <v>888</v>
      </c>
      <c r="E345" s="11">
        <v>759</v>
      </c>
      <c r="F345" s="10" t="s">
        <v>889</v>
      </c>
      <c r="G345" s="10" t="s">
        <v>44</v>
      </c>
      <c r="H345" s="11"/>
      <c r="I345" s="10"/>
      <c r="J345" s="10"/>
      <c r="K345" s="10"/>
      <c r="L345" s="10"/>
      <c r="M345" s="10"/>
    </row>
    <row r="346" spans="1:13">
      <c r="A346" s="10" t="s">
        <v>2329</v>
      </c>
      <c r="B346" s="10" t="s">
        <v>903</v>
      </c>
      <c r="C346" s="10" t="s">
        <v>64</v>
      </c>
      <c r="D346" s="10" t="s">
        <v>904</v>
      </c>
      <c r="E346" s="11">
        <v>769</v>
      </c>
      <c r="F346" s="10" t="s">
        <v>905</v>
      </c>
      <c r="G346" s="10" t="s">
        <v>44</v>
      </c>
      <c r="H346" s="11"/>
      <c r="I346" s="10"/>
      <c r="J346" s="10"/>
      <c r="K346" s="10" t="s">
        <v>906</v>
      </c>
      <c r="L346" s="10"/>
      <c r="M346" s="10"/>
    </row>
    <row r="347" spans="1:13">
      <c r="A347" s="10" t="s">
        <v>2330</v>
      </c>
      <c r="B347" s="10" t="s">
        <v>915</v>
      </c>
      <c r="C347" s="10" t="s">
        <v>65</v>
      </c>
      <c r="D347" s="10" t="s">
        <v>904</v>
      </c>
      <c r="E347" s="11">
        <v>769</v>
      </c>
      <c r="F347" s="10" t="s">
        <v>905</v>
      </c>
      <c r="G347" s="10" t="s">
        <v>44</v>
      </c>
      <c r="H347" s="11"/>
      <c r="I347" s="10"/>
      <c r="J347" s="10"/>
      <c r="K347" s="10" t="s">
        <v>906</v>
      </c>
      <c r="L347" s="10"/>
      <c r="M347" s="10"/>
    </row>
    <row r="348" spans="1:13">
      <c r="A348" s="10" t="s">
        <v>2332</v>
      </c>
      <c r="B348" s="10" t="s">
        <v>283</v>
      </c>
      <c r="C348" s="10" t="s">
        <v>67</v>
      </c>
      <c r="D348" s="10" t="s">
        <v>904</v>
      </c>
      <c r="E348" s="11">
        <v>769</v>
      </c>
      <c r="F348" s="10" t="s">
        <v>905</v>
      </c>
      <c r="G348" s="10" t="s">
        <v>44</v>
      </c>
      <c r="H348" s="11"/>
      <c r="I348" s="10"/>
      <c r="J348" s="10"/>
      <c r="K348" s="10" t="s">
        <v>906</v>
      </c>
      <c r="L348" s="10"/>
      <c r="M348" s="10"/>
    </row>
    <row r="349" spans="1:13">
      <c r="A349" s="10" t="s">
        <v>2347</v>
      </c>
      <c r="B349" s="10" t="s">
        <v>1021</v>
      </c>
      <c r="C349" s="10" t="s">
        <v>75</v>
      </c>
      <c r="D349" s="10" t="s">
        <v>904</v>
      </c>
      <c r="E349" s="11">
        <v>769</v>
      </c>
      <c r="F349" s="10" t="s">
        <v>905</v>
      </c>
      <c r="G349" s="10" t="s">
        <v>44</v>
      </c>
      <c r="H349" s="11"/>
      <c r="I349" s="10"/>
      <c r="J349" s="10"/>
      <c r="K349" s="10" t="s">
        <v>906</v>
      </c>
      <c r="L349" s="10"/>
      <c r="M349" s="10"/>
    </row>
    <row r="350" spans="1:13">
      <c r="A350" s="10" t="s">
        <v>2327</v>
      </c>
      <c r="B350" s="10" t="s">
        <v>869</v>
      </c>
      <c r="C350" s="10" t="s">
        <v>62</v>
      </c>
      <c r="D350" s="10" t="s">
        <v>890</v>
      </c>
      <c r="E350" s="11">
        <v>770</v>
      </c>
      <c r="F350" s="10" t="s">
        <v>891</v>
      </c>
      <c r="G350" s="10" t="s">
        <v>44</v>
      </c>
      <c r="H350" s="11"/>
      <c r="I350" s="10"/>
      <c r="J350" s="10"/>
      <c r="K350" s="10" t="s">
        <v>892</v>
      </c>
      <c r="L350" s="10"/>
      <c r="M350" s="10"/>
    </row>
    <row r="351" spans="1:13">
      <c r="A351" s="10" t="s">
        <v>2329</v>
      </c>
      <c r="B351" s="10" t="s">
        <v>903</v>
      </c>
      <c r="C351" s="10" t="s">
        <v>64</v>
      </c>
      <c r="D351" s="10" t="s">
        <v>890</v>
      </c>
      <c r="E351" s="11">
        <v>770</v>
      </c>
      <c r="F351" s="10" t="s">
        <v>891</v>
      </c>
      <c r="G351" s="10" t="s">
        <v>44</v>
      </c>
      <c r="H351" s="11"/>
      <c r="I351" s="10"/>
      <c r="J351" s="10"/>
      <c r="K351" s="10" t="s">
        <v>892</v>
      </c>
      <c r="L351" s="10"/>
      <c r="M351" s="10"/>
    </row>
    <row r="352" spans="1:13">
      <c r="A352" s="10" t="s">
        <v>2330</v>
      </c>
      <c r="B352" s="10" t="s">
        <v>915</v>
      </c>
      <c r="C352" s="10" t="s">
        <v>65</v>
      </c>
      <c r="D352" s="10" t="s">
        <v>890</v>
      </c>
      <c r="E352" s="11">
        <v>770</v>
      </c>
      <c r="F352" s="10" t="s">
        <v>891</v>
      </c>
      <c r="G352" s="10" t="s">
        <v>44</v>
      </c>
      <c r="H352" s="11"/>
      <c r="I352" s="10"/>
      <c r="J352" s="10"/>
      <c r="K352" s="10" t="s">
        <v>892</v>
      </c>
      <c r="L352" s="10"/>
      <c r="M352" s="10"/>
    </row>
    <row r="353" spans="1:13">
      <c r="A353" s="10" t="s">
        <v>2332</v>
      </c>
      <c r="B353" s="10" t="s">
        <v>283</v>
      </c>
      <c r="C353" s="10" t="s">
        <v>67</v>
      </c>
      <c r="D353" s="10" t="s">
        <v>890</v>
      </c>
      <c r="E353" s="11">
        <v>770</v>
      </c>
      <c r="F353" s="10" t="s">
        <v>891</v>
      </c>
      <c r="G353" s="10" t="s">
        <v>44</v>
      </c>
      <c r="H353" s="11"/>
      <c r="I353" s="10"/>
      <c r="J353" s="10"/>
      <c r="K353" s="10" t="s">
        <v>892</v>
      </c>
      <c r="L353" s="10"/>
      <c r="M353" s="10"/>
    </row>
    <row r="354" spans="1:13">
      <c r="A354" s="10" t="s">
        <v>2347</v>
      </c>
      <c r="B354" s="10" t="s">
        <v>1021</v>
      </c>
      <c r="C354" s="10" t="s">
        <v>75</v>
      </c>
      <c r="D354" s="10" t="s">
        <v>890</v>
      </c>
      <c r="E354" s="11">
        <v>770</v>
      </c>
      <c r="F354" s="10" t="s">
        <v>891</v>
      </c>
      <c r="G354" s="10" t="s">
        <v>44</v>
      </c>
      <c r="H354" s="11"/>
      <c r="I354" s="10"/>
      <c r="J354" s="10"/>
      <c r="K354" s="10" t="s">
        <v>892</v>
      </c>
      <c r="L354" s="10"/>
      <c r="M354" s="10"/>
    </row>
    <row r="355" spans="1:13">
      <c r="A355" s="10" t="s">
        <v>2329</v>
      </c>
      <c r="B355" s="10" t="s">
        <v>903</v>
      </c>
      <c r="C355" s="10" t="s">
        <v>64</v>
      </c>
      <c r="D355" s="10" t="s">
        <v>907</v>
      </c>
      <c r="E355" s="11">
        <v>771</v>
      </c>
      <c r="F355" s="10" t="s">
        <v>908</v>
      </c>
      <c r="G355" s="10" t="s">
        <v>44</v>
      </c>
      <c r="H355" s="11"/>
      <c r="I355" s="10"/>
      <c r="J355" s="10"/>
      <c r="K355" s="10"/>
      <c r="L355" s="10"/>
      <c r="M355" s="10"/>
    </row>
    <row r="356" spans="1:13">
      <c r="A356" s="10" t="s">
        <v>2330</v>
      </c>
      <c r="B356" s="10" t="s">
        <v>915</v>
      </c>
      <c r="C356" s="10" t="s">
        <v>65</v>
      </c>
      <c r="D356" s="10" t="s">
        <v>907</v>
      </c>
      <c r="E356" s="11">
        <v>771</v>
      </c>
      <c r="F356" s="10" t="s">
        <v>908</v>
      </c>
      <c r="G356" s="10" t="s">
        <v>44</v>
      </c>
      <c r="H356" s="11"/>
      <c r="I356" s="10"/>
      <c r="J356" s="10"/>
      <c r="K356" s="10"/>
      <c r="L356" s="10"/>
      <c r="M356" s="10"/>
    </row>
    <row r="357" spans="1:13">
      <c r="A357" s="10" t="s">
        <v>2332</v>
      </c>
      <c r="B357" s="10" t="s">
        <v>283</v>
      </c>
      <c r="C357" s="10" t="s">
        <v>67</v>
      </c>
      <c r="D357" s="10" t="s">
        <v>907</v>
      </c>
      <c r="E357" s="11">
        <v>771</v>
      </c>
      <c r="F357" s="10" t="s">
        <v>908</v>
      </c>
      <c r="G357" s="10" t="s">
        <v>44</v>
      </c>
      <c r="H357" s="11"/>
      <c r="I357" s="10"/>
      <c r="J357" s="10"/>
      <c r="K357" s="10"/>
      <c r="L357" s="10"/>
      <c r="M357" s="10"/>
    </row>
    <row r="358" spans="1:13">
      <c r="A358" s="10" t="s">
        <v>2327</v>
      </c>
      <c r="B358" s="10" t="s">
        <v>869</v>
      </c>
      <c r="C358" s="10" t="s">
        <v>62</v>
      </c>
      <c r="D358" s="10" t="s">
        <v>893</v>
      </c>
      <c r="E358" s="11">
        <v>772</v>
      </c>
      <c r="F358" s="10" t="s">
        <v>894</v>
      </c>
      <c r="G358" s="10" t="s">
        <v>44</v>
      </c>
      <c r="H358" s="11"/>
      <c r="I358" s="10"/>
      <c r="J358" s="10"/>
      <c r="K358" s="10" t="s">
        <v>895</v>
      </c>
      <c r="L358" s="10"/>
      <c r="M358" s="10"/>
    </row>
    <row r="359" spans="1:13">
      <c r="A359" s="10" t="s">
        <v>2329</v>
      </c>
      <c r="B359" s="10" t="s">
        <v>903</v>
      </c>
      <c r="C359" s="10" t="s">
        <v>64</v>
      </c>
      <c r="D359" s="10" t="s">
        <v>893</v>
      </c>
      <c r="E359" s="11">
        <v>772</v>
      </c>
      <c r="F359" s="10" t="s">
        <v>894</v>
      </c>
      <c r="G359" s="10" t="s">
        <v>44</v>
      </c>
      <c r="H359" s="11"/>
      <c r="I359" s="10"/>
      <c r="J359" s="10"/>
      <c r="K359" s="10" t="s">
        <v>895</v>
      </c>
      <c r="L359" s="10"/>
      <c r="M359" s="10"/>
    </row>
    <row r="360" spans="1:13">
      <c r="A360" s="10" t="s">
        <v>2330</v>
      </c>
      <c r="B360" s="10" t="s">
        <v>915</v>
      </c>
      <c r="C360" s="10" t="s">
        <v>65</v>
      </c>
      <c r="D360" s="10" t="s">
        <v>893</v>
      </c>
      <c r="E360" s="11">
        <v>772</v>
      </c>
      <c r="F360" s="10" t="s">
        <v>894</v>
      </c>
      <c r="G360" s="10" t="s">
        <v>44</v>
      </c>
      <c r="H360" s="11"/>
      <c r="I360" s="10"/>
      <c r="J360" s="10"/>
      <c r="K360" s="10" t="s">
        <v>895</v>
      </c>
      <c r="L360" s="10"/>
      <c r="M360" s="10"/>
    </row>
    <row r="361" spans="1:13">
      <c r="A361" s="10" t="s">
        <v>2332</v>
      </c>
      <c r="B361" s="10" t="s">
        <v>283</v>
      </c>
      <c r="C361" s="10" t="s">
        <v>67</v>
      </c>
      <c r="D361" s="10" t="s">
        <v>893</v>
      </c>
      <c r="E361" s="11">
        <v>772</v>
      </c>
      <c r="F361" s="10" t="s">
        <v>894</v>
      </c>
      <c r="G361" s="10" t="s">
        <v>44</v>
      </c>
      <c r="H361" s="11"/>
      <c r="I361" s="10"/>
      <c r="J361" s="10"/>
      <c r="K361" s="10" t="s">
        <v>895</v>
      </c>
      <c r="L361" s="10"/>
      <c r="M361" s="10"/>
    </row>
    <row r="362" spans="1:13">
      <c r="A362" s="10" t="s">
        <v>2329</v>
      </c>
      <c r="B362" s="10" t="s">
        <v>903</v>
      </c>
      <c r="C362" s="10" t="s">
        <v>64</v>
      </c>
      <c r="D362" s="10" t="s">
        <v>909</v>
      </c>
      <c r="E362" s="11">
        <v>775</v>
      </c>
      <c r="F362" s="10" t="s">
        <v>910</v>
      </c>
      <c r="G362" s="10" t="s">
        <v>44</v>
      </c>
      <c r="H362" s="11"/>
      <c r="I362" s="10"/>
      <c r="J362" s="10"/>
      <c r="K362" s="10" t="s">
        <v>911</v>
      </c>
      <c r="L362" s="10"/>
      <c r="M362" s="10"/>
    </row>
    <row r="363" spans="1:13">
      <c r="A363" s="10" t="s">
        <v>2330</v>
      </c>
      <c r="B363" s="10" t="s">
        <v>915</v>
      </c>
      <c r="C363" s="10" t="s">
        <v>65</v>
      </c>
      <c r="D363" s="10" t="s">
        <v>909</v>
      </c>
      <c r="E363" s="11">
        <v>775</v>
      </c>
      <c r="F363" s="10" t="s">
        <v>910</v>
      </c>
      <c r="G363" s="10" t="s">
        <v>44</v>
      </c>
      <c r="H363" s="11"/>
      <c r="I363" s="10"/>
      <c r="J363" s="10"/>
      <c r="K363" s="10" t="s">
        <v>911</v>
      </c>
      <c r="L363" s="10"/>
      <c r="M363" s="10"/>
    </row>
    <row r="364" spans="1:13">
      <c r="A364" s="10" t="s">
        <v>2329</v>
      </c>
      <c r="B364" s="10" t="s">
        <v>903</v>
      </c>
      <c r="C364" s="10" t="s">
        <v>64</v>
      </c>
      <c r="D364" s="10" t="s">
        <v>912</v>
      </c>
      <c r="E364" s="11">
        <v>776</v>
      </c>
      <c r="F364" s="10" t="s">
        <v>913</v>
      </c>
      <c r="G364" s="10" t="s">
        <v>44</v>
      </c>
      <c r="H364" s="11"/>
      <c r="I364" s="10"/>
      <c r="J364" s="10"/>
      <c r="K364" s="10" t="s">
        <v>914</v>
      </c>
      <c r="L364" s="10"/>
      <c r="M364" s="10"/>
    </row>
    <row r="365" spans="1:13">
      <c r="A365" s="10" t="s">
        <v>2330</v>
      </c>
      <c r="B365" s="10" t="s">
        <v>915</v>
      </c>
      <c r="C365" s="10" t="s">
        <v>65</v>
      </c>
      <c r="D365" s="10" t="s">
        <v>912</v>
      </c>
      <c r="E365" s="11">
        <v>776</v>
      </c>
      <c r="F365" s="10" t="s">
        <v>913</v>
      </c>
      <c r="G365" s="10" t="s">
        <v>44</v>
      </c>
      <c r="H365" s="11"/>
      <c r="I365" s="10"/>
      <c r="J365" s="10"/>
      <c r="K365" s="10" t="s">
        <v>914</v>
      </c>
      <c r="L365" s="10"/>
      <c r="M365" s="10"/>
    </row>
    <row r="366" spans="1:13">
      <c r="A366" s="10" t="s">
        <v>2331</v>
      </c>
      <c r="B366" s="10" t="s">
        <v>921</v>
      </c>
      <c r="C366" s="10" t="s">
        <v>66</v>
      </c>
      <c r="D366" s="10" t="s">
        <v>922</v>
      </c>
      <c r="E366" s="11">
        <v>797</v>
      </c>
      <c r="F366" s="10" t="s">
        <v>923</v>
      </c>
      <c r="G366" s="10" t="s">
        <v>44</v>
      </c>
      <c r="H366" s="11"/>
      <c r="I366" s="10"/>
      <c r="J366" s="10"/>
      <c r="K366" s="10" t="s">
        <v>924</v>
      </c>
      <c r="L366" s="10"/>
      <c r="M366" s="10"/>
    </row>
    <row r="367" spans="1:13">
      <c r="A367" s="10" t="s">
        <v>2331</v>
      </c>
      <c r="B367" s="10" t="s">
        <v>921</v>
      </c>
      <c r="C367" s="10" t="s">
        <v>66</v>
      </c>
      <c r="D367" s="10" t="s">
        <v>925</v>
      </c>
      <c r="E367" s="11">
        <v>798</v>
      </c>
      <c r="F367" s="10" t="s">
        <v>926</v>
      </c>
      <c r="G367" s="10" t="s">
        <v>44</v>
      </c>
      <c r="H367" s="11"/>
      <c r="I367" s="10"/>
      <c r="J367" s="10"/>
      <c r="K367" s="10" t="s">
        <v>927</v>
      </c>
      <c r="L367" s="10"/>
      <c r="M367" s="10"/>
    </row>
    <row r="368" spans="1:13">
      <c r="A368" s="10" t="s">
        <v>2333</v>
      </c>
      <c r="B368" s="10" t="s">
        <v>284</v>
      </c>
      <c r="C368" s="10" t="s">
        <v>68</v>
      </c>
      <c r="D368" s="10" t="s">
        <v>928</v>
      </c>
      <c r="E368" s="11">
        <v>808</v>
      </c>
      <c r="F368" s="10" t="s">
        <v>929</v>
      </c>
      <c r="G368" s="10" t="s">
        <v>44</v>
      </c>
      <c r="H368" s="11"/>
      <c r="I368" s="10"/>
      <c r="J368" s="10"/>
      <c r="K368" s="10" t="s">
        <v>930</v>
      </c>
      <c r="L368" s="10"/>
      <c r="M368" s="10"/>
    </row>
    <row r="369" spans="1:13">
      <c r="A369" s="10" t="s">
        <v>2347</v>
      </c>
      <c r="B369" s="10" t="s">
        <v>1021</v>
      </c>
      <c r="C369" s="10" t="s">
        <v>75</v>
      </c>
      <c r="D369" s="10" t="s">
        <v>928</v>
      </c>
      <c r="E369" s="11">
        <v>808</v>
      </c>
      <c r="F369" s="10" t="s">
        <v>929</v>
      </c>
      <c r="G369" s="10" t="s">
        <v>44</v>
      </c>
      <c r="H369" s="11"/>
      <c r="I369" s="10"/>
      <c r="J369" s="10"/>
      <c r="K369" s="10" t="s">
        <v>930</v>
      </c>
      <c r="L369" s="10"/>
      <c r="M369" s="10"/>
    </row>
    <row r="370" spans="1:13">
      <c r="A370" s="10" t="s">
        <v>2298</v>
      </c>
      <c r="B370" s="10" t="s">
        <v>646</v>
      </c>
      <c r="C370" s="10" t="s">
        <v>61</v>
      </c>
      <c r="D370" s="10" t="s">
        <v>647</v>
      </c>
      <c r="E370" s="11">
        <v>810</v>
      </c>
      <c r="F370" s="10" t="s">
        <v>648</v>
      </c>
      <c r="G370" s="10" t="s">
        <v>44</v>
      </c>
      <c r="H370" s="11"/>
      <c r="I370" s="10"/>
      <c r="J370" s="10"/>
      <c r="K370" s="10" t="s">
        <v>649</v>
      </c>
      <c r="L370" s="10"/>
      <c r="M370" s="10"/>
    </row>
    <row r="371" spans="1:13">
      <c r="A371" s="10" t="s">
        <v>2334</v>
      </c>
      <c r="B371" s="10" t="s">
        <v>934</v>
      </c>
      <c r="C371" s="10" t="s">
        <v>69</v>
      </c>
      <c r="D371" s="10" t="s">
        <v>647</v>
      </c>
      <c r="E371" s="11">
        <v>810</v>
      </c>
      <c r="F371" s="10" t="s">
        <v>648</v>
      </c>
      <c r="G371" s="10" t="s">
        <v>44</v>
      </c>
      <c r="H371" s="11"/>
      <c r="I371" s="10"/>
      <c r="J371" s="10"/>
      <c r="K371" s="10" t="s">
        <v>649</v>
      </c>
      <c r="L371" s="10"/>
      <c r="M371" s="10"/>
    </row>
    <row r="372" spans="1:13">
      <c r="A372" s="10" t="s">
        <v>2337</v>
      </c>
      <c r="B372" s="10" t="s">
        <v>940</v>
      </c>
      <c r="C372" s="10" t="s">
        <v>72</v>
      </c>
      <c r="D372" s="10" t="s">
        <v>647</v>
      </c>
      <c r="E372" s="11">
        <v>810</v>
      </c>
      <c r="F372" s="10" t="s">
        <v>648</v>
      </c>
      <c r="G372" s="10" t="s">
        <v>44</v>
      </c>
      <c r="H372" s="11"/>
      <c r="I372" s="10"/>
      <c r="J372" s="10"/>
      <c r="K372" s="10" t="s">
        <v>649</v>
      </c>
      <c r="L372" s="10"/>
      <c r="M372" s="10"/>
    </row>
    <row r="373" spans="1:13">
      <c r="A373" s="10" t="s">
        <v>2347</v>
      </c>
      <c r="B373" s="10" t="s">
        <v>1021</v>
      </c>
      <c r="C373" s="10" t="s">
        <v>75</v>
      </c>
      <c r="D373" s="10" t="s">
        <v>647</v>
      </c>
      <c r="E373" s="11">
        <v>810</v>
      </c>
      <c r="F373" s="10" t="s">
        <v>648</v>
      </c>
      <c r="G373" s="10" t="s">
        <v>44</v>
      </c>
      <c r="H373" s="11"/>
      <c r="I373" s="10"/>
      <c r="J373" s="10"/>
      <c r="K373" s="10" t="s">
        <v>649</v>
      </c>
      <c r="L373" s="10"/>
      <c r="M373" s="10"/>
    </row>
    <row r="374" spans="1:13">
      <c r="A374" s="10" t="s">
        <v>2298</v>
      </c>
      <c r="B374" s="10" t="s">
        <v>646</v>
      </c>
      <c r="C374" s="10" t="s">
        <v>61</v>
      </c>
      <c r="D374" s="10" t="s">
        <v>650</v>
      </c>
      <c r="E374" s="11">
        <v>811</v>
      </c>
      <c r="F374" s="10" t="s">
        <v>651</v>
      </c>
      <c r="G374" s="10" t="s">
        <v>44</v>
      </c>
      <c r="H374" s="11"/>
      <c r="I374" s="10"/>
      <c r="J374" s="10"/>
      <c r="K374" s="10" t="s">
        <v>652</v>
      </c>
      <c r="L374" s="10"/>
      <c r="M374" s="10"/>
    </row>
    <row r="375" spans="1:13">
      <c r="A375" s="10" t="s">
        <v>2334</v>
      </c>
      <c r="B375" s="10" t="s">
        <v>934</v>
      </c>
      <c r="C375" s="10" t="s">
        <v>69</v>
      </c>
      <c r="D375" s="10" t="s">
        <v>650</v>
      </c>
      <c r="E375" s="11">
        <v>811</v>
      </c>
      <c r="F375" s="10" t="s">
        <v>651</v>
      </c>
      <c r="G375" s="10" t="s">
        <v>44</v>
      </c>
      <c r="H375" s="11"/>
      <c r="I375" s="10"/>
      <c r="J375" s="10"/>
      <c r="K375" s="10" t="s">
        <v>652</v>
      </c>
      <c r="L375" s="10"/>
      <c r="M375" s="10"/>
    </row>
    <row r="376" spans="1:13">
      <c r="A376" s="10" t="s">
        <v>2335</v>
      </c>
      <c r="B376" s="10" t="s">
        <v>935</v>
      </c>
      <c r="C376" s="10" t="s">
        <v>70</v>
      </c>
      <c r="D376" s="10" t="s">
        <v>936</v>
      </c>
      <c r="E376" s="11">
        <v>812</v>
      </c>
      <c r="F376" s="10" t="s">
        <v>937</v>
      </c>
      <c r="G376" s="10" t="s">
        <v>44</v>
      </c>
      <c r="H376" s="11"/>
      <c r="I376" s="10"/>
      <c r="J376" s="10"/>
      <c r="K376" s="10" t="s">
        <v>938</v>
      </c>
      <c r="L376" s="10"/>
      <c r="M376" s="10"/>
    </row>
    <row r="377" spans="1:13">
      <c r="A377" s="10" t="s">
        <v>2298</v>
      </c>
      <c r="B377" s="10" t="s">
        <v>646</v>
      </c>
      <c r="C377" s="10" t="s">
        <v>61</v>
      </c>
      <c r="D377" s="10" t="s">
        <v>653</v>
      </c>
      <c r="E377" s="11">
        <v>817</v>
      </c>
      <c r="F377" s="10" t="s">
        <v>654</v>
      </c>
      <c r="G377" s="10" t="s">
        <v>44</v>
      </c>
      <c r="H377" s="11"/>
      <c r="I377" s="10"/>
      <c r="J377" s="10"/>
      <c r="K377" s="10"/>
      <c r="L377" s="10"/>
      <c r="M377" s="10"/>
    </row>
    <row r="378" spans="1:13">
      <c r="A378" s="10" t="s">
        <v>2336</v>
      </c>
      <c r="B378" s="10" t="s">
        <v>939</v>
      </c>
      <c r="C378" s="10" t="s">
        <v>71</v>
      </c>
      <c r="D378" s="10" t="s">
        <v>653</v>
      </c>
      <c r="E378" s="11">
        <v>817</v>
      </c>
      <c r="F378" s="10" t="s">
        <v>654</v>
      </c>
      <c r="G378" s="10" t="s">
        <v>44</v>
      </c>
      <c r="H378" s="11"/>
      <c r="I378" s="10"/>
      <c r="J378" s="10"/>
      <c r="K378" s="10"/>
      <c r="L378" s="10"/>
      <c r="M378" s="10"/>
    </row>
    <row r="379" spans="1:13">
      <c r="A379" s="10" t="s">
        <v>2345</v>
      </c>
      <c r="B379" s="10" t="s">
        <v>998</v>
      </c>
      <c r="C379" s="10" t="s">
        <v>73</v>
      </c>
      <c r="D379" s="10" t="s">
        <v>999</v>
      </c>
      <c r="E379" s="11">
        <v>819</v>
      </c>
      <c r="F379" s="10" t="s">
        <v>1000</v>
      </c>
      <c r="G379" s="10" t="s">
        <v>44</v>
      </c>
      <c r="H379" s="11"/>
      <c r="I379" s="10"/>
      <c r="J379" s="10"/>
      <c r="K379" s="10" t="s">
        <v>1001</v>
      </c>
      <c r="L379" s="10"/>
      <c r="M379" s="10"/>
    </row>
    <row r="380" spans="1:13">
      <c r="A380" s="10" t="s">
        <v>2346</v>
      </c>
      <c r="B380" s="10" t="s">
        <v>285</v>
      </c>
      <c r="C380" s="10" t="s">
        <v>74</v>
      </c>
      <c r="D380" s="10" t="s">
        <v>999</v>
      </c>
      <c r="E380" s="11">
        <v>819</v>
      </c>
      <c r="F380" s="10" t="s">
        <v>1000</v>
      </c>
      <c r="G380" s="10" t="s">
        <v>44</v>
      </c>
      <c r="H380" s="11"/>
      <c r="I380" s="10"/>
      <c r="J380" s="10"/>
      <c r="K380" s="10" t="s">
        <v>1001</v>
      </c>
      <c r="L380" s="10"/>
      <c r="M380" s="10"/>
    </row>
    <row r="381" spans="1:13">
      <c r="A381" s="10" t="s">
        <v>2345</v>
      </c>
      <c r="B381" s="10" t="s">
        <v>998</v>
      </c>
      <c r="C381" s="10" t="s">
        <v>73</v>
      </c>
      <c r="D381" s="10" t="s">
        <v>1002</v>
      </c>
      <c r="E381" s="11">
        <v>820</v>
      </c>
      <c r="F381" s="10" t="s">
        <v>1003</v>
      </c>
      <c r="G381" s="10" t="s">
        <v>44</v>
      </c>
      <c r="H381" s="11"/>
      <c r="I381" s="10"/>
      <c r="J381" s="10"/>
      <c r="K381" s="10"/>
      <c r="L381" s="10"/>
      <c r="M381" s="10"/>
    </row>
    <row r="382" spans="1:13">
      <c r="A382" s="10" t="s">
        <v>2346</v>
      </c>
      <c r="B382" s="10" t="s">
        <v>285</v>
      </c>
      <c r="C382" s="10" t="s">
        <v>74</v>
      </c>
      <c r="D382" s="10" t="s">
        <v>1002</v>
      </c>
      <c r="E382" s="11">
        <v>820</v>
      </c>
      <c r="F382" s="10" t="s">
        <v>1003</v>
      </c>
      <c r="G382" s="10" t="s">
        <v>44</v>
      </c>
      <c r="H382" s="11"/>
      <c r="I382" s="10"/>
      <c r="J382" s="10"/>
      <c r="K382" s="10"/>
      <c r="L382" s="10"/>
      <c r="M382" s="10"/>
    </row>
    <row r="383" spans="1:13">
      <c r="A383" s="10" t="s">
        <v>2345</v>
      </c>
      <c r="B383" s="10" t="s">
        <v>998</v>
      </c>
      <c r="C383" s="10" t="s">
        <v>73</v>
      </c>
      <c r="D383" s="10" t="s">
        <v>1004</v>
      </c>
      <c r="E383" s="11">
        <v>821</v>
      </c>
      <c r="F383" s="10" t="s">
        <v>1005</v>
      </c>
      <c r="G383" s="10" t="s">
        <v>44</v>
      </c>
      <c r="H383" s="11"/>
      <c r="I383" s="10"/>
      <c r="J383" s="10"/>
      <c r="K383" s="10" t="s">
        <v>1006</v>
      </c>
      <c r="L383" s="10"/>
      <c r="M383" s="10"/>
    </row>
    <row r="384" spans="1:13">
      <c r="A384" s="10" t="s">
        <v>2346</v>
      </c>
      <c r="B384" s="10" t="s">
        <v>285</v>
      </c>
      <c r="C384" s="10" t="s">
        <v>74</v>
      </c>
      <c r="D384" s="10" t="s">
        <v>1004</v>
      </c>
      <c r="E384" s="11">
        <v>821</v>
      </c>
      <c r="F384" s="10" t="s">
        <v>1005</v>
      </c>
      <c r="G384" s="10" t="s">
        <v>44</v>
      </c>
      <c r="H384" s="11"/>
      <c r="I384" s="10"/>
      <c r="J384" s="10"/>
      <c r="K384" s="10" t="s">
        <v>1006</v>
      </c>
      <c r="L384" s="10"/>
      <c r="M384" s="10"/>
    </row>
    <row r="385" spans="1:13">
      <c r="A385" s="10" t="s">
        <v>2346</v>
      </c>
      <c r="B385" s="10" t="s">
        <v>285</v>
      </c>
      <c r="C385" s="10" t="s">
        <v>74</v>
      </c>
      <c r="D385" s="10" t="s">
        <v>1009</v>
      </c>
      <c r="E385" s="11">
        <v>827</v>
      </c>
      <c r="F385" s="10" t="s">
        <v>1010</v>
      </c>
      <c r="G385" s="10" t="s">
        <v>44</v>
      </c>
      <c r="H385" s="11"/>
      <c r="I385" s="10"/>
      <c r="J385" s="10"/>
      <c r="K385" s="10" t="s">
        <v>1011</v>
      </c>
      <c r="L385" s="10"/>
      <c r="M385" s="10"/>
    </row>
    <row r="386" spans="1:13">
      <c r="A386" s="10" t="s">
        <v>2346</v>
      </c>
      <c r="B386" s="10" t="s">
        <v>285</v>
      </c>
      <c r="C386" s="10" t="s">
        <v>74</v>
      </c>
      <c r="D386" s="10" t="s">
        <v>1012</v>
      </c>
      <c r="E386" s="11">
        <v>828</v>
      </c>
      <c r="F386" s="10" t="s">
        <v>1013</v>
      </c>
      <c r="G386" s="10" t="s">
        <v>44</v>
      </c>
      <c r="H386" s="11"/>
      <c r="I386" s="10"/>
      <c r="J386" s="10"/>
      <c r="K386" s="10" t="s">
        <v>1014</v>
      </c>
      <c r="L386" s="10"/>
      <c r="M386" s="10"/>
    </row>
    <row r="387" spans="1:13">
      <c r="A387" s="10" t="s">
        <v>2346</v>
      </c>
      <c r="B387" s="10" t="s">
        <v>285</v>
      </c>
      <c r="C387" s="10" t="s">
        <v>74</v>
      </c>
      <c r="D387" s="10" t="s">
        <v>1015</v>
      </c>
      <c r="E387" s="11">
        <v>829</v>
      </c>
      <c r="F387" s="10" t="s">
        <v>1016</v>
      </c>
      <c r="G387" s="10" t="s">
        <v>44</v>
      </c>
      <c r="H387" s="11"/>
      <c r="I387" s="10"/>
      <c r="J387" s="10"/>
      <c r="K387" s="10" t="s">
        <v>1017</v>
      </c>
      <c r="L387" s="10"/>
      <c r="M387" s="10"/>
    </row>
    <row r="388" spans="1:13">
      <c r="A388" s="10" t="s">
        <v>2346</v>
      </c>
      <c r="B388" s="10" t="s">
        <v>285</v>
      </c>
      <c r="C388" s="10" t="s">
        <v>74</v>
      </c>
      <c r="D388" s="10" t="s">
        <v>1018</v>
      </c>
      <c r="E388" s="11">
        <v>830</v>
      </c>
      <c r="F388" s="10" t="s">
        <v>1019</v>
      </c>
      <c r="G388" s="10" t="s">
        <v>44</v>
      </c>
      <c r="H388" s="11"/>
      <c r="I388" s="10"/>
      <c r="J388" s="10"/>
      <c r="K388" s="10" t="s">
        <v>1020</v>
      </c>
      <c r="L388" s="10"/>
      <c r="M388" s="10"/>
    </row>
    <row r="389" spans="1:13">
      <c r="A389" s="10" t="s">
        <v>2330</v>
      </c>
      <c r="B389" s="10" t="s">
        <v>915</v>
      </c>
      <c r="C389" s="10" t="s">
        <v>65</v>
      </c>
      <c r="D389" s="10" t="s">
        <v>916</v>
      </c>
      <c r="E389" s="11">
        <v>835</v>
      </c>
      <c r="F389" s="10" t="s">
        <v>917</v>
      </c>
      <c r="G389" s="10" t="s">
        <v>44</v>
      </c>
      <c r="H389" s="11"/>
      <c r="I389" s="10"/>
      <c r="J389" s="10"/>
      <c r="K389" s="10"/>
      <c r="L389" s="10"/>
      <c r="M389" s="10"/>
    </row>
    <row r="390" spans="1:13">
      <c r="A390" s="10" t="s">
        <v>2347</v>
      </c>
      <c r="B390" s="10" t="s">
        <v>1021</v>
      </c>
      <c r="C390" s="10" t="s">
        <v>75</v>
      </c>
      <c r="D390" s="10" t="s">
        <v>916</v>
      </c>
      <c r="E390" s="11">
        <v>835</v>
      </c>
      <c r="F390" s="10" t="s">
        <v>917</v>
      </c>
      <c r="G390" s="10" t="s">
        <v>44</v>
      </c>
      <c r="H390" s="11"/>
      <c r="I390" s="10"/>
      <c r="J390" s="10"/>
      <c r="K390" s="10"/>
      <c r="L390" s="10"/>
      <c r="M390" s="10"/>
    </row>
    <row r="391" spans="1:13">
      <c r="A391" s="10" t="s">
        <v>2297</v>
      </c>
      <c r="B391" s="10" t="s">
        <v>639</v>
      </c>
      <c r="C391" s="10" t="s">
        <v>60</v>
      </c>
      <c r="D391" s="10" t="s">
        <v>640</v>
      </c>
      <c r="E391" s="11">
        <v>836</v>
      </c>
      <c r="F391" s="10" t="s">
        <v>641</v>
      </c>
      <c r="G391" s="10" t="s">
        <v>44</v>
      </c>
      <c r="H391" s="11"/>
      <c r="I391" s="10"/>
      <c r="J391" s="10"/>
      <c r="K391" s="10" t="s">
        <v>642</v>
      </c>
      <c r="L391" s="10"/>
      <c r="M391" s="10"/>
    </row>
    <row r="392" spans="1:13">
      <c r="A392" s="10" t="s">
        <v>2330</v>
      </c>
      <c r="B392" s="10" t="s">
        <v>915</v>
      </c>
      <c r="C392" s="10" t="s">
        <v>65</v>
      </c>
      <c r="D392" s="10" t="s">
        <v>640</v>
      </c>
      <c r="E392" s="11">
        <v>836</v>
      </c>
      <c r="F392" s="10" t="s">
        <v>641</v>
      </c>
      <c r="G392" s="10" t="s">
        <v>44</v>
      </c>
      <c r="H392" s="11"/>
      <c r="I392" s="10"/>
      <c r="J392" s="10"/>
      <c r="K392" s="10" t="s">
        <v>642</v>
      </c>
      <c r="L392" s="10"/>
      <c r="M392" s="10"/>
    </row>
    <row r="393" spans="1:13">
      <c r="A393" s="10" t="s">
        <v>2347</v>
      </c>
      <c r="B393" s="10" t="s">
        <v>1021</v>
      </c>
      <c r="C393" s="10" t="s">
        <v>75</v>
      </c>
      <c r="D393" s="10" t="s">
        <v>640</v>
      </c>
      <c r="E393" s="11">
        <v>836</v>
      </c>
      <c r="F393" s="10" t="s">
        <v>641</v>
      </c>
      <c r="G393" s="10" t="s">
        <v>44</v>
      </c>
      <c r="H393" s="11"/>
      <c r="I393" s="10"/>
      <c r="J393" s="10"/>
      <c r="K393" s="10" t="s">
        <v>642</v>
      </c>
      <c r="L393" s="10"/>
      <c r="M393" s="10"/>
    </row>
    <row r="394" spans="1:13">
      <c r="A394" s="10" t="s">
        <v>2330</v>
      </c>
      <c r="B394" s="10" t="s">
        <v>915</v>
      </c>
      <c r="C394" s="10" t="s">
        <v>65</v>
      </c>
      <c r="D394" s="10" t="s">
        <v>918</v>
      </c>
      <c r="E394" s="11">
        <v>837</v>
      </c>
      <c r="F394" s="10" t="s">
        <v>919</v>
      </c>
      <c r="G394" s="10" t="s">
        <v>44</v>
      </c>
      <c r="H394" s="11"/>
      <c r="I394" s="10"/>
      <c r="J394" s="10"/>
      <c r="K394" s="10" t="s">
        <v>920</v>
      </c>
      <c r="L394" s="10"/>
      <c r="M394" s="10"/>
    </row>
    <row r="395" spans="1:13">
      <c r="A395" s="10" t="s">
        <v>2347</v>
      </c>
      <c r="B395" s="10" t="s">
        <v>1021</v>
      </c>
      <c r="C395" s="10" t="s">
        <v>75</v>
      </c>
      <c r="D395" s="10" t="s">
        <v>918</v>
      </c>
      <c r="E395" s="11">
        <v>837</v>
      </c>
      <c r="F395" s="10" t="s">
        <v>919</v>
      </c>
      <c r="G395" s="10" t="s">
        <v>44</v>
      </c>
      <c r="H395" s="11"/>
      <c r="I395" s="10"/>
      <c r="J395" s="10"/>
      <c r="K395" s="10" t="s">
        <v>920</v>
      </c>
      <c r="L395" s="10"/>
      <c r="M395" s="10"/>
    </row>
    <row r="396" spans="1:13">
      <c r="A396" s="10" t="s">
        <v>2348</v>
      </c>
      <c r="B396" s="10" t="s">
        <v>286</v>
      </c>
      <c r="C396" s="10" t="s">
        <v>76</v>
      </c>
      <c r="D396" s="10" t="s">
        <v>1022</v>
      </c>
      <c r="E396" s="11">
        <v>845</v>
      </c>
      <c r="F396" s="10" t="s">
        <v>644</v>
      </c>
      <c r="G396" s="10" t="s">
        <v>44</v>
      </c>
      <c r="H396" s="11"/>
      <c r="I396" s="10"/>
      <c r="J396" s="10"/>
      <c r="K396" s="10" t="s">
        <v>1023</v>
      </c>
      <c r="L396" s="10"/>
      <c r="M396" s="10"/>
    </row>
    <row r="397" spans="1:13">
      <c r="A397" s="10" t="s">
        <v>2350</v>
      </c>
      <c r="B397" s="10" t="s">
        <v>1031</v>
      </c>
      <c r="C397" s="10" t="s">
        <v>78</v>
      </c>
      <c r="D397" s="10" t="s">
        <v>1032</v>
      </c>
      <c r="E397" s="11">
        <v>855</v>
      </c>
      <c r="F397" s="10" t="s">
        <v>1033</v>
      </c>
      <c r="G397" s="10" t="s">
        <v>44</v>
      </c>
      <c r="H397" s="11"/>
      <c r="I397" s="10"/>
      <c r="J397" s="10"/>
      <c r="K397" s="10"/>
      <c r="L397" s="10"/>
      <c r="M397" s="10"/>
    </row>
    <row r="398" spans="1:13">
      <c r="A398" s="10" t="s">
        <v>2344</v>
      </c>
      <c r="B398" s="10" t="s">
        <v>993</v>
      </c>
      <c r="C398" s="10" t="s">
        <v>994</v>
      </c>
      <c r="D398" s="10" t="s">
        <v>995</v>
      </c>
      <c r="E398" s="11">
        <v>856</v>
      </c>
      <c r="F398" s="10" t="s">
        <v>996</v>
      </c>
      <c r="G398" s="10" t="s">
        <v>44</v>
      </c>
      <c r="H398" s="11"/>
      <c r="I398" s="10"/>
      <c r="J398" s="10"/>
      <c r="K398" s="10" t="s">
        <v>997</v>
      </c>
      <c r="L398" s="10"/>
      <c r="M398" s="10"/>
    </row>
    <row r="399" spans="1:13">
      <c r="A399" s="10" t="s">
        <v>2326</v>
      </c>
      <c r="B399" s="10" t="s">
        <v>288</v>
      </c>
      <c r="C399" s="10" t="s">
        <v>845</v>
      </c>
      <c r="D399" s="10" t="s">
        <v>846</v>
      </c>
      <c r="E399" s="11">
        <v>860</v>
      </c>
      <c r="F399" s="10" t="s">
        <v>847</v>
      </c>
      <c r="G399" s="10" t="s">
        <v>44</v>
      </c>
      <c r="H399" s="11">
        <v>16129670</v>
      </c>
      <c r="I399" s="10"/>
      <c r="J399" s="10"/>
      <c r="K399" s="10" t="s">
        <v>848</v>
      </c>
      <c r="L399" s="10"/>
      <c r="M399" s="10" t="s">
        <v>849</v>
      </c>
    </row>
    <row r="400" spans="1:13">
      <c r="A400" s="10" t="s">
        <v>2374</v>
      </c>
      <c r="B400" s="10" t="s">
        <v>1219</v>
      </c>
      <c r="C400" s="10" t="s">
        <v>1220</v>
      </c>
      <c r="D400" s="10" t="s">
        <v>846</v>
      </c>
      <c r="E400" s="11">
        <v>860</v>
      </c>
      <c r="F400" s="10" t="s">
        <v>847</v>
      </c>
      <c r="G400" s="10" t="s">
        <v>44</v>
      </c>
      <c r="H400" s="11">
        <v>16129670</v>
      </c>
      <c r="I400" s="10"/>
      <c r="J400" s="10"/>
      <c r="K400" s="10" t="s">
        <v>848</v>
      </c>
      <c r="L400" s="10"/>
      <c r="M400" s="10" t="s">
        <v>849</v>
      </c>
    </row>
    <row r="401" spans="1:13">
      <c r="A401" s="10" t="s">
        <v>2326</v>
      </c>
      <c r="B401" s="10" t="s">
        <v>288</v>
      </c>
      <c r="C401" s="10" t="s">
        <v>845</v>
      </c>
      <c r="D401" s="10" t="s">
        <v>850</v>
      </c>
      <c r="E401" s="11">
        <v>861</v>
      </c>
      <c r="F401" s="10" t="s">
        <v>847</v>
      </c>
      <c r="G401" s="10" t="s">
        <v>44</v>
      </c>
      <c r="H401" s="11">
        <v>4329839</v>
      </c>
      <c r="I401" s="10" t="s">
        <v>851</v>
      </c>
      <c r="J401" s="10"/>
      <c r="K401" s="10" t="s">
        <v>852</v>
      </c>
      <c r="L401" s="10"/>
      <c r="M401" s="10" t="s">
        <v>853</v>
      </c>
    </row>
    <row r="402" spans="1:13">
      <c r="A402" s="10" t="s">
        <v>2374</v>
      </c>
      <c r="B402" s="10" t="s">
        <v>1219</v>
      </c>
      <c r="C402" s="10" t="s">
        <v>1220</v>
      </c>
      <c r="D402" s="10" t="s">
        <v>850</v>
      </c>
      <c r="E402" s="11">
        <v>861</v>
      </c>
      <c r="F402" s="10" t="s">
        <v>847</v>
      </c>
      <c r="G402" s="10" t="s">
        <v>44</v>
      </c>
      <c r="H402" s="11">
        <v>4329839</v>
      </c>
      <c r="I402" s="10" t="s">
        <v>851</v>
      </c>
      <c r="J402" s="10"/>
      <c r="K402" s="10" t="s">
        <v>852</v>
      </c>
      <c r="L402" s="10"/>
      <c r="M402" s="10" t="s">
        <v>853</v>
      </c>
    </row>
    <row r="403" spans="1:13">
      <c r="A403" s="10" t="s">
        <v>2326</v>
      </c>
      <c r="B403" s="10" t="s">
        <v>288</v>
      </c>
      <c r="C403" s="10" t="s">
        <v>845</v>
      </c>
      <c r="D403" s="10" t="s">
        <v>854</v>
      </c>
      <c r="E403" s="11">
        <v>864</v>
      </c>
      <c r="F403" s="10" t="s">
        <v>855</v>
      </c>
      <c r="G403" s="10" t="s">
        <v>44</v>
      </c>
      <c r="H403" s="11">
        <v>9833444</v>
      </c>
      <c r="I403" s="10" t="s">
        <v>856</v>
      </c>
      <c r="J403" s="10" t="s">
        <v>857</v>
      </c>
      <c r="K403" s="10" t="s">
        <v>858</v>
      </c>
      <c r="L403" s="10"/>
      <c r="M403" s="10" t="s">
        <v>859</v>
      </c>
    </row>
    <row r="404" spans="1:13">
      <c r="A404" s="10" t="s">
        <v>2374</v>
      </c>
      <c r="B404" s="10" t="s">
        <v>1219</v>
      </c>
      <c r="C404" s="10" t="s">
        <v>1220</v>
      </c>
      <c r="D404" s="10" t="s">
        <v>854</v>
      </c>
      <c r="E404" s="11">
        <v>864</v>
      </c>
      <c r="F404" s="10" t="s">
        <v>855</v>
      </c>
      <c r="G404" s="10" t="s">
        <v>44</v>
      </c>
      <c r="H404" s="11">
        <v>9833444</v>
      </c>
      <c r="I404" s="10" t="s">
        <v>856</v>
      </c>
      <c r="J404" s="10" t="s">
        <v>857</v>
      </c>
      <c r="K404" s="10" t="s">
        <v>858</v>
      </c>
      <c r="L404" s="10"/>
      <c r="M404" s="10" t="s">
        <v>859</v>
      </c>
    </row>
    <row r="405" spans="1:13">
      <c r="A405" s="10" t="s">
        <v>2343</v>
      </c>
      <c r="B405" s="10" t="s">
        <v>292</v>
      </c>
      <c r="C405" s="10" t="s">
        <v>980</v>
      </c>
      <c r="D405" s="10" t="s">
        <v>981</v>
      </c>
      <c r="E405" s="11">
        <v>912</v>
      </c>
      <c r="F405" s="10" t="s">
        <v>982</v>
      </c>
      <c r="G405" s="10" t="s">
        <v>44</v>
      </c>
      <c r="H405" s="11"/>
      <c r="I405" s="10"/>
      <c r="J405" s="10"/>
      <c r="K405" s="10" t="s">
        <v>983</v>
      </c>
      <c r="L405" s="10"/>
      <c r="M405" s="10"/>
    </row>
    <row r="406" spans="1:13">
      <c r="A406" s="10" t="s">
        <v>2343</v>
      </c>
      <c r="B406" s="10" t="s">
        <v>292</v>
      </c>
      <c r="C406" s="10" t="s">
        <v>980</v>
      </c>
      <c r="D406" s="10" t="s">
        <v>984</v>
      </c>
      <c r="E406" s="11">
        <v>919</v>
      </c>
      <c r="F406" s="10" t="s">
        <v>985</v>
      </c>
      <c r="G406" s="10" t="s">
        <v>44</v>
      </c>
      <c r="H406" s="11"/>
      <c r="I406" s="10"/>
      <c r="J406" s="10"/>
      <c r="K406" s="10" t="s">
        <v>986</v>
      </c>
      <c r="L406" s="10"/>
      <c r="M406" s="10"/>
    </row>
    <row r="407" spans="1:13">
      <c r="A407" s="10" t="s">
        <v>2343</v>
      </c>
      <c r="B407" s="10" t="s">
        <v>292</v>
      </c>
      <c r="C407" s="10" t="s">
        <v>980</v>
      </c>
      <c r="D407" s="10" t="s">
        <v>987</v>
      </c>
      <c r="E407" s="11">
        <v>921</v>
      </c>
      <c r="F407" s="10" t="s">
        <v>988</v>
      </c>
      <c r="G407" s="10" t="s">
        <v>44</v>
      </c>
      <c r="H407" s="11"/>
      <c r="I407" s="10"/>
      <c r="J407" s="10"/>
      <c r="K407" s="10" t="s">
        <v>989</v>
      </c>
      <c r="L407" s="10"/>
      <c r="M407" s="10"/>
    </row>
    <row r="408" spans="1:13">
      <c r="A408" s="10" t="s">
        <v>2343</v>
      </c>
      <c r="B408" s="10" t="s">
        <v>292</v>
      </c>
      <c r="C408" s="10" t="s">
        <v>980</v>
      </c>
      <c r="D408" s="10" t="s">
        <v>990</v>
      </c>
      <c r="E408" s="11">
        <v>928</v>
      </c>
      <c r="F408" s="10" t="s">
        <v>991</v>
      </c>
      <c r="G408" s="10" t="s">
        <v>44</v>
      </c>
      <c r="H408" s="11"/>
      <c r="I408" s="10"/>
      <c r="J408" s="10"/>
      <c r="K408" s="10" t="s">
        <v>992</v>
      </c>
      <c r="L408" s="10"/>
      <c r="M408" s="10"/>
    </row>
    <row r="409" spans="1:13">
      <c r="A409" s="10" t="s">
        <v>2356</v>
      </c>
      <c r="B409" s="10" t="s">
        <v>296</v>
      </c>
      <c r="C409" s="10" t="s">
        <v>1046</v>
      </c>
      <c r="D409" s="10" t="s">
        <v>1047</v>
      </c>
      <c r="E409" s="11">
        <v>989</v>
      </c>
      <c r="F409" s="10" t="s">
        <v>1048</v>
      </c>
      <c r="G409" s="10" t="s">
        <v>44</v>
      </c>
      <c r="H409" s="11">
        <v>16212950</v>
      </c>
      <c r="I409" s="10" t="s">
        <v>1049</v>
      </c>
      <c r="J409" s="10"/>
      <c r="K409" s="10" t="s">
        <v>1050</v>
      </c>
      <c r="L409" s="10"/>
      <c r="M409" s="10" t="s">
        <v>1051</v>
      </c>
    </row>
    <row r="410" spans="1:13">
      <c r="A410" s="10" t="s">
        <v>2357</v>
      </c>
      <c r="B410" s="10" t="s">
        <v>1059</v>
      </c>
      <c r="C410" s="10" t="s">
        <v>1060</v>
      </c>
      <c r="D410" s="10" t="s">
        <v>1047</v>
      </c>
      <c r="E410" s="11">
        <v>989</v>
      </c>
      <c r="F410" s="10" t="s">
        <v>1048</v>
      </c>
      <c r="G410" s="10" t="s">
        <v>44</v>
      </c>
      <c r="H410" s="11">
        <v>16212950</v>
      </c>
      <c r="I410" s="10" t="s">
        <v>1049</v>
      </c>
      <c r="J410" s="10"/>
      <c r="K410" s="10" t="s">
        <v>1050</v>
      </c>
      <c r="L410" s="10"/>
      <c r="M410" s="10" t="s">
        <v>1051</v>
      </c>
    </row>
    <row r="411" spans="1:13">
      <c r="A411" s="10" t="s">
        <v>2356</v>
      </c>
      <c r="B411" s="10" t="s">
        <v>296</v>
      </c>
      <c r="C411" s="10" t="s">
        <v>1046</v>
      </c>
      <c r="D411" s="10" t="s">
        <v>1052</v>
      </c>
      <c r="E411" s="11">
        <v>990</v>
      </c>
      <c r="F411" s="10" t="s">
        <v>1053</v>
      </c>
      <c r="G411" s="10" t="s">
        <v>44</v>
      </c>
      <c r="H411" s="11">
        <v>16219332</v>
      </c>
      <c r="I411" s="10"/>
      <c r="J411" s="10"/>
      <c r="K411" s="10" t="s">
        <v>1054</v>
      </c>
      <c r="L411" s="10"/>
      <c r="M411" s="10" t="s">
        <v>1055</v>
      </c>
    </row>
    <row r="412" spans="1:13">
      <c r="A412" s="10" t="s">
        <v>2357</v>
      </c>
      <c r="B412" s="10" t="s">
        <v>1059</v>
      </c>
      <c r="C412" s="10" t="s">
        <v>1060</v>
      </c>
      <c r="D412" s="10" t="s">
        <v>1052</v>
      </c>
      <c r="E412" s="11">
        <v>990</v>
      </c>
      <c r="F412" s="10" t="s">
        <v>1053</v>
      </c>
      <c r="G412" s="10" t="s">
        <v>44</v>
      </c>
      <c r="H412" s="11">
        <v>16219332</v>
      </c>
      <c r="I412" s="10"/>
      <c r="J412" s="10"/>
      <c r="K412" s="10" t="s">
        <v>1054</v>
      </c>
      <c r="L412" s="10"/>
      <c r="M412" s="10" t="s">
        <v>1055</v>
      </c>
    </row>
    <row r="413" spans="1:13">
      <c r="A413" s="10" t="s">
        <v>2356</v>
      </c>
      <c r="B413" s="10" t="s">
        <v>296</v>
      </c>
      <c r="C413" s="10" t="s">
        <v>1046</v>
      </c>
      <c r="D413" s="10" t="s">
        <v>1056</v>
      </c>
      <c r="E413" s="11">
        <v>1004</v>
      </c>
      <c r="F413" s="10" t="s">
        <v>1057</v>
      </c>
      <c r="G413" s="10" t="s">
        <v>44</v>
      </c>
      <c r="H413" s="11">
        <v>16219334</v>
      </c>
      <c r="I413" s="10"/>
      <c r="J413" s="10"/>
      <c r="K413" s="10" t="s">
        <v>1058</v>
      </c>
      <c r="L413" s="10"/>
      <c r="M413" s="10"/>
    </row>
    <row r="414" spans="1:13">
      <c r="A414" s="10" t="s">
        <v>2357</v>
      </c>
      <c r="B414" s="10" t="s">
        <v>1059</v>
      </c>
      <c r="C414" s="10" t="s">
        <v>1060</v>
      </c>
      <c r="D414" s="10" t="s">
        <v>1056</v>
      </c>
      <c r="E414" s="11">
        <v>1004</v>
      </c>
      <c r="F414" s="10" t="s">
        <v>1057</v>
      </c>
      <c r="G414" s="10" t="s">
        <v>44</v>
      </c>
      <c r="H414" s="11">
        <v>16219334</v>
      </c>
      <c r="I414" s="10"/>
      <c r="J414" s="10"/>
      <c r="K414" s="10" t="s">
        <v>1058</v>
      </c>
      <c r="L414" s="10"/>
      <c r="M414" s="10"/>
    </row>
    <row r="415" spans="1:13">
      <c r="A415" s="10" t="s">
        <v>2362</v>
      </c>
      <c r="B415" s="10" t="s">
        <v>1116</v>
      </c>
      <c r="C415" s="10" t="s">
        <v>114</v>
      </c>
      <c r="D415" s="10" t="s">
        <v>1117</v>
      </c>
      <c r="E415" s="11">
        <v>1022</v>
      </c>
      <c r="F415" s="10"/>
      <c r="G415" s="10" t="s">
        <v>44</v>
      </c>
      <c r="H415" s="11"/>
      <c r="I415" s="10" t="s">
        <v>1118</v>
      </c>
      <c r="J415" s="10"/>
      <c r="K415" s="10" t="s">
        <v>1119</v>
      </c>
      <c r="L415" s="10"/>
      <c r="M415" s="10" t="s">
        <v>1120</v>
      </c>
    </row>
    <row r="416" spans="1:13">
      <c r="A416" s="10" t="s">
        <v>2362</v>
      </c>
      <c r="B416" s="10" t="s">
        <v>1116</v>
      </c>
      <c r="C416" s="10" t="s">
        <v>114</v>
      </c>
      <c r="D416" s="10" t="s">
        <v>1121</v>
      </c>
      <c r="E416" s="11">
        <v>1026</v>
      </c>
      <c r="F416" s="10"/>
      <c r="G416" s="10" t="s">
        <v>44</v>
      </c>
      <c r="H416" s="11">
        <v>3081832</v>
      </c>
      <c r="I416" s="10" t="s">
        <v>1122</v>
      </c>
      <c r="J416" s="10"/>
      <c r="K416" s="10" t="s">
        <v>1123</v>
      </c>
      <c r="L416" s="10"/>
      <c r="M416" s="10" t="s">
        <v>1124</v>
      </c>
    </row>
    <row r="417" spans="1:13">
      <c r="A417" s="10" t="s">
        <v>2362</v>
      </c>
      <c r="B417" s="10" t="s">
        <v>1116</v>
      </c>
      <c r="C417" s="10" t="s">
        <v>114</v>
      </c>
      <c r="D417" s="10" t="s">
        <v>1125</v>
      </c>
      <c r="E417" s="11">
        <v>1031</v>
      </c>
      <c r="F417" s="10" t="s">
        <v>1126</v>
      </c>
      <c r="G417" s="10" t="s">
        <v>44</v>
      </c>
      <c r="H417" s="11"/>
      <c r="I417" s="10"/>
      <c r="J417" s="10"/>
      <c r="K417" s="10" t="s">
        <v>1127</v>
      </c>
      <c r="L417" s="10"/>
      <c r="M417" s="10"/>
    </row>
    <row r="418" spans="1:13">
      <c r="A418" s="10" t="s">
        <v>2363</v>
      </c>
      <c r="B418" s="10" t="s">
        <v>1130</v>
      </c>
      <c r="C418" s="10" t="s">
        <v>1131</v>
      </c>
      <c r="D418" s="10" t="s">
        <v>1125</v>
      </c>
      <c r="E418" s="11">
        <v>1031</v>
      </c>
      <c r="F418" s="10" t="s">
        <v>1126</v>
      </c>
      <c r="G418" s="10" t="s">
        <v>44</v>
      </c>
      <c r="H418" s="11"/>
      <c r="I418" s="10"/>
      <c r="J418" s="10"/>
      <c r="K418" s="10" t="s">
        <v>1127</v>
      </c>
      <c r="L418" s="10"/>
      <c r="M418" s="10"/>
    </row>
    <row r="419" spans="1:13">
      <c r="A419" s="10" t="s">
        <v>2364</v>
      </c>
      <c r="B419" s="10" t="s">
        <v>1165</v>
      </c>
      <c r="C419" s="10" t="s">
        <v>116</v>
      </c>
      <c r="D419" s="10" t="s">
        <v>1166</v>
      </c>
      <c r="E419" s="11">
        <v>1044</v>
      </c>
      <c r="F419" s="10" t="s">
        <v>1126</v>
      </c>
      <c r="G419" s="10" t="s">
        <v>44</v>
      </c>
      <c r="H419" s="11"/>
      <c r="I419" s="10"/>
      <c r="J419" s="10"/>
      <c r="K419" s="10" t="s">
        <v>1167</v>
      </c>
      <c r="L419" s="10"/>
      <c r="M419" s="10"/>
    </row>
    <row r="420" spans="1:13">
      <c r="A420" s="10" t="s">
        <v>2363</v>
      </c>
      <c r="B420" s="10" t="s">
        <v>1130</v>
      </c>
      <c r="C420" s="10" t="s">
        <v>1131</v>
      </c>
      <c r="D420" s="10" t="s">
        <v>1137</v>
      </c>
      <c r="E420" s="11">
        <v>1047</v>
      </c>
      <c r="F420" s="10" t="s">
        <v>1138</v>
      </c>
      <c r="G420" s="10" t="s">
        <v>44</v>
      </c>
      <c r="H420" s="11">
        <v>16131438</v>
      </c>
      <c r="I420" s="10"/>
      <c r="J420" s="10"/>
      <c r="K420" s="10" t="s">
        <v>1139</v>
      </c>
      <c r="L420" s="10"/>
      <c r="M420" s="10" t="s">
        <v>1140</v>
      </c>
    </row>
    <row r="421" spans="1:13">
      <c r="A421" s="10" t="s">
        <v>2364</v>
      </c>
      <c r="B421" s="10" t="s">
        <v>1165</v>
      </c>
      <c r="C421" s="10" t="s">
        <v>116</v>
      </c>
      <c r="D421" s="10" t="s">
        <v>1137</v>
      </c>
      <c r="E421" s="11">
        <v>1047</v>
      </c>
      <c r="F421" s="10" t="s">
        <v>1138</v>
      </c>
      <c r="G421" s="10" t="s">
        <v>44</v>
      </c>
      <c r="H421" s="11">
        <v>16131438</v>
      </c>
      <c r="I421" s="10"/>
      <c r="J421" s="10"/>
      <c r="K421" s="10" t="s">
        <v>1139</v>
      </c>
      <c r="L421" s="10"/>
      <c r="M421" s="10" t="s">
        <v>1140</v>
      </c>
    </row>
    <row r="422" spans="1:13">
      <c r="A422" s="10" t="s">
        <v>2376</v>
      </c>
      <c r="B422" s="10" t="s">
        <v>300</v>
      </c>
      <c r="C422" s="10" t="s">
        <v>1237</v>
      </c>
      <c r="D422" s="10" t="s">
        <v>1238</v>
      </c>
      <c r="E422" s="11">
        <v>1099</v>
      </c>
      <c r="F422" s="10" t="s">
        <v>1239</v>
      </c>
      <c r="G422" s="10" t="s">
        <v>44</v>
      </c>
      <c r="H422" s="11"/>
      <c r="I422" s="10"/>
      <c r="J422" s="10"/>
      <c r="K422" s="10"/>
      <c r="L422" s="10"/>
      <c r="M422" s="10"/>
    </row>
    <row r="423" spans="1:13">
      <c r="A423" s="10" t="s">
        <v>2378</v>
      </c>
      <c r="B423" s="10" t="s">
        <v>302</v>
      </c>
      <c r="C423" s="10" t="s">
        <v>1246</v>
      </c>
      <c r="D423" s="10" t="s">
        <v>1247</v>
      </c>
      <c r="E423" s="11">
        <v>1132</v>
      </c>
      <c r="F423" s="10" t="s">
        <v>1248</v>
      </c>
      <c r="G423" s="10" t="s">
        <v>44</v>
      </c>
      <c r="H423" s="11"/>
      <c r="I423" s="10"/>
      <c r="J423" s="10"/>
      <c r="K423" s="10" t="s">
        <v>1249</v>
      </c>
      <c r="L423" s="10"/>
      <c r="M423" s="10"/>
    </row>
    <row r="424" spans="1:13">
      <c r="A424" s="10" t="s">
        <v>2378</v>
      </c>
      <c r="B424" s="10" t="s">
        <v>302</v>
      </c>
      <c r="C424" s="10" t="s">
        <v>1246</v>
      </c>
      <c r="D424" s="10" t="s">
        <v>1250</v>
      </c>
      <c r="E424" s="11">
        <v>1136</v>
      </c>
      <c r="F424" s="10" t="s">
        <v>1248</v>
      </c>
      <c r="G424" s="10" t="s">
        <v>44</v>
      </c>
      <c r="H424" s="11">
        <v>44278361</v>
      </c>
      <c r="I424" s="10"/>
      <c r="J424" s="10" t="s">
        <v>1250</v>
      </c>
      <c r="K424" s="10"/>
      <c r="L424" s="10"/>
      <c r="M424" s="10" t="s">
        <v>1251</v>
      </c>
    </row>
    <row r="425" spans="1:13">
      <c r="A425" s="10" t="s">
        <v>2380</v>
      </c>
      <c r="B425" s="10" t="s">
        <v>304</v>
      </c>
      <c r="C425" s="10" t="s">
        <v>1260</v>
      </c>
      <c r="D425" s="10" t="s">
        <v>1250</v>
      </c>
      <c r="E425" s="11">
        <v>1136</v>
      </c>
      <c r="F425" s="10" t="s">
        <v>1248</v>
      </c>
      <c r="G425" s="10" t="s">
        <v>44</v>
      </c>
      <c r="H425" s="11">
        <v>44278361</v>
      </c>
      <c r="I425" s="10"/>
      <c r="J425" s="10" t="s">
        <v>1250</v>
      </c>
      <c r="K425" s="10"/>
      <c r="L425" s="10"/>
      <c r="M425" s="10" t="s">
        <v>1251</v>
      </c>
    </row>
    <row r="426" spans="1:13">
      <c r="A426" s="10" t="s">
        <v>2379</v>
      </c>
      <c r="B426" s="10" t="s">
        <v>303</v>
      </c>
      <c r="C426" s="10" t="s">
        <v>1254</v>
      </c>
      <c r="D426" s="10" t="s">
        <v>1255</v>
      </c>
      <c r="E426" s="11">
        <v>1140</v>
      </c>
      <c r="F426" s="10" t="s">
        <v>1256</v>
      </c>
      <c r="G426" s="10" t="s">
        <v>44</v>
      </c>
      <c r="H426" s="11"/>
      <c r="I426" s="10"/>
      <c r="J426" s="10"/>
      <c r="K426" s="10" t="s">
        <v>1257</v>
      </c>
      <c r="L426" s="10"/>
      <c r="M426" s="10"/>
    </row>
    <row r="427" spans="1:13">
      <c r="A427" s="10" t="s">
        <v>2379</v>
      </c>
      <c r="B427" s="10" t="s">
        <v>303</v>
      </c>
      <c r="C427" s="10" t="s">
        <v>1254</v>
      </c>
      <c r="D427" s="10" t="s">
        <v>1258</v>
      </c>
      <c r="E427" s="11">
        <v>1143</v>
      </c>
      <c r="F427" s="10" t="s">
        <v>1256</v>
      </c>
      <c r="G427" s="10" t="s">
        <v>44</v>
      </c>
      <c r="H427" s="11"/>
      <c r="I427" s="10"/>
      <c r="J427" s="10"/>
      <c r="K427" s="10" t="s">
        <v>1259</v>
      </c>
      <c r="L427" s="10"/>
      <c r="M427" s="10"/>
    </row>
    <row r="428" spans="1:13">
      <c r="A428" s="10" t="s">
        <v>2483</v>
      </c>
      <c r="B428" s="10" t="s">
        <v>2021</v>
      </c>
      <c r="C428" s="10" t="s">
        <v>2022</v>
      </c>
      <c r="D428" s="10" t="s">
        <v>2023</v>
      </c>
      <c r="E428" s="11">
        <v>1152</v>
      </c>
      <c r="F428" s="10" t="s">
        <v>2024</v>
      </c>
      <c r="G428" s="10" t="s">
        <v>44</v>
      </c>
      <c r="H428" s="11">
        <v>16129679</v>
      </c>
      <c r="I428" s="10"/>
      <c r="J428" s="10"/>
      <c r="K428" s="10"/>
      <c r="L428" s="10"/>
      <c r="M428" s="10" t="s">
        <v>2025</v>
      </c>
    </row>
    <row r="429" spans="1:13">
      <c r="A429" s="10" t="s">
        <v>2511</v>
      </c>
      <c r="B429" s="10" t="s">
        <v>2174</v>
      </c>
      <c r="C429" s="10" t="s">
        <v>2175</v>
      </c>
      <c r="D429" s="10" t="s">
        <v>2023</v>
      </c>
      <c r="E429" s="11">
        <v>1152</v>
      </c>
      <c r="F429" s="10" t="s">
        <v>2024</v>
      </c>
      <c r="G429" s="10" t="s">
        <v>44</v>
      </c>
      <c r="H429" s="11">
        <v>16129679</v>
      </c>
      <c r="I429" s="10"/>
      <c r="J429" s="10"/>
      <c r="K429" s="10"/>
      <c r="L429" s="10"/>
      <c r="M429" s="10" t="s">
        <v>2025</v>
      </c>
    </row>
    <row r="430" spans="1:13">
      <c r="A430" s="10" t="s">
        <v>2527</v>
      </c>
      <c r="B430" s="10" t="s">
        <v>347</v>
      </c>
      <c r="C430" s="10" t="s">
        <v>2271</v>
      </c>
      <c r="D430" s="10" t="s">
        <v>2023</v>
      </c>
      <c r="E430" s="11">
        <v>1152</v>
      </c>
      <c r="F430" s="10" t="s">
        <v>2024</v>
      </c>
      <c r="G430" s="10" t="s">
        <v>44</v>
      </c>
      <c r="H430" s="11">
        <v>16129679</v>
      </c>
      <c r="I430" s="10"/>
      <c r="J430" s="10"/>
      <c r="K430" s="10"/>
      <c r="L430" s="10"/>
      <c r="M430" s="10" t="s">
        <v>2025</v>
      </c>
    </row>
    <row r="431" spans="1:13">
      <c r="A431" s="10" t="s">
        <v>2528</v>
      </c>
      <c r="B431" s="10" t="s">
        <v>2272</v>
      </c>
      <c r="C431" s="10" t="s">
        <v>2273</v>
      </c>
      <c r="D431" s="10" t="s">
        <v>2023</v>
      </c>
      <c r="E431" s="11">
        <v>1152</v>
      </c>
      <c r="F431" s="10" t="s">
        <v>2024</v>
      </c>
      <c r="G431" s="10" t="s">
        <v>44</v>
      </c>
      <c r="H431" s="11">
        <v>16129679</v>
      </c>
      <c r="I431" s="10"/>
      <c r="J431" s="10"/>
      <c r="K431" s="10"/>
      <c r="L431" s="10"/>
      <c r="M431" s="10" t="s">
        <v>2025</v>
      </c>
    </row>
    <row r="432" spans="1:13">
      <c r="A432" s="10" t="s">
        <v>2365</v>
      </c>
      <c r="B432" s="10" t="s">
        <v>1170</v>
      </c>
      <c r="C432" s="10" t="s">
        <v>1171</v>
      </c>
      <c r="D432" s="10" t="s">
        <v>1172</v>
      </c>
      <c r="E432" s="11">
        <v>1157</v>
      </c>
      <c r="F432" s="10"/>
      <c r="G432" s="10" t="s">
        <v>44</v>
      </c>
      <c r="H432" s="11">
        <v>62819</v>
      </c>
      <c r="I432" s="10"/>
      <c r="J432" s="10" t="s">
        <v>1173</v>
      </c>
      <c r="K432" s="10" t="s">
        <v>1174</v>
      </c>
      <c r="L432" s="10"/>
      <c r="M432" s="10"/>
    </row>
    <row r="433" spans="1:13">
      <c r="A433" s="10" t="s">
        <v>2433</v>
      </c>
      <c r="B433" s="10" t="s">
        <v>1658</v>
      </c>
      <c r="C433" s="10" t="s">
        <v>1659</v>
      </c>
      <c r="D433" s="10" t="s">
        <v>1660</v>
      </c>
      <c r="E433" s="11">
        <v>1159</v>
      </c>
      <c r="F433" s="10"/>
      <c r="G433" s="10" t="s">
        <v>44</v>
      </c>
      <c r="H433" s="11"/>
      <c r="I433" s="10"/>
      <c r="J433" s="10" t="s">
        <v>1661</v>
      </c>
      <c r="K433" s="10" t="s">
        <v>1662</v>
      </c>
      <c r="L433" s="10"/>
      <c r="M433" s="10"/>
    </row>
    <row r="434" spans="1:13">
      <c r="A434" s="10" t="s">
        <v>2433</v>
      </c>
      <c r="B434" s="10" t="s">
        <v>1658</v>
      </c>
      <c r="C434" s="10" t="s">
        <v>1659</v>
      </c>
      <c r="D434" s="10" t="s">
        <v>1663</v>
      </c>
      <c r="E434" s="11">
        <v>1160</v>
      </c>
      <c r="F434" s="10"/>
      <c r="G434" s="10" t="s">
        <v>44</v>
      </c>
      <c r="H434" s="11"/>
      <c r="I434" s="10"/>
      <c r="J434" s="10"/>
      <c r="K434" s="10" t="s">
        <v>1664</v>
      </c>
      <c r="L434" s="10"/>
      <c r="M434" s="10"/>
    </row>
    <row r="435" spans="1:13">
      <c r="A435" s="10" t="s">
        <v>2381</v>
      </c>
      <c r="B435" s="10" t="s">
        <v>305</v>
      </c>
      <c r="C435" s="10" t="s">
        <v>1261</v>
      </c>
      <c r="D435" s="10" t="s">
        <v>1262</v>
      </c>
      <c r="E435" s="11">
        <v>1162</v>
      </c>
      <c r="F435" s="10" t="s">
        <v>1263</v>
      </c>
      <c r="G435" s="10" t="s">
        <v>44</v>
      </c>
      <c r="H435" s="11">
        <v>16132914</v>
      </c>
      <c r="I435" s="10"/>
      <c r="J435" s="10"/>
      <c r="K435" s="10" t="s">
        <v>1264</v>
      </c>
      <c r="L435" s="10"/>
      <c r="M435" s="10" t="s">
        <v>1265</v>
      </c>
    </row>
    <row r="436" spans="1:13">
      <c r="A436" s="10" t="s">
        <v>2381</v>
      </c>
      <c r="B436" s="10" t="s">
        <v>305</v>
      </c>
      <c r="C436" s="10" t="s">
        <v>1261</v>
      </c>
      <c r="D436" s="10" t="s">
        <v>1266</v>
      </c>
      <c r="E436" s="11">
        <v>1164</v>
      </c>
      <c r="F436" s="10" t="s">
        <v>1267</v>
      </c>
      <c r="G436" s="10" t="s">
        <v>44</v>
      </c>
      <c r="H436" s="11"/>
      <c r="I436" s="10"/>
      <c r="J436" s="10"/>
      <c r="K436" s="10" t="s">
        <v>1268</v>
      </c>
      <c r="L436" s="10"/>
      <c r="M436" s="10"/>
    </row>
    <row r="437" spans="1:13">
      <c r="A437" s="10" t="s">
        <v>2327</v>
      </c>
      <c r="B437" s="10" t="s">
        <v>869</v>
      </c>
      <c r="C437" s="10" t="s">
        <v>62</v>
      </c>
      <c r="D437" s="10" t="s">
        <v>896</v>
      </c>
      <c r="E437" s="11">
        <v>1272</v>
      </c>
      <c r="F437" s="10" t="s">
        <v>897</v>
      </c>
      <c r="G437" s="10" t="s">
        <v>44</v>
      </c>
      <c r="H437" s="11"/>
      <c r="I437" s="10"/>
      <c r="J437" s="10"/>
      <c r="K437" s="10"/>
      <c r="L437" s="10"/>
      <c r="M437" s="10"/>
    </row>
    <row r="438" spans="1:13">
      <c r="A438" s="10" t="s">
        <v>2329</v>
      </c>
      <c r="B438" s="10" t="s">
        <v>903</v>
      </c>
      <c r="C438" s="10" t="s">
        <v>64</v>
      </c>
      <c r="D438" s="10" t="s">
        <v>896</v>
      </c>
      <c r="E438" s="11">
        <v>1272</v>
      </c>
      <c r="F438" s="10" t="s">
        <v>897</v>
      </c>
      <c r="G438" s="10" t="s">
        <v>44</v>
      </c>
      <c r="H438" s="11"/>
      <c r="I438" s="10"/>
      <c r="J438" s="10"/>
      <c r="K438" s="10"/>
      <c r="L438" s="10"/>
      <c r="M438" s="10"/>
    </row>
    <row r="439" spans="1:13">
      <c r="A439" s="10" t="s">
        <v>2332</v>
      </c>
      <c r="B439" s="10" t="s">
        <v>283</v>
      </c>
      <c r="C439" s="10" t="s">
        <v>67</v>
      </c>
      <c r="D439" s="10" t="s">
        <v>896</v>
      </c>
      <c r="E439" s="11">
        <v>1272</v>
      </c>
      <c r="F439" s="10" t="s">
        <v>897</v>
      </c>
      <c r="G439" s="10" t="s">
        <v>44</v>
      </c>
      <c r="H439" s="11"/>
      <c r="I439" s="10"/>
      <c r="J439" s="10"/>
      <c r="K439" s="10"/>
      <c r="L439" s="10"/>
      <c r="M439" s="10"/>
    </row>
    <row r="440" spans="1:13">
      <c r="A440" s="10" t="s">
        <v>2422</v>
      </c>
      <c r="B440" s="10" t="s">
        <v>1606</v>
      </c>
      <c r="C440" s="10" t="s">
        <v>1607</v>
      </c>
      <c r="D440" s="10" t="s">
        <v>896</v>
      </c>
      <c r="E440" s="11">
        <v>1272</v>
      </c>
      <c r="F440" s="10" t="s">
        <v>897</v>
      </c>
      <c r="G440" s="10" t="s">
        <v>44</v>
      </c>
      <c r="H440" s="11"/>
      <c r="I440" s="10"/>
      <c r="J440" s="10"/>
      <c r="K440" s="10"/>
      <c r="L440" s="10"/>
      <c r="M440" s="10"/>
    </row>
    <row r="441" spans="1:13">
      <c r="A441" s="10" t="s">
        <v>2423</v>
      </c>
      <c r="B441" s="10" t="s">
        <v>1608</v>
      </c>
      <c r="C441" s="10" t="s">
        <v>1609</v>
      </c>
      <c r="D441" s="10" t="s">
        <v>1610</v>
      </c>
      <c r="E441" s="11">
        <v>1283</v>
      </c>
      <c r="F441" s="10"/>
      <c r="G441" s="10" t="s">
        <v>44</v>
      </c>
      <c r="H441" s="11">
        <v>25240297</v>
      </c>
      <c r="I441" s="10"/>
      <c r="J441" s="10"/>
      <c r="K441" s="10" t="s">
        <v>1611</v>
      </c>
      <c r="L441" s="10"/>
      <c r="M441" s="10" t="s">
        <v>1612</v>
      </c>
    </row>
    <row r="442" spans="1:13">
      <c r="A442" s="10" t="s">
        <v>2423</v>
      </c>
      <c r="B442" s="10" t="s">
        <v>1608</v>
      </c>
      <c r="C442" s="10" t="s">
        <v>1609</v>
      </c>
      <c r="D442" s="10" t="s">
        <v>1613</v>
      </c>
      <c r="E442" s="11">
        <v>1284</v>
      </c>
      <c r="F442" s="10" t="s">
        <v>1614</v>
      </c>
      <c r="G442" s="10" t="s">
        <v>44</v>
      </c>
      <c r="H442" s="11">
        <v>25240297</v>
      </c>
      <c r="I442" s="10"/>
      <c r="J442" s="10"/>
      <c r="K442" s="10" t="s">
        <v>1615</v>
      </c>
      <c r="L442" s="10"/>
      <c r="M442" s="10"/>
    </row>
    <row r="443" spans="1:13">
      <c r="A443" s="10" t="s">
        <v>2423</v>
      </c>
      <c r="B443" s="10" t="s">
        <v>1608</v>
      </c>
      <c r="C443" s="10" t="s">
        <v>1609</v>
      </c>
      <c r="D443" s="10" t="s">
        <v>1616</v>
      </c>
      <c r="E443" s="11">
        <v>1285</v>
      </c>
      <c r="F443" s="10" t="s">
        <v>1614</v>
      </c>
      <c r="G443" s="10" t="s">
        <v>44</v>
      </c>
      <c r="H443" s="11"/>
      <c r="I443" s="10"/>
      <c r="J443" s="10"/>
      <c r="K443" s="10" t="s">
        <v>1617</v>
      </c>
      <c r="L443" s="10"/>
      <c r="M443" s="10"/>
    </row>
    <row r="444" spans="1:13">
      <c r="A444" s="10" t="s">
        <v>2423</v>
      </c>
      <c r="B444" s="10" t="s">
        <v>1608</v>
      </c>
      <c r="C444" s="10" t="s">
        <v>1609</v>
      </c>
      <c r="D444" s="10" t="s">
        <v>1618</v>
      </c>
      <c r="E444" s="11">
        <v>1288</v>
      </c>
      <c r="F444" s="10" t="s">
        <v>1614</v>
      </c>
      <c r="G444" s="10" t="s">
        <v>44</v>
      </c>
      <c r="H444" s="11"/>
      <c r="I444" s="10"/>
      <c r="J444" s="10"/>
      <c r="K444" s="10" t="s">
        <v>1619</v>
      </c>
      <c r="L444" s="10"/>
      <c r="M444" s="10"/>
    </row>
    <row r="445" spans="1:13">
      <c r="A445" s="10" t="s">
        <v>2439</v>
      </c>
      <c r="B445" s="10" t="s">
        <v>1716</v>
      </c>
      <c r="C445" s="10" t="s">
        <v>1717</v>
      </c>
      <c r="D445" s="10" t="s">
        <v>1718</v>
      </c>
      <c r="E445" s="11">
        <v>1298</v>
      </c>
      <c r="F445" s="10" t="s">
        <v>1719</v>
      </c>
      <c r="G445" s="10" t="s">
        <v>44</v>
      </c>
      <c r="H445" s="11">
        <v>16167454</v>
      </c>
      <c r="I445" s="10"/>
      <c r="J445" s="10"/>
      <c r="K445" s="10"/>
      <c r="L445" s="10"/>
      <c r="M445" s="10" t="s">
        <v>1720</v>
      </c>
    </row>
    <row r="446" spans="1:13">
      <c r="A446" s="10" t="s">
        <v>2440</v>
      </c>
      <c r="B446" s="10" t="s">
        <v>1721</v>
      </c>
      <c r="C446" s="10" t="s">
        <v>1722</v>
      </c>
      <c r="D446" s="10" t="s">
        <v>1718</v>
      </c>
      <c r="E446" s="11">
        <v>1298</v>
      </c>
      <c r="F446" s="10" t="s">
        <v>1719</v>
      </c>
      <c r="G446" s="10" t="s">
        <v>44</v>
      </c>
      <c r="H446" s="11">
        <v>16167454</v>
      </c>
      <c r="I446" s="10"/>
      <c r="J446" s="10"/>
      <c r="K446" s="10"/>
      <c r="L446" s="10"/>
      <c r="M446" s="10" t="s">
        <v>1720</v>
      </c>
    </row>
    <row r="447" spans="1:13">
      <c r="A447" s="10" t="s">
        <v>2436</v>
      </c>
      <c r="B447" s="10" t="s">
        <v>317</v>
      </c>
      <c r="C447" s="10" t="s">
        <v>1702</v>
      </c>
      <c r="D447" s="10" t="s">
        <v>1703</v>
      </c>
      <c r="E447" s="11">
        <v>1320</v>
      </c>
      <c r="F447" s="10" t="s">
        <v>1704</v>
      </c>
      <c r="G447" s="10" t="s">
        <v>44</v>
      </c>
      <c r="H447" s="11">
        <v>16162729</v>
      </c>
      <c r="I447" s="10"/>
      <c r="J447" s="10"/>
      <c r="K447" s="10" t="s">
        <v>1705</v>
      </c>
      <c r="L447" s="10"/>
      <c r="M447" s="10"/>
    </row>
    <row r="448" spans="1:13">
      <c r="A448" s="10" t="s">
        <v>2437</v>
      </c>
      <c r="B448" s="10" t="s">
        <v>318</v>
      </c>
      <c r="C448" s="10" t="s">
        <v>1713</v>
      </c>
      <c r="D448" s="10" t="s">
        <v>1703</v>
      </c>
      <c r="E448" s="11">
        <v>1320</v>
      </c>
      <c r="F448" s="10" t="s">
        <v>1704</v>
      </c>
      <c r="G448" s="10" t="s">
        <v>44</v>
      </c>
      <c r="H448" s="11">
        <v>16162729</v>
      </c>
      <c r="I448" s="10"/>
      <c r="J448" s="10"/>
      <c r="K448" s="10" t="s">
        <v>1705</v>
      </c>
      <c r="L448" s="10"/>
      <c r="M448" s="10"/>
    </row>
    <row r="449" spans="1:13">
      <c r="A449" s="10" t="s">
        <v>2438</v>
      </c>
      <c r="B449" s="10" t="s">
        <v>1714</v>
      </c>
      <c r="C449" s="10" t="s">
        <v>1715</v>
      </c>
      <c r="D449" s="10" t="s">
        <v>1703</v>
      </c>
      <c r="E449" s="11">
        <v>1320</v>
      </c>
      <c r="F449" s="10" t="s">
        <v>1704</v>
      </c>
      <c r="G449" s="10" t="s">
        <v>44</v>
      </c>
      <c r="H449" s="11">
        <v>16162729</v>
      </c>
      <c r="I449" s="10"/>
      <c r="J449" s="10"/>
      <c r="K449" s="10" t="s">
        <v>1705</v>
      </c>
      <c r="L449" s="10"/>
      <c r="M449" s="10"/>
    </row>
    <row r="450" spans="1:13">
      <c r="A450" s="10" t="s">
        <v>2444</v>
      </c>
      <c r="B450" s="10" t="s">
        <v>1739</v>
      </c>
      <c r="C450" s="10" t="s">
        <v>1740</v>
      </c>
      <c r="D450" s="10" t="s">
        <v>1703</v>
      </c>
      <c r="E450" s="11">
        <v>1320</v>
      </c>
      <c r="F450" s="10" t="s">
        <v>1704</v>
      </c>
      <c r="G450" s="10" t="s">
        <v>44</v>
      </c>
      <c r="H450" s="11">
        <v>16162729</v>
      </c>
      <c r="I450" s="10"/>
      <c r="J450" s="10"/>
      <c r="K450" s="10" t="s">
        <v>1705</v>
      </c>
      <c r="L450" s="10"/>
      <c r="M450" s="10"/>
    </row>
    <row r="451" spans="1:13">
      <c r="A451" s="10" t="s">
        <v>2436</v>
      </c>
      <c r="B451" s="10" t="s">
        <v>317</v>
      </c>
      <c r="C451" s="10" t="s">
        <v>1702</v>
      </c>
      <c r="D451" s="10" t="s">
        <v>1706</v>
      </c>
      <c r="E451" s="11">
        <v>1333</v>
      </c>
      <c r="F451" s="10" t="s">
        <v>1704</v>
      </c>
      <c r="G451" s="10" t="s">
        <v>44</v>
      </c>
      <c r="H451" s="11">
        <v>44134812</v>
      </c>
      <c r="I451" s="10"/>
      <c r="J451" s="10"/>
      <c r="K451" s="10" t="s">
        <v>1707</v>
      </c>
      <c r="L451" s="10"/>
      <c r="M451" s="10"/>
    </row>
    <row r="452" spans="1:13">
      <c r="A452" s="10" t="s">
        <v>2437</v>
      </c>
      <c r="B452" s="10" t="s">
        <v>318</v>
      </c>
      <c r="C452" s="10" t="s">
        <v>1713</v>
      </c>
      <c r="D452" s="10" t="s">
        <v>1706</v>
      </c>
      <c r="E452" s="11">
        <v>1333</v>
      </c>
      <c r="F452" s="10" t="s">
        <v>1704</v>
      </c>
      <c r="G452" s="10" t="s">
        <v>44</v>
      </c>
      <c r="H452" s="11">
        <v>44134812</v>
      </c>
      <c r="I452" s="10"/>
      <c r="J452" s="10"/>
      <c r="K452" s="10" t="s">
        <v>1707</v>
      </c>
      <c r="L452" s="10"/>
      <c r="M452" s="10"/>
    </row>
    <row r="453" spans="1:13">
      <c r="A453" s="10" t="s">
        <v>2438</v>
      </c>
      <c r="B453" s="10" t="s">
        <v>1714</v>
      </c>
      <c r="C453" s="10" t="s">
        <v>1715</v>
      </c>
      <c r="D453" s="10" t="s">
        <v>1706</v>
      </c>
      <c r="E453" s="11">
        <v>1333</v>
      </c>
      <c r="F453" s="10" t="s">
        <v>1704</v>
      </c>
      <c r="G453" s="10" t="s">
        <v>44</v>
      </c>
      <c r="H453" s="11">
        <v>44134812</v>
      </c>
      <c r="I453" s="10"/>
      <c r="J453" s="10"/>
      <c r="K453" s="10" t="s">
        <v>1707</v>
      </c>
      <c r="L453" s="10"/>
      <c r="M453" s="10"/>
    </row>
    <row r="454" spans="1:13">
      <c r="A454" s="10" t="s">
        <v>2444</v>
      </c>
      <c r="B454" s="10" t="s">
        <v>1739</v>
      </c>
      <c r="C454" s="10" t="s">
        <v>1740</v>
      </c>
      <c r="D454" s="10" t="s">
        <v>1706</v>
      </c>
      <c r="E454" s="11">
        <v>1333</v>
      </c>
      <c r="F454" s="10" t="s">
        <v>1704</v>
      </c>
      <c r="G454" s="10" t="s">
        <v>44</v>
      </c>
      <c r="H454" s="11">
        <v>44134812</v>
      </c>
      <c r="I454" s="10"/>
      <c r="J454" s="10"/>
      <c r="K454" s="10" t="s">
        <v>1707</v>
      </c>
      <c r="L454" s="10"/>
      <c r="M454" s="10"/>
    </row>
    <row r="455" spans="1:13">
      <c r="A455" s="10" t="s">
        <v>2436</v>
      </c>
      <c r="B455" s="10" t="s">
        <v>317</v>
      </c>
      <c r="C455" s="10" t="s">
        <v>1702</v>
      </c>
      <c r="D455" s="10" t="s">
        <v>1708</v>
      </c>
      <c r="E455" s="11">
        <v>1335</v>
      </c>
      <c r="F455" s="10" t="s">
        <v>1709</v>
      </c>
      <c r="G455" s="10" t="s">
        <v>44</v>
      </c>
      <c r="H455" s="11"/>
      <c r="I455" s="10"/>
      <c r="J455" s="10"/>
      <c r="K455" s="10" t="s">
        <v>1710</v>
      </c>
      <c r="L455" s="10"/>
      <c r="M455" s="10"/>
    </row>
    <row r="456" spans="1:13">
      <c r="A456" s="10" t="s">
        <v>2437</v>
      </c>
      <c r="B456" s="10" t="s">
        <v>318</v>
      </c>
      <c r="C456" s="10" t="s">
        <v>1713</v>
      </c>
      <c r="D456" s="10" t="s">
        <v>1708</v>
      </c>
      <c r="E456" s="11">
        <v>1335</v>
      </c>
      <c r="F456" s="10" t="s">
        <v>1709</v>
      </c>
      <c r="G456" s="10" t="s">
        <v>44</v>
      </c>
      <c r="H456" s="11"/>
      <c r="I456" s="10"/>
      <c r="J456" s="10"/>
      <c r="K456" s="10" t="s">
        <v>1710</v>
      </c>
      <c r="L456" s="10"/>
      <c r="M456" s="10"/>
    </row>
    <row r="457" spans="1:13">
      <c r="A457" s="10" t="s">
        <v>2438</v>
      </c>
      <c r="B457" s="10" t="s">
        <v>1714</v>
      </c>
      <c r="C457" s="10" t="s">
        <v>1715</v>
      </c>
      <c r="D457" s="10" t="s">
        <v>1708</v>
      </c>
      <c r="E457" s="11">
        <v>1335</v>
      </c>
      <c r="F457" s="10" t="s">
        <v>1709</v>
      </c>
      <c r="G457" s="10" t="s">
        <v>44</v>
      </c>
      <c r="H457" s="11"/>
      <c r="I457" s="10"/>
      <c r="J457" s="10"/>
      <c r="K457" s="10" t="s">
        <v>1710</v>
      </c>
      <c r="L457" s="10"/>
      <c r="M457" s="10"/>
    </row>
    <row r="458" spans="1:13">
      <c r="A458" s="10" t="s">
        <v>2445</v>
      </c>
      <c r="B458" s="10" t="s">
        <v>1741</v>
      </c>
      <c r="C458" s="10" t="s">
        <v>1742</v>
      </c>
      <c r="D458" s="10" t="s">
        <v>1743</v>
      </c>
      <c r="E458" s="11">
        <v>1458</v>
      </c>
      <c r="F458" s="10" t="s">
        <v>1744</v>
      </c>
      <c r="G458" s="10" t="s">
        <v>44</v>
      </c>
      <c r="H458" s="11">
        <v>16136567</v>
      </c>
      <c r="I458" s="10"/>
      <c r="J458" s="10"/>
      <c r="K458" s="10"/>
      <c r="L458" s="10"/>
      <c r="M458" s="10" t="s">
        <v>1745</v>
      </c>
    </row>
    <row r="459" spans="1:13">
      <c r="A459" s="10" t="s">
        <v>2452</v>
      </c>
      <c r="B459" s="10" t="s">
        <v>1780</v>
      </c>
      <c r="C459" s="10" t="s">
        <v>1781</v>
      </c>
      <c r="D459" s="10" t="s">
        <v>1782</v>
      </c>
      <c r="E459" s="11">
        <v>1468</v>
      </c>
      <c r="F459" s="10" t="s">
        <v>1783</v>
      </c>
      <c r="G459" s="10" t="s">
        <v>44</v>
      </c>
      <c r="H459" s="11"/>
      <c r="I459" s="10"/>
      <c r="J459" s="10"/>
      <c r="K459" s="10" t="s">
        <v>1784</v>
      </c>
      <c r="L459" s="10"/>
      <c r="M459" s="10"/>
    </row>
    <row r="460" spans="1:13">
      <c r="A460" s="10" t="s">
        <v>2453</v>
      </c>
      <c r="B460" s="10" t="s">
        <v>1788</v>
      </c>
      <c r="C460" s="10" t="s">
        <v>1789</v>
      </c>
      <c r="D460" s="10" t="s">
        <v>1782</v>
      </c>
      <c r="E460" s="11">
        <v>1468</v>
      </c>
      <c r="F460" s="10" t="s">
        <v>1783</v>
      </c>
      <c r="G460" s="10" t="s">
        <v>44</v>
      </c>
      <c r="H460" s="11"/>
      <c r="I460" s="10"/>
      <c r="J460" s="10"/>
      <c r="K460" s="10" t="s">
        <v>1784</v>
      </c>
      <c r="L460" s="10"/>
      <c r="M460" s="10"/>
    </row>
    <row r="461" spans="1:13">
      <c r="A461" s="10" t="s">
        <v>2452</v>
      </c>
      <c r="B461" s="10" t="s">
        <v>1780</v>
      </c>
      <c r="C461" s="10" t="s">
        <v>1781</v>
      </c>
      <c r="D461" s="10" t="s">
        <v>1785</v>
      </c>
      <c r="E461" s="11">
        <v>1470</v>
      </c>
      <c r="F461" s="10" t="s">
        <v>1786</v>
      </c>
      <c r="G461" s="10" t="s">
        <v>44</v>
      </c>
      <c r="H461" s="11"/>
      <c r="I461" s="10"/>
      <c r="J461" s="10"/>
      <c r="K461" s="10" t="s">
        <v>1787</v>
      </c>
      <c r="L461" s="10"/>
      <c r="M461" s="10"/>
    </row>
    <row r="462" spans="1:13">
      <c r="A462" s="10" t="s">
        <v>2453</v>
      </c>
      <c r="B462" s="10" t="s">
        <v>1788</v>
      </c>
      <c r="C462" s="10" t="s">
        <v>1789</v>
      </c>
      <c r="D462" s="10" t="s">
        <v>1785</v>
      </c>
      <c r="E462" s="11">
        <v>1470</v>
      </c>
      <c r="F462" s="10" t="s">
        <v>1786</v>
      </c>
      <c r="G462" s="10" t="s">
        <v>44</v>
      </c>
      <c r="H462" s="11"/>
      <c r="I462" s="10"/>
      <c r="J462" s="10"/>
      <c r="K462" s="10" t="s">
        <v>1787</v>
      </c>
      <c r="L462" s="10"/>
      <c r="M462" s="10"/>
    </row>
    <row r="463" spans="1:13">
      <c r="A463" s="10" t="s">
        <v>2456</v>
      </c>
      <c r="B463" s="10" t="s">
        <v>326</v>
      </c>
      <c r="C463" s="10" t="s">
        <v>1808</v>
      </c>
      <c r="D463" s="10" t="s">
        <v>1809</v>
      </c>
      <c r="E463" s="11">
        <v>1479</v>
      </c>
      <c r="F463" s="10" t="s">
        <v>1810</v>
      </c>
      <c r="G463" s="10" t="s">
        <v>44</v>
      </c>
      <c r="H463" s="11">
        <v>123797</v>
      </c>
      <c r="I463" s="10"/>
      <c r="J463" s="10"/>
      <c r="K463" s="10" t="s">
        <v>1811</v>
      </c>
      <c r="L463" s="10"/>
      <c r="M463" s="10"/>
    </row>
    <row r="464" spans="1:13">
      <c r="A464" s="10" t="s">
        <v>2457</v>
      </c>
      <c r="B464" s="10" t="s">
        <v>327</v>
      </c>
      <c r="C464" s="10" t="s">
        <v>1828</v>
      </c>
      <c r="D464" s="10" t="s">
        <v>1809</v>
      </c>
      <c r="E464" s="11">
        <v>1479</v>
      </c>
      <c r="F464" s="10" t="s">
        <v>1810</v>
      </c>
      <c r="G464" s="10" t="s">
        <v>44</v>
      </c>
      <c r="H464" s="11">
        <v>123797</v>
      </c>
      <c r="I464" s="10"/>
      <c r="J464" s="10"/>
      <c r="K464" s="10" t="s">
        <v>1811</v>
      </c>
      <c r="L464" s="10"/>
      <c r="M464" s="10"/>
    </row>
    <row r="465" spans="1:13">
      <c r="A465" s="10" t="s">
        <v>2458</v>
      </c>
      <c r="B465" s="10" t="s">
        <v>1829</v>
      </c>
      <c r="C465" s="10" t="s">
        <v>1830</v>
      </c>
      <c r="D465" s="10" t="s">
        <v>1831</v>
      </c>
      <c r="E465" s="11">
        <v>1490</v>
      </c>
      <c r="F465" s="10" t="s">
        <v>1832</v>
      </c>
      <c r="G465" s="10" t="s">
        <v>44</v>
      </c>
      <c r="H465" s="11"/>
      <c r="I465" s="10"/>
      <c r="J465" s="10"/>
      <c r="K465" s="10" t="s">
        <v>1833</v>
      </c>
      <c r="L465" s="10"/>
      <c r="M465" s="10"/>
    </row>
    <row r="466" spans="1:13">
      <c r="A466" s="10" t="s">
        <v>2454</v>
      </c>
      <c r="B466" s="10" t="s">
        <v>1790</v>
      </c>
      <c r="C466" s="10" t="s">
        <v>1791</v>
      </c>
      <c r="D466" s="10" t="s">
        <v>1792</v>
      </c>
      <c r="E466" s="11">
        <v>1495</v>
      </c>
      <c r="F466" s="10" t="s">
        <v>1793</v>
      </c>
      <c r="G466" s="10" t="s">
        <v>44</v>
      </c>
      <c r="H466" s="11"/>
      <c r="I466" s="10"/>
      <c r="J466" s="10"/>
      <c r="K466" s="10" t="s">
        <v>1794</v>
      </c>
      <c r="L466" s="10"/>
      <c r="M466" s="10"/>
    </row>
    <row r="467" spans="1:13">
      <c r="A467" s="10" t="s">
        <v>2455</v>
      </c>
      <c r="B467" s="10" t="s">
        <v>1806</v>
      </c>
      <c r="C467" s="10" t="s">
        <v>1807</v>
      </c>
      <c r="D467" s="10" t="s">
        <v>1792</v>
      </c>
      <c r="E467" s="11">
        <v>1495</v>
      </c>
      <c r="F467" s="10" t="s">
        <v>1793</v>
      </c>
      <c r="G467" s="10" t="s">
        <v>44</v>
      </c>
      <c r="H467" s="11"/>
      <c r="I467" s="10"/>
      <c r="J467" s="10"/>
      <c r="K467" s="10" t="s">
        <v>1794</v>
      </c>
      <c r="L467" s="10"/>
      <c r="M467" s="10"/>
    </row>
    <row r="468" spans="1:13">
      <c r="A468" s="10" t="s">
        <v>2454</v>
      </c>
      <c r="B468" s="10" t="s">
        <v>1790</v>
      </c>
      <c r="C468" s="10" t="s">
        <v>1791</v>
      </c>
      <c r="D468" s="10" t="s">
        <v>1795</v>
      </c>
      <c r="E468" s="11">
        <v>1496</v>
      </c>
      <c r="F468" s="10" t="s">
        <v>1793</v>
      </c>
      <c r="G468" s="10" t="s">
        <v>44</v>
      </c>
      <c r="H468" s="11"/>
      <c r="I468" s="10"/>
      <c r="J468" s="10"/>
      <c r="K468" s="10" t="s">
        <v>1796</v>
      </c>
      <c r="L468" s="10"/>
      <c r="M468" s="10"/>
    </row>
    <row r="469" spans="1:13">
      <c r="A469" s="10" t="s">
        <v>2455</v>
      </c>
      <c r="B469" s="10" t="s">
        <v>1806</v>
      </c>
      <c r="C469" s="10" t="s">
        <v>1807</v>
      </c>
      <c r="D469" s="10" t="s">
        <v>1795</v>
      </c>
      <c r="E469" s="11">
        <v>1496</v>
      </c>
      <c r="F469" s="10" t="s">
        <v>1793</v>
      </c>
      <c r="G469" s="10" t="s">
        <v>44</v>
      </c>
      <c r="H469" s="11"/>
      <c r="I469" s="10"/>
      <c r="J469" s="10"/>
      <c r="K469" s="10" t="s">
        <v>1796</v>
      </c>
      <c r="L469" s="10"/>
      <c r="M469" s="10"/>
    </row>
    <row r="470" spans="1:13">
      <c r="A470" s="10" t="s">
        <v>2454</v>
      </c>
      <c r="B470" s="10" t="s">
        <v>1790</v>
      </c>
      <c r="C470" s="10" t="s">
        <v>1791</v>
      </c>
      <c r="D470" s="10" t="s">
        <v>1797</v>
      </c>
      <c r="E470" s="11">
        <v>1499</v>
      </c>
      <c r="F470" s="10" t="s">
        <v>1798</v>
      </c>
      <c r="G470" s="10" t="s">
        <v>44</v>
      </c>
      <c r="H470" s="11"/>
      <c r="I470" s="10"/>
      <c r="J470" s="10"/>
      <c r="K470" s="10" t="s">
        <v>1799</v>
      </c>
      <c r="L470" s="10"/>
      <c r="M470" s="10"/>
    </row>
    <row r="471" spans="1:13">
      <c r="A471" s="10" t="s">
        <v>2454</v>
      </c>
      <c r="B471" s="10" t="s">
        <v>1790</v>
      </c>
      <c r="C471" s="10" t="s">
        <v>1791</v>
      </c>
      <c r="D471" s="10" t="s">
        <v>1800</v>
      </c>
      <c r="E471" s="11">
        <v>1500</v>
      </c>
      <c r="F471" s="10" t="s">
        <v>1798</v>
      </c>
      <c r="G471" s="10" t="s">
        <v>44</v>
      </c>
      <c r="H471" s="11"/>
      <c r="I471" s="10"/>
      <c r="J471" s="10"/>
      <c r="K471" s="10" t="s">
        <v>1801</v>
      </c>
      <c r="L471" s="10"/>
      <c r="M471" s="10"/>
    </row>
    <row r="472" spans="1:13">
      <c r="A472" s="10" t="s">
        <v>2454</v>
      </c>
      <c r="B472" s="10" t="s">
        <v>1790</v>
      </c>
      <c r="C472" s="10" t="s">
        <v>1791</v>
      </c>
      <c r="D472" s="10" t="s">
        <v>1802</v>
      </c>
      <c r="E472" s="11">
        <v>1501</v>
      </c>
      <c r="F472" s="10" t="s">
        <v>1798</v>
      </c>
      <c r="G472" s="10" t="s">
        <v>44</v>
      </c>
      <c r="H472" s="11"/>
      <c r="I472" s="10"/>
      <c r="J472" s="10"/>
      <c r="K472" s="10" t="s">
        <v>1803</v>
      </c>
      <c r="L472" s="10"/>
      <c r="M472" s="10"/>
    </row>
    <row r="473" spans="1:13">
      <c r="A473" s="10" t="s">
        <v>2455</v>
      </c>
      <c r="B473" s="10" t="s">
        <v>1806</v>
      </c>
      <c r="C473" s="10" t="s">
        <v>1807</v>
      </c>
      <c r="D473" s="10" t="s">
        <v>1802</v>
      </c>
      <c r="E473" s="11">
        <v>1501</v>
      </c>
      <c r="F473" s="10" t="s">
        <v>1798</v>
      </c>
      <c r="G473" s="10" t="s">
        <v>44</v>
      </c>
      <c r="H473" s="11"/>
      <c r="I473" s="10"/>
      <c r="J473" s="10"/>
      <c r="K473" s="10" t="s">
        <v>1803</v>
      </c>
      <c r="L473" s="10"/>
      <c r="M473" s="10"/>
    </row>
    <row r="474" spans="1:13">
      <c r="A474" s="10" t="s">
        <v>2454</v>
      </c>
      <c r="B474" s="10" t="s">
        <v>1790</v>
      </c>
      <c r="C474" s="10" t="s">
        <v>1791</v>
      </c>
      <c r="D474" s="10" t="s">
        <v>1804</v>
      </c>
      <c r="E474" s="11">
        <v>1502</v>
      </c>
      <c r="F474" s="10" t="s">
        <v>1798</v>
      </c>
      <c r="G474" s="10" t="s">
        <v>44</v>
      </c>
      <c r="H474" s="11"/>
      <c r="I474" s="10"/>
      <c r="J474" s="10"/>
      <c r="K474" s="10" t="s">
        <v>1805</v>
      </c>
      <c r="L474" s="10"/>
      <c r="M474" s="10"/>
    </row>
    <row r="475" spans="1:13">
      <c r="A475" s="10" t="s">
        <v>2455</v>
      </c>
      <c r="B475" s="10" t="s">
        <v>1806</v>
      </c>
      <c r="C475" s="10" t="s">
        <v>1807</v>
      </c>
      <c r="D475" s="10" t="s">
        <v>1804</v>
      </c>
      <c r="E475" s="11">
        <v>1502</v>
      </c>
      <c r="F475" s="10" t="s">
        <v>1798</v>
      </c>
      <c r="G475" s="10" t="s">
        <v>44</v>
      </c>
      <c r="H475" s="11"/>
      <c r="I475" s="10"/>
      <c r="J475" s="10"/>
      <c r="K475" s="10" t="s">
        <v>1805</v>
      </c>
      <c r="L475" s="10"/>
      <c r="M475" s="10"/>
    </row>
    <row r="476" spans="1:13">
      <c r="A476" s="10" t="s">
        <v>2459</v>
      </c>
      <c r="B476" s="10" t="s">
        <v>328</v>
      </c>
      <c r="C476" s="10" t="s">
        <v>1834</v>
      </c>
      <c r="D476" s="10" t="s">
        <v>1835</v>
      </c>
      <c r="E476" s="11">
        <v>1504</v>
      </c>
      <c r="F476" s="10" t="s">
        <v>1836</v>
      </c>
      <c r="G476" s="10" t="s">
        <v>44</v>
      </c>
      <c r="H476" s="11">
        <v>44288922</v>
      </c>
      <c r="I476" s="10"/>
      <c r="J476" s="10"/>
      <c r="K476" s="10" t="s">
        <v>1837</v>
      </c>
      <c r="L476" s="10"/>
      <c r="M476" s="10" t="s">
        <v>1838</v>
      </c>
    </row>
    <row r="477" spans="1:13">
      <c r="A477" s="10" t="s">
        <v>2460</v>
      </c>
      <c r="B477" s="10" t="s">
        <v>1845</v>
      </c>
      <c r="C477" s="10" t="s">
        <v>1846</v>
      </c>
      <c r="D477" s="10" t="s">
        <v>1835</v>
      </c>
      <c r="E477" s="11">
        <v>1504</v>
      </c>
      <c r="F477" s="10" t="s">
        <v>1836</v>
      </c>
      <c r="G477" s="10" t="s">
        <v>44</v>
      </c>
      <c r="H477" s="11">
        <v>44288922</v>
      </c>
      <c r="I477" s="10"/>
      <c r="J477" s="10"/>
      <c r="K477" s="10" t="s">
        <v>1837</v>
      </c>
      <c r="L477" s="10"/>
      <c r="M477" s="10" t="s">
        <v>1838</v>
      </c>
    </row>
    <row r="478" spans="1:13">
      <c r="A478" s="10" t="s">
        <v>2461</v>
      </c>
      <c r="B478" s="10" t="s">
        <v>1851</v>
      </c>
      <c r="C478" s="10" t="s">
        <v>1852</v>
      </c>
      <c r="D478" s="10" t="s">
        <v>1835</v>
      </c>
      <c r="E478" s="11">
        <v>1504</v>
      </c>
      <c r="F478" s="10" t="s">
        <v>1836</v>
      </c>
      <c r="G478" s="10" t="s">
        <v>44</v>
      </c>
      <c r="H478" s="11">
        <v>44288922</v>
      </c>
      <c r="I478" s="10"/>
      <c r="J478" s="10"/>
      <c r="K478" s="10" t="s">
        <v>1837</v>
      </c>
      <c r="L478" s="10"/>
      <c r="M478" s="10" t="s">
        <v>1838</v>
      </c>
    </row>
    <row r="479" spans="1:13">
      <c r="A479" s="10" t="s">
        <v>2462</v>
      </c>
      <c r="B479" s="10" t="s">
        <v>329</v>
      </c>
      <c r="C479" s="10" t="s">
        <v>1853</v>
      </c>
      <c r="D479" s="10" t="s">
        <v>1835</v>
      </c>
      <c r="E479" s="11">
        <v>1504</v>
      </c>
      <c r="F479" s="10" t="s">
        <v>1836</v>
      </c>
      <c r="G479" s="10" t="s">
        <v>44</v>
      </c>
      <c r="H479" s="11">
        <v>44288922</v>
      </c>
      <c r="I479" s="10"/>
      <c r="J479" s="10"/>
      <c r="K479" s="10" t="s">
        <v>1837</v>
      </c>
      <c r="L479" s="10"/>
      <c r="M479" s="10" t="s">
        <v>1838</v>
      </c>
    </row>
    <row r="480" spans="1:13">
      <c r="A480" s="10" t="s">
        <v>2497</v>
      </c>
      <c r="B480" s="10" t="s">
        <v>2102</v>
      </c>
      <c r="C480" s="10" t="s">
        <v>2103</v>
      </c>
      <c r="D480" s="10" t="s">
        <v>1835</v>
      </c>
      <c r="E480" s="11">
        <v>1504</v>
      </c>
      <c r="F480" s="10" t="s">
        <v>1836</v>
      </c>
      <c r="G480" s="10" t="s">
        <v>44</v>
      </c>
      <c r="H480" s="11">
        <v>44288922</v>
      </c>
      <c r="I480" s="10"/>
      <c r="J480" s="10"/>
      <c r="K480" s="10" t="s">
        <v>1837</v>
      </c>
      <c r="L480" s="10"/>
      <c r="M480" s="10" t="s">
        <v>1838</v>
      </c>
    </row>
    <row r="481" spans="1:13">
      <c r="A481" s="10" t="s">
        <v>2459</v>
      </c>
      <c r="B481" s="10" t="s">
        <v>328</v>
      </c>
      <c r="C481" s="10" t="s">
        <v>1834</v>
      </c>
      <c r="D481" s="10" t="s">
        <v>1839</v>
      </c>
      <c r="E481" s="11">
        <v>1512</v>
      </c>
      <c r="F481" s="10" t="s">
        <v>1840</v>
      </c>
      <c r="G481" s="10" t="s">
        <v>44</v>
      </c>
      <c r="H481" s="11"/>
      <c r="I481" s="10"/>
      <c r="J481" s="10"/>
      <c r="K481" s="10" t="s">
        <v>1841</v>
      </c>
      <c r="L481" s="10"/>
      <c r="M481" s="10"/>
    </row>
    <row r="482" spans="1:13">
      <c r="A482" s="10" t="s">
        <v>2460</v>
      </c>
      <c r="B482" s="10" t="s">
        <v>1845</v>
      </c>
      <c r="C482" s="10" t="s">
        <v>1846</v>
      </c>
      <c r="D482" s="10" t="s">
        <v>1839</v>
      </c>
      <c r="E482" s="11">
        <v>1512</v>
      </c>
      <c r="F482" s="10" t="s">
        <v>1840</v>
      </c>
      <c r="G482" s="10" t="s">
        <v>44</v>
      </c>
      <c r="H482" s="11"/>
      <c r="I482" s="10"/>
      <c r="J482" s="10"/>
      <c r="K482" s="10" t="s">
        <v>1841</v>
      </c>
      <c r="L482" s="10"/>
      <c r="M482" s="10"/>
    </row>
    <row r="483" spans="1:13">
      <c r="A483" s="10" t="s">
        <v>2461</v>
      </c>
      <c r="B483" s="10" t="s">
        <v>1851</v>
      </c>
      <c r="C483" s="10" t="s">
        <v>1852</v>
      </c>
      <c r="D483" s="10" t="s">
        <v>1839</v>
      </c>
      <c r="E483" s="11">
        <v>1512</v>
      </c>
      <c r="F483" s="10" t="s">
        <v>1840</v>
      </c>
      <c r="G483" s="10" t="s">
        <v>44</v>
      </c>
      <c r="H483" s="11"/>
      <c r="I483" s="10"/>
      <c r="J483" s="10"/>
      <c r="K483" s="10" t="s">
        <v>1841</v>
      </c>
      <c r="L483" s="10"/>
      <c r="M483" s="10"/>
    </row>
    <row r="484" spans="1:13">
      <c r="A484" s="10" t="s">
        <v>2462</v>
      </c>
      <c r="B484" s="10" t="s">
        <v>329</v>
      </c>
      <c r="C484" s="10" t="s">
        <v>1853</v>
      </c>
      <c r="D484" s="10" t="s">
        <v>1839</v>
      </c>
      <c r="E484" s="11">
        <v>1512</v>
      </c>
      <c r="F484" s="10" t="s">
        <v>1840</v>
      </c>
      <c r="G484" s="10" t="s">
        <v>44</v>
      </c>
      <c r="H484" s="11"/>
      <c r="I484" s="10"/>
      <c r="J484" s="10"/>
      <c r="K484" s="10" t="s">
        <v>1841</v>
      </c>
      <c r="L484" s="10"/>
      <c r="M484" s="10"/>
    </row>
    <row r="485" spans="1:13">
      <c r="A485" s="10" t="s">
        <v>2459</v>
      </c>
      <c r="B485" s="10" t="s">
        <v>328</v>
      </c>
      <c r="C485" s="10" t="s">
        <v>1834</v>
      </c>
      <c r="D485" s="10" t="s">
        <v>1842</v>
      </c>
      <c r="E485" s="11">
        <v>1514</v>
      </c>
      <c r="F485" s="10" t="s">
        <v>1843</v>
      </c>
      <c r="G485" s="10" t="s">
        <v>44</v>
      </c>
      <c r="H485" s="11"/>
      <c r="I485" s="10"/>
      <c r="J485" s="10"/>
      <c r="K485" s="10" t="s">
        <v>1844</v>
      </c>
      <c r="L485" s="10"/>
      <c r="M485" s="10"/>
    </row>
    <row r="486" spans="1:13">
      <c r="A486" s="10" t="s">
        <v>2460</v>
      </c>
      <c r="B486" s="10" t="s">
        <v>1845</v>
      </c>
      <c r="C486" s="10" t="s">
        <v>1846</v>
      </c>
      <c r="D486" s="10" t="s">
        <v>1842</v>
      </c>
      <c r="E486" s="11">
        <v>1514</v>
      </c>
      <c r="F486" s="10" t="s">
        <v>1843</v>
      </c>
      <c r="G486" s="10" t="s">
        <v>44</v>
      </c>
      <c r="H486" s="11"/>
      <c r="I486" s="10"/>
      <c r="J486" s="10"/>
      <c r="K486" s="10" t="s">
        <v>1844</v>
      </c>
      <c r="L486" s="10"/>
      <c r="M486" s="10"/>
    </row>
    <row r="487" spans="1:13">
      <c r="A487" s="10" t="s">
        <v>2461</v>
      </c>
      <c r="B487" s="10" t="s">
        <v>1851</v>
      </c>
      <c r="C487" s="10" t="s">
        <v>1852</v>
      </c>
      <c r="D487" s="10" t="s">
        <v>1842</v>
      </c>
      <c r="E487" s="11">
        <v>1514</v>
      </c>
      <c r="F487" s="10" t="s">
        <v>1843</v>
      </c>
      <c r="G487" s="10" t="s">
        <v>44</v>
      </c>
      <c r="H487" s="11"/>
      <c r="I487" s="10"/>
      <c r="J487" s="10"/>
      <c r="K487" s="10" t="s">
        <v>1844</v>
      </c>
      <c r="L487" s="10"/>
      <c r="M487" s="10"/>
    </row>
    <row r="488" spans="1:13">
      <c r="A488" s="10" t="s">
        <v>2462</v>
      </c>
      <c r="B488" s="10" t="s">
        <v>329</v>
      </c>
      <c r="C488" s="10" t="s">
        <v>1853</v>
      </c>
      <c r="D488" s="10" t="s">
        <v>1842</v>
      </c>
      <c r="E488" s="11">
        <v>1514</v>
      </c>
      <c r="F488" s="10" t="s">
        <v>1843</v>
      </c>
      <c r="G488" s="10" t="s">
        <v>44</v>
      </c>
      <c r="H488" s="11"/>
      <c r="I488" s="10"/>
      <c r="J488" s="10"/>
      <c r="K488" s="10" t="s">
        <v>1844</v>
      </c>
      <c r="L488" s="10"/>
      <c r="M488" s="10"/>
    </row>
    <row r="489" spans="1:13">
      <c r="A489" s="10" t="s">
        <v>2460</v>
      </c>
      <c r="B489" s="10" t="s">
        <v>1845</v>
      </c>
      <c r="C489" s="10" t="s">
        <v>1846</v>
      </c>
      <c r="D489" s="10" t="s">
        <v>1847</v>
      </c>
      <c r="E489" s="11">
        <v>1517</v>
      </c>
      <c r="F489" s="10" t="s">
        <v>1843</v>
      </c>
      <c r="G489" s="10" t="s">
        <v>44</v>
      </c>
      <c r="H489" s="11"/>
      <c r="I489" s="10"/>
      <c r="J489" s="10"/>
      <c r="K489" s="10" t="s">
        <v>1848</v>
      </c>
      <c r="L489" s="10"/>
      <c r="M489" s="10"/>
    </row>
    <row r="490" spans="1:13">
      <c r="A490" s="10" t="s">
        <v>2463</v>
      </c>
      <c r="B490" s="10" t="s">
        <v>1854</v>
      </c>
      <c r="C490" s="10" t="s">
        <v>1855</v>
      </c>
      <c r="D490" s="10" t="s">
        <v>1856</v>
      </c>
      <c r="E490" s="11">
        <v>1576</v>
      </c>
      <c r="F490" s="10" t="s">
        <v>1857</v>
      </c>
      <c r="G490" s="10" t="s">
        <v>44</v>
      </c>
      <c r="H490" s="11"/>
      <c r="I490" s="10"/>
      <c r="J490" s="10"/>
      <c r="K490" s="10" t="s">
        <v>1858</v>
      </c>
      <c r="L490" s="10"/>
      <c r="M490" s="10"/>
    </row>
    <row r="491" spans="1:13">
      <c r="A491" s="10" t="s">
        <v>2463</v>
      </c>
      <c r="B491" s="10" t="s">
        <v>1854</v>
      </c>
      <c r="C491" s="10" t="s">
        <v>1855</v>
      </c>
      <c r="D491" s="10" t="s">
        <v>1859</v>
      </c>
      <c r="E491" s="11">
        <v>1577</v>
      </c>
      <c r="F491" s="10"/>
      <c r="G491" s="10" t="s">
        <v>44</v>
      </c>
      <c r="H491" s="11"/>
      <c r="I491" s="10"/>
      <c r="J491" s="10"/>
      <c r="K491" s="10" t="s">
        <v>1860</v>
      </c>
      <c r="L491" s="10"/>
      <c r="M491" s="10"/>
    </row>
    <row r="492" spans="1:13">
      <c r="A492" s="10" t="s">
        <v>2463</v>
      </c>
      <c r="B492" s="10" t="s">
        <v>1854</v>
      </c>
      <c r="C492" s="10" t="s">
        <v>1855</v>
      </c>
      <c r="D492" s="10" t="s">
        <v>1861</v>
      </c>
      <c r="E492" s="11">
        <v>1579</v>
      </c>
      <c r="F492" s="10" t="s">
        <v>1862</v>
      </c>
      <c r="G492" s="10" t="s">
        <v>44</v>
      </c>
      <c r="H492" s="11">
        <v>25077406</v>
      </c>
      <c r="I492" s="10" t="s">
        <v>1863</v>
      </c>
      <c r="J492" s="10"/>
      <c r="K492" s="10" t="s">
        <v>1864</v>
      </c>
      <c r="L492" s="10"/>
      <c r="M492" s="10" t="s">
        <v>1865</v>
      </c>
    </row>
    <row r="493" spans="1:13">
      <c r="A493" s="10" t="s">
        <v>2464</v>
      </c>
      <c r="B493" s="10" t="s">
        <v>1867</v>
      </c>
      <c r="C493" s="10" t="s">
        <v>1868</v>
      </c>
      <c r="D493" s="10" t="s">
        <v>1861</v>
      </c>
      <c r="E493" s="11">
        <v>1579</v>
      </c>
      <c r="F493" s="10" t="s">
        <v>1862</v>
      </c>
      <c r="G493" s="10" t="s">
        <v>44</v>
      </c>
      <c r="H493" s="11">
        <v>25077406</v>
      </c>
      <c r="I493" s="10" t="s">
        <v>1863</v>
      </c>
      <c r="J493" s="10"/>
      <c r="K493" s="10" t="s">
        <v>1864</v>
      </c>
      <c r="L493" s="10"/>
      <c r="M493" s="10" t="s">
        <v>1865</v>
      </c>
    </row>
    <row r="494" spans="1:13">
      <c r="A494" s="10" t="s">
        <v>2464</v>
      </c>
      <c r="B494" s="10" t="s">
        <v>1867</v>
      </c>
      <c r="C494" s="10" t="s">
        <v>1868</v>
      </c>
      <c r="D494" s="10" t="s">
        <v>1869</v>
      </c>
      <c r="E494" s="11">
        <v>1587</v>
      </c>
      <c r="F494" s="10" t="s">
        <v>1870</v>
      </c>
      <c r="G494" s="10" t="s">
        <v>44</v>
      </c>
      <c r="H494" s="11">
        <v>16131039</v>
      </c>
      <c r="I494" s="10"/>
      <c r="J494" s="10"/>
      <c r="K494" s="10" t="s">
        <v>1871</v>
      </c>
      <c r="L494" s="10"/>
      <c r="M494" s="10" t="s">
        <v>1872</v>
      </c>
    </row>
    <row r="495" spans="1:13">
      <c r="A495" s="10" t="s">
        <v>2465</v>
      </c>
      <c r="B495" s="10" t="s">
        <v>330</v>
      </c>
      <c r="C495" s="10" t="s">
        <v>1873</v>
      </c>
      <c r="D495" s="10" t="s">
        <v>1874</v>
      </c>
      <c r="E495" s="11">
        <v>1600</v>
      </c>
      <c r="F495" s="10" t="s">
        <v>1875</v>
      </c>
      <c r="G495" s="10" t="s">
        <v>44</v>
      </c>
      <c r="H495" s="11"/>
      <c r="I495" s="10"/>
      <c r="J495" s="10"/>
      <c r="K495" s="10"/>
      <c r="L495" s="10"/>
      <c r="M495" s="10"/>
    </row>
    <row r="496" spans="1:13">
      <c r="A496" s="10" t="s">
        <v>2466</v>
      </c>
      <c r="B496" s="10" t="s">
        <v>331</v>
      </c>
      <c r="C496" s="10" t="s">
        <v>1901</v>
      </c>
      <c r="D496" s="10" t="s">
        <v>1874</v>
      </c>
      <c r="E496" s="11">
        <v>1600</v>
      </c>
      <c r="F496" s="10" t="s">
        <v>1875</v>
      </c>
      <c r="G496" s="10" t="s">
        <v>44</v>
      </c>
      <c r="H496" s="11"/>
      <c r="I496" s="10"/>
      <c r="J496" s="10"/>
      <c r="K496" s="10"/>
      <c r="L496" s="10"/>
      <c r="M496" s="10"/>
    </row>
    <row r="497" spans="1:13">
      <c r="A497" s="10" t="s">
        <v>2465</v>
      </c>
      <c r="B497" s="10" t="s">
        <v>330</v>
      </c>
      <c r="C497" s="10" t="s">
        <v>1873</v>
      </c>
      <c r="D497" s="10" t="s">
        <v>1876</v>
      </c>
      <c r="E497" s="11">
        <v>1613</v>
      </c>
      <c r="F497" s="10" t="s">
        <v>1877</v>
      </c>
      <c r="G497" s="10" t="s">
        <v>44</v>
      </c>
      <c r="H497" s="11">
        <v>3903</v>
      </c>
      <c r="I497" s="10" t="s">
        <v>1878</v>
      </c>
      <c r="J497" s="10"/>
      <c r="K497" s="10" t="s">
        <v>1879</v>
      </c>
      <c r="L497" s="10"/>
      <c r="M497" s="10" t="s">
        <v>1880</v>
      </c>
    </row>
    <row r="498" spans="1:13">
      <c r="A498" s="10" t="s">
        <v>2466</v>
      </c>
      <c r="B498" s="10" t="s">
        <v>331</v>
      </c>
      <c r="C498" s="10" t="s">
        <v>1901</v>
      </c>
      <c r="D498" s="10" t="s">
        <v>1876</v>
      </c>
      <c r="E498" s="11">
        <v>1613</v>
      </c>
      <c r="F498" s="10" t="s">
        <v>1877</v>
      </c>
      <c r="G498" s="10" t="s">
        <v>44</v>
      </c>
      <c r="H498" s="11">
        <v>3903</v>
      </c>
      <c r="I498" s="10" t="s">
        <v>1878</v>
      </c>
      <c r="J498" s="10"/>
      <c r="K498" s="10" t="s">
        <v>1879</v>
      </c>
      <c r="L498" s="10"/>
      <c r="M498" s="10" t="s">
        <v>1880</v>
      </c>
    </row>
    <row r="499" spans="1:13">
      <c r="A499" s="10" t="s">
        <v>2467</v>
      </c>
      <c r="B499" s="10" t="s">
        <v>332</v>
      </c>
      <c r="C499" s="10" t="s">
        <v>1905</v>
      </c>
      <c r="D499" s="10" t="s">
        <v>1876</v>
      </c>
      <c r="E499" s="11">
        <v>1613</v>
      </c>
      <c r="F499" s="10" t="s">
        <v>1877</v>
      </c>
      <c r="G499" s="10" t="s">
        <v>44</v>
      </c>
      <c r="H499" s="11">
        <v>3903</v>
      </c>
      <c r="I499" s="10" t="s">
        <v>1878</v>
      </c>
      <c r="J499" s="10"/>
      <c r="K499" s="10" t="s">
        <v>1879</v>
      </c>
      <c r="L499" s="10"/>
      <c r="M499" s="10" t="s">
        <v>1880</v>
      </c>
    </row>
    <row r="500" spans="1:13">
      <c r="A500" s="10" t="s">
        <v>2465</v>
      </c>
      <c r="B500" s="10" t="s">
        <v>330</v>
      </c>
      <c r="C500" s="10" t="s">
        <v>1873</v>
      </c>
      <c r="D500" s="10" t="s">
        <v>1881</v>
      </c>
      <c r="E500" s="11">
        <v>1614</v>
      </c>
      <c r="F500" s="10" t="s">
        <v>1877</v>
      </c>
      <c r="G500" s="10" t="s">
        <v>44</v>
      </c>
      <c r="H500" s="11">
        <v>443363</v>
      </c>
      <c r="I500" s="10" t="s">
        <v>1882</v>
      </c>
      <c r="J500" s="10" t="s">
        <v>1883</v>
      </c>
      <c r="K500" s="10" t="s">
        <v>1884</v>
      </c>
      <c r="L500" s="10"/>
      <c r="M500" s="10" t="s">
        <v>1885</v>
      </c>
    </row>
    <row r="501" spans="1:13">
      <c r="A501" s="10" t="s">
        <v>2466</v>
      </c>
      <c r="B501" s="10" t="s">
        <v>331</v>
      </c>
      <c r="C501" s="10" t="s">
        <v>1901</v>
      </c>
      <c r="D501" s="10" t="s">
        <v>1881</v>
      </c>
      <c r="E501" s="11">
        <v>1614</v>
      </c>
      <c r="F501" s="10" t="s">
        <v>1877</v>
      </c>
      <c r="G501" s="10" t="s">
        <v>44</v>
      </c>
      <c r="H501" s="11">
        <v>443363</v>
      </c>
      <c r="I501" s="10" t="s">
        <v>1882</v>
      </c>
      <c r="J501" s="10" t="s">
        <v>1883</v>
      </c>
      <c r="K501" s="10" t="s">
        <v>1884</v>
      </c>
      <c r="L501" s="10"/>
      <c r="M501" s="10" t="s">
        <v>1885</v>
      </c>
    </row>
    <row r="502" spans="1:13">
      <c r="A502" s="10" t="s">
        <v>2467</v>
      </c>
      <c r="B502" s="10" t="s">
        <v>332</v>
      </c>
      <c r="C502" s="10" t="s">
        <v>1905</v>
      </c>
      <c r="D502" s="10" t="s">
        <v>1881</v>
      </c>
      <c r="E502" s="11">
        <v>1614</v>
      </c>
      <c r="F502" s="10" t="s">
        <v>1877</v>
      </c>
      <c r="G502" s="10" t="s">
        <v>44</v>
      </c>
      <c r="H502" s="11">
        <v>443363</v>
      </c>
      <c r="I502" s="10" t="s">
        <v>1882</v>
      </c>
      <c r="J502" s="10" t="s">
        <v>1883</v>
      </c>
      <c r="K502" s="10" t="s">
        <v>1884</v>
      </c>
      <c r="L502" s="10"/>
      <c r="M502" s="10" t="s">
        <v>1885</v>
      </c>
    </row>
    <row r="503" spans="1:13">
      <c r="A503" s="10" t="s">
        <v>2465</v>
      </c>
      <c r="B503" s="10" t="s">
        <v>330</v>
      </c>
      <c r="C503" s="10" t="s">
        <v>1873</v>
      </c>
      <c r="D503" s="10" t="s">
        <v>1886</v>
      </c>
      <c r="E503" s="11">
        <v>1619</v>
      </c>
      <c r="F503" s="10" t="s">
        <v>1875</v>
      </c>
      <c r="G503" s="10" t="s">
        <v>44</v>
      </c>
      <c r="H503" s="11">
        <v>25077992</v>
      </c>
      <c r="I503" s="10"/>
      <c r="J503" s="10"/>
      <c r="K503" s="10" t="s">
        <v>1887</v>
      </c>
      <c r="L503" s="10"/>
      <c r="M503" s="10"/>
    </row>
    <row r="504" spans="1:13">
      <c r="A504" s="10" t="s">
        <v>2466</v>
      </c>
      <c r="B504" s="10" t="s">
        <v>331</v>
      </c>
      <c r="C504" s="10" t="s">
        <v>1901</v>
      </c>
      <c r="D504" s="10" t="s">
        <v>1886</v>
      </c>
      <c r="E504" s="11">
        <v>1619</v>
      </c>
      <c r="F504" s="10" t="s">
        <v>1875</v>
      </c>
      <c r="G504" s="10" t="s">
        <v>44</v>
      </c>
      <c r="H504" s="11">
        <v>25077992</v>
      </c>
      <c r="I504" s="10"/>
      <c r="J504" s="10"/>
      <c r="K504" s="10" t="s">
        <v>1887</v>
      </c>
      <c r="L504" s="10"/>
      <c r="M504" s="10"/>
    </row>
    <row r="505" spans="1:13">
      <c r="A505" s="10" t="s">
        <v>2467</v>
      </c>
      <c r="B505" s="10" t="s">
        <v>332</v>
      </c>
      <c r="C505" s="10" t="s">
        <v>1905</v>
      </c>
      <c r="D505" s="10" t="s">
        <v>1886</v>
      </c>
      <c r="E505" s="11">
        <v>1619</v>
      </c>
      <c r="F505" s="10" t="s">
        <v>1875</v>
      </c>
      <c r="G505" s="10" t="s">
        <v>44</v>
      </c>
      <c r="H505" s="11">
        <v>25077992</v>
      </c>
      <c r="I505" s="10"/>
      <c r="J505" s="10"/>
      <c r="K505" s="10" t="s">
        <v>1887</v>
      </c>
      <c r="L505" s="10"/>
      <c r="M505" s="10"/>
    </row>
    <row r="506" spans="1:13">
      <c r="A506" s="10" t="s">
        <v>2465</v>
      </c>
      <c r="B506" s="10" t="s">
        <v>330</v>
      </c>
      <c r="C506" s="10" t="s">
        <v>1873</v>
      </c>
      <c r="D506" s="10" t="s">
        <v>1888</v>
      </c>
      <c r="E506" s="11">
        <v>1620</v>
      </c>
      <c r="F506" s="10" t="s">
        <v>1875</v>
      </c>
      <c r="G506" s="10" t="s">
        <v>44</v>
      </c>
      <c r="H506" s="11">
        <v>16133805</v>
      </c>
      <c r="I506" s="10"/>
      <c r="J506" s="10"/>
      <c r="K506" s="10" t="s">
        <v>1889</v>
      </c>
      <c r="L506" s="10"/>
      <c r="M506" s="10"/>
    </row>
    <row r="507" spans="1:13">
      <c r="A507" s="10" t="s">
        <v>2466</v>
      </c>
      <c r="B507" s="10" t="s">
        <v>331</v>
      </c>
      <c r="C507" s="10" t="s">
        <v>1901</v>
      </c>
      <c r="D507" s="10" t="s">
        <v>1888</v>
      </c>
      <c r="E507" s="11">
        <v>1620</v>
      </c>
      <c r="F507" s="10" t="s">
        <v>1875</v>
      </c>
      <c r="G507" s="10" t="s">
        <v>44</v>
      </c>
      <c r="H507" s="11">
        <v>16133805</v>
      </c>
      <c r="I507" s="10"/>
      <c r="J507" s="10"/>
      <c r="K507" s="10" t="s">
        <v>1889</v>
      </c>
      <c r="L507" s="10"/>
      <c r="M507" s="10"/>
    </row>
    <row r="508" spans="1:13">
      <c r="A508" s="10" t="s">
        <v>2467</v>
      </c>
      <c r="B508" s="10" t="s">
        <v>332</v>
      </c>
      <c r="C508" s="10" t="s">
        <v>1905</v>
      </c>
      <c r="D508" s="10" t="s">
        <v>1888</v>
      </c>
      <c r="E508" s="11">
        <v>1620</v>
      </c>
      <c r="F508" s="10" t="s">
        <v>1875</v>
      </c>
      <c r="G508" s="10" t="s">
        <v>44</v>
      </c>
      <c r="H508" s="11">
        <v>16133805</v>
      </c>
      <c r="I508" s="10"/>
      <c r="J508" s="10"/>
      <c r="K508" s="10" t="s">
        <v>1889</v>
      </c>
      <c r="L508" s="10"/>
      <c r="M508" s="10"/>
    </row>
    <row r="509" spans="1:13">
      <c r="A509" s="10" t="s">
        <v>2465</v>
      </c>
      <c r="B509" s="10" t="s">
        <v>330</v>
      </c>
      <c r="C509" s="10" t="s">
        <v>1873</v>
      </c>
      <c r="D509" s="10" t="s">
        <v>1890</v>
      </c>
      <c r="E509" s="11">
        <v>1621</v>
      </c>
      <c r="F509" s="10" t="s">
        <v>1875</v>
      </c>
      <c r="G509" s="10" t="s">
        <v>44</v>
      </c>
      <c r="H509" s="11">
        <v>108135</v>
      </c>
      <c r="I509" s="10"/>
      <c r="J509" s="10"/>
      <c r="K509" s="10" t="s">
        <v>1891</v>
      </c>
      <c r="L509" s="10"/>
      <c r="M509" s="10"/>
    </row>
    <row r="510" spans="1:13">
      <c r="A510" s="10" t="s">
        <v>2466</v>
      </c>
      <c r="B510" s="10" t="s">
        <v>331</v>
      </c>
      <c r="C510" s="10" t="s">
        <v>1901</v>
      </c>
      <c r="D510" s="10" t="s">
        <v>1890</v>
      </c>
      <c r="E510" s="11">
        <v>1621</v>
      </c>
      <c r="F510" s="10" t="s">
        <v>1875</v>
      </c>
      <c r="G510" s="10" t="s">
        <v>44</v>
      </c>
      <c r="H510" s="11">
        <v>108135</v>
      </c>
      <c r="I510" s="10"/>
      <c r="J510" s="10"/>
      <c r="K510" s="10" t="s">
        <v>1891</v>
      </c>
      <c r="L510" s="10"/>
      <c r="M510" s="10"/>
    </row>
    <row r="511" spans="1:13">
      <c r="A511" s="10" t="s">
        <v>2467</v>
      </c>
      <c r="B511" s="10" t="s">
        <v>332</v>
      </c>
      <c r="C511" s="10" t="s">
        <v>1905</v>
      </c>
      <c r="D511" s="10" t="s">
        <v>1890</v>
      </c>
      <c r="E511" s="11">
        <v>1621</v>
      </c>
      <c r="F511" s="10" t="s">
        <v>1875</v>
      </c>
      <c r="G511" s="10" t="s">
        <v>44</v>
      </c>
      <c r="H511" s="11">
        <v>108135</v>
      </c>
      <c r="I511" s="10"/>
      <c r="J511" s="10"/>
      <c r="K511" s="10" t="s">
        <v>1891</v>
      </c>
      <c r="L511" s="10"/>
      <c r="M511" s="10"/>
    </row>
    <row r="512" spans="1:13">
      <c r="A512" s="10" t="s">
        <v>2465</v>
      </c>
      <c r="B512" s="10" t="s">
        <v>330</v>
      </c>
      <c r="C512" s="10" t="s">
        <v>1873</v>
      </c>
      <c r="D512" s="10" t="s">
        <v>1892</v>
      </c>
      <c r="E512" s="11">
        <v>1622</v>
      </c>
      <c r="F512" s="10" t="s">
        <v>1875</v>
      </c>
      <c r="G512" s="10" t="s">
        <v>44</v>
      </c>
      <c r="H512" s="11">
        <v>25075991</v>
      </c>
      <c r="I512" s="10" t="s">
        <v>1893</v>
      </c>
      <c r="J512" s="10"/>
      <c r="K512" s="10" t="s">
        <v>1894</v>
      </c>
      <c r="L512" s="10"/>
      <c r="M512" s="10" t="s">
        <v>1895</v>
      </c>
    </row>
    <row r="513" spans="1:13">
      <c r="A513" s="10" t="s">
        <v>2466</v>
      </c>
      <c r="B513" s="10" t="s">
        <v>331</v>
      </c>
      <c r="C513" s="10" t="s">
        <v>1901</v>
      </c>
      <c r="D513" s="10" t="s">
        <v>1892</v>
      </c>
      <c r="E513" s="11">
        <v>1622</v>
      </c>
      <c r="F513" s="10" t="s">
        <v>1875</v>
      </c>
      <c r="G513" s="10" t="s">
        <v>44</v>
      </c>
      <c r="H513" s="11">
        <v>25075991</v>
      </c>
      <c r="I513" s="10" t="s">
        <v>1893</v>
      </c>
      <c r="J513" s="10"/>
      <c r="K513" s="10" t="s">
        <v>1894</v>
      </c>
      <c r="L513" s="10"/>
      <c r="M513" s="10" t="s">
        <v>1895</v>
      </c>
    </row>
    <row r="514" spans="1:13">
      <c r="A514" s="10" t="s">
        <v>2467</v>
      </c>
      <c r="B514" s="10" t="s">
        <v>332</v>
      </c>
      <c r="C514" s="10" t="s">
        <v>1905</v>
      </c>
      <c r="D514" s="10" t="s">
        <v>1892</v>
      </c>
      <c r="E514" s="11">
        <v>1622</v>
      </c>
      <c r="F514" s="10" t="s">
        <v>1875</v>
      </c>
      <c r="G514" s="10" t="s">
        <v>44</v>
      </c>
      <c r="H514" s="11">
        <v>25075991</v>
      </c>
      <c r="I514" s="10" t="s">
        <v>1893</v>
      </c>
      <c r="J514" s="10"/>
      <c r="K514" s="10" t="s">
        <v>1894</v>
      </c>
      <c r="L514" s="10"/>
      <c r="M514" s="10" t="s">
        <v>1895</v>
      </c>
    </row>
    <row r="515" spans="1:13">
      <c r="A515" s="10" t="s">
        <v>2465</v>
      </c>
      <c r="B515" s="10" t="s">
        <v>330</v>
      </c>
      <c r="C515" s="10" t="s">
        <v>1873</v>
      </c>
      <c r="D515" s="10" t="s">
        <v>1896</v>
      </c>
      <c r="E515" s="11">
        <v>1623</v>
      </c>
      <c r="F515" s="10"/>
      <c r="G515" s="10" t="s">
        <v>44</v>
      </c>
      <c r="H515" s="11">
        <v>5311080</v>
      </c>
      <c r="I515" s="10" t="s">
        <v>1897</v>
      </c>
      <c r="J515" s="10"/>
      <c r="K515" s="10"/>
      <c r="L515" s="10"/>
      <c r="M515" s="10" t="s">
        <v>1898</v>
      </c>
    </row>
    <row r="516" spans="1:13">
      <c r="A516" s="10" t="s">
        <v>2467</v>
      </c>
      <c r="B516" s="10" t="s">
        <v>332</v>
      </c>
      <c r="C516" s="10" t="s">
        <v>1905</v>
      </c>
      <c r="D516" s="10" t="s">
        <v>1896</v>
      </c>
      <c r="E516" s="11">
        <v>1623</v>
      </c>
      <c r="F516" s="10"/>
      <c r="G516" s="10" t="s">
        <v>44</v>
      </c>
      <c r="H516" s="11">
        <v>5311080</v>
      </c>
      <c r="I516" s="10" t="s">
        <v>1897</v>
      </c>
      <c r="J516" s="10"/>
      <c r="K516" s="10"/>
      <c r="L516" s="10"/>
      <c r="M516" s="10" t="s">
        <v>1898</v>
      </c>
    </row>
    <row r="517" spans="1:13">
      <c r="A517" s="10" t="s">
        <v>2465</v>
      </c>
      <c r="B517" s="10" t="s">
        <v>330</v>
      </c>
      <c r="C517" s="10" t="s">
        <v>1873</v>
      </c>
      <c r="D517" s="10" t="s">
        <v>1899</v>
      </c>
      <c r="E517" s="11">
        <v>1643</v>
      </c>
      <c r="F517" s="10" t="s">
        <v>670</v>
      </c>
      <c r="G517" s="10" t="s">
        <v>44</v>
      </c>
      <c r="H517" s="11">
        <v>16132316</v>
      </c>
      <c r="I517" s="10"/>
      <c r="J517" s="10"/>
      <c r="K517" s="10" t="s">
        <v>1900</v>
      </c>
      <c r="L517" s="10"/>
      <c r="M517" s="10"/>
    </row>
    <row r="518" spans="1:13">
      <c r="A518" s="10" t="s">
        <v>2466</v>
      </c>
      <c r="B518" s="10" t="s">
        <v>331</v>
      </c>
      <c r="C518" s="10" t="s">
        <v>1901</v>
      </c>
      <c r="D518" s="10" t="s">
        <v>1899</v>
      </c>
      <c r="E518" s="11">
        <v>1643</v>
      </c>
      <c r="F518" s="10" t="s">
        <v>670</v>
      </c>
      <c r="G518" s="10" t="s">
        <v>44</v>
      </c>
      <c r="H518" s="11">
        <v>16132316</v>
      </c>
      <c r="I518" s="10"/>
      <c r="J518" s="10"/>
      <c r="K518" s="10" t="s">
        <v>1900</v>
      </c>
      <c r="L518" s="10"/>
      <c r="M518" s="10"/>
    </row>
    <row r="519" spans="1:13">
      <c r="A519" s="10" t="s">
        <v>2467</v>
      </c>
      <c r="B519" s="10" t="s">
        <v>332</v>
      </c>
      <c r="C519" s="10" t="s">
        <v>1905</v>
      </c>
      <c r="D519" s="10" t="s">
        <v>1899</v>
      </c>
      <c r="E519" s="11">
        <v>1643</v>
      </c>
      <c r="F519" s="10" t="s">
        <v>670</v>
      </c>
      <c r="G519" s="10" t="s">
        <v>44</v>
      </c>
      <c r="H519" s="11">
        <v>16132316</v>
      </c>
      <c r="I519" s="10"/>
      <c r="J519" s="10"/>
      <c r="K519" s="10" t="s">
        <v>1900</v>
      </c>
      <c r="L519" s="10"/>
      <c r="M519" s="10"/>
    </row>
    <row r="520" spans="1:13">
      <c r="A520" s="10" t="s">
        <v>2466</v>
      </c>
      <c r="B520" s="10" t="s">
        <v>331</v>
      </c>
      <c r="C520" s="10" t="s">
        <v>1901</v>
      </c>
      <c r="D520" s="10" t="s">
        <v>1902</v>
      </c>
      <c r="E520" s="11">
        <v>1644</v>
      </c>
      <c r="F520" s="10" t="s">
        <v>1875</v>
      </c>
      <c r="G520" s="10" t="s">
        <v>44</v>
      </c>
      <c r="H520" s="11"/>
      <c r="I520" s="10"/>
      <c r="J520" s="10"/>
      <c r="K520" s="10"/>
      <c r="L520" s="10"/>
      <c r="M520" s="10"/>
    </row>
    <row r="521" spans="1:13">
      <c r="A521" s="10" t="s">
        <v>2468</v>
      </c>
      <c r="B521" s="10" t="s">
        <v>333</v>
      </c>
      <c r="C521" s="10" t="s">
        <v>1909</v>
      </c>
      <c r="D521" s="10" t="s">
        <v>1910</v>
      </c>
      <c r="E521" s="11">
        <v>1681</v>
      </c>
      <c r="F521" s="10" t="s">
        <v>1911</v>
      </c>
      <c r="G521" s="10" t="s">
        <v>44</v>
      </c>
      <c r="H521" s="11">
        <v>16131448</v>
      </c>
      <c r="I521" s="10"/>
      <c r="J521" s="10"/>
      <c r="K521" s="10" t="s">
        <v>1912</v>
      </c>
      <c r="L521" s="10"/>
      <c r="M521" s="10" t="s">
        <v>1913</v>
      </c>
    </row>
    <row r="522" spans="1:13">
      <c r="A522" s="10" t="s">
        <v>2469</v>
      </c>
      <c r="B522" s="10" t="s">
        <v>1914</v>
      </c>
      <c r="C522" s="10" t="s">
        <v>1915</v>
      </c>
      <c r="D522" s="10" t="s">
        <v>1916</v>
      </c>
      <c r="E522" s="11">
        <v>1697</v>
      </c>
      <c r="F522" s="10" t="s">
        <v>1917</v>
      </c>
      <c r="G522" s="10" t="s">
        <v>44</v>
      </c>
      <c r="H522" s="11"/>
      <c r="I522" s="10"/>
      <c r="J522" s="10"/>
      <c r="K522" s="10" t="s">
        <v>1918</v>
      </c>
      <c r="L522" s="10"/>
      <c r="M522" s="10"/>
    </row>
    <row r="523" spans="1:13">
      <c r="A523" s="10" t="s">
        <v>2470</v>
      </c>
      <c r="B523" s="10" t="s">
        <v>334</v>
      </c>
      <c r="C523" s="10" t="s">
        <v>1923</v>
      </c>
      <c r="D523" s="10" t="s">
        <v>1916</v>
      </c>
      <c r="E523" s="11">
        <v>1697</v>
      </c>
      <c r="F523" s="10" t="s">
        <v>1917</v>
      </c>
      <c r="G523" s="10" t="s">
        <v>44</v>
      </c>
      <c r="H523" s="11"/>
      <c r="I523" s="10"/>
      <c r="J523" s="10"/>
      <c r="K523" s="10" t="s">
        <v>1918</v>
      </c>
      <c r="L523" s="10"/>
      <c r="M523" s="10"/>
    </row>
    <row r="524" spans="1:13">
      <c r="A524" s="10" t="s">
        <v>2469</v>
      </c>
      <c r="B524" s="10" t="s">
        <v>1914</v>
      </c>
      <c r="C524" s="10" t="s">
        <v>1915</v>
      </c>
      <c r="D524" s="10" t="s">
        <v>1919</v>
      </c>
      <c r="E524" s="11">
        <v>1699</v>
      </c>
      <c r="F524" s="10" t="s">
        <v>1920</v>
      </c>
      <c r="G524" s="10" t="s">
        <v>44</v>
      </c>
      <c r="H524" s="11">
        <v>44404987</v>
      </c>
      <c r="I524" s="10"/>
      <c r="J524" s="10"/>
      <c r="K524" s="10" t="s">
        <v>1921</v>
      </c>
      <c r="L524" s="10"/>
      <c r="M524" s="10" t="s">
        <v>1922</v>
      </c>
    </row>
    <row r="525" spans="1:13">
      <c r="A525" s="10" t="s">
        <v>2470</v>
      </c>
      <c r="B525" s="10" t="s">
        <v>334</v>
      </c>
      <c r="C525" s="10" t="s">
        <v>1923</v>
      </c>
      <c r="D525" s="10" t="s">
        <v>1919</v>
      </c>
      <c r="E525" s="11">
        <v>1699</v>
      </c>
      <c r="F525" s="10" t="s">
        <v>1920</v>
      </c>
      <c r="G525" s="10" t="s">
        <v>44</v>
      </c>
      <c r="H525" s="11">
        <v>44404987</v>
      </c>
      <c r="I525" s="10"/>
      <c r="J525" s="10"/>
      <c r="K525" s="10" t="s">
        <v>1921</v>
      </c>
      <c r="L525" s="10"/>
      <c r="M525" s="10" t="s">
        <v>1922</v>
      </c>
    </row>
    <row r="526" spans="1:13">
      <c r="A526" s="10" t="s">
        <v>2499</v>
      </c>
      <c r="B526" s="10" t="s">
        <v>336</v>
      </c>
      <c r="C526" s="10" t="s">
        <v>2121</v>
      </c>
      <c r="D526" s="10" t="s">
        <v>2122</v>
      </c>
      <c r="E526" s="11">
        <v>1785</v>
      </c>
      <c r="F526" s="10" t="s">
        <v>2123</v>
      </c>
      <c r="G526" s="10" t="s">
        <v>44</v>
      </c>
      <c r="H526" s="11"/>
      <c r="I526" s="10"/>
      <c r="J526" s="10" t="s">
        <v>2124</v>
      </c>
      <c r="K526" s="10" t="s">
        <v>2125</v>
      </c>
      <c r="L526" s="10"/>
      <c r="M526" s="10"/>
    </row>
    <row r="527" spans="1:13">
      <c r="A527" s="10" t="s">
        <v>2500</v>
      </c>
      <c r="B527" s="10" t="s">
        <v>2131</v>
      </c>
      <c r="C527" s="10" t="s">
        <v>2132</v>
      </c>
      <c r="D527" s="10" t="s">
        <v>2122</v>
      </c>
      <c r="E527" s="11">
        <v>1785</v>
      </c>
      <c r="F527" s="10" t="s">
        <v>2123</v>
      </c>
      <c r="G527" s="10" t="s">
        <v>44</v>
      </c>
      <c r="H527" s="11"/>
      <c r="I527" s="10"/>
      <c r="J527" s="10" t="s">
        <v>2124</v>
      </c>
      <c r="K527" s="10" t="s">
        <v>2125</v>
      </c>
      <c r="L527" s="10"/>
      <c r="M527" s="10"/>
    </row>
    <row r="528" spans="1:13">
      <c r="A528" s="10" t="s">
        <v>2499</v>
      </c>
      <c r="B528" s="10" t="s">
        <v>336</v>
      </c>
      <c r="C528" s="10" t="s">
        <v>2121</v>
      </c>
      <c r="D528" s="10" t="s">
        <v>2126</v>
      </c>
      <c r="E528" s="11">
        <v>1790</v>
      </c>
      <c r="F528" s="10" t="s">
        <v>2107</v>
      </c>
      <c r="G528" s="10" t="s">
        <v>44</v>
      </c>
      <c r="H528" s="11"/>
      <c r="I528" s="10"/>
      <c r="J528" s="10"/>
      <c r="K528" s="10" t="s">
        <v>2127</v>
      </c>
      <c r="L528" s="10"/>
      <c r="M528" s="10"/>
    </row>
    <row r="529" spans="1:13">
      <c r="A529" s="10" t="s">
        <v>2500</v>
      </c>
      <c r="B529" s="10" t="s">
        <v>2131</v>
      </c>
      <c r="C529" s="10" t="s">
        <v>2132</v>
      </c>
      <c r="D529" s="10" t="s">
        <v>2126</v>
      </c>
      <c r="E529" s="11">
        <v>1790</v>
      </c>
      <c r="F529" s="10" t="s">
        <v>2107</v>
      </c>
      <c r="G529" s="10" t="s">
        <v>44</v>
      </c>
      <c r="H529" s="11"/>
      <c r="I529" s="10"/>
      <c r="J529" s="10"/>
      <c r="K529" s="10" t="s">
        <v>2127</v>
      </c>
      <c r="L529" s="10"/>
      <c r="M529" s="10"/>
    </row>
    <row r="530" spans="1:13">
      <c r="A530" s="10" t="s">
        <v>2499</v>
      </c>
      <c r="B530" s="10" t="s">
        <v>336</v>
      </c>
      <c r="C530" s="10" t="s">
        <v>2121</v>
      </c>
      <c r="D530" s="10" t="s">
        <v>2128</v>
      </c>
      <c r="E530" s="11">
        <v>1815</v>
      </c>
      <c r="F530" s="10" t="s">
        <v>2129</v>
      </c>
      <c r="G530" s="10" t="s">
        <v>44</v>
      </c>
      <c r="H530" s="11"/>
      <c r="I530" s="10"/>
      <c r="J530" s="10"/>
      <c r="K530" s="10" t="s">
        <v>2130</v>
      </c>
      <c r="L530" s="10"/>
      <c r="M530" s="10"/>
    </row>
    <row r="531" spans="1:13">
      <c r="A531" s="10" t="s">
        <v>2500</v>
      </c>
      <c r="B531" s="10" t="s">
        <v>2131</v>
      </c>
      <c r="C531" s="10" t="s">
        <v>2132</v>
      </c>
      <c r="D531" s="10" t="s">
        <v>2128</v>
      </c>
      <c r="E531" s="11">
        <v>1815</v>
      </c>
      <c r="F531" s="10" t="s">
        <v>2129</v>
      </c>
      <c r="G531" s="10" t="s">
        <v>44</v>
      </c>
      <c r="H531" s="11"/>
      <c r="I531" s="10"/>
      <c r="J531" s="10"/>
      <c r="K531" s="10" t="s">
        <v>2130</v>
      </c>
      <c r="L531" s="10"/>
      <c r="M531" s="10"/>
    </row>
    <row r="532" spans="1:13">
      <c r="A532" s="10" t="s">
        <v>2500</v>
      </c>
      <c r="B532" s="10" t="s">
        <v>2131</v>
      </c>
      <c r="C532" s="10" t="s">
        <v>2132</v>
      </c>
      <c r="D532" s="10" t="s">
        <v>2133</v>
      </c>
      <c r="E532" s="11">
        <v>1822</v>
      </c>
      <c r="F532" s="10"/>
      <c r="G532" s="10" t="s">
        <v>44</v>
      </c>
      <c r="H532" s="11"/>
      <c r="I532" s="10"/>
      <c r="J532" s="10"/>
      <c r="K532" s="10" t="s">
        <v>2134</v>
      </c>
      <c r="L532" s="10"/>
      <c r="M532" s="10"/>
    </row>
    <row r="533" spans="1:13">
      <c r="A533" s="10" t="s">
        <v>2495</v>
      </c>
      <c r="B533" s="10" t="s">
        <v>2092</v>
      </c>
      <c r="C533" s="10" t="s">
        <v>2093</v>
      </c>
      <c r="D533" s="10" t="s">
        <v>2094</v>
      </c>
      <c r="E533" s="11">
        <v>1866</v>
      </c>
      <c r="F533" s="10" t="s">
        <v>2095</v>
      </c>
      <c r="G533" s="10" t="s">
        <v>44</v>
      </c>
      <c r="H533" s="11"/>
      <c r="I533" s="10"/>
      <c r="J533" s="10"/>
      <c r="K533" s="10" t="s">
        <v>2096</v>
      </c>
      <c r="L533" s="10"/>
      <c r="M533" s="10"/>
    </row>
    <row r="534" spans="1:13">
      <c r="A534" s="10" t="s">
        <v>2496</v>
      </c>
      <c r="B534" s="10" t="s">
        <v>2100</v>
      </c>
      <c r="C534" s="10" t="s">
        <v>2101</v>
      </c>
      <c r="D534" s="10" t="s">
        <v>2094</v>
      </c>
      <c r="E534" s="11">
        <v>1866</v>
      </c>
      <c r="F534" s="10" t="s">
        <v>2095</v>
      </c>
      <c r="G534" s="10" t="s">
        <v>44</v>
      </c>
      <c r="H534" s="11"/>
      <c r="I534" s="10"/>
      <c r="J534" s="10"/>
      <c r="K534" s="10" t="s">
        <v>2096</v>
      </c>
      <c r="L534" s="10"/>
      <c r="M534" s="10"/>
    </row>
    <row r="535" spans="1:13">
      <c r="A535" s="10" t="s">
        <v>2495</v>
      </c>
      <c r="B535" s="10" t="s">
        <v>2092</v>
      </c>
      <c r="C535" s="10" t="s">
        <v>2093</v>
      </c>
      <c r="D535" s="10" t="s">
        <v>2097</v>
      </c>
      <c r="E535" s="11">
        <v>1867</v>
      </c>
      <c r="F535" s="10" t="s">
        <v>2095</v>
      </c>
      <c r="G535" s="10" t="s">
        <v>44</v>
      </c>
      <c r="H535" s="11"/>
      <c r="I535" s="10"/>
      <c r="J535" s="10"/>
      <c r="K535" s="10"/>
      <c r="L535" s="10"/>
      <c r="M535" s="10"/>
    </row>
    <row r="536" spans="1:13">
      <c r="A536" s="10" t="s">
        <v>2496</v>
      </c>
      <c r="B536" s="10" t="s">
        <v>2100</v>
      </c>
      <c r="C536" s="10" t="s">
        <v>2101</v>
      </c>
      <c r="D536" s="10" t="s">
        <v>2097</v>
      </c>
      <c r="E536" s="11">
        <v>1867</v>
      </c>
      <c r="F536" s="10" t="s">
        <v>2095</v>
      </c>
      <c r="G536" s="10" t="s">
        <v>44</v>
      </c>
      <c r="H536" s="11"/>
      <c r="I536" s="10"/>
      <c r="J536" s="10"/>
      <c r="K536" s="10"/>
      <c r="L536" s="10"/>
      <c r="M536" s="10"/>
    </row>
    <row r="537" spans="1:13">
      <c r="A537" s="10" t="s">
        <v>2495</v>
      </c>
      <c r="B537" s="10" t="s">
        <v>2092</v>
      </c>
      <c r="C537" s="10" t="s">
        <v>2093</v>
      </c>
      <c r="D537" s="10" t="s">
        <v>2098</v>
      </c>
      <c r="E537" s="11">
        <v>1868</v>
      </c>
      <c r="F537" s="10"/>
      <c r="G537" s="10" t="s">
        <v>44</v>
      </c>
      <c r="H537" s="11"/>
      <c r="I537" s="10"/>
      <c r="J537" s="10"/>
      <c r="K537" s="10" t="s">
        <v>2099</v>
      </c>
      <c r="L537" s="10"/>
      <c r="M537" s="10"/>
    </row>
    <row r="538" spans="1:13">
      <c r="A538" s="10" t="s">
        <v>2496</v>
      </c>
      <c r="B538" s="10" t="s">
        <v>2100</v>
      </c>
      <c r="C538" s="10" t="s">
        <v>2101</v>
      </c>
      <c r="D538" s="10" t="s">
        <v>2098</v>
      </c>
      <c r="E538" s="11">
        <v>1868</v>
      </c>
      <c r="F538" s="10"/>
      <c r="G538" s="10" t="s">
        <v>44</v>
      </c>
      <c r="H538" s="11"/>
      <c r="I538" s="10"/>
      <c r="J538" s="10"/>
      <c r="K538" s="10" t="s">
        <v>2099</v>
      </c>
      <c r="L538" s="10"/>
      <c r="M538" s="10"/>
    </row>
    <row r="539" spans="1:13">
      <c r="A539" s="10" t="s">
        <v>2497</v>
      </c>
      <c r="B539" s="10" t="s">
        <v>2102</v>
      </c>
      <c r="C539" s="10" t="s">
        <v>2103</v>
      </c>
      <c r="D539" s="10" t="s">
        <v>2104</v>
      </c>
      <c r="E539" s="11">
        <v>1871</v>
      </c>
      <c r="F539" s="10" t="s">
        <v>1813</v>
      </c>
      <c r="G539" s="10" t="s">
        <v>44</v>
      </c>
      <c r="H539" s="11"/>
      <c r="I539" s="10"/>
      <c r="J539" s="10"/>
      <c r="K539" s="10" t="s">
        <v>2105</v>
      </c>
      <c r="L539" s="10"/>
      <c r="M539" s="10"/>
    </row>
    <row r="540" spans="1:13">
      <c r="A540" s="10" t="s">
        <v>2456</v>
      </c>
      <c r="B540" s="10" t="s">
        <v>326</v>
      </c>
      <c r="C540" s="10" t="s">
        <v>1808</v>
      </c>
      <c r="D540" s="10" t="s">
        <v>1812</v>
      </c>
      <c r="E540" s="11">
        <v>1873</v>
      </c>
      <c r="F540" s="10" t="s">
        <v>1813</v>
      </c>
      <c r="G540" s="10" t="s">
        <v>44</v>
      </c>
      <c r="H540" s="11"/>
      <c r="I540" s="10"/>
      <c r="J540" s="10"/>
      <c r="K540" s="10" t="s">
        <v>1814</v>
      </c>
      <c r="L540" s="10"/>
      <c r="M540" s="10"/>
    </row>
    <row r="541" spans="1:13">
      <c r="A541" s="10" t="s">
        <v>2457</v>
      </c>
      <c r="B541" s="10" t="s">
        <v>327</v>
      </c>
      <c r="C541" s="10" t="s">
        <v>1828</v>
      </c>
      <c r="D541" s="10" t="s">
        <v>1812</v>
      </c>
      <c r="E541" s="11">
        <v>1873</v>
      </c>
      <c r="F541" s="10" t="s">
        <v>1813</v>
      </c>
      <c r="G541" s="10" t="s">
        <v>44</v>
      </c>
      <c r="H541" s="11"/>
      <c r="I541" s="10"/>
      <c r="J541" s="10"/>
      <c r="K541" s="10" t="s">
        <v>1814</v>
      </c>
      <c r="L541" s="10"/>
      <c r="M541" s="10"/>
    </row>
    <row r="542" spans="1:13">
      <c r="A542" s="10" t="s">
        <v>2497</v>
      </c>
      <c r="B542" s="10" t="s">
        <v>2102</v>
      </c>
      <c r="C542" s="10" t="s">
        <v>2103</v>
      </c>
      <c r="D542" s="10" t="s">
        <v>1812</v>
      </c>
      <c r="E542" s="11">
        <v>1873</v>
      </c>
      <c r="F542" s="10" t="s">
        <v>1813</v>
      </c>
      <c r="G542" s="10" t="s">
        <v>44</v>
      </c>
      <c r="H542" s="11"/>
      <c r="I542" s="10"/>
      <c r="J542" s="10"/>
      <c r="K542" s="10" t="s">
        <v>1814</v>
      </c>
      <c r="L542" s="10"/>
      <c r="M542" s="10"/>
    </row>
    <row r="543" spans="1:13">
      <c r="A543" s="10" t="s">
        <v>2504</v>
      </c>
      <c r="B543" s="10" t="s">
        <v>2153</v>
      </c>
      <c r="C543" s="10" t="s">
        <v>214</v>
      </c>
      <c r="D543" s="10" t="s">
        <v>2154</v>
      </c>
      <c r="E543" s="11">
        <v>1988</v>
      </c>
      <c r="F543" s="10"/>
      <c r="G543" s="10" t="s">
        <v>44</v>
      </c>
      <c r="H543" s="11"/>
      <c r="I543" s="10"/>
      <c r="J543" s="10"/>
      <c r="K543" s="10" t="s">
        <v>2155</v>
      </c>
      <c r="L543" s="10"/>
      <c r="M543" s="10"/>
    </row>
    <row r="544" spans="1:13">
      <c r="A544" s="10" t="s">
        <v>2505</v>
      </c>
      <c r="B544" s="10" t="s">
        <v>2156</v>
      </c>
      <c r="C544" s="10" t="s">
        <v>215</v>
      </c>
      <c r="D544" s="10" t="s">
        <v>2154</v>
      </c>
      <c r="E544" s="11">
        <v>1988</v>
      </c>
      <c r="F544" s="10"/>
      <c r="G544" s="10" t="s">
        <v>44</v>
      </c>
      <c r="H544" s="11"/>
      <c r="I544" s="10"/>
      <c r="J544" s="10"/>
      <c r="K544" s="10" t="s">
        <v>2155</v>
      </c>
      <c r="L544" s="10"/>
      <c r="M544" s="10"/>
    </row>
    <row r="545" spans="1:13">
      <c r="A545" s="10" t="s">
        <v>2502</v>
      </c>
      <c r="B545" s="10" t="s">
        <v>2139</v>
      </c>
      <c r="C545" s="10" t="s">
        <v>2140</v>
      </c>
      <c r="D545" s="10" t="s">
        <v>2141</v>
      </c>
      <c r="E545" s="11">
        <v>1989</v>
      </c>
      <c r="F545" s="10"/>
      <c r="G545" s="10" t="s">
        <v>44</v>
      </c>
      <c r="H545" s="11"/>
      <c r="I545" s="10"/>
      <c r="J545" s="10"/>
      <c r="K545" s="10" t="s">
        <v>2142</v>
      </c>
      <c r="L545" s="10"/>
      <c r="M545" s="10"/>
    </row>
    <row r="546" spans="1:13">
      <c r="A546" s="10" t="s">
        <v>2504</v>
      </c>
      <c r="B546" s="10" t="s">
        <v>2153</v>
      </c>
      <c r="C546" s="10" t="s">
        <v>214</v>
      </c>
      <c r="D546" s="10" t="s">
        <v>2141</v>
      </c>
      <c r="E546" s="11">
        <v>1989</v>
      </c>
      <c r="F546" s="10"/>
      <c r="G546" s="10" t="s">
        <v>44</v>
      </c>
      <c r="H546" s="11"/>
      <c r="I546" s="10"/>
      <c r="J546" s="10"/>
      <c r="K546" s="10" t="s">
        <v>2142</v>
      </c>
      <c r="L546" s="10"/>
      <c r="M546" s="10"/>
    </row>
    <row r="547" spans="1:13">
      <c r="A547" s="10" t="s">
        <v>2505</v>
      </c>
      <c r="B547" s="10" t="s">
        <v>2156</v>
      </c>
      <c r="C547" s="10" t="s">
        <v>215</v>
      </c>
      <c r="D547" s="10" t="s">
        <v>2141</v>
      </c>
      <c r="E547" s="11">
        <v>1989</v>
      </c>
      <c r="F547" s="10"/>
      <c r="G547" s="10" t="s">
        <v>44</v>
      </c>
      <c r="H547" s="11"/>
      <c r="I547" s="10"/>
      <c r="J547" s="10"/>
      <c r="K547" s="10" t="s">
        <v>2142</v>
      </c>
      <c r="L547" s="10"/>
      <c r="M547" s="10"/>
    </row>
    <row r="548" spans="1:13">
      <c r="A548" s="10" t="s">
        <v>2502</v>
      </c>
      <c r="B548" s="10" t="s">
        <v>2139</v>
      </c>
      <c r="C548" s="10" t="s">
        <v>2140</v>
      </c>
      <c r="D548" s="10" t="s">
        <v>2143</v>
      </c>
      <c r="E548" s="11">
        <v>1990</v>
      </c>
      <c r="F548" s="10"/>
      <c r="G548" s="10" t="s">
        <v>44</v>
      </c>
      <c r="H548" s="11"/>
      <c r="I548" s="10"/>
      <c r="J548" s="10"/>
      <c r="K548" s="10" t="s">
        <v>2144</v>
      </c>
      <c r="L548" s="10"/>
      <c r="M548" s="10"/>
    </row>
    <row r="549" spans="1:13">
      <c r="A549" s="10" t="s">
        <v>2503</v>
      </c>
      <c r="B549" s="10" t="s">
        <v>2151</v>
      </c>
      <c r="C549" s="10" t="s">
        <v>2152</v>
      </c>
      <c r="D549" s="10" t="s">
        <v>2143</v>
      </c>
      <c r="E549" s="11">
        <v>1990</v>
      </c>
      <c r="F549" s="10"/>
      <c r="G549" s="10" t="s">
        <v>44</v>
      </c>
      <c r="H549" s="11"/>
      <c r="I549" s="10"/>
      <c r="J549" s="10"/>
      <c r="K549" s="10" t="s">
        <v>2144</v>
      </c>
      <c r="L549" s="10"/>
      <c r="M549" s="10"/>
    </row>
    <row r="550" spans="1:13">
      <c r="A550" s="10" t="s">
        <v>2504</v>
      </c>
      <c r="B550" s="10" t="s">
        <v>2153</v>
      </c>
      <c r="C550" s="10" t="s">
        <v>214</v>
      </c>
      <c r="D550" s="10" t="s">
        <v>2143</v>
      </c>
      <c r="E550" s="11">
        <v>1990</v>
      </c>
      <c r="F550" s="10"/>
      <c r="G550" s="10" t="s">
        <v>44</v>
      </c>
      <c r="H550" s="11"/>
      <c r="I550" s="10"/>
      <c r="J550" s="10"/>
      <c r="K550" s="10" t="s">
        <v>2144</v>
      </c>
      <c r="L550" s="10"/>
      <c r="M550" s="10"/>
    </row>
    <row r="551" spans="1:13">
      <c r="A551" s="10" t="s">
        <v>2505</v>
      </c>
      <c r="B551" s="10" t="s">
        <v>2156</v>
      </c>
      <c r="C551" s="10" t="s">
        <v>215</v>
      </c>
      <c r="D551" s="10" t="s">
        <v>2143</v>
      </c>
      <c r="E551" s="11">
        <v>1990</v>
      </c>
      <c r="F551" s="10"/>
      <c r="G551" s="10" t="s">
        <v>44</v>
      </c>
      <c r="H551" s="11"/>
      <c r="I551" s="10"/>
      <c r="J551" s="10"/>
      <c r="K551" s="10" t="s">
        <v>2144</v>
      </c>
      <c r="L551" s="10"/>
      <c r="M551" s="10"/>
    </row>
    <row r="552" spans="1:13">
      <c r="A552" s="10" t="s">
        <v>2505</v>
      </c>
      <c r="B552" s="10" t="s">
        <v>2156</v>
      </c>
      <c r="C552" s="10" t="s">
        <v>215</v>
      </c>
      <c r="D552" s="10" t="s">
        <v>2157</v>
      </c>
      <c r="E552" s="11">
        <v>1995</v>
      </c>
      <c r="F552" s="10" t="s">
        <v>2158</v>
      </c>
      <c r="G552" s="10" t="s">
        <v>44</v>
      </c>
      <c r="H552" s="11"/>
      <c r="I552" s="10"/>
      <c r="J552" s="10"/>
      <c r="K552" s="10" t="s">
        <v>2159</v>
      </c>
      <c r="L552" s="10"/>
      <c r="M552" s="10"/>
    </row>
    <row r="553" spans="1:13">
      <c r="A553" s="10" t="s">
        <v>2502</v>
      </c>
      <c r="B553" s="10" t="s">
        <v>2139</v>
      </c>
      <c r="C553" s="10" t="s">
        <v>2140</v>
      </c>
      <c r="D553" s="10" t="s">
        <v>2145</v>
      </c>
      <c r="E553" s="11">
        <v>1997</v>
      </c>
      <c r="F553" s="10" t="s">
        <v>2146</v>
      </c>
      <c r="G553" s="10" t="s">
        <v>44</v>
      </c>
      <c r="H553" s="11"/>
      <c r="I553" s="10"/>
      <c r="J553" s="10"/>
      <c r="K553" s="10" t="s">
        <v>2147</v>
      </c>
      <c r="L553" s="10"/>
      <c r="M553" s="10"/>
    </row>
    <row r="554" spans="1:13">
      <c r="A554" s="10" t="s">
        <v>2503</v>
      </c>
      <c r="B554" s="10" t="s">
        <v>2151</v>
      </c>
      <c r="C554" s="10" t="s">
        <v>2152</v>
      </c>
      <c r="D554" s="10" t="s">
        <v>2145</v>
      </c>
      <c r="E554" s="11">
        <v>1997</v>
      </c>
      <c r="F554" s="10" t="s">
        <v>2146</v>
      </c>
      <c r="G554" s="10" t="s">
        <v>44</v>
      </c>
      <c r="H554" s="11"/>
      <c r="I554" s="10"/>
      <c r="J554" s="10"/>
      <c r="K554" s="10" t="s">
        <v>2147</v>
      </c>
      <c r="L554" s="10"/>
      <c r="M554" s="10"/>
    </row>
    <row r="555" spans="1:13">
      <c r="A555" s="10" t="s">
        <v>2502</v>
      </c>
      <c r="B555" s="10" t="s">
        <v>2139</v>
      </c>
      <c r="C555" s="10" t="s">
        <v>2140</v>
      </c>
      <c r="D555" s="10" t="s">
        <v>2148</v>
      </c>
      <c r="E555" s="11">
        <v>2000</v>
      </c>
      <c r="F555" s="10" t="s">
        <v>2149</v>
      </c>
      <c r="G555" s="10" t="s">
        <v>44</v>
      </c>
      <c r="H555" s="11"/>
      <c r="I555" s="10"/>
      <c r="J555" s="10"/>
      <c r="K555" s="10" t="s">
        <v>2150</v>
      </c>
      <c r="L555" s="10"/>
      <c r="M555" s="10"/>
    </row>
    <row r="556" spans="1:13">
      <c r="A556" s="10" t="s">
        <v>2503</v>
      </c>
      <c r="B556" s="10" t="s">
        <v>2151</v>
      </c>
      <c r="C556" s="10" t="s">
        <v>2152</v>
      </c>
      <c r="D556" s="10" t="s">
        <v>2148</v>
      </c>
      <c r="E556" s="11">
        <v>2000</v>
      </c>
      <c r="F556" s="10" t="s">
        <v>2149</v>
      </c>
      <c r="G556" s="10" t="s">
        <v>44</v>
      </c>
      <c r="H556" s="11"/>
      <c r="I556" s="10"/>
      <c r="J556" s="10"/>
      <c r="K556" s="10" t="s">
        <v>2150</v>
      </c>
      <c r="L556" s="10"/>
      <c r="M556" s="10"/>
    </row>
    <row r="557" spans="1:13">
      <c r="A557" s="10" t="s">
        <v>2512</v>
      </c>
      <c r="B557" s="10" t="s">
        <v>2180</v>
      </c>
      <c r="C557" s="10" t="s">
        <v>2181</v>
      </c>
      <c r="D557" s="10" t="s">
        <v>2182</v>
      </c>
      <c r="E557" s="11">
        <v>2008</v>
      </c>
      <c r="F557" s="10" t="s">
        <v>2183</v>
      </c>
      <c r="G557" s="10" t="s">
        <v>44</v>
      </c>
      <c r="H557" s="11"/>
      <c r="I557" s="10"/>
      <c r="J557" s="10"/>
      <c r="K557" s="10" t="s">
        <v>2184</v>
      </c>
      <c r="L557" s="10"/>
      <c r="M557" s="10"/>
    </row>
    <row r="558" spans="1:13">
      <c r="A558" s="10" t="s">
        <v>2513</v>
      </c>
      <c r="B558" s="10" t="s">
        <v>343</v>
      </c>
      <c r="C558" s="10" t="s">
        <v>2193</v>
      </c>
      <c r="D558" s="10" t="s">
        <v>2182</v>
      </c>
      <c r="E558" s="11">
        <v>2008</v>
      </c>
      <c r="F558" s="10" t="s">
        <v>2183</v>
      </c>
      <c r="G558" s="10" t="s">
        <v>44</v>
      </c>
      <c r="H558" s="11"/>
      <c r="I558" s="10"/>
      <c r="J558" s="10"/>
      <c r="K558" s="10" t="s">
        <v>2184</v>
      </c>
      <c r="L558" s="10"/>
      <c r="M558" s="10"/>
    </row>
    <row r="559" spans="1:13">
      <c r="A559" s="10" t="s">
        <v>2514</v>
      </c>
      <c r="B559" s="10" t="s">
        <v>2194</v>
      </c>
      <c r="C559" s="10" t="s">
        <v>2195</v>
      </c>
      <c r="D559" s="10" t="s">
        <v>2182</v>
      </c>
      <c r="E559" s="11">
        <v>2008</v>
      </c>
      <c r="F559" s="10" t="s">
        <v>2183</v>
      </c>
      <c r="G559" s="10" t="s">
        <v>44</v>
      </c>
      <c r="H559" s="11"/>
      <c r="I559" s="10"/>
      <c r="J559" s="10"/>
      <c r="K559" s="10" t="s">
        <v>2184</v>
      </c>
      <c r="L559" s="10"/>
      <c r="M559" s="10"/>
    </row>
    <row r="560" spans="1:13">
      <c r="A560" s="10" t="s">
        <v>2515</v>
      </c>
      <c r="B560" s="10" t="s">
        <v>2196</v>
      </c>
      <c r="C560" s="10" t="s">
        <v>2197</v>
      </c>
      <c r="D560" s="10" t="s">
        <v>2182</v>
      </c>
      <c r="E560" s="11">
        <v>2008</v>
      </c>
      <c r="F560" s="10" t="s">
        <v>2183</v>
      </c>
      <c r="G560" s="10" t="s">
        <v>44</v>
      </c>
      <c r="H560" s="11"/>
      <c r="I560" s="10"/>
      <c r="J560" s="10"/>
      <c r="K560" s="10" t="s">
        <v>2184</v>
      </c>
      <c r="L560" s="10"/>
      <c r="M560" s="10"/>
    </row>
    <row r="561" spans="1:13">
      <c r="A561" s="10" t="s">
        <v>2516</v>
      </c>
      <c r="B561" s="10" t="s">
        <v>2198</v>
      </c>
      <c r="C561" s="10" t="s">
        <v>2199</v>
      </c>
      <c r="D561" s="10" t="s">
        <v>2182</v>
      </c>
      <c r="E561" s="11">
        <v>2008</v>
      </c>
      <c r="F561" s="10" t="s">
        <v>2183</v>
      </c>
      <c r="G561" s="10" t="s">
        <v>44</v>
      </c>
      <c r="H561" s="11"/>
      <c r="I561" s="10"/>
      <c r="J561" s="10"/>
      <c r="K561" s="10" t="s">
        <v>2184</v>
      </c>
      <c r="L561" s="10"/>
      <c r="M561" s="10"/>
    </row>
    <row r="562" spans="1:13">
      <c r="A562" s="10" t="s">
        <v>2512</v>
      </c>
      <c r="B562" s="10" t="s">
        <v>2180</v>
      </c>
      <c r="C562" s="10" t="s">
        <v>2181</v>
      </c>
      <c r="D562" s="10" t="s">
        <v>2185</v>
      </c>
      <c r="E562" s="11">
        <v>2019</v>
      </c>
      <c r="F562" s="10" t="s">
        <v>2186</v>
      </c>
      <c r="G562" s="10" t="s">
        <v>44</v>
      </c>
      <c r="H562" s="11">
        <v>44386062</v>
      </c>
      <c r="I562" s="10"/>
      <c r="J562" s="10"/>
      <c r="K562" s="10" t="s">
        <v>2187</v>
      </c>
      <c r="L562" s="10"/>
      <c r="M562" s="10" t="s">
        <v>2188</v>
      </c>
    </row>
    <row r="563" spans="1:13">
      <c r="A563" s="10" t="s">
        <v>2513</v>
      </c>
      <c r="B563" s="10" t="s">
        <v>343</v>
      </c>
      <c r="C563" s="10" t="s">
        <v>2193</v>
      </c>
      <c r="D563" s="10" t="s">
        <v>2185</v>
      </c>
      <c r="E563" s="11">
        <v>2019</v>
      </c>
      <c r="F563" s="10" t="s">
        <v>2186</v>
      </c>
      <c r="G563" s="10" t="s">
        <v>44</v>
      </c>
      <c r="H563" s="11">
        <v>44386062</v>
      </c>
      <c r="I563" s="10"/>
      <c r="J563" s="10"/>
      <c r="K563" s="10" t="s">
        <v>2187</v>
      </c>
      <c r="L563" s="10"/>
      <c r="M563" s="10" t="s">
        <v>2188</v>
      </c>
    </row>
    <row r="564" spans="1:13">
      <c r="A564" s="10" t="s">
        <v>2514</v>
      </c>
      <c r="B564" s="10" t="s">
        <v>2194</v>
      </c>
      <c r="C564" s="10" t="s">
        <v>2195</v>
      </c>
      <c r="D564" s="10" t="s">
        <v>2185</v>
      </c>
      <c r="E564" s="11">
        <v>2019</v>
      </c>
      <c r="F564" s="10" t="s">
        <v>2186</v>
      </c>
      <c r="G564" s="10" t="s">
        <v>44</v>
      </c>
      <c r="H564" s="11">
        <v>44386062</v>
      </c>
      <c r="I564" s="10"/>
      <c r="J564" s="10"/>
      <c r="K564" s="10" t="s">
        <v>2187</v>
      </c>
      <c r="L564" s="10"/>
      <c r="M564" s="10" t="s">
        <v>2188</v>
      </c>
    </row>
    <row r="565" spans="1:13">
      <c r="A565" s="10" t="s">
        <v>2515</v>
      </c>
      <c r="B565" s="10" t="s">
        <v>2196</v>
      </c>
      <c r="C565" s="10" t="s">
        <v>2197</v>
      </c>
      <c r="D565" s="10" t="s">
        <v>2185</v>
      </c>
      <c r="E565" s="11">
        <v>2019</v>
      </c>
      <c r="F565" s="10" t="s">
        <v>2186</v>
      </c>
      <c r="G565" s="10" t="s">
        <v>44</v>
      </c>
      <c r="H565" s="11">
        <v>44386062</v>
      </c>
      <c r="I565" s="10"/>
      <c r="J565" s="10"/>
      <c r="K565" s="10" t="s">
        <v>2187</v>
      </c>
      <c r="L565" s="10"/>
      <c r="M565" s="10" t="s">
        <v>2188</v>
      </c>
    </row>
    <row r="566" spans="1:13">
      <c r="A566" s="10" t="s">
        <v>2516</v>
      </c>
      <c r="B566" s="10" t="s">
        <v>2198</v>
      </c>
      <c r="C566" s="10" t="s">
        <v>2199</v>
      </c>
      <c r="D566" s="10" t="s">
        <v>2185</v>
      </c>
      <c r="E566" s="11">
        <v>2019</v>
      </c>
      <c r="F566" s="10" t="s">
        <v>2186</v>
      </c>
      <c r="G566" s="10" t="s">
        <v>44</v>
      </c>
      <c r="H566" s="11">
        <v>44386062</v>
      </c>
      <c r="I566" s="10"/>
      <c r="J566" s="10"/>
      <c r="K566" s="10" t="s">
        <v>2187</v>
      </c>
      <c r="L566" s="10"/>
      <c r="M566" s="10" t="s">
        <v>2188</v>
      </c>
    </row>
    <row r="567" spans="1:13">
      <c r="A567" s="10" t="s">
        <v>2512</v>
      </c>
      <c r="B567" s="10" t="s">
        <v>2180</v>
      </c>
      <c r="C567" s="10" t="s">
        <v>2181</v>
      </c>
      <c r="D567" s="10" t="s">
        <v>2189</v>
      </c>
      <c r="E567" s="11">
        <v>2020</v>
      </c>
      <c r="F567" s="10" t="s">
        <v>2190</v>
      </c>
      <c r="G567" s="10" t="s">
        <v>44</v>
      </c>
      <c r="H567" s="11">
        <v>16133849</v>
      </c>
      <c r="I567" s="10"/>
      <c r="J567" s="10"/>
      <c r="K567" s="10" t="s">
        <v>2191</v>
      </c>
      <c r="L567" s="10"/>
      <c r="M567" s="10" t="s">
        <v>2192</v>
      </c>
    </row>
    <row r="568" spans="1:13">
      <c r="A568" s="10" t="s">
        <v>2513</v>
      </c>
      <c r="B568" s="10" t="s">
        <v>343</v>
      </c>
      <c r="C568" s="10" t="s">
        <v>2193</v>
      </c>
      <c r="D568" s="10" t="s">
        <v>2189</v>
      </c>
      <c r="E568" s="11">
        <v>2020</v>
      </c>
      <c r="F568" s="10" t="s">
        <v>2190</v>
      </c>
      <c r="G568" s="10" t="s">
        <v>44</v>
      </c>
      <c r="H568" s="11">
        <v>16133849</v>
      </c>
      <c r="I568" s="10"/>
      <c r="J568" s="10"/>
      <c r="K568" s="10" t="s">
        <v>2191</v>
      </c>
      <c r="L568" s="10"/>
      <c r="M568" s="10" t="s">
        <v>2192</v>
      </c>
    </row>
    <row r="569" spans="1:13">
      <c r="A569" s="10" t="s">
        <v>2514</v>
      </c>
      <c r="B569" s="10" t="s">
        <v>2194</v>
      </c>
      <c r="C569" s="10" t="s">
        <v>2195</v>
      </c>
      <c r="D569" s="10" t="s">
        <v>2189</v>
      </c>
      <c r="E569" s="11">
        <v>2020</v>
      </c>
      <c r="F569" s="10" t="s">
        <v>2190</v>
      </c>
      <c r="G569" s="10" t="s">
        <v>44</v>
      </c>
      <c r="H569" s="11">
        <v>16133849</v>
      </c>
      <c r="I569" s="10"/>
      <c r="J569" s="10"/>
      <c r="K569" s="10" t="s">
        <v>2191</v>
      </c>
      <c r="L569" s="10"/>
      <c r="M569" s="10" t="s">
        <v>2192</v>
      </c>
    </row>
    <row r="570" spans="1:13">
      <c r="A570" s="10" t="s">
        <v>2515</v>
      </c>
      <c r="B570" s="10" t="s">
        <v>2196</v>
      </c>
      <c r="C570" s="10" t="s">
        <v>2197</v>
      </c>
      <c r="D570" s="10" t="s">
        <v>2189</v>
      </c>
      <c r="E570" s="11">
        <v>2020</v>
      </c>
      <c r="F570" s="10" t="s">
        <v>2190</v>
      </c>
      <c r="G570" s="10" t="s">
        <v>44</v>
      </c>
      <c r="H570" s="11">
        <v>16133849</v>
      </c>
      <c r="I570" s="10"/>
      <c r="J570" s="10"/>
      <c r="K570" s="10" t="s">
        <v>2191</v>
      </c>
      <c r="L570" s="10"/>
      <c r="M570" s="10" t="s">
        <v>2192</v>
      </c>
    </row>
    <row r="571" spans="1:13">
      <c r="A571" s="10" t="s">
        <v>2516</v>
      </c>
      <c r="B571" s="10" t="s">
        <v>2198</v>
      </c>
      <c r="C571" s="10" t="s">
        <v>2199</v>
      </c>
      <c r="D571" s="10" t="s">
        <v>2189</v>
      </c>
      <c r="E571" s="11">
        <v>2020</v>
      </c>
      <c r="F571" s="10" t="s">
        <v>2190</v>
      </c>
      <c r="G571" s="10" t="s">
        <v>44</v>
      </c>
      <c r="H571" s="11">
        <v>16133849</v>
      </c>
      <c r="I571" s="10"/>
      <c r="J571" s="10"/>
      <c r="K571" s="10" t="s">
        <v>2191</v>
      </c>
      <c r="L571" s="10"/>
      <c r="M571" s="10" t="s">
        <v>2192</v>
      </c>
    </row>
    <row r="572" spans="1:13">
      <c r="A572" s="10" t="s">
        <v>2448</v>
      </c>
      <c r="B572" s="10" t="s">
        <v>1753</v>
      </c>
      <c r="C572" s="10" t="s">
        <v>1754</v>
      </c>
      <c r="D572" s="10" t="s">
        <v>1755</v>
      </c>
      <c r="E572" s="11">
        <v>2089</v>
      </c>
      <c r="F572" s="10" t="s">
        <v>1756</v>
      </c>
      <c r="G572" s="10" t="s">
        <v>44</v>
      </c>
      <c r="H572" s="11">
        <v>5311311</v>
      </c>
      <c r="I572" s="10" t="s">
        <v>1757</v>
      </c>
      <c r="J572" s="10"/>
      <c r="K572" s="10" t="s">
        <v>1758</v>
      </c>
      <c r="L572" s="10"/>
      <c r="M572" s="10" t="s">
        <v>1759</v>
      </c>
    </row>
    <row r="573" spans="1:13">
      <c r="A573" s="10" t="s">
        <v>2449</v>
      </c>
      <c r="B573" s="10" t="s">
        <v>1773</v>
      </c>
      <c r="C573" s="10" t="s">
        <v>1774</v>
      </c>
      <c r="D573" s="10" t="s">
        <v>1755</v>
      </c>
      <c r="E573" s="11">
        <v>2089</v>
      </c>
      <c r="F573" s="10" t="s">
        <v>1756</v>
      </c>
      <c r="G573" s="10" t="s">
        <v>44</v>
      </c>
      <c r="H573" s="11">
        <v>5311311</v>
      </c>
      <c r="I573" s="10" t="s">
        <v>1757</v>
      </c>
      <c r="J573" s="10"/>
      <c r="K573" s="10" t="s">
        <v>1758</v>
      </c>
      <c r="L573" s="10"/>
      <c r="M573" s="10" t="s">
        <v>1759</v>
      </c>
    </row>
    <row r="574" spans="1:13">
      <c r="A574" s="10" t="s">
        <v>2450</v>
      </c>
      <c r="B574" s="10" t="s">
        <v>1776</v>
      </c>
      <c r="C574" s="10" t="s">
        <v>1777</v>
      </c>
      <c r="D574" s="10" t="s">
        <v>1755</v>
      </c>
      <c r="E574" s="11">
        <v>2089</v>
      </c>
      <c r="F574" s="10" t="s">
        <v>1756</v>
      </c>
      <c r="G574" s="10" t="s">
        <v>44</v>
      </c>
      <c r="H574" s="11">
        <v>5311311</v>
      </c>
      <c r="I574" s="10" t="s">
        <v>1757</v>
      </c>
      <c r="J574" s="10"/>
      <c r="K574" s="10" t="s">
        <v>1758</v>
      </c>
      <c r="L574" s="10"/>
      <c r="M574" s="10" t="s">
        <v>1759</v>
      </c>
    </row>
    <row r="575" spans="1:13">
      <c r="A575" s="10" t="s">
        <v>2448</v>
      </c>
      <c r="B575" s="10" t="s">
        <v>1753</v>
      </c>
      <c r="C575" s="10" t="s">
        <v>1754</v>
      </c>
      <c r="D575" s="10" t="s">
        <v>1760</v>
      </c>
      <c r="E575" s="11">
        <v>2090</v>
      </c>
      <c r="F575" s="10" t="s">
        <v>1761</v>
      </c>
      <c r="G575" s="10" t="s">
        <v>44</v>
      </c>
      <c r="H575" s="11">
        <v>5311312</v>
      </c>
      <c r="I575" s="10" t="s">
        <v>1762</v>
      </c>
      <c r="J575" s="10"/>
      <c r="K575" s="10" t="s">
        <v>1763</v>
      </c>
      <c r="L575" s="10"/>
      <c r="M575" s="10" t="s">
        <v>1764</v>
      </c>
    </row>
    <row r="576" spans="1:13">
      <c r="A576" s="10" t="s">
        <v>2449</v>
      </c>
      <c r="B576" s="10" t="s">
        <v>1773</v>
      </c>
      <c r="C576" s="10" t="s">
        <v>1774</v>
      </c>
      <c r="D576" s="10" t="s">
        <v>1760</v>
      </c>
      <c r="E576" s="11">
        <v>2090</v>
      </c>
      <c r="F576" s="10" t="s">
        <v>1761</v>
      </c>
      <c r="G576" s="10" t="s">
        <v>44</v>
      </c>
      <c r="H576" s="11">
        <v>5311312</v>
      </c>
      <c r="I576" s="10" t="s">
        <v>1762</v>
      </c>
      <c r="J576" s="10"/>
      <c r="K576" s="10" t="s">
        <v>1763</v>
      </c>
      <c r="L576" s="10"/>
      <c r="M576" s="10" t="s">
        <v>1764</v>
      </c>
    </row>
    <row r="577" spans="1:13">
      <c r="A577" s="10" t="s">
        <v>2450</v>
      </c>
      <c r="B577" s="10" t="s">
        <v>1776</v>
      </c>
      <c r="C577" s="10" t="s">
        <v>1777</v>
      </c>
      <c r="D577" s="10" t="s">
        <v>1760</v>
      </c>
      <c r="E577" s="11">
        <v>2090</v>
      </c>
      <c r="F577" s="10" t="s">
        <v>1761</v>
      </c>
      <c r="G577" s="10" t="s">
        <v>44</v>
      </c>
      <c r="H577" s="11">
        <v>5311312</v>
      </c>
      <c r="I577" s="10" t="s">
        <v>1762</v>
      </c>
      <c r="J577" s="10"/>
      <c r="K577" s="10" t="s">
        <v>1763</v>
      </c>
      <c r="L577" s="10"/>
      <c r="M577" s="10" t="s">
        <v>1764</v>
      </c>
    </row>
    <row r="578" spans="1:13">
      <c r="A578" s="10" t="s">
        <v>2448</v>
      </c>
      <c r="B578" s="10" t="s">
        <v>1753</v>
      </c>
      <c r="C578" s="10" t="s">
        <v>1754</v>
      </c>
      <c r="D578" s="10" t="s">
        <v>1765</v>
      </c>
      <c r="E578" s="11">
        <v>2091</v>
      </c>
      <c r="F578" s="10" t="s">
        <v>1766</v>
      </c>
      <c r="G578" s="10" t="s">
        <v>44</v>
      </c>
      <c r="H578" s="11"/>
      <c r="I578" s="10"/>
      <c r="J578" s="10"/>
      <c r="K578" s="10" t="s">
        <v>1767</v>
      </c>
      <c r="L578" s="10"/>
      <c r="M578" s="10"/>
    </row>
    <row r="579" spans="1:13">
      <c r="A579" s="10" t="s">
        <v>2449</v>
      </c>
      <c r="B579" s="10" t="s">
        <v>1773</v>
      </c>
      <c r="C579" s="10" t="s">
        <v>1774</v>
      </c>
      <c r="D579" s="10" t="s">
        <v>1765</v>
      </c>
      <c r="E579" s="11">
        <v>2091</v>
      </c>
      <c r="F579" s="10" t="s">
        <v>1766</v>
      </c>
      <c r="G579" s="10" t="s">
        <v>44</v>
      </c>
      <c r="H579" s="11"/>
      <c r="I579" s="10"/>
      <c r="J579" s="10"/>
      <c r="K579" s="10" t="s">
        <v>1767</v>
      </c>
      <c r="L579" s="10"/>
      <c r="M579" s="10"/>
    </row>
    <row r="580" spans="1:13">
      <c r="A580" s="10" t="s">
        <v>2448</v>
      </c>
      <c r="B580" s="10" t="s">
        <v>1753</v>
      </c>
      <c r="C580" s="10" t="s">
        <v>1754</v>
      </c>
      <c r="D580" s="10" t="s">
        <v>1768</v>
      </c>
      <c r="E580" s="11">
        <v>2092</v>
      </c>
      <c r="F580" s="10"/>
      <c r="G580" s="10" t="s">
        <v>44</v>
      </c>
      <c r="H580" s="11"/>
      <c r="I580" s="10"/>
      <c r="J580" s="10"/>
      <c r="K580" s="10"/>
      <c r="L580" s="10"/>
      <c r="M580" s="10"/>
    </row>
    <row r="581" spans="1:13">
      <c r="A581" s="10" t="s">
        <v>2448</v>
      </c>
      <c r="B581" s="10" t="s">
        <v>1753</v>
      </c>
      <c r="C581" s="10" t="s">
        <v>1754</v>
      </c>
      <c r="D581" s="10" t="s">
        <v>1769</v>
      </c>
      <c r="E581" s="11">
        <v>2098</v>
      </c>
      <c r="F581" s="10" t="s">
        <v>1756</v>
      </c>
      <c r="G581" s="10" t="s">
        <v>44</v>
      </c>
      <c r="H581" s="11">
        <v>36511</v>
      </c>
      <c r="I581" s="10" t="s">
        <v>1770</v>
      </c>
      <c r="J581" s="10"/>
      <c r="K581" s="10" t="s">
        <v>1771</v>
      </c>
      <c r="L581" s="10"/>
      <c r="M581" s="10" t="s">
        <v>1772</v>
      </c>
    </row>
    <row r="582" spans="1:13">
      <c r="A582" s="10" t="s">
        <v>2449</v>
      </c>
      <c r="B582" s="10" t="s">
        <v>1773</v>
      </c>
      <c r="C582" s="10" t="s">
        <v>1774</v>
      </c>
      <c r="D582" s="10" t="s">
        <v>1769</v>
      </c>
      <c r="E582" s="11">
        <v>2098</v>
      </c>
      <c r="F582" s="10" t="s">
        <v>1756</v>
      </c>
      <c r="G582" s="10" t="s">
        <v>44</v>
      </c>
      <c r="H582" s="11">
        <v>36511</v>
      </c>
      <c r="I582" s="10" t="s">
        <v>1770</v>
      </c>
      <c r="J582" s="10"/>
      <c r="K582" s="10" t="s">
        <v>1771</v>
      </c>
      <c r="L582" s="10"/>
      <c r="M582" s="10" t="s">
        <v>1772</v>
      </c>
    </row>
    <row r="583" spans="1:13">
      <c r="A583" s="10" t="s">
        <v>2450</v>
      </c>
      <c r="B583" s="10" t="s">
        <v>1776</v>
      </c>
      <c r="C583" s="10" t="s">
        <v>1777</v>
      </c>
      <c r="D583" s="10" t="s">
        <v>1769</v>
      </c>
      <c r="E583" s="11">
        <v>2098</v>
      </c>
      <c r="F583" s="10" t="s">
        <v>1756</v>
      </c>
      <c r="G583" s="10" t="s">
        <v>44</v>
      </c>
      <c r="H583" s="11">
        <v>36511</v>
      </c>
      <c r="I583" s="10" t="s">
        <v>1770</v>
      </c>
      <c r="J583" s="10"/>
      <c r="K583" s="10" t="s">
        <v>1771</v>
      </c>
      <c r="L583" s="10"/>
      <c r="M583" s="10" t="s">
        <v>1772</v>
      </c>
    </row>
    <row r="584" spans="1:13">
      <c r="A584" s="10" t="s">
        <v>2521</v>
      </c>
      <c r="B584" s="10" t="s">
        <v>2244</v>
      </c>
      <c r="C584" s="10" t="s">
        <v>2245</v>
      </c>
      <c r="D584" s="10" t="s">
        <v>2246</v>
      </c>
      <c r="E584" s="11">
        <v>2139</v>
      </c>
      <c r="F584" s="10" t="s">
        <v>2247</v>
      </c>
      <c r="G584" s="10" t="s">
        <v>44</v>
      </c>
      <c r="H584" s="11">
        <v>638678</v>
      </c>
      <c r="I584" s="10" t="s">
        <v>2248</v>
      </c>
      <c r="J584" s="10" t="s">
        <v>2249</v>
      </c>
      <c r="K584" s="10" t="s">
        <v>2250</v>
      </c>
      <c r="L584" s="10"/>
      <c r="M584" s="10" t="s">
        <v>2251</v>
      </c>
    </row>
    <row r="585" spans="1:13">
      <c r="A585" s="10" t="s">
        <v>2523</v>
      </c>
      <c r="B585" s="10" t="s">
        <v>2257</v>
      </c>
      <c r="C585" s="10" t="s">
        <v>2258</v>
      </c>
      <c r="D585" s="10" t="s">
        <v>2259</v>
      </c>
      <c r="E585" s="11">
        <v>2153</v>
      </c>
      <c r="F585" s="10" t="s">
        <v>2260</v>
      </c>
      <c r="G585" s="10" t="s">
        <v>44</v>
      </c>
      <c r="H585" s="11"/>
      <c r="I585" s="10"/>
      <c r="J585" s="10"/>
      <c r="K585" s="10" t="s">
        <v>2261</v>
      </c>
      <c r="L585" s="10"/>
      <c r="M585" s="10"/>
    </row>
    <row r="586" spans="1:13">
      <c r="A586" s="10" t="s">
        <v>2523</v>
      </c>
      <c r="B586" s="10" t="s">
        <v>2257</v>
      </c>
      <c r="C586" s="10" t="s">
        <v>2258</v>
      </c>
      <c r="D586" s="10" t="s">
        <v>2262</v>
      </c>
      <c r="E586" s="11">
        <v>2156</v>
      </c>
      <c r="F586" s="10" t="s">
        <v>2263</v>
      </c>
      <c r="G586" s="10" t="s">
        <v>44</v>
      </c>
      <c r="H586" s="11">
        <v>11995575</v>
      </c>
      <c r="I586" s="10" t="s">
        <v>2264</v>
      </c>
      <c r="J586" s="10"/>
      <c r="K586" s="10" t="s">
        <v>2265</v>
      </c>
      <c r="L586" s="10"/>
      <c r="M586" s="10" t="s">
        <v>2266</v>
      </c>
    </row>
    <row r="587" spans="1:13">
      <c r="A587" s="10" t="s">
        <v>2473</v>
      </c>
      <c r="B587" s="10" t="s">
        <v>344</v>
      </c>
      <c r="C587" s="10" t="s">
        <v>1972</v>
      </c>
      <c r="D587" s="10" t="s">
        <v>1973</v>
      </c>
      <c r="E587" s="11">
        <v>2168</v>
      </c>
      <c r="F587" s="10" t="s">
        <v>1974</v>
      </c>
      <c r="G587" s="10" t="s">
        <v>44</v>
      </c>
      <c r="H587" s="11"/>
      <c r="I587" s="10" t="s">
        <v>1975</v>
      </c>
      <c r="J587" s="10" t="s">
        <v>1976</v>
      </c>
      <c r="K587" s="10" t="s">
        <v>1977</v>
      </c>
      <c r="L587" s="10"/>
      <c r="M587" s="10" t="s">
        <v>1978</v>
      </c>
    </row>
    <row r="588" spans="1:13">
      <c r="A588" s="10" t="s">
        <v>2524</v>
      </c>
      <c r="B588" s="10" t="s">
        <v>345</v>
      </c>
      <c r="C588" s="10" t="s">
        <v>2267</v>
      </c>
      <c r="D588" s="10" t="s">
        <v>1973</v>
      </c>
      <c r="E588" s="11">
        <v>2168</v>
      </c>
      <c r="F588" s="10" t="s">
        <v>1974</v>
      </c>
      <c r="G588" s="10" t="s">
        <v>44</v>
      </c>
      <c r="H588" s="11"/>
      <c r="I588" s="10" t="s">
        <v>1975</v>
      </c>
      <c r="J588" s="10" t="s">
        <v>1976</v>
      </c>
      <c r="K588" s="10" t="s">
        <v>1977</v>
      </c>
      <c r="L588" s="10"/>
      <c r="M588" s="10" t="s">
        <v>1978</v>
      </c>
    </row>
    <row r="589" spans="1:13">
      <c r="A589" s="10" t="s">
        <v>2525</v>
      </c>
      <c r="B589" s="10" t="s">
        <v>2268</v>
      </c>
      <c r="C589" s="10" t="s">
        <v>2269</v>
      </c>
      <c r="D589" s="10" t="s">
        <v>1973</v>
      </c>
      <c r="E589" s="11">
        <v>2168</v>
      </c>
      <c r="F589" s="10" t="s">
        <v>1974</v>
      </c>
      <c r="G589" s="10" t="s">
        <v>44</v>
      </c>
      <c r="H589" s="11"/>
      <c r="I589" s="10" t="s">
        <v>1975</v>
      </c>
      <c r="J589" s="10" t="s">
        <v>1976</v>
      </c>
      <c r="K589" s="10" t="s">
        <v>1977</v>
      </c>
      <c r="L589" s="10"/>
      <c r="M589" s="10" t="s">
        <v>1978</v>
      </c>
    </row>
    <row r="590" spans="1:13">
      <c r="A590" s="10" t="s">
        <v>2526</v>
      </c>
      <c r="B590" s="10" t="s">
        <v>346</v>
      </c>
      <c r="C590" s="10" t="s">
        <v>2270</v>
      </c>
      <c r="D590" s="10" t="s">
        <v>1973</v>
      </c>
      <c r="E590" s="11">
        <v>2168</v>
      </c>
      <c r="F590" s="10" t="s">
        <v>1974</v>
      </c>
      <c r="G590" s="10" t="s">
        <v>44</v>
      </c>
      <c r="H590" s="11"/>
      <c r="I590" s="10" t="s">
        <v>1975</v>
      </c>
      <c r="J590" s="10" t="s">
        <v>1976</v>
      </c>
      <c r="K590" s="10" t="s">
        <v>1977</v>
      </c>
      <c r="L590" s="10"/>
      <c r="M590" s="10" t="s">
        <v>1978</v>
      </c>
    </row>
    <row r="591" spans="1:13">
      <c r="A591" s="10" t="s">
        <v>2473</v>
      </c>
      <c r="B591" s="10" t="s">
        <v>344</v>
      </c>
      <c r="C591" s="10" t="s">
        <v>1972</v>
      </c>
      <c r="D591" s="10" t="s">
        <v>1979</v>
      </c>
      <c r="E591" s="11">
        <v>2174</v>
      </c>
      <c r="F591" s="10" t="s">
        <v>1980</v>
      </c>
      <c r="G591" s="10" t="s">
        <v>44</v>
      </c>
      <c r="H591" s="11">
        <v>439302</v>
      </c>
      <c r="I591" s="10" t="s">
        <v>1981</v>
      </c>
      <c r="J591" s="10" t="s">
        <v>1979</v>
      </c>
      <c r="K591" s="10" t="s">
        <v>1982</v>
      </c>
      <c r="L591" s="10"/>
      <c r="M591" s="10" t="s">
        <v>1983</v>
      </c>
    </row>
    <row r="592" spans="1:13">
      <c r="A592" s="10" t="s">
        <v>2524</v>
      </c>
      <c r="B592" s="10" t="s">
        <v>345</v>
      </c>
      <c r="C592" s="10" t="s">
        <v>2267</v>
      </c>
      <c r="D592" s="10" t="s">
        <v>1979</v>
      </c>
      <c r="E592" s="11">
        <v>2174</v>
      </c>
      <c r="F592" s="10" t="s">
        <v>1980</v>
      </c>
      <c r="G592" s="10" t="s">
        <v>44</v>
      </c>
      <c r="H592" s="11">
        <v>439302</v>
      </c>
      <c r="I592" s="10" t="s">
        <v>1981</v>
      </c>
      <c r="J592" s="10" t="s">
        <v>1979</v>
      </c>
      <c r="K592" s="10" t="s">
        <v>1982</v>
      </c>
      <c r="L592" s="10"/>
      <c r="M592" s="10" t="s">
        <v>1983</v>
      </c>
    </row>
    <row r="593" spans="1:13">
      <c r="A593" s="10" t="s">
        <v>2525</v>
      </c>
      <c r="B593" s="10" t="s">
        <v>2268</v>
      </c>
      <c r="C593" s="10" t="s">
        <v>2269</v>
      </c>
      <c r="D593" s="10" t="s">
        <v>1979</v>
      </c>
      <c r="E593" s="11">
        <v>2174</v>
      </c>
      <c r="F593" s="10" t="s">
        <v>1980</v>
      </c>
      <c r="G593" s="10" t="s">
        <v>44</v>
      </c>
      <c r="H593" s="11">
        <v>439302</v>
      </c>
      <c r="I593" s="10" t="s">
        <v>1981</v>
      </c>
      <c r="J593" s="10" t="s">
        <v>1979</v>
      </c>
      <c r="K593" s="10" t="s">
        <v>1982</v>
      </c>
      <c r="L593" s="10"/>
      <c r="M593" s="10" t="s">
        <v>1983</v>
      </c>
    </row>
    <row r="594" spans="1:13">
      <c r="A594" s="10" t="s">
        <v>2526</v>
      </c>
      <c r="B594" s="10" t="s">
        <v>346</v>
      </c>
      <c r="C594" s="10" t="s">
        <v>2270</v>
      </c>
      <c r="D594" s="10" t="s">
        <v>1979</v>
      </c>
      <c r="E594" s="11">
        <v>2174</v>
      </c>
      <c r="F594" s="10" t="s">
        <v>1980</v>
      </c>
      <c r="G594" s="10" t="s">
        <v>44</v>
      </c>
      <c r="H594" s="11">
        <v>439302</v>
      </c>
      <c r="I594" s="10" t="s">
        <v>1981</v>
      </c>
      <c r="J594" s="10" t="s">
        <v>1979</v>
      </c>
      <c r="K594" s="10" t="s">
        <v>1982</v>
      </c>
      <c r="L594" s="10"/>
      <c r="M594" s="10" t="s">
        <v>1983</v>
      </c>
    </row>
    <row r="595" spans="1:13">
      <c r="A595" s="10" t="s">
        <v>2483</v>
      </c>
      <c r="B595" s="10" t="s">
        <v>2021</v>
      </c>
      <c r="C595" s="10" t="s">
        <v>2022</v>
      </c>
      <c r="D595" s="10" t="s">
        <v>2026</v>
      </c>
      <c r="E595" s="11">
        <v>2257</v>
      </c>
      <c r="F595" s="10" t="s">
        <v>2027</v>
      </c>
      <c r="G595" s="10" t="s">
        <v>44</v>
      </c>
      <c r="H595" s="11">
        <v>16133238</v>
      </c>
      <c r="I595" s="10"/>
      <c r="J595" s="10"/>
      <c r="K595" s="10" t="s">
        <v>2028</v>
      </c>
      <c r="L595" s="10"/>
      <c r="M595" s="10" t="s">
        <v>2029</v>
      </c>
    </row>
    <row r="596" spans="1:13">
      <c r="A596" s="10" t="s">
        <v>2527</v>
      </c>
      <c r="B596" s="10" t="s">
        <v>347</v>
      </c>
      <c r="C596" s="10" t="s">
        <v>2271</v>
      </c>
      <c r="D596" s="10" t="s">
        <v>2026</v>
      </c>
      <c r="E596" s="11">
        <v>2257</v>
      </c>
      <c r="F596" s="10" t="s">
        <v>2027</v>
      </c>
      <c r="G596" s="10" t="s">
        <v>44</v>
      </c>
      <c r="H596" s="11">
        <v>16133238</v>
      </c>
      <c r="I596" s="10"/>
      <c r="J596" s="10"/>
      <c r="K596" s="10" t="s">
        <v>2028</v>
      </c>
      <c r="L596" s="10"/>
      <c r="M596" s="10" t="s">
        <v>2029</v>
      </c>
    </row>
    <row r="597" spans="1:13">
      <c r="A597" s="10" t="s">
        <v>2528</v>
      </c>
      <c r="B597" s="10" t="s">
        <v>2272</v>
      </c>
      <c r="C597" s="10" t="s">
        <v>2273</v>
      </c>
      <c r="D597" s="10" t="s">
        <v>2026</v>
      </c>
      <c r="E597" s="11">
        <v>2257</v>
      </c>
      <c r="F597" s="10" t="s">
        <v>2027</v>
      </c>
      <c r="G597" s="10" t="s">
        <v>44</v>
      </c>
      <c r="H597" s="11">
        <v>16133238</v>
      </c>
      <c r="I597" s="10"/>
      <c r="J597" s="10"/>
      <c r="K597" s="10" t="s">
        <v>2028</v>
      </c>
      <c r="L597" s="10"/>
      <c r="M597" s="10" t="s">
        <v>2029</v>
      </c>
    </row>
    <row r="598" spans="1:13">
      <c r="A598" s="10" t="s">
        <v>2483</v>
      </c>
      <c r="B598" s="10" t="s">
        <v>2021</v>
      </c>
      <c r="C598" s="10" t="s">
        <v>2022</v>
      </c>
      <c r="D598" s="10" t="s">
        <v>2030</v>
      </c>
      <c r="E598" s="11">
        <v>2258</v>
      </c>
      <c r="F598" s="10" t="s">
        <v>2031</v>
      </c>
      <c r="G598" s="10" t="s">
        <v>44</v>
      </c>
      <c r="H598" s="11"/>
      <c r="I598" s="10"/>
      <c r="J598" s="10"/>
      <c r="K598" s="10" t="s">
        <v>2032</v>
      </c>
      <c r="L598" s="10"/>
      <c r="M598" s="10"/>
    </row>
    <row r="599" spans="1:13">
      <c r="A599" s="10" t="s">
        <v>2527</v>
      </c>
      <c r="B599" s="10" t="s">
        <v>347</v>
      </c>
      <c r="C599" s="10" t="s">
        <v>2271</v>
      </c>
      <c r="D599" s="10" t="s">
        <v>2030</v>
      </c>
      <c r="E599" s="11">
        <v>2258</v>
      </c>
      <c r="F599" s="10" t="s">
        <v>2031</v>
      </c>
      <c r="G599" s="10" t="s">
        <v>44</v>
      </c>
      <c r="H599" s="11"/>
      <c r="I599" s="10"/>
      <c r="J599" s="10"/>
      <c r="K599" s="10" t="s">
        <v>2032</v>
      </c>
      <c r="L599" s="10"/>
      <c r="M599" s="10"/>
    </row>
    <row r="600" spans="1:13">
      <c r="A600" s="10" t="s">
        <v>2528</v>
      </c>
      <c r="B600" s="10" t="s">
        <v>2272</v>
      </c>
      <c r="C600" s="10" t="s">
        <v>2273</v>
      </c>
      <c r="D600" s="10" t="s">
        <v>2030</v>
      </c>
      <c r="E600" s="11">
        <v>2258</v>
      </c>
      <c r="F600" s="10" t="s">
        <v>2031</v>
      </c>
      <c r="G600" s="10" t="s">
        <v>44</v>
      </c>
      <c r="H600" s="11"/>
      <c r="I600" s="10"/>
      <c r="J600" s="10"/>
      <c r="K600" s="10" t="s">
        <v>2032</v>
      </c>
      <c r="L600" s="10"/>
      <c r="M600" s="10"/>
    </row>
    <row r="601" spans="1:13">
      <c r="A601" s="10" t="s">
        <v>2375</v>
      </c>
      <c r="B601" s="10" t="s">
        <v>1231</v>
      </c>
      <c r="C601" s="10" t="s">
        <v>1232</v>
      </c>
      <c r="D601" s="10" t="s">
        <v>1233</v>
      </c>
      <c r="E601" s="11">
        <v>2270</v>
      </c>
      <c r="F601" s="10" t="s">
        <v>1234</v>
      </c>
      <c r="G601" s="10" t="s">
        <v>44</v>
      </c>
      <c r="H601" s="11">
        <v>16132353</v>
      </c>
      <c r="I601" s="10"/>
      <c r="J601" s="10" t="s">
        <v>1235</v>
      </c>
      <c r="K601" s="10" t="s">
        <v>1236</v>
      </c>
      <c r="L601" s="10"/>
      <c r="M601" s="10"/>
    </row>
    <row r="602" spans="1:13">
      <c r="A602" s="10" t="s">
        <v>2527</v>
      </c>
      <c r="B602" s="10" t="s">
        <v>347</v>
      </c>
      <c r="C602" s="10" t="s">
        <v>2271</v>
      </c>
      <c r="D602" s="10" t="s">
        <v>1233</v>
      </c>
      <c r="E602" s="11">
        <v>2270</v>
      </c>
      <c r="F602" s="10" t="s">
        <v>1234</v>
      </c>
      <c r="G602" s="10" t="s">
        <v>44</v>
      </c>
      <c r="H602" s="11">
        <v>16132353</v>
      </c>
      <c r="I602" s="10"/>
      <c r="J602" s="10" t="s">
        <v>1235</v>
      </c>
      <c r="K602" s="10" t="s">
        <v>1236</v>
      </c>
      <c r="L602" s="10"/>
      <c r="M602" s="10"/>
    </row>
    <row r="603" spans="1:13">
      <c r="A603" s="10" t="s">
        <v>2528</v>
      </c>
      <c r="B603" s="10" t="s">
        <v>2272</v>
      </c>
      <c r="C603" s="10" t="s">
        <v>2273</v>
      </c>
      <c r="D603" s="10" t="s">
        <v>1233</v>
      </c>
      <c r="E603" s="11">
        <v>2270</v>
      </c>
      <c r="F603" s="10" t="s">
        <v>1234</v>
      </c>
      <c r="G603" s="10" t="s">
        <v>44</v>
      </c>
      <c r="H603" s="11">
        <v>16132353</v>
      </c>
      <c r="I603" s="10"/>
      <c r="J603" s="10" t="s">
        <v>1235</v>
      </c>
      <c r="K603" s="10" t="s">
        <v>1236</v>
      </c>
      <c r="L603" s="10"/>
      <c r="M603" s="10"/>
    </row>
    <row r="604" spans="1:13">
      <c r="A604" s="10" t="s">
        <v>2483</v>
      </c>
      <c r="B604" s="10" t="s">
        <v>2021</v>
      </c>
      <c r="C604" s="10" t="s">
        <v>2022</v>
      </c>
      <c r="D604" s="10" t="s">
        <v>2033</v>
      </c>
      <c r="E604" s="11">
        <v>2274</v>
      </c>
      <c r="F604" s="10" t="s">
        <v>2034</v>
      </c>
      <c r="G604" s="10" t="s">
        <v>44</v>
      </c>
      <c r="H604" s="11"/>
      <c r="I604" s="10"/>
      <c r="J604" s="10"/>
      <c r="K604" s="10" t="s">
        <v>2035</v>
      </c>
      <c r="L604" s="10"/>
      <c r="M604" s="10"/>
    </row>
    <row r="605" spans="1:13">
      <c r="A605" s="10" t="s">
        <v>2527</v>
      </c>
      <c r="B605" s="10" t="s">
        <v>347</v>
      </c>
      <c r="C605" s="10" t="s">
        <v>2271</v>
      </c>
      <c r="D605" s="10" t="s">
        <v>2033</v>
      </c>
      <c r="E605" s="11">
        <v>2274</v>
      </c>
      <c r="F605" s="10" t="s">
        <v>2034</v>
      </c>
      <c r="G605" s="10" t="s">
        <v>44</v>
      </c>
      <c r="H605" s="11"/>
      <c r="I605" s="10"/>
      <c r="J605" s="10"/>
      <c r="K605" s="10" t="s">
        <v>2035</v>
      </c>
      <c r="L605" s="10"/>
      <c r="M605" s="10"/>
    </row>
    <row r="606" spans="1:13">
      <c r="A606" s="10" t="s">
        <v>2316</v>
      </c>
      <c r="B606" s="10" t="s">
        <v>276</v>
      </c>
      <c r="C606" s="10" t="s">
        <v>721</v>
      </c>
      <c r="D606" s="10" t="s">
        <v>726</v>
      </c>
      <c r="E606" s="11">
        <v>2504</v>
      </c>
      <c r="F606" s="10" t="s">
        <v>723</v>
      </c>
      <c r="G606" s="10" t="s">
        <v>44</v>
      </c>
      <c r="H606" s="11">
        <v>172198</v>
      </c>
      <c r="I606" s="10" t="s">
        <v>727</v>
      </c>
      <c r="J606" s="10" t="s">
        <v>726</v>
      </c>
      <c r="K606" s="10" t="s">
        <v>728</v>
      </c>
      <c r="L606" s="10"/>
      <c r="M606" s="10" t="s">
        <v>729</v>
      </c>
    </row>
    <row r="607" spans="1:13">
      <c r="A607" s="10" t="s">
        <v>2317</v>
      </c>
      <c r="B607" s="10" t="s">
        <v>735</v>
      </c>
      <c r="C607" s="10" t="s">
        <v>736</v>
      </c>
      <c r="D607" s="10" t="s">
        <v>726</v>
      </c>
      <c r="E607" s="11">
        <v>2504</v>
      </c>
      <c r="F607" s="10" t="s">
        <v>723</v>
      </c>
      <c r="G607" s="10" t="s">
        <v>44</v>
      </c>
      <c r="H607" s="11">
        <v>172198</v>
      </c>
      <c r="I607" s="10" t="s">
        <v>727</v>
      </c>
      <c r="J607" s="10" t="s">
        <v>726</v>
      </c>
      <c r="K607" s="10" t="s">
        <v>728</v>
      </c>
      <c r="L607" s="10"/>
      <c r="M607" s="10" t="s">
        <v>729</v>
      </c>
    </row>
    <row r="608" spans="1:13">
      <c r="A608" s="10" t="s">
        <v>2340</v>
      </c>
      <c r="B608" s="10" t="s">
        <v>958</v>
      </c>
      <c r="C608" s="10" t="s">
        <v>959</v>
      </c>
      <c r="D608" s="10" t="s">
        <v>960</v>
      </c>
      <c r="E608" s="11">
        <v>2945</v>
      </c>
      <c r="F608" s="10" t="s">
        <v>961</v>
      </c>
      <c r="G608" s="10" t="s">
        <v>44</v>
      </c>
      <c r="H608" s="11"/>
      <c r="I608" s="10"/>
      <c r="J608" s="10"/>
      <c r="K608" s="10" t="s">
        <v>962</v>
      </c>
      <c r="L608" s="10"/>
      <c r="M608" s="10"/>
    </row>
    <row r="609" spans="1:13">
      <c r="A609" s="10" t="s">
        <v>5431</v>
      </c>
      <c r="B609" s="10" t="s">
        <v>1433</v>
      </c>
      <c r="C609" s="10" t="s">
        <v>5432</v>
      </c>
      <c r="D609" s="10" t="s">
        <v>960</v>
      </c>
      <c r="E609" s="11">
        <v>2945</v>
      </c>
      <c r="F609" s="10" t="s">
        <v>961</v>
      </c>
      <c r="G609" s="10" t="s">
        <v>44</v>
      </c>
      <c r="H609" s="11"/>
      <c r="I609" s="10"/>
      <c r="J609" s="10"/>
      <c r="K609" s="10" t="s">
        <v>962</v>
      </c>
      <c r="L609" s="10"/>
      <c r="M609" s="10"/>
    </row>
    <row r="610" spans="1:13">
      <c r="A610" s="10" t="s">
        <v>2377</v>
      </c>
      <c r="B610" s="10" t="s">
        <v>301</v>
      </c>
      <c r="C610" s="10" t="s">
        <v>1242</v>
      </c>
      <c r="D610" s="10" t="s">
        <v>1243</v>
      </c>
      <c r="E610" s="11">
        <v>3542</v>
      </c>
      <c r="F610" s="10" t="s">
        <v>1244</v>
      </c>
      <c r="G610" s="10" t="s">
        <v>44</v>
      </c>
      <c r="H610" s="11"/>
      <c r="I610" s="10"/>
      <c r="J610" s="10"/>
      <c r="K610" s="10" t="s">
        <v>1245</v>
      </c>
      <c r="L610" s="10"/>
      <c r="M610" s="10"/>
    </row>
    <row r="611" spans="1:13">
      <c r="A611" s="10" t="s">
        <v>2378</v>
      </c>
      <c r="B611" s="10" t="s">
        <v>302</v>
      </c>
      <c r="C611" s="10" t="s">
        <v>1246</v>
      </c>
      <c r="D611" s="10" t="s">
        <v>1252</v>
      </c>
      <c r="E611" s="11">
        <v>3544</v>
      </c>
      <c r="F611" s="10" t="s">
        <v>1248</v>
      </c>
      <c r="G611" s="10" t="s">
        <v>44</v>
      </c>
      <c r="H611" s="11">
        <v>16133830</v>
      </c>
      <c r="I611" s="10"/>
      <c r="J611" s="10"/>
      <c r="K611" s="10" t="s">
        <v>1253</v>
      </c>
      <c r="L611" s="10"/>
      <c r="M611" s="10"/>
    </row>
    <row r="612" spans="1:13">
      <c r="A612" s="10" t="s">
        <v>2368</v>
      </c>
      <c r="B612" s="10" t="s">
        <v>1193</v>
      </c>
      <c r="C612" s="10" t="s">
        <v>1194</v>
      </c>
      <c r="D612" s="10" t="s">
        <v>1195</v>
      </c>
      <c r="E612" s="11">
        <v>3547</v>
      </c>
      <c r="F612" s="10" t="s">
        <v>1196</v>
      </c>
      <c r="G612" s="10" t="s">
        <v>44</v>
      </c>
      <c r="H612" s="11"/>
      <c r="I612" s="10"/>
      <c r="J612" s="10"/>
      <c r="K612" s="10" t="s">
        <v>1197</v>
      </c>
      <c r="L612" s="10"/>
      <c r="M612" s="10"/>
    </row>
    <row r="613" spans="1:13">
      <c r="A613" s="10" t="s">
        <v>2366</v>
      </c>
      <c r="B613" s="10" t="s">
        <v>1175</v>
      </c>
      <c r="C613" s="10" t="s">
        <v>1176</v>
      </c>
      <c r="D613" s="10" t="s">
        <v>1177</v>
      </c>
      <c r="E613" s="11">
        <v>3548</v>
      </c>
      <c r="F613" s="10" t="s">
        <v>1178</v>
      </c>
      <c r="G613" s="10" t="s">
        <v>44</v>
      </c>
      <c r="H613" s="11"/>
      <c r="I613" s="10"/>
      <c r="J613" s="10"/>
      <c r="K613" s="10" t="s">
        <v>1179</v>
      </c>
      <c r="L613" s="10"/>
      <c r="M613" s="10"/>
    </row>
    <row r="614" spans="1:13">
      <c r="A614" s="10" t="s">
        <v>2367</v>
      </c>
      <c r="B614" s="10" t="s">
        <v>1191</v>
      </c>
      <c r="C614" s="10" t="s">
        <v>1192</v>
      </c>
      <c r="D614" s="10" t="s">
        <v>1177</v>
      </c>
      <c r="E614" s="11">
        <v>3548</v>
      </c>
      <c r="F614" s="10" t="s">
        <v>1178</v>
      </c>
      <c r="G614" s="10" t="s">
        <v>44</v>
      </c>
      <c r="H614" s="11"/>
      <c r="I614" s="10"/>
      <c r="J614" s="10"/>
      <c r="K614" s="10" t="s">
        <v>1179</v>
      </c>
      <c r="L614" s="10"/>
      <c r="M614" s="10"/>
    </row>
    <row r="615" spans="1:13">
      <c r="A615" s="10" t="s">
        <v>2368</v>
      </c>
      <c r="B615" s="10" t="s">
        <v>1193</v>
      </c>
      <c r="C615" s="10" t="s">
        <v>1194</v>
      </c>
      <c r="D615" s="10" t="s">
        <v>1177</v>
      </c>
      <c r="E615" s="11">
        <v>3548</v>
      </c>
      <c r="F615" s="10" t="s">
        <v>1178</v>
      </c>
      <c r="G615" s="10" t="s">
        <v>44</v>
      </c>
      <c r="H615" s="11"/>
      <c r="I615" s="10"/>
      <c r="J615" s="10"/>
      <c r="K615" s="10" t="s">
        <v>1179</v>
      </c>
      <c r="L615" s="10"/>
      <c r="M615" s="10"/>
    </row>
    <row r="616" spans="1:13">
      <c r="A616" s="10" t="s">
        <v>2366</v>
      </c>
      <c r="B616" s="10" t="s">
        <v>1175</v>
      </c>
      <c r="C616" s="10" t="s">
        <v>1176</v>
      </c>
      <c r="D616" s="10" t="s">
        <v>1180</v>
      </c>
      <c r="E616" s="11">
        <v>3549</v>
      </c>
      <c r="F616" s="10" t="s">
        <v>1181</v>
      </c>
      <c r="G616" s="10" t="s">
        <v>44</v>
      </c>
      <c r="H616" s="11"/>
      <c r="I616" s="10"/>
      <c r="J616" s="10"/>
      <c r="K616" s="10" t="s">
        <v>1182</v>
      </c>
      <c r="L616" s="10"/>
      <c r="M616" s="10"/>
    </row>
    <row r="617" spans="1:13">
      <c r="A617" s="10" t="s">
        <v>2368</v>
      </c>
      <c r="B617" s="10" t="s">
        <v>1193</v>
      </c>
      <c r="C617" s="10" t="s">
        <v>1194</v>
      </c>
      <c r="D617" s="10" t="s">
        <v>1180</v>
      </c>
      <c r="E617" s="11">
        <v>3549</v>
      </c>
      <c r="F617" s="10" t="s">
        <v>1181</v>
      </c>
      <c r="G617" s="10" t="s">
        <v>44</v>
      </c>
      <c r="H617" s="11"/>
      <c r="I617" s="10"/>
      <c r="J617" s="10"/>
      <c r="K617" s="10" t="s">
        <v>1182</v>
      </c>
      <c r="L617" s="10"/>
      <c r="M617" s="10"/>
    </row>
    <row r="618" spans="1:13">
      <c r="A618" s="10" t="s">
        <v>2326</v>
      </c>
      <c r="B618" s="10" t="s">
        <v>288</v>
      </c>
      <c r="C618" s="10" t="s">
        <v>845</v>
      </c>
      <c r="D618" s="10" t="s">
        <v>860</v>
      </c>
      <c r="E618" s="11">
        <v>3552</v>
      </c>
      <c r="F618" s="10" t="s">
        <v>847</v>
      </c>
      <c r="G618" s="10" t="s">
        <v>44</v>
      </c>
      <c r="H618" s="11"/>
      <c r="I618" s="10"/>
      <c r="J618" s="10"/>
      <c r="K618" s="10"/>
      <c r="L618" s="10"/>
      <c r="M618" s="10"/>
    </row>
    <row r="619" spans="1:13">
      <c r="A619" s="10" t="s">
        <v>2374</v>
      </c>
      <c r="B619" s="10" t="s">
        <v>1219</v>
      </c>
      <c r="C619" s="10" t="s">
        <v>1220</v>
      </c>
      <c r="D619" s="10" t="s">
        <v>860</v>
      </c>
      <c r="E619" s="11">
        <v>3552</v>
      </c>
      <c r="F619" s="10" t="s">
        <v>847</v>
      </c>
      <c r="G619" s="10" t="s">
        <v>44</v>
      </c>
      <c r="H619" s="11"/>
      <c r="I619" s="10"/>
      <c r="J619" s="10"/>
      <c r="K619" s="10"/>
      <c r="L619" s="10"/>
      <c r="M619" s="10"/>
    </row>
    <row r="620" spans="1:13">
      <c r="A620" s="10" t="s">
        <v>2318</v>
      </c>
      <c r="B620" s="10" t="s">
        <v>277</v>
      </c>
      <c r="C620" s="10" t="s">
        <v>742</v>
      </c>
      <c r="D620" s="10" t="s">
        <v>751</v>
      </c>
      <c r="E620" s="11">
        <v>3556</v>
      </c>
      <c r="F620" s="10" t="s">
        <v>744</v>
      </c>
      <c r="G620" s="10" t="s">
        <v>44</v>
      </c>
      <c r="H620" s="11">
        <v>16130452</v>
      </c>
      <c r="I620" s="10"/>
      <c r="J620" s="10"/>
      <c r="K620" s="10" t="s">
        <v>752</v>
      </c>
      <c r="L620" s="10"/>
      <c r="M620" s="10"/>
    </row>
    <row r="621" spans="1:13">
      <c r="A621" s="10" t="s">
        <v>2374</v>
      </c>
      <c r="B621" s="10" t="s">
        <v>1219</v>
      </c>
      <c r="C621" s="10" t="s">
        <v>1220</v>
      </c>
      <c r="D621" s="10" t="s">
        <v>1221</v>
      </c>
      <c r="E621" s="11">
        <v>3558</v>
      </c>
      <c r="F621" s="10" t="s">
        <v>862</v>
      </c>
      <c r="G621" s="10" t="s">
        <v>44</v>
      </c>
      <c r="H621" s="11"/>
      <c r="I621" s="10"/>
      <c r="J621" s="10"/>
      <c r="K621" s="10" t="s">
        <v>1222</v>
      </c>
      <c r="L621" s="10"/>
      <c r="M621" s="10"/>
    </row>
    <row r="622" spans="1:13">
      <c r="A622" s="10" t="s">
        <v>2326</v>
      </c>
      <c r="B622" s="10" t="s">
        <v>288</v>
      </c>
      <c r="C622" s="10" t="s">
        <v>845</v>
      </c>
      <c r="D622" s="10" t="s">
        <v>861</v>
      </c>
      <c r="E622" s="11">
        <v>3559</v>
      </c>
      <c r="F622" s="10" t="s">
        <v>862</v>
      </c>
      <c r="G622" s="10" t="s">
        <v>44</v>
      </c>
      <c r="H622" s="11">
        <v>16162108</v>
      </c>
      <c r="I622" s="10"/>
      <c r="J622" s="10"/>
      <c r="K622" s="10" t="s">
        <v>863</v>
      </c>
      <c r="L622" s="10"/>
      <c r="M622" s="10"/>
    </row>
    <row r="623" spans="1:13">
      <c r="A623" s="10" t="s">
        <v>2374</v>
      </c>
      <c r="B623" s="10" t="s">
        <v>1219</v>
      </c>
      <c r="C623" s="10" t="s">
        <v>1220</v>
      </c>
      <c r="D623" s="10" t="s">
        <v>861</v>
      </c>
      <c r="E623" s="11">
        <v>3559</v>
      </c>
      <c r="F623" s="10" t="s">
        <v>862</v>
      </c>
      <c r="G623" s="10" t="s">
        <v>44</v>
      </c>
      <c r="H623" s="11">
        <v>16162108</v>
      </c>
      <c r="I623" s="10"/>
      <c r="J623" s="10"/>
      <c r="K623" s="10" t="s">
        <v>863</v>
      </c>
      <c r="L623" s="10"/>
      <c r="M623" s="10"/>
    </row>
    <row r="624" spans="1:13">
      <c r="A624" s="10" t="s">
        <v>2374</v>
      </c>
      <c r="B624" s="10" t="s">
        <v>1219</v>
      </c>
      <c r="C624" s="10" t="s">
        <v>1220</v>
      </c>
      <c r="D624" s="10" t="s">
        <v>1223</v>
      </c>
      <c r="E624" s="11">
        <v>3562</v>
      </c>
      <c r="F624" s="10" t="s">
        <v>862</v>
      </c>
      <c r="G624" s="10" t="s">
        <v>44</v>
      </c>
      <c r="H624" s="11"/>
      <c r="I624" s="10"/>
      <c r="J624" s="10"/>
      <c r="K624" s="10" t="s">
        <v>1224</v>
      </c>
      <c r="L624" s="10"/>
      <c r="M624" s="10"/>
    </row>
    <row r="625" spans="1:13">
      <c r="A625" s="10" t="s">
        <v>2374</v>
      </c>
      <c r="B625" s="10" t="s">
        <v>1219</v>
      </c>
      <c r="C625" s="10" t="s">
        <v>1220</v>
      </c>
      <c r="D625" s="10" t="s">
        <v>1225</v>
      </c>
      <c r="E625" s="11">
        <v>3566</v>
      </c>
      <c r="F625" s="10" t="s">
        <v>862</v>
      </c>
      <c r="G625" s="10" t="s">
        <v>44</v>
      </c>
      <c r="H625" s="11"/>
      <c r="I625" s="10"/>
      <c r="J625" s="10"/>
      <c r="K625" s="10"/>
      <c r="L625" s="10"/>
      <c r="M625" s="10"/>
    </row>
    <row r="626" spans="1:13">
      <c r="A626" s="10" t="s">
        <v>2362</v>
      </c>
      <c r="B626" s="10" t="s">
        <v>1116</v>
      </c>
      <c r="C626" s="10" t="s">
        <v>114</v>
      </c>
      <c r="D626" s="10" t="s">
        <v>1128</v>
      </c>
      <c r="E626" s="11">
        <v>3570</v>
      </c>
      <c r="F626" s="10" t="s">
        <v>1129</v>
      </c>
      <c r="G626" s="10" t="s">
        <v>44</v>
      </c>
      <c r="H626" s="11"/>
      <c r="I626" s="10"/>
      <c r="J626" s="10"/>
      <c r="K626" s="10"/>
      <c r="L626" s="10"/>
      <c r="M626" s="10"/>
    </row>
    <row r="627" spans="1:13">
      <c r="A627" s="10" t="s">
        <v>2486</v>
      </c>
      <c r="B627" s="10" t="s">
        <v>2041</v>
      </c>
      <c r="C627" s="10" t="s">
        <v>213</v>
      </c>
      <c r="D627" s="10" t="s">
        <v>1128</v>
      </c>
      <c r="E627" s="11">
        <v>3570</v>
      </c>
      <c r="F627" s="10" t="s">
        <v>1129</v>
      </c>
      <c r="G627" s="10" t="s">
        <v>44</v>
      </c>
      <c r="H627" s="11"/>
      <c r="I627" s="10"/>
      <c r="J627" s="10"/>
      <c r="K627" s="10"/>
      <c r="L627" s="10"/>
      <c r="M627" s="10"/>
    </row>
    <row r="628" spans="1:13">
      <c r="A628" s="10" t="s">
        <v>2319</v>
      </c>
      <c r="B628" s="10" t="s">
        <v>279</v>
      </c>
      <c r="C628" s="10" t="s">
        <v>762</v>
      </c>
      <c r="D628" s="10" t="s">
        <v>786</v>
      </c>
      <c r="E628" s="11">
        <v>3578</v>
      </c>
      <c r="F628" s="10" t="s">
        <v>769</v>
      </c>
      <c r="G628" s="10" t="s">
        <v>44</v>
      </c>
      <c r="H628" s="11"/>
      <c r="I628" s="10"/>
      <c r="J628" s="10"/>
      <c r="K628" s="10" t="s">
        <v>787</v>
      </c>
      <c r="L628" s="10"/>
      <c r="M628" s="10"/>
    </row>
    <row r="629" spans="1:13">
      <c r="A629" s="10" t="s">
        <v>2320</v>
      </c>
      <c r="B629" s="10" t="s">
        <v>280</v>
      </c>
      <c r="C629" s="10" t="s">
        <v>790</v>
      </c>
      <c r="D629" s="10" t="s">
        <v>786</v>
      </c>
      <c r="E629" s="11">
        <v>3578</v>
      </c>
      <c r="F629" s="10" t="s">
        <v>769</v>
      </c>
      <c r="G629" s="10" t="s">
        <v>44</v>
      </c>
      <c r="H629" s="11"/>
      <c r="I629" s="10"/>
      <c r="J629" s="10"/>
      <c r="K629" s="10" t="s">
        <v>787</v>
      </c>
      <c r="L629" s="10"/>
      <c r="M629" s="10"/>
    </row>
    <row r="630" spans="1:13">
      <c r="A630" s="10" t="s">
        <v>2319</v>
      </c>
      <c r="B630" s="10" t="s">
        <v>279</v>
      </c>
      <c r="C630" s="10" t="s">
        <v>762</v>
      </c>
      <c r="D630" s="10" t="s">
        <v>788</v>
      </c>
      <c r="E630" s="11">
        <v>3580</v>
      </c>
      <c r="F630" s="10" t="s">
        <v>774</v>
      </c>
      <c r="G630" s="10" t="s">
        <v>44</v>
      </c>
      <c r="H630" s="11"/>
      <c r="I630" s="10"/>
      <c r="J630" s="10"/>
      <c r="K630" s="10" t="s">
        <v>789</v>
      </c>
      <c r="L630" s="10"/>
      <c r="M630" s="10"/>
    </row>
    <row r="631" spans="1:13">
      <c r="A631" s="10" t="s">
        <v>2320</v>
      </c>
      <c r="B631" s="10" t="s">
        <v>280</v>
      </c>
      <c r="C631" s="10" t="s">
        <v>790</v>
      </c>
      <c r="D631" s="10" t="s">
        <v>788</v>
      </c>
      <c r="E631" s="11">
        <v>3580</v>
      </c>
      <c r="F631" s="10" t="s">
        <v>774</v>
      </c>
      <c r="G631" s="10" t="s">
        <v>44</v>
      </c>
      <c r="H631" s="11"/>
      <c r="I631" s="10"/>
      <c r="J631" s="10"/>
      <c r="K631" s="10" t="s">
        <v>789</v>
      </c>
      <c r="L631" s="10"/>
      <c r="M631" s="10"/>
    </row>
    <row r="632" spans="1:13">
      <c r="A632" s="10" t="s">
        <v>2415</v>
      </c>
      <c r="B632" s="10" t="s">
        <v>1562</v>
      </c>
      <c r="C632" s="10" t="s">
        <v>1563</v>
      </c>
      <c r="D632" s="10" t="s">
        <v>1572</v>
      </c>
      <c r="E632" s="11">
        <v>3582</v>
      </c>
      <c r="F632" s="10" t="s">
        <v>1573</v>
      </c>
      <c r="G632" s="10" t="s">
        <v>44</v>
      </c>
      <c r="H632" s="11"/>
      <c r="I632" s="10"/>
      <c r="J632" s="10"/>
      <c r="K632" s="10" t="s">
        <v>1574</v>
      </c>
      <c r="L632" s="10"/>
      <c r="M632" s="10"/>
    </row>
    <row r="633" spans="1:13">
      <c r="A633" s="10" t="s">
        <v>2451</v>
      </c>
      <c r="B633" s="10" t="s">
        <v>1778</v>
      </c>
      <c r="C633" s="10" t="s">
        <v>1779</v>
      </c>
      <c r="D633" s="10" t="s">
        <v>1572</v>
      </c>
      <c r="E633" s="11">
        <v>3582</v>
      </c>
      <c r="F633" s="10" t="s">
        <v>1573</v>
      </c>
      <c r="G633" s="10" t="s">
        <v>44</v>
      </c>
      <c r="H633" s="11"/>
      <c r="I633" s="10"/>
      <c r="J633" s="10"/>
      <c r="K633" s="10" t="s">
        <v>1574</v>
      </c>
      <c r="L633" s="10"/>
      <c r="M633" s="10"/>
    </row>
    <row r="634" spans="1:13">
      <c r="A634" s="10" t="s">
        <v>2371</v>
      </c>
      <c r="B634" s="10" t="s">
        <v>1209</v>
      </c>
      <c r="C634" s="10" t="s">
        <v>1210</v>
      </c>
      <c r="D634" s="10" t="s">
        <v>1211</v>
      </c>
      <c r="E634" s="11">
        <v>3592</v>
      </c>
      <c r="F634" s="10" t="s">
        <v>1212</v>
      </c>
      <c r="G634" s="10" t="s">
        <v>44</v>
      </c>
      <c r="H634" s="11"/>
      <c r="I634" s="10"/>
      <c r="J634" s="10"/>
      <c r="K634" s="10"/>
      <c r="L634" s="10"/>
      <c r="M634" s="10"/>
    </row>
    <row r="635" spans="1:13">
      <c r="A635" s="10" t="s">
        <v>2372</v>
      </c>
      <c r="B635" s="10" t="s">
        <v>1215</v>
      </c>
      <c r="C635" s="10" t="s">
        <v>1216</v>
      </c>
      <c r="D635" s="10" t="s">
        <v>1211</v>
      </c>
      <c r="E635" s="11">
        <v>3592</v>
      </c>
      <c r="F635" s="10" t="s">
        <v>1212</v>
      </c>
      <c r="G635" s="10" t="s">
        <v>44</v>
      </c>
      <c r="H635" s="11"/>
      <c r="I635" s="10"/>
      <c r="J635" s="10"/>
      <c r="K635" s="10"/>
      <c r="L635" s="10"/>
      <c r="M635" s="10"/>
    </row>
    <row r="636" spans="1:13">
      <c r="A636" s="10" t="s">
        <v>2373</v>
      </c>
      <c r="B636" s="10" t="s">
        <v>1217</v>
      </c>
      <c r="C636" s="10" t="s">
        <v>1218</v>
      </c>
      <c r="D636" s="10" t="s">
        <v>1211</v>
      </c>
      <c r="E636" s="11">
        <v>3592</v>
      </c>
      <c r="F636" s="10" t="s">
        <v>1212</v>
      </c>
      <c r="G636" s="10" t="s">
        <v>44</v>
      </c>
      <c r="H636" s="11"/>
      <c r="I636" s="10"/>
      <c r="J636" s="10"/>
      <c r="K636" s="10"/>
      <c r="L636" s="10"/>
      <c r="M636" s="10"/>
    </row>
    <row r="637" spans="1:13">
      <c r="A637" s="10" t="s">
        <v>2371</v>
      </c>
      <c r="B637" s="10" t="s">
        <v>1209</v>
      </c>
      <c r="C637" s="10" t="s">
        <v>1210</v>
      </c>
      <c r="D637" s="10" t="s">
        <v>1213</v>
      </c>
      <c r="E637" s="11">
        <v>3594</v>
      </c>
      <c r="F637" s="10" t="s">
        <v>1214</v>
      </c>
      <c r="G637" s="10" t="s">
        <v>44</v>
      </c>
      <c r="H637" s="11"/>
      <c r="I637" s="10"/>
      <c r="J637" s="10"/>
      <c r="K637" s="10"/>
      <c r="L637" s="10"/>
      <c r="M637" s="10"/>
    </row>
    <row r="638" spans="1:13">
      <c r="A638" s="10" t="s">
        <v>2372</v>
      </c>
      <c r="B638" s="10" t="s">
        <v>1215</v>
      </c>
      <c r="C638" s="10" t="s">
        <v>1216</v>
      </c>
      <c r="D638" s="10" t="s">
        <v>1213</v>
      </c>
      <c r="E638" s="11">
        <v>3594</v>
      </c>
      <c r="F638" s="10" t="s">
        <v>1214</v>
      </c>
      <c r="G638" s="10" t="s">
        <v>44</v>
      </c>
      <c r="H638" s="11"/>
      <c r="I638" s="10"/>
      <c r="J638" s="10"/>
      <c r="K638" s="10"/>
      <c r="L638" s="10"/>
      <c r="M638" s="10"/>
    </row>
    <row r="639" spans="1:13">
      <c r="A639" s="10" t="s">
        <v>2373</v>
      </c>
      <c r="B639" s="10" t="s">
        <v>1217</v>
      </c>
      <c r="C639" s="10" t="s">
        <v>1218</v>
      </c>
      <c r="D639" s="10" t="s">
        <v>1213</v>
      </c>
      <c r="E639" s="11">
        <v>3594</v>
      </c>
      <c r="F639" s="10" t="s">
        <v>1214</v>
      </c>
      <c r="G639" s="10" t="s">
        <v>44</v>
      </c>
      <c r="H639" s="11"/>
      <c r="I639" s="10"/>
      <c r="J639" s="10"/>
      <c r="K639" s="10"/>
      <c r="L639" s="10"/>
      <c r="M639" s="10"/>
    </row>
    <row r="640" spans="1:13">
      <c r="A640" s="10" t="s">
        <v>2376</v>
      </c>
      <c r="B640" s="10" t="s">
        <v>300</v>
      </c>
      <c r="C640" s="10" t="s">
        <v>1237</v>
      </c>
      <c r="D640" s="10" t="s">
        <v>1240</v>
      </c>
      <c r="E640" s="11">
        <v>3600</v>
      </c>
      <c r="F640" s="10" t="s">
        <v>1239</v>
      </c>
      <c r="G640" s="10" t="s">
        <v>44</v>
      </c>
      <c r="H640" s="11"/>
      <c r="I640" s="10"/>
      <c r="J640" s="10"/>
      <c r="K640" s="10" t="s">
        <v>1241</v>
      </c>
      <c r="L640" s="10"/>
      <c r="M640" s="10"/>
    </row>
    <row r="641" spans="1:13">
      <c r="A641" s="10" t="s">
        <v>2436</v>
      </c>
      <c r="B641" s="10" t="s">
        <v>317</v>
      </c>
      <c r="C641" s="10" t="s">
        <v>1702</v>
      </c>
      <c r="D641" s="10" t="s">
        <v>1711</v>
      </c>
      <c r="E641" s="11">
        <v>3606</v>
      </c>
      <c r="F641" s="10" t="s">
        <v>670</v>
      </c>
      <c r="G641" s="10" t="s">
        <v>44</v>
      </c>
      <c r="H641" s="11"/>
      <c r="I641" s="10"/>
      <c r="J641" s="10"/>
      <c r="K641" s="10" t="s">
        <v>1712</v>
      </c>
      <c r="L641" s="10"/>
      <c r="M641" s="10"/>
    </row>
    <row r="642" spans="1:13">
      <c r="A642" s="10" t="s">
        <v>2437</v>
      </c>
      <c r="B642" s="10" t="s">
        <v>318</v>
      </c>
      <c r="C642" s="10" t="s">
        <v>1713</v>
      </c>
      <c r="D642" s="10" t="s">
        <v>1711</v>
      </c>
      <c r="E642" s="11">
        <v>3606</v>
      </c>
      <c r="F642" s="10" t="s">
        <v>670</v>
      </c>
      <c r="G642" s="10" t="s">
        <v>44</v>
      </c>
      <c r="H642" s="11"/>
      <c r="I642" s="10"/>
      <c r="J642" s="10"/>
      <c r="K642" s="10" t="s">
        <v>1712</v>
      </c>
      <c r="L642" s="10"/>
      <c r="M642" s="10"/>
    </row>
    <row r="643" spans="1:13">
      <c r="A643" s="10" t="s">
        <v>2438</v>
      </c>
      <c r="B643" s="10" t="s">
        <v>1714</v>
      </c>
      <c r="C643" s="10" t="s">
        <v>1715</v>
      </c>
      <c r="D643" s="10" t="s">
        <v>1711</v>
      </c>
      <c r="E643" s="11">
        <v>3606</v>
      </c>
      <c r="F643" s="10" t="s">
        <v>670</v>
      </c>
      <c r="G643" s="10" t="s">
        <v>44</v>
      </c>
      <c r="H643" s="11"/>
      <c r="I643" s="10"/>
      <c r="J643" s="10"/>
      <c r="K643" s="10" t="s">
        <v>1712</v>
      </c>
      <c r="L643" s="10"/>
      <c r="M643" s="10"/>
    </row>
    <row r="644" spans="1:13">
      <c r="A644" s="10" t="s">
        <v>2444</v>
      </c>
      <c r="B644" s="10" t="s">
        <v>1739</v>
      </c>
      <c r="C644" s="10" t="s">
        <v>1740</v>
      </c>
      <c r="D644" s="10" t="s">
        <v>1711</v>
      </c>
      <c r="E644" s="11">
        <v>3606</v>
      </c>
      <c r="F644" s="10" t="s">
        <v>670</v>
      </c>
      <c r="G644" s="10" t="s">
        <v>44</v>
      </c>
      <c r="H644" s="11"/>
      <c r="I644" s="10"/>
      <c r="J644" s="10"/>
      <c r="K644" s="10" t="s">
        <v>1712</v>
      </c>
      <c r="L644" s="10"/>
      <c r="M644" s="10"/>
    </row>
    <row r="645" spans="1:13">
      <c r="A645" s="10" t="s">
        <v>2463</v>
      </c>
      <c r="B645" s="10" t="s">
        <v>1854</v>
      </c>
      <c r="C645" s="10" t="s">
        <v>1855</v>
      </c>
      <c r="D645" s="10" t="s">
        <v>1866</v>
      </c>
      <c r="E645" s="11">
        <v>3625</v>
      </c>
      <c r="F645" s="10" t="s">
        <v>1857</v>
      </c>
      <c r="G645" s="10" t="s">
        <v>44</v>
      </c>
      <c r="H645" s="11"/>
      <c r="I645" s="10"/>
      <c r="J645" s="10"/>
      <c r="K645" s="10"/>
      <c r="L645" s="10"/>
      <c r="M645" s="10"/>
    </row>
    <row r="646" spans="1:13">
      <c r="A646" s="10" t="s">
        <v>2464</v>
      </c>
      <c r="B646" s="10" t="s">
        <v>1867</v>
      </c>
      <c r="C646" s="10" t="s">
        <v>1868</v>
      </c>
      <c r="D646" s="10" t="s">
        <v>1866</v>
      </c>
      <c r="E646" s="11">
        <v>3625</v>
      </c>
      <c r="F646" s="10" t="s">
        <v>1857</v>
      </c>
      <c r="G646" s="10" t="s">
        <v>44</v>
      </c>
      <c r="H646" s="11"/>
      <c r="I646" s="10"/>
      <c r="J646" s="10"/>
      <c r="K646" s="10"/>
      <c r="L646" s="10"/>
      <c r="M646" s="10"/>
    </row>
    <row r="647" spans="1:13">
      <c r="A647" s="10" t="s">
        <v>2460</v>
      </c>
      <c r="B647" s="10" t="s">
        <v>1845</v>
      </c>
      <c r="C647" s="10" t="s">
        <v>1846</v>
      </c>
      <c r="D647" s="10" t="s">
        <v>1849</v>
      </c>
      <c r="E647" s="11">
        <v>3627</v>
      </c>
      <c r="F647" s="10" t="s">
        <v>1836</v>
      </c>
      <c r="G647" s="10" t="s">
        <v>44</v>
      </c>
      <c r="H647" s="11"/>
      <c r="I647" s="10"/>
      <c r="J647" s="10"/>
      <c r="K647" s="10" t="s">
        <v>1850</v>
      </c>
      <c r="L647" s="10"/>
      <c r="M647" s="10"/>
    </row>
    <row r="648" spans="1:13">
      <c r="A648" s="10" t="s">
        <v>2304</v>
      </c>
      <c r="B648" s="10" t="s">
        <v>667</v>
      </c>
      <c r="C648" s="10" t="s">
        <v>668</v>
      </c>
      <c r="D648" s="10" t="s">
        <v>669</v>
      </c>
      <c r="E648" s="11">
        <v>3633</v>
      </c>
      <c r="F648" s="10" t="s">
        <v>670</v>
      </c>
      <c r="G648" s="10" t="s">
        <v>44</v>
      </c>
      <c r="H648" s="11">
        <v>134611880</v>
      </c>
      <c r="I648" s="10"/>
      <c r="J648" s="10" t="s">
        <v>671</v>
      </c>
      <c r="K648" s="10" t="s">
        <v>672</v>
      </c>
      <c r="L648" s="10"/>
      <c r="M648" s="10" t="s">
        <v>673</v>
      </c>
    </row>
    <row r="649" spans="1:13">
      <c r="A649" s="10" t="s">
        <v>2436</v>
      </c>
      <c r="B649" s="10" t="s">
        <v>317</v>
      </c>
      <c r="C649" s="10" t="s">
        <v>1702</v>
      </c>
      <c r="D649" s="10" t="s">
        <v>669</v>
      </c>
      <c r="E649" s="11">
        <v>3633</v>
      </c>
      <c r="F649" s="10" t="s">
        <v>670</v>
      </c>
      <c r="G649" s="10" t="s">
        <v>44</v>
      </c>
      <c r="H649" s="11">
        <v>134611880</v>
      </c>
      <c r="I649" s="10"/>
      <c r="J649" s="10" t="s">
        <v>671</v>
      </c>
      <c r="K649" s="10" t="s">
        <v>672</v>
      </c>
      <c r="L649" s="10"/>
      <c r="M649" s="10" t="s">
        <v>673</v>
      </c>
    </row>
    <row r="650" spans="1:13">
      <c r="A650" s="10" t="s">
        <v>2437</v>
      </c>
      <c r="B650" s="10" t="s">
        <v>318</v>
      </c>
      <c r="C650" s="10" t="s">
        <v>1713</v>
      </c>
      <c r="D650" s="10" t="s">
        <v>669</v>
      </c>
      <c r="E650" s="11">
        <v>3633</v>
      </c>
      <c r="F650" s="10" t="s">
        <v>670</v>
      </c>
      <c r="G650" s="10" t="s">
        <v>44</v>
      </c>
      <c r="H650" s="11">
        <v>134611880</v>
      </c>
      <c r="I650" s="10"/>
      <c r="J650" s="10" t="s">
        <v>671</v>
      </c>
      <c r="K650" s="10" t="s">
        <v>672</v>
      </c>
      <c r="L650" s="10"/>
      <c r="M650" s="10" t="s">
        <v>673</v>
      </c>
    </row>
    <row r="651" spans="1:13">
      <c r="A651" s="10" t="s">
        <v>2438</v>
      </c>
      <c r="B651" s="10" t="s">
        <v>1714</v>
      </c>
      <c r="C651" s="10" t="s">
        <v>1715</v>
      </c>
      <c r="D651" s="10" t="s">
        <v>669</v>
      </c>
      <c r="E651" s="11">
        <v>3633</v>
      </c>
      <c r="F651" s="10" t="s">
        <v>670</v>
      </c>
      <c r="G651" s="10" t="s">
        <v>44</v>
      </c>
      <c r="H651" s="11">
        <v>134611880</v>
      </c>
      <c r="I651" s="10"/>
      <c r="J651" s="10" t="s">
        <v>671</v>
      </c>
      <c r="K651" s="10" t="s">
        <v>672</v>
      </c>
      <c r="L651" s="10"/>
      <c r="M651" s="10" t="s">
        <v>673</v>
      </c>
    </row>
    <row r="652" spans="1:13">
      <c r="A652" s="10" t="s">
        <v>2444</v>
      </c>
      <c r="B652" s="10" t="s">
        <v>1739</v>
      </c>
      <c r="C652" s="10" t="s">
        <v>1740</v>
      </c>
      <c r="D652" s="10" t="s">
        <v>669</v>
      </c>
      <c r="E652" s="11">
        <v>3633</v>
      </c>
      <c r="F652" s="10" t="s">
        <v>670</v>
      </c>
      <c r="G652" s="10" t="s">
        <v>44</v>
      </c>
      <c r="H652" s="11">
        <v>134611880</v>
      </c>
      <c r="I652" s="10"/>
      <c r="J652" s="10" t="s">
        <v>671</v>
      </c>
      <c r="K652" s="10" t="s">
        <v>672</v>
      </c>
      <c r="L652" s="10"/>
      <c r="M652" s="10" t="s">
        <v>673</v>
      </c>
    </row>
    <row r="653" spans="1:13">
      <c r="A653" s="10" t="s">
        <v>2321</v>
      </c>
      <c r="B653" s="10" t="s">
        <v>791</v>
      </c>
      <c r="C653" s="10" t="s">
        <v>792</v>
      </c>
      <c r="D653" s="10" t="s">
        <v>796</v>
      </c>
      <c r="E653" s="11">
        <v>3640</v>
      </c>
      <c r="F653" s="10" t="s">
        <v>797</v>
      </c>
      <c r="G653" s="10" t="s">
        <v>44</v>
      </c>
      <c r="H653" s="11"/>
      <c r="I653" s="10"/>
      <c r="J653" s="10"/>
      <c r="K653" s="10" t="s">
        <v>798</v>
      </c>
      <c r="L653" s="10"/>
      <c r="M653" s="10"/>
    </row>
    <row r="654" spans="1:13">
      <c r="A654" s="10" t="s">
        <v>2322</v>
      </c>
      <c r="B654" s="10" t="s">
        <v>291</v>
      </c>
      <c r="C654" s="10" t="s">
        <v>799</v>
      </c>
      <c r="D654" s="10" t="s">
        <v>796</v>
      </c>
      <c r="E654" s="11">
        <v>3640</v>
      </c>
      <c r="F654" s="10" t="s">
        <v>797</v>
      </c>
      <c r="G654" s="10" t="s">
        <v>44</v>
      </c>
      <c r="H654" s="11"/>
      <c r="I654" s="10"/>
      <c r="J654" s="10"/>
      <c r="K654" s="10" t="s">
        <v>798</v>
      </c>
      <c r="L654" s="10"/>
      <c r="M654" s="10"/>
    </row>
    <row r="655" spans="1:13">
      <c r="A655" s="10" t="s">
        <v>2511</v>
      </c>
      <c r="B655" s="10" t="s">
        <v>2174</v>
      </c>
      <c r="C655" s="10" t="s">
        <v>2175</v>
      </c>
      <c r="D655" s="10" t="s">
        <v>2176</v>
      </c>
      <c r="E655" s="11">
        <v>3643</v>
      </c>
      <c r="F655" s="10" t="s">
        <v>2177</v>
      </c>
      <c r="G655" s="10" t="s">
        <v>44</v>
      </c>
      <c r="H655" s="11">
        <v>16129665</v>
      </c>
      <c r="I655" s="10"/>
      <c r="J655" s="10" t="s">
        <v>2178</v>
      </c>
      <c r="K655" s="10" t="s">
        <v>2179</v>
      </c>
      <c r="L655" s="10"/>
      <c r="M655" s="10"/>
    </row>
    <row r="656" spans="1:13">
      <c r="A656" s="10" t="s">
        <v>2527</v>
      </c>
      <c r="B656" s="10" t="s">
        <v>347</v>
      </c>
      <c r="C656" s="10" t="s">
        <v>2271</v>
      </c>
      <c r="D656" s="10" t="s">
        <v>2176</v>
      </c>
      <c r="E656" s="11">
        <v>3643</v>
      </c>
      <c r="F656" s="10" t="s">
        <v>2177</v>
      </c>
      <c r="G656" s="10" t="s">
        <v>44</v>
      </c>
      <c r="H656" s="11">
        <v>16129665</v>
      </c>
      <c r="I656" s="10"/>
      <c r="J656" s="10" t="s">
        <v>2178</v>
      </c>
      <c r="K656" s="10" t="s">
        <v>2179</v>
      </c>
      <c r="L656" s="10"/>
      <c r="M656" s="10"/>
    </row>
    <row r="657" spans="1:13">
      <c r="A657" s="10" t="s">
        <v>2528</v>
      </c>
      <c r="B657" s="10" t="s">
        <v>2272</v>
      </c>
      <c r="C657" s="10" t="s">
        <v>2273</v>
      </c>
      <c r="D657" s="10" t="s">
        <v>2176</v>
      </c>
      <c r="E657" s="11">
        <v>3643</v>
      </c>
      <c r="F657" s="10" t="s">
        <v>2177</v>
      </c>
      <c r="G657" s="10" t="s">
        <v>44</v>
      </c>
      <c r="H657" s="11">
        <v>16129665</v>
      </c>
      <c r="I657" s="10"/>
      <c r="J657" s="10" t="s">
        <v>2178</v>
      </c>
      <c r="K657" s="10" t="s">
        <v>2179</v>
      </c>
      <c r="L657" s="10"/>
      <c r="M657" s="10"/>
    </row>
    <row r="658" spans="1:13">
      <c r="A658" s="10" t="s">
        <v>2349</v>
      </c>
      <c r="B658" s="10" t="s">
        <v>287</v>
      </c>
      <c r="C658" s="10" t="s">
        <v>77</v>
      </c>
      <c r="D658" s="10" t="s">
        <v>1028</v>
      </c>
      <c r="E658" s="11">
        <v>3645</v>
      </c>
      <c r="F658" s="10" t="s">
        <v>1029</v>
      </c>
      <c r="G658" s="10" t="s">
        <v>44</v>
      </c>
      <c r="H658" s="11"/>
      <c r="I658" s="10"/>
      <c r="J658" s="10"/>
      <c r="K658" s="10" t="s">
        <v>1030</v>
      </c>
      <c r="L658" s="10"/>
      <c r="M658" s="10"/>
    </row>
    <row r="659" spans="1:13">
      <c r="A659" s="10" t="s">
        <v>2328</v>
      </c>
      <c r="B659" s="10" t="s">
        <v>898</v>
      </c>
      <c r="C659" s="10" t="s">
        <v>63</v>
      </c>
      <c r="D659" s="10" t="s">
        <v>899</v>
      </c>
      <c r="E659" s="11">
        <v>3646</v>
      </c>
      <c r="F659" s="10" t="s">
        <v>900</v>
      </c>
      <c r="G659" s="10" t="s">
        <v>44</v>
      </c>
      <c r="H659" s="11"/>
      <c r="I659" s="10"/>
      <c r="J659" s="10"/>
      <c r="K659" s="10"/>
      <c r="L659" s="10"/>
      <c r="M659" s="10"/>
    </row>
    <row r="660" spans="1:13">
      <c r="A660" s="10" t="s">
        <v>2529</v>
      </c>
      <c r="B660" s="10" t="s">
        <v>2274</v>
      </c>
      <c r="C660" s="10" t="s">
        <v>79</v>
      </c>
      <c r="D660" s="10" t="s">
        <v>2275</v>
      </c>
      <c r="E660" s="11">
        <v>3647</v>
      </c>
      <c r="F660" s="10" t="s">
        <v>2276</v>
      </c>
      <c r="G660" s="10" t="s">
        <v>44</v>
      </c>
      <c r="H660" s="11"/>
      <c r="I660" s="10"/>
      <c r="J660" s="10"/>
      <c r="K660" s="10" t="s">
        <v>2277</v>
      </c>
      <c r="L660" s="10"/>
      <c r="M660" s="10"/>
    </row>
    <row r="661" spans="1:13">
      <c r="A661" s="10" t="s">
        <v>2333</v>
      </c>
      <c r="B661" s="10" t="s">
        <v>284</v>
      </c>
      <c r="C661" s="10" t="s">
        <v>68</v>
      </c>
      <c r="D661" s="10" t="s">
        <v>931</v>
      </c>
      <c r="E661" s="11">
        <v>3648</v>
      </c>
      <c r="F661" s="10" t="s">
        <v>932</v>
      </c>
      <c r="G661" s="10" t="s">
        <v>44</v>
      </c>
      <c r="H661" s="11"/>
      <c r="I661" s="10"/>
      <c r="J661" s="10"/>
      <c r="K661" s="10" t="s">
        <v>933</v>
      </c>
      <c r="L661" s="10"/>
      <c r="M661" s="10"/>
    </row>
    <row r="662" spans="1:13">
      <c r="A662" s="10" t="s">
        <v>2328</v>
      </c>
      <c r="B662" s="10" t="s">
        <v>898</v>
      </c>
      <c r="C662" s="10" t="s">
        <v>63</v>
      </c>
      <c r="D662" s="10" t="s">
        <v>901</v>
      </c>
      <c r="E662" s="11">
        <v>3649</v>
      </c>
      <c r="F662" s="10" t="s">
        <v>902</v>
      </c>
      <c r="G662" s="10" t="s">
        <v>44</v>
      </c>
      <c r="H662" s="11"/>
      <c r="I662" s="10"/>
      <c r="J662" s="10"/>
      <c r="K662" s="10"/>
      <c r="L662" s="10"/>
      <c r="M662" s="10"/>
    </row>
    <row r="663" spans="1:13">
      <c r="A663" s="10" t="s">
        <v>2330</v>
      </c>
      <c r="B663" s="10" t="s">
        <v>915</v>
      </c>
      <c r="C663" s="10" t="s">
        <v>65</v>
      </c>
      <c r="D663" s="10" t="s">
        <v>901</v>
      </c>
      <c r="E663" s="11">
        <v>3649</v>
      </c>
      <c r="F663" s="10" t="s">
        <v>902</v>
      </c>
      <c r="G663" s="10" t="s">
        <v>44</v>
      </c>
      <c r="H663" s="11"/>
      <c r="I663" s="10"/>
      <c r="J663" s="10"/>
      <c r="K663" s="10"/>
      <c r="L663" s="10"/>
      <c r="M663" s="10"/>
    </row>
    <row r="664" spans="1:13">
      <c r="A664" s="10" t="s">
        <v>2456</v>
      </c>
      <c r="B664" s="10" t="s">
        <v>326</v>
      </c>
      <c r="C664" s="10" t="s">
        <v>1808</v>
      </c>
      <c r="D664" s="10" t="s">
        <v>1815</v>
      </c>
      <c r="E664" s="11">
        <v>3665</v>
      </c>
      <c r="F664" s="10" t="s">
        <v>1816</v>
      </c>
      <c r="G664" s="10" t="s">
        <v>44</v>
      </c>
      <c r="H664" s="11"/>
      <c r="I664" s="10"/>
      <c r="J664" s="10"/>
      <c r="K664" s="10" t="s">
        <v>1817</v>
      </c>
      <c r="L664" s="10"/>
      <c r="M664" s="10"/>
    </row>
    <row r="665" spans="1:13">
      <c r="A665" s="10" t="s">
        <v>2457</v>
      </c>
      <c r="B665" s="10" t="s">
        <v>327</v>
      </c>
      <c r="C665" s="10" t="s">
        <v>1828</v>
      </c>
      <c r="D665" s="10" t="s">
        <v>1815</v>
      </c>
      <c r="E665" s="11">
        <v>3665</v>
      </c>
      <c r="F665" s="10" t="s">
        <v>1816</v>
      </c>
      <c r="G665" s="10" t="s">
        <v>44</v>
      </c>
      <c r="H665" s="11"/>
      <c r="I665" s="10"/>
      <c r="J665" s="10"/>
      <c r="K665" s="10" t="s">
        <v>1817</v>
      </c>
      <c r="L665" s="10"/>
      <c r="M665" s="10"/>
    </row>
    <row r="666" spans="1:13">
      <c r="A666" s="10" t="s">
        <v>2501</v>
      </c>
      <c r="B666" s="10" t="s">
        <v>2135</v>
      </c>
      <c r="C666" s="10" t="s">
        <v>2136</v>
      </c>
      <c r="D666" s="10" t="s">
        <v>1815</v>
      </c>
      <c r="E666" s="11">
        <v>3665</v>
      </c>
      <c r="F666" s="10" t="s">
        <v>1816</v>
      </c>
      <c r="G666" s="10" t="s">
        <v>44</v>
      </c>
      <c r="H666" s="11"/>
      <c r="I666" s="10"/>
      <c r="J666" s="10"/>
      <c r="K666" s="10" t="s">
        <v>1817</v>
      </c>
      <c r="L666" s="10"/>
      <c r="M666" s="10"/>
    </row>
    <row r="667" spans="1:13">
      <c r="A667" s="10" t="s">
        <v>2449</v>
      </c>
      <c r="B667" s="10" t="s">
        <v>1773</v>
      </c>
      <c r="C667" s="10" t="s">
        <v>1774</v>
      </c>
      <c r="D667" s="10" t="s">
        <v>1775</v>
      </c>
      <c r="E667" s="11">
        <v>3667</v>
      </c>
      <c r="F667" s="10" t="s">
        <v>1756</v>
      </c>
      <c r="G667" s="10" t="s">
        <v>44</v>
      </c>
      <c r="H667" s="11">
        <v>16132172</v>
      </c>
      <c r="I667" s="10"/>
      <c r="J667" s="10"/>
      <c r="K667" s="10"/>
      <c r="L667" s="10"/>
      <c r="M667" s="10"/>
    </row>
    <row r="668" spans="1:13">
      <c r="A668" s="10" t="s">
        <v>2467</v>
      </c>
      <c r="B668" s="10" t="s">
        <v>332</v>
      </c>
      <c r="C668" s="10" t="s">
        <v>1905</v>
      </c>
      <c r="D668" s="10" t="s">
        <v>1906</v>
      </c>
      <c r="E668" s="11">
        <v>3668</v>
      </c>
      <c r="F668" s="10"/>
      <c r="G668" s="10" t="s">
        <v>44</v>
      </c>
      <c r="H668" s="11">
        <v>5311081</v>
      </c>
      <c r="I668" s="10" t="s">
        <v>1907</v>
      </c>
      <c r="J668" s="10"/>
      <c r="K668" s="10"/>
      <c r="L668" s="10"/>
      <c r="M668" s="10" t="s">
        <v>1908</v>
      </c>
    </row>
    <row r="669" spans="1:13">
      <c r="A669" s="10" t="s">
        <v>2466</v>
      </c>
      <c r="B669" s="10" t="s">
        <v>331</v>
      </c>
      <c r="C669" s="10" t="s">
        <v>1901</v>
      </c>
      <c r="D669" s="10" t="s">
        <v>1903</v>
      </c>
      <c r="E669" s="11">
        <v>3669</v>
      </c>
      <c r="F669" s="10" t="s">
        <v>1875</v>
      </c>
      <c r="G669" s="10" t="s">
        <v>44</v>
      </c>
      <c r="H669" s="11"/>
      <c r="I669" s="10"/>
      <c r="J669" s="10"/>
      <c r="K669" s="10" t="s">
        <v>1904</v>
      </c>
      <c r="L669" s="10"/>
      <c r="M669" s="10"/>
    </row>
    <row r="670" spans="1:13">
      <c r="A670" s="10" t="s">
        <v>2366</v>
      </c>
      <c r="B670" s="10" t="s">
        <v>1175</v>
      </c>
      <c r="C670" s="10" t="s">
        <v>1176</v>
      </c>
      <c r="D670" s="10" t="s">
        <v>1183</v>
      </c>
      <c r="E670" s="11">
        <v>3672</v>
      </c>
      <c r="F670" s="10" t="s">
        <v>1184</v>
      </c>
      <c r="G670" s="10" t="s">
        <v>44</v>
      </c>
      <c r="H670" s="11"/>
      <c r="I670" s="10"/>
      <c r="J670" s="10"/>
      <c r="K670" s="10"/>
      <c r="L670" s="10"/>
      <c r="M670" s="10"/>
    </row>
    <row r="671" spans="1:13">
      <c r="A671" s="10" t="s">
        <v>2366</v>
      </c>
      <c r="B671" s="10" t="s">
        <v>1175</v>
      </c>
      <c r="C671" s="10" t="s">
        <v>1176</v>
      </c>
      <c r="D671" s="10" t="s">
        <v>1185</v>
      </c>
      <c r="E671" s="11">
        <v>3673</v>
      </c>
      <c r="F671" s="10" t="s">
        <v>1186</v>
      </c>
      <c r="G671" s="10" t="s">
        <v>44</v>
      </c>
      <c r="H671" s="11"/>
      <c r="I671" s="10"/>
      <c r="J671" s="10"/>
      <c r="K671" s="10" t="s">
        <v>1187</v>
      </c>
      <c r="L671" s="10"/>
      <c r="M671" s="10"/>
    </row>
    <row r="672" spans="1:13">
      <c r="A672" s="10" t="s">
        <v>2366</v>
      </c>
      <c r="B672" s="10" t="s">
        <v>1175</v>
      </c>
      <c r="C672" s="10" t="s">
        <v>1176</v>
      </c>
      <c r="D672" s="10" t="s">
        <v>1188</v>
      </c>
      <c r="E672" s="11">
        <v>3681</v>
      </c>
      <c r="F672" s="10" t="s">
        <v>1189</v>
      </c>
      <c r="G672" s="10" t="s">
        <v>44</v>
      </c>
      <c r="H672" s="11"/>
      <c r="I672" s="10"/>
      <c r="J672" s="10"/>
      <c r="K672" s="10" t="s">
        <v>1190</v>
      </c>
      <c r="L672" s="10"/>
      <c r="M672" s="10"/>
    </row>
    <row r="673" spans="1:13">
      <c r="A673" s="10" t="s">
        <v>2424</v>
      </c>
      <c r="B673" s="10" t="s">
        <v>1620</v>
      </c>
      <c r="C673" s="10" t="s">
        <v>1621</v>
      </c>
      <c r="D673" s="10" t="s">
        <v>1622</v>
      </c>
      <c r="E673" s="11">
        <v>3697</v>
      </c>
      <c r="F673" s="10" t="s">
        <v>1623</v>
      </c>
      <c r="G673" s="10" t="s">
        <v>44</v>
      </c>
      <c r="H673" s="11"/>
      <c r="I673" s="10"/>
      <c r="J673" s="10"/>
      <c r="K673" s="10" t="s">
        <v>1624</v>
      </c>
      <c r="L673" s="10"/>
      <c r="M673" s="10"/>
    </row>
    <row r="674" spans="1:13">
      <c r="A674" s="10" t="s">
        <v>2425</v>
      </c>
      <c r="B674" s="10" t="s">
        <v>1634</v>
      </c>
      <c r="C674" s="10" t="s">
        <v>1635</v>
      </c>
      <c r="D674" s="10" t="s">
        <v>1622</v>
      </c>
      <c r="E674" s="11">
        <v>3697</v>
      </c>
      <c r="F674" s="10" t="s">
        <v>1623</v>
      </c>
      <c r="G674" s="10" t="s">
        <v>44</v>
      </c>
      <c r="H674" s="11"/>
      <c r="I674" s="10"/>
      <c r="J674" s="10"/>
      <c r="K674" s="10" t="s">
        <v>1624</v>
      </c>
      <c r="L674" s="10"/>
      <c r="M674" s="10"/>
    </row>
    <row r="675" spans="1:13">
      <c r="A675" s="10" t="s">
        <v>2426</v>
      </c>
      <c r="B675" s="10" t="s">
        <v>1636</v>
      </c>
      <c r="C675" s="10" t="s">
        <v>1637</v>
      </c>
      <c r="D675" s="10" t="s">
        <v>1622</v>
      </c>
      <c r="E675" s="11">
        <v>3697</v>
      </c>
      <c r="F675" s="10" t="s">
        <v>1623</v>
      </c>
      <c r="G675" s="10" t="s">
        <v>44</v>
      </c>
      <c r="H675" s="11"/>
      <c r="I675" s="10"/>
      <c r="J675" s="10"/>
      <c r="K675" s="10" t="s">
        <v>1624</v>
      </c>
      <c r="L675" s="10"/>
      <c r="M675" s="10"/>
    </row>
    <row r="676" spans="1:13">
      <c r="A676" s="10" t="s">
        <v>2424</v>
      </c>
      <c r="B676" s="10" t="s">
        <v>1620</v>
      </c>
      <c r="C676" s="10" t="s">
        <v>1621</v>
      </c>
      <c r="D676" s="10" t="s">
        <v>1625</v>
      </c>
      <c r="E676" s="11">
        <v>3698</v>
      </c>
      <c r="F676" s="10" t="s">
        <v>1626</v>
      </c>
      <c r="G676" s="10" t="s">
        <v>44</v>
      </c>
      <c r="H676" s="11"/>
      <c r="I676" s="10"/>
      <c r="J676" s="10"/>
      <c r="K676" s="10" t="s">
        <v>1627</v>
      </c>
      <c r="L676" s="10"/>
      <c r="M676" s="10"/>
    </row>
    <row r="677" spans="1:13">
      <c r="A677" s="10" t="s">
        <v>2425</v>
      </c>
      <c r="B677" s="10" t="s">
        <v>1634</v>
      </c>
      <c r="C677" s="10" t="s">
        <v>1635</v>
      </c>
      <c r="D677" s="10" t="s">
        <v>1625</v>
      </c>
      <c r="E677" s="11">
        <v>3698</v>
      </c>
      <c r="F677" s="10" t="s">
        <v>1626</v>
      </c>
      <c r="G677" s="10" t="s">
        <v>44</v>
      </c>
      <c r="H677" s="11"/>
      <c r="I677" s="10"/>
      <c r="J677" s="10"/>
      <c r="K677" s="10" t="s">
        <v>1627</v>
      </c>
      <c r="L677" s="10"/>
      <c r="M677" s="10"/>
    </row>
    <row r="678" spans="1:13">
      <c r="A678" s="10" t="s">
        <v>2426</v>
      </c>
      <c r="B678" s="10" t="s">
        <v>1636</v>
      </c>
      <c r="C678" s="10" t="s">
        <v>1637</v>
      </c>
      <c r="D678" s="10" t="s">
        <v>1625</v>
      </c>
      <c r="E678" s="11">
        <v>3698</v>
      </c>
      <c r="F678" s="10" t="s">
        <v>1626</v>
      </c>
      <c r="G678" s="10" t="s">
        <v>44</v>
      </c>
      <c r="H678" s="11"/>
      <c r="I678" s="10"/>
      <c r="J678" s="10"/>
      <c r="K678" s="10" t="s">
        <v>1627</v>
      </c>
      <c r="L678" s="10"/>
      <c r="M678" s="10"/>
    </row>
    <row r="679" spans="1:13">
      <c r="A679" s="10" t="s">
        <v>2424</v>
      </c>
      <c r="B679" s="10" t="s">
        <v>1620</v>
      </c>
      <c r="C679" s="10" t="s">
        <v>1621</v>
      </c>
      <c r="D679" s="10" t="s">
        <v>1628</v>
      </c>
      <c r="E679" s="11">
        <v>3699</v>
      </c>
      <c r="F679" s="10" t="s">
        <v>1629</v>
      </c>
      <c r="G679" s="10" t="s">
        <v>44</v>
      </c>
      <c r="H679" s="11"/>
      <c r="I679" s="10"/>
      <c r="J679" s="10"/>
      <c r="K679" s="10" t="s">
        <v>1630</v>
      </c>
      <c r="L679" s="10"/>
      <c r="M679" s="10"/>
    </row>
    <row r="680" spans="1:13">
      <c r="A680" s="10" t="s">
        <v>2425</v>
      </c>
      <c r="B680" s="10" t="s">
        <v>1634</v>
      </c>
      <c r="C680" s="10" t="s">
        <v>1635</v>
      </c>
      <c r="D680" s="10" t="s">
        <v>1628</v>
      </c>
      <c r="E680" s="11">
        <v>3699</v>
      </c>
      <c r="F680" s="10" t="s">
        <v>1629</v>
      </c>
      <c r="G680" s="10" t="s">
        <v>44</v>
      </c>
      <c r="H680" s="11"/>
      <c r="I680" s="10"/>
      <c r="J680" s="10"/>
      <c r="K680" s="10" t="s">
        <v>1630</v>
      </c>
      <c r="L680" s="10"/>
      <c r="M680" s="10"/>
    </row>
    <row r="681" spans="1:13">
      <c r="A681" s="10" t="s">
        <v>2426</v>
      </c>
      <c r="B681" s="10" t="s">
        <v>1636</v>
      </c>
      <c r="C681" s="10" t="s">
        <v>1637</v>
      </c>
      <c r="D681" s="10" t="s">
        <v>1628</v>
      </c>
      <c r="E681" s="11">
        <v>3699</v>
      </c>
      <c r="F681" s="10" t="s">
        <v>1629</v>
      </c>
      <c r="G681" s="10" t="s">
        <v>44</v>
      </c>
      <c r="H681" s="11"/>
      <c r="I681" s="10"/>
      <c r="J681" s="10"/>
      <c r="K681" s="10" t="s">
        <v>1630</v>
      </c>
      <c r="L681" s="10"/>
      <c r="M681" s="10"/>
    </row>
    <row r="682" spans="1:13">
      <c r="A682" s="10" t="s">
        <v>2424</v>
      </c>
      <c r="B682" s="10" t="s">
        <v>1620</v>
      </c>
      <c r="C682" s="10" t="s">
        <v>1621</v>
      </c>
      <c r="D682" s="10" t="s">
        <v>1631</v>
      </c>
      <c r="E682" s="11">
        <v>3700</v>
      </c>
      <c r="F682" s="10" t="s">
        <v>1632</v>
      </c>
      <c r="G682" s="10" t="s">
        <v>44</v>
      </c>
      <c r="H682" s="11"/>
      <c r="I682" s="10"/>
      <c r="J682" s="10"/>
      <c r="K682" s="10" t="s">
        <v>1633</v>
      </c>
      <c r="L682" s="10"/>
      <c r="M682" s="10"/>
    </row>
    <row r="683" spans="1:13">
      <c r="A683" s="10" t="s">
        <v>2425</v>
      </c>
      <c r="B683" s="10" t="s">
        <v>1634</v>
      </c>
      <c r="C683" s="10" t="s">
        <v>1635</v>
      </c>
      <c r="D683" s="10" t="s">
        <v>1631</v>
      </c>
      <c r="E683" s="11">
        <v>3700</v>
      </c>
      <c r="F683" s="10" t="s">
        <v>1632</v>
      </c>
      <c r="G683" s="10" t="s">
        <v>44</v>
      </c>
      <c r="H683" s="11"/>
      <c r="I683" s="10"/>
      <c r="J683" s="10"/>
      <c r="K683" s="10" t="s">
        <v>1633</v>
      </c>
      <c r="L683" s="10"/>
      <c r="M683" s="10"/>
    </row>
    <row r="684" spans="1:13">
      <c r="A684" s="10" t="s">
        <v>2426</v>
      </c>
      <c r="B684" s="10" t="s">
        <v>1636</v>
      </c>
      <c r="C684" s="10" t="s">
        <v>1637</v>
      </c>
      <c r="D684" s="10" t="s">
        <v>1631</v>
      </c>
      <c r="E684" s="11">
        <v>3700</v>
      </c>
      <c r="F684" s="10" t="s">
        <v>1632</v>
      </c>
      <c r="G684" s="10" t="s">
        <v>44</v>
      </c>
      <c r="H684" s="11"/>
      <c r="I684" s="10"/>
      <c r="J684" s="10"/>
      <c r="K684" s="10" t="s">
        <v>1633</v>
      </c>
      <c r="L684" s="10"/>
      <c r="M684" s="10"/>
    </row>
    <row r="685" spans="1:13">
      <c r="A685" s="10" t="s">
        <v>2483</v>
      </c>
      <c r="B685" s="10" t="s">
        <v>2021</v>
      </c>
      <c r="C685" s="10" t="s">
        <v>2022</v>
      </c>
      <c r="D685" s="10" t="s">
        <v>2036</v>
      </c>
      <c r="E685" s="11">
        <v>3706</v>
      </c>
      <c r="F685" s="10" t="s">
        <v>2034</v>
      </c>
      <c r="G685" s="10" t="s">
        <v>44</v>
      </c>
      <c r="H685" s="11"/>
      <c r="I685" s="10"/>
      <c r="J685" s="10"/>
      <c r="K685" s="10" t="s">
        <v>2037</v>
      </c>
      <c r="L685" s="10"/>
      <c r="M685" s="10"/>
    </row>
    <row r="686" spans="1:13">
      <c r="A686" s="10" t="s">
        <v>2326</v>
      </c>
      <c r="B686" s="10" t="s">
        <v>288</v>
      </c>
      <c r="C686" s="10" t="s">
        <v>845</v>
      </c>
      <c r="D686" s="10" t="s">
        <v>864</v>
      </c>
      <c r="E686" s="11">
        <v>3725</v>
      </c>
      <c r="F686" s="10"/>
      <c r="G686" s="10" t="s">
        <v>44</v>
      </c>
      <c r="H686" s="11">
        <v>3084441</v>
      </c>
      <c r="I686" s="10" t="s">
        <v>865</v>
      </c>
      <c r="J686" s="10"/>
      <c r="K686" s="10" t="s">
        <v>866</v>
      </c>
      <c r="L686" s="10"/>
      <c r="M686" s="10" t="s">
        <v>867</v>
      </c>
    </row>
    <row r="687" spans="1:13">
      <c r="A687" s="10" t="s">
        <v>2374</v>
      </c>
      <c r="B687" s="10" t="s">
        <v>1219</v>
      </c>
      <c r="C687" s="10" t="s">
        <v>1220</v>
      </c>
      <c r="D687" s="10" t="s">
        <v>864</v>
      </c>
      <c r="E687" s="11">
        <v>3725</v>
      </c>
      <c r="F687" s="10"/>
      <c r="G687" s="10" t="s">
        <v>44</v>
      </c>
      <c r="H687" s="11">
        <v>3084441</v>
      </c>
      <c r="I687" s="10" t="s">
        <v>865</v>
      </c>
      <c r="J687" s="10"/>
      <c r="K687" s="10" t="s">
        <v>866</v>
      </c>
      <c r="L687" s="10"/>
      <c r="M687" s="10" t="s">
        <v>867</v>
      </c>
    </row>
    <row r="688" spans="1:13">
      <c r="A688" s="10" t="s">
        <v>2322</v>
      </c>
      <c r="B688" s="10" t="s">
        <v>291</v>
      </c>
      <c r="C688" s="10" t="s">
        <v>799</v>
      </c>
      <c r="D688" s="10" t="s">
        <v>802</v>
      </c>
      <c r="E688" s="11">
        <v>3728</v>
      </c>
      <c r="F688" s="10" t="s">
        <v>803</v>
      </c>
      <c r="G688" s="10" t="s">
        <v>44</v>
      </c>
      <c r="H688" s="11"/>
      <c r="I688" s="10"/>
      <c r="J688" s="10"/>
      <c r="K688" s="10" t="s">
        <v>804</v>
      </c>
      <c r="L688" s="10"/>
      <c r="M688" s="10"/>
    </row>
    <row r="689" spans="1:13">
      <c r="A689" s="10" t="s">
        <v>2345</v>
      </c>
      <c r="B689" s="10" t="s">
        <v>998</v>
      </c>
      <c r="C689" s="10" t="s">
        <v>73</v>
      </c>
      <c r="D689" s="10" t="s">
        <v>1007</v>
      </c>
      <c r="E689" s="11">
        <v>3729</v>
      </c>
      <c r="F689" s="10" t="s">
        <v>1008</v>
      </c>
      <c r="G689" s="10" t="s">
        <v>44</v>
      </c>
      <c r="H689" s="11"/>
      <c r="I689" s="10"/>
      <c r="J689" s="10"/>
      <c r="K689" s="10"/>
      <c r="L689" s="10"/>
      <c r="M689" s="10"/>
    </row>
    <row r="690" spans="1:13">
      <c r="A690" s="10" t="s">
        <v>2456</v>
      </c>
      <c r="B690" s="10" t="s">
        <v>326</v>
      </c>
      <c r="C690" s="10" t="s">
        <v>1808</v>
      </c>
      <c r="D690" s="10" t="s">
        <v>1818</v>
      </c>
      <c r="E690" s="11">
        <v>3735</v>
      </c>
      <c r="F690" s="10" t="s">
        <v>1819</v>
      </c>
      <c r="G690" s="10" t="s">
        <v>44</v>
      </c>
      <c r="H690" s="11"/>
      <c r="I690" s="10"/>
      <c r="J690" s="10"/>
      <c r="K690" s="10" t="s">
        <v>1820</v>
      </c>
      <c r="L690" s="10"/>
      <c r="M690" s="10"/>
    </row>
    <row r="691" spans="1:13">
      <c r="A691" s="10" t="s">
        <v>2457</v>
      </c>
      <c r="B691" s="10" t="s">
        <v>327</v>
      </c>
      <c r="C691" s="10" t="s">
        <v>1828</v>
      </c>
      <c r="D691" s="10" t="s">
        <v>1818</v>
      </c>
      <c r="E691" s="11">
        <v>3735</v>
      </c>
      <c r="F691" s="10" t="s">
        <v>1819</v>
      </c>
      <c r="G691" s="10" t="s">
        <v>44</v>
      </c>
      <c r="H691" s="11"/>
      <c r="I691" s="10"/>
      <c r="J691" s="10"/>
      <c r="K691" s="10" t="s">
        <v>1820</v>
      </c>
      <c r="L691" s="10"/>
      <c r="M691" s="10"/>
    </row>
    <row r="692" spans="1:13">
      <c r="A692" s="10" t="s">
        <v>2456</v>
      </c>
      <c r="B692" s="10" t="s">
        <v>326</v>
      </c>
      <c r="C692" s="10" t="s">
        <v>1808</v>
      </c>
      <c r="D692" s="10" t="s">
        <v>1821</v>
      </c>
      <c r="E692" s="11">
        <v>3736</v>
      </c>
      <c r="F692" s="10" t="s">
        <v>1819</v>
      </c>
      <c r="G692" s="10" t="s">
        <v>44</v>
      </c>
      <c r="H692" s="11"/>
      <c r="I692" s="10"/>
      <c r="J692" s="10"/>
      <c r="K692" s="10" t="s">
        <v>1822</v>
      </c>
      <c r="L692" s="10"/>
      <c r="M692" s="10"/>
    </row>
    <row r="693" spans="1:13">
      <c r="A693" s="10" t="s">
        <v>2457</v>
      </c>
      <c r="B693" s="10" t="s">
        <v>327</v>
      </c>
      <c r="C693" s="10" t="s">
        <v>1828</v>
      </c>
      <c r="D693" s="10" t="s">
        <v>1821</v>
      </c>
      <c r="E693" s="11">
        <v>3736</v>
      </c>
      <c r="F693" s="10" t="s">
        <v>1819</v>
      </c>
      <c r="G693" s="10" t="s">
        <v>44</v>
      </c>
      <c r="H693" s="11"/>
      <c r="I693" s="10"/>
      <c r="J693" s="10"/>
      <c r="K693" s="10" t="s">
        <v>1822</v>
      </c>
      <c r="L693" s="10"/>
      <c r="M693" s="10"/>
    </row>
    <row r="694" spans="1:13">
      <c r="A694" s="10" t="s">
        <v>2497</v>
      </c>
      <c r="B694" s="10" t="s">
        <v>2102</v>
      </c>
      <c r="C694" s="10" t="s">
        <v>2103</v>
      </c>
      <c r="D694" s="10" t="s">
        <v>2106</v>
      </c>
      <c r="E694" s="11">
        <v>3738</v>
      </c>
      <c r="F694" s="10" t="s">
        <v>2107</v>
      </c>
      <c r="G694" s="10" t="s">
        <v>44</v>
      </c>
      <c r="H694" s="11"/>
      <c r="I694" s="10"/>
      <c r="J694" s="10"/>
      <c r="K694" s="10" t="s">
        <v>2108</v>
      </c>
      <c r="L694" s="10"/>
      <c r="M694" s="10"/>
    </row>
    <row r="695" spans="1:13">
      <c r="A695" s="10" t="s">
        <v>2499</v>
      </c>
      <c r="B695" s="10" t="s">
        <v>336</v>
      </c>
      <c r="C695" s="10" t="s">
        <v>2121</v>
      </c>
      <c r="D695" s="10" t="s">
        <v>2106</v>
      </c>
      <c r="E695" s="11">
        <v>3738</v>
      </c>
      <c r="F695" s="10" t="s">
        <v>2107</v>
      </c>
      <c r="G695" s="10" t="s">
        <v>44</v>
      </c>
      <c r="H695" s="11"/>
      <c r="I695" s="10"/>
      <c r="J695" s="10"/>
      <c r="K695" s="10" t="s">
        <v>2108</v>
      </c>
      <c r="L695" s="10"/>
      <c r="M695" s="10"/>
    </row>
    <row r="696" spans="1:13">
      <c r="A696" s="10" t="s">
        <v>2500</v>
      </c>
      <c r="B696" s="10" t="s">
        <v>2131</v>
      </c>
      <c r="C696" s="10" t="s">
        <v>2132</v>
      </c>
      <c r="D696" s="10" t="s">
        <v>2106</v>
      </c>
      <c r="E696" s="11">
        <v>3738</v>
      </c>
      <c r="F696" s="10" t="s">
        <v>2107</v>
      </c>
      <c r="G696" s="10" t="s">
        <v>44</v>
      </c>
      <c r="H696" s="11"/>
      <c r="I696" s="10"/>
      <c r="J696" s="10"/>
      <c r="K696" s="10" t="s">
        <v>2108</v>
      </c>
      <c r="L696" s="10"/>
      <c r="M696" s="10"/>
    </row>
    <row r="697" spans="1:13">
      <c r="A697" s="10" t="s">
        <v>2522</v>
      </c>
      <c r="B697" s="10" t="s">
        <v>2252</v>
      </c>
      <c r="C697" s="10" t="s">
        <v>2253</v>
      </c>
      <c r="D697" s="10" t="s">
        <v>2254</v>
      </c>
      <c r="E697" s="11">
        <v>3920</v>
      </c>
      <c r="F697" s="10"/>
      <c r="G697" s="10" t="s">
        <v>44</v>
      </c>
      <c r="H697" s="11"/>
      <c r="I697" s="10"/>
      <c r="J697" s="10" t="s">
        <v>2255</v>
      </c>
      <c r="K697" s="10" t="s">
        <v>2256</v>
      </c>
      <c r="L697" s="10"/>
      <c r="M697" s="10"/>
    </row>
    <row r="698" spans="1:13">
      <c r="A698" s="10" t="s">
        <v>2364</v>
      </c>
      <c r="B698" s="10" t="s">
        <v>1165</v>
      </c>
      <c r="C698" s="10" t="s">
        <v>116</v>
      </c>
      <c r="D698" s="10" t="s">
        <v>1168</v>
      </c>
      <c r="E698" s="11">
        <v>3935</v>
      </c>
      <c r="F698" s="10" t="s">
        <v>1169</v>
      </c>
      <c r="G698" s="10" t="s">
        <v>44</v>
      </c>
      <c r="H698" s="11"/>
      <c r="I698" s="10"/>
      <c r="J698" s="10"/>
      <c r="K698" s="10"/>
      <c r="L698" s="10"/>
      <c r="M698" s="10"/>
    </row>
    <row r="699" spans="1:13">
      <c r="A699" s="10" t="s">
        <v>2456</v>
      </c>
      <c r="B699" s="10" t="s">
        <v>326</v>
      </c>
      <c r="C699" s="10" t="s">
        <v>1808</v>
      </c>
      <c r="D699" s="10" t="s">
        <v>1823</v>
      </c>
      <c r="E699" s="11">
        <v>4016</v>
      </c>
      <c r="F699" s="10" t="s">
        <v>1824</v>
      </c>
      <c r="G699" s="10" t="s">
        <v>44</v>
      </c>
      <c r="H699" s="11"/>
      <c r="I699" s="10"/>
      <c r="J699" s="10"/>
      <c r="K699" s="10" t="s">
        <v>1825</v>
      </c>
      <c r="L699" s="10"/>
      <c r="M699" s="10"/>
    </row>
    <row r="700" spans="1:13">
      <c r="A700" s="10" t="s">
        <v>2457</v>
      </c>
      <c r="B700" s="10" t="s">
        <v>327</v>
      </c>
      <c r="C700" s="10" t="s">
        <v>1828</v>
      </c>
      <c r="D700" s="10" t="s">
        <v>1823</v>
      </c>
      <c r="E700" s="11">
        <v>4016</v>
      </c>
      <c r="F700" s="10" t="s">
        <v>1824</v>
      </c>
      <c r="G700" s="10" t="s">
        <v>44</v>
      </c>
      <c r="H700" s="11"/>
      <c r="I700" s="10"/>
      <c r="J700" s="10"/>
      <c r="K700" s="10" t="s">
        <v>1825</v>
      </c>
      <c r="L700" s="10"/>
      <c r="M700" s="10"/>
    </row>
    <row r="701" spans="1:13">
      <c r="A701" s="10" t="s">
        <v>2443</v>
      </c>
      <c r="B701" s="10" t="s">
        <v>1735</v>
      </c>
      <c r="C701" s="10" t="s">
        <v>1736</v>
      </c>
      <c r="D701" s="10" t="s">
        <v>1737</v>
      </c>
      <c r="E701" s="11">
        <v>4057</v>
      </c>
      <c r="F701" s="10" t="s">
        <v>816</v>
      </c>
      <c r="G701" s="10" t="s">
        <v>44</v>
      </c>
      <c r="H701" s="11"/>
      <c r="I701" s="10"/>
      <c r="J701" s="10"/>
      <c r="K701" s="10" t="s">
        <v>1738</v>
      </c>
      <c r="L701" s="10"/>
      <c r="M701" s="10"/>
    </row>
    <row r="702" spans="1:13">
      <c r="A702" s="10" t="s">
        <v>2442</v>
      </c>
      <c r="B702" s="10" t="s">
        <v>1729</v>
      </c>
      <c r="C702" s="10" t="s">
        <v>1730</v>
      </c>
      <c r="D702" s="10" t="s">
        <v>1731</v>
      </c>
      <c r="E702" s="11">
        <v>4058</v>
      </c>
      <c r="F702" s="10" t="s">
        <v>1732</v>
      </c>
      <c r="G702" s="10" t="s">
        <v>44</v>
      </c>
      <c r="H702" s="11">
        <v>16158367</v>
      </c>
      <c r="I702" s="10"/>
      <c r="J702" s="10"/>
      <c r="K702" s="10" t="s">
        <v>1733</v>
      </c>
      <c r="L702" s="10"/>
      <c r="M702" s="10" t="s">
        <v>1734</v>
      </c>
    </row>
    <row r="703" spans="1:13">
      <c r="A703" s="10" t="s">
        <v>2297</v>
      </c>
      <c r="B703" s="10" t="s">
        <v>639</v>
      </c>
      <c r="C703" s="10" t="s">
        <v>60</v>
      </c>
      <c r="D703" s="10" t="s">
        <v>643</v>
      </c>
      <c r="E703" s="11">
        <v>4358</v>
      </c>
      <c r="F703" s="10" t="s">
        <v>644</v>
      </c>
      <c r="G703" s="10" t="s">
        <v>44</v>
      </c>
      <c r="H703" s="11"/>
      <c r="I703" s="10"/>
      <c r="J703" s="10"/>
      <c r="K703" s="10" t="s">
        <v>645</v>
      </c>
      <c r="L703" s="10"/>
      <c r="M703" s="10"/>
    </row>
    <row r="704" spans="1:13">
      <c r="A704" s="10" t="s">
        <v>2347</v>
      </c>
      <c r="B704" s="10" t="s">
        <v>1021</v>
      </c>
      <c r="C704" s="10" t="s">
        <v>75</v>
      </c>
      <c r="D704" s="10" t="s">
        <v>643</v>
      </c>
      <c r="E704" s="11">
        <v>4358</v>
      </c>
      <c r="F704" s="10" t="s">
        <v>644</v>
      </c>
      <c r="G704" s="10" t="s">
        <v>44</v>
      </c>
      <c r="H704" s="11"/>
      <c r="I704" s="10"/>
      <c r="J704" s="10"/>
      <c r="K704" s="10" t="s">
        <v>645</v>
      </c>
      <c r="L704" s="10"/>
      <c r="M704" s="10"/>
    </row>
    <row r="705" spans="1:13">
      <c r="A705" s="10" t="s">
        <v>2348</v>
      </c>
      <c r="B705" s="10" t="s">
        <v>286</v>
      </c>
      <c r="C705" s="10" t="s">
        <v>76</v>
      </c>
      <c r="D705" s="10" t="s">
        <v>643</v>
      </c>
      <c r="E705" s="11">
        <v>4358</v>
      </c>
      <c r="F705" s="10" t="s">
        <v>644</v>
      </c>
      <c r="G705" s="10" t="s">
        <v>44</v>
      </c>
      <c r="H705" s="11"/>
      <c r="I705" s="10"/>
      <c r="J705" s="10"/>
      <c r="K705" s="10" t="s">
        <v>645</v>
      </c>
      <c r="L705" s="10"/>
      <c r="M705" s="10"/>
    </row>
    <row r="706" spans="1:13">
      <c r="A706" s="10" t="s">
        <v>2529</v>
      </c>
      <c r="B706" s="10" t="s">
        <v>2274</v>
      </c>
      <c r="C706" s="10" t="s">
        <v>79</v>
      </c>
      <c r="D706" s="10" t="s">
        <v>2278</v>
      </c>
      <c r="E706" s="11">
        <v>4370</v>
      </c>
      <c r="F706" s="10" t="s">
        <v>2279</v>
      </c>
      <c r="G706" s="10" t="s">
        <v>44</v>
      </c>
      <c r="H706" s="11"/>
      <c r="I706" s="10"/>
      <c r="J706" s="10"/>
      <c r="K706" s="10" t="s">
        <v>2280</v>
      </c>
      <c r="L706" s="10"/>
      <c r="M706" s="10"/>
    </row>
    <row r="707" spans="1:13">
      <c r="A707" s="10" t="s">
        <v>2484</v>
      </c>
      <c r="B707" s="10" t="s">
        <v>342</v>
      </c>
      <c r="C707" s="10" t="s">
        <v>210</v>
      </c>
      <c r="D707" s="10" t="s">
        <v>2038</v>
      </c>
      <c r="E707" s="11">
        <v>4453</v>
      </c>
      <c r="F707" s="10" t="s">
        <v>2039</v>
      </c>
      <c r="G707" s="10" t="s">
        <v>44</v>
      </c>
      <c r="H707" s="11"/>
      <c r="I707" s="10"/>
      <c r="J707" s="10"/>
      <c r="K707" s="10"/>
      <c r="L707" s="10"/>
      <c r="M707" s="10"/>
    </row>
    <row r="708" spans="1:13">
      <c r="A708" s="10" t="s">
        <v>2485</v>
      </c>
      <c r="B708" s="10" t="s">
        <v>2040</v>
      </c>
      <c r="C708" s="10" t="s">
        <v>212</v>
      </c>
      <c r="D708" s="10" t="s">
        <v>2038</v>
      </c>
      <c r="E708" s="11">
        <v>4453</v>
      </c>
      <c r="F708" s="10" t="s">
        <v>2039</v>
      </c>
      <c r="G708" s="10" t="s">
        <v>44</v>
      </c>
      <c r="H708" s="11"/>
      <c r="I708" s="10"/>
      <c r="J708" s="10"/>
      <c r="K708" s="10"/>
      <c r="L708" s="10"/>
      <c r="M708" s="10"/>
    </row>
    <row r="709" spans="1:13">
      <c r="A709" s="10" t="s">
        <v>2486</v>
      </c>
      <c r="B709" s="10" t="s">
        <v>2041</v>
      </c>
      <c r="C709" s="10" t="s">
        <v>213</v>
      </c>
      <c r="D709" s="10" t="s">
        <v>2038</v>
      </c>
      <c r="E709" s="11">
        <v>4453</v>
      </c>
      <c r="F709" s="10" t="s">
        <v>2039</v>
      </c>
      <c r="G709" s="10" t="s">
        <v>44</v>
      </c>
      <c r="H709" s="11"/>
      <c r="I709" s="10"/>
      <c r="J709" s="10"/>
      <c r="K709" s="10"/>
      <c r="L709" s="10"/>
      <c r="M709" s="10"/>
    </row>
    <row r="710" spans="1:13">
      <c r="A710" s="10" t="s">
        <v>2401</v>
      </c>
      <c r="B710" s="10" t="s">
        <v>290</v>
      </c>
      <c r="C710" s="10" t="s">
        <v>1497</v>
      </c>
      <c r="D710" s="10" t="s">
        <v>1498</v>
      </c>
      <c r="E710" s="11">
        <v>5336</v>
      </c>
      <c r="F710" s="10" t="s">
        <v>1239</v>
      </c>
      <c r="G710" s="10" t="s">
        <v>44</v>
      </c>
      <c r="H710" s="11"/>
      <c r="I710" s="10"/>
      <c r="J710" s="10"/>
      <c r="K710" s="10"/>
      <c r="L710" s="10"/>
      <c r="M710" s="10"/>
    </row>
    <row r="711" spans="1:13">
      <c r="A711" s="10" t="s">
        <v>2456</v>
      </c>
      <c r="B711" s="10" t="s">
        <v>326</v>
      </c>
      <c r="C711" s="10" t="s">
        <v>1808</v>
      </c>
      <c r="D711" s="10" t="s">
        <v>1826</v>
      </c>
      <c r="E711" s="11">
        <v>5340</v>
      </c>
      <c r="F711" s="10" t="s">
        <v>1824</v>
      </c>
      <c r="G711" s="10" t="s">
        <v>44</v>
      </c>
      <c r="H711" s="11"/>
      <c r="I711" s="10"/>
      <c r="J711" s="10"/>
      <c r="K711" s="10" t="s">
        <v>1827</v>
      </c>
      <c r="L711" s="10"/>
      <c r="M711" s="10"/>
    </row>
    <row r="712" spans="1:13">
      <c r="A712" s="10" t="s">
        <v>2457</v>
      </c>
      <c r="B712" s="10" t="s">
        <v>327</v>
      </c>
      <c r="C712" s="10" t="s">
        <v>1828</v>
      </c>
      <c r="D712" s="10" t="s">
        <v>1826</v>
      </c>
      <c r="E712" s="11">
        <v>5340</v>
      </c>
      <c r="F712" s="10" t="s">
        <v>1824</v>
      </c>
      <c r="G712" s="10" t="s">
        <v>44</v>
      </c>
      <c r="H712" s="11"/>
      <c r="I712" s="10"/>
      <c r="J712" s="10"/>
      <c r="K712" s="10" t="s">
        <v>1827</v>
      </c>
      <c r="L712" s="10"/>
      <c r="M712" s="10"/>
    </row>
    <row r="713" spans="1:13">
      <c r="A713" s="10" t="s">
        <v>2316</v>
      </c>
      <c r="B713" s="10" t="s">
        <v>276</v>
      </c>
      <c r="C713" s="10" t="s">
        <v>721</v>
      </c>
      <c r="D713" s="10" t="s">
        <v>730</v>
      </c>
      <c r="E713" s="11">
        <v>5368</v>
      </c>
      <c r="F713" s="10" t="s">
        <v>723</v>
      </c>
      <c r="G713" s="10" t="s">
        <v>44</v>
      </c>
      <c r="H713" s="11">
        <v>123814</v>
      </c>
      <c r="I713" s="10"/>
      <c r="J713" s="10"/>
      <c r="K713" s="10" t="s">
        <v>731</v>
      </c>
      <c r="L713" s="10"/>
      <c r="M713" s="10"/>
    </row>
    <row r="714" spans="1:13">
      <c r="A714" s="10" t="s">
        <v>2363</v>
      </c>
      <c r="B714" s="10" t="s">
        <v>1130</v>
      </c>
      <c r="C714" s="10" t="s">
        <v>1131</v>
      </c>
      <c r="D714" s="10" t="s">
        <v>1151</v>
      </c>
      <c r="E714" s="11">
        <v>5527</v>
      </c>
      <c r="F714" s="10" t="s">
        <v>1152</v>
      </c>
      <c r="G714" s="10" t="s">
        <v>44</v>
      </c>
      <c r="H714" s="11">
        <v>134611881</v>
      </c>
      <c r="I714" s="10"/>
      <c r="J714" s="10"/>
      <c r="K714" s="10" t="s">
        <v>1153</v>
      </c>
      <c r="L714" s="10"/>
      <c r="M714" s="10" t="s">
        <v>1154</v>
      </c>
    </row>
    <row r="715" spans="1:13">
      <c r="A715" s="10" t="s">
        <v>2382</v>
      </c>
      <c r="B715" s="10" t="s">
        <v>1269</v>
      </c>
      <c r="C715" s="10" t="s">
        <v>1270</v>
      </c>
      <c r="D715" s="10" t="s">
        <v>1271</v>
      </c>
      <c r="E715" s="11">
        <v>5654</v>
      </c>
      <c r="F715" s="10"/>
      <c r="G715" s="10" t="s">
        <v>44</v>
      </c>
      <c r="H715" s="11"/>
      <c r="I715" s="10"/>
      <c r="J715" s="10"/>
      <c r="K715" s="10" t="s">
        <v>1272</v>
      </c>
      <c r="L715" s="10"/>
      <c r="M715" s="10"/>
    </row>
    <row r="716" spans="1:13">
      <c r="A716" s="10" t="s">
        <v>2501</v>
      </c>
      <c r="B716" s="10" t="s">
        <v>2135</v>
      </c>
      <c r="C716" s="10" t="s">
        <v>2136</v>
      </c>
      <c r="D716" s="10" t="s">
        <v>2137</v>
      </c>
      <c r="E716" s="11">
        <v>5895</v>
      </c>
      <c r="F716" s="10"/>
      <c r="G716" s="10" t="s">
        <v>44</v>
      </c>
      <c r="H716" s="11"/>
      <c r="I716" s="10"/>
      <c r="J716" s="10"/>
      <c r="K716" s="10" t="s">
        <v>2138</v>
      </c>
      <c r="L716" s="10"/>
      <c r="M716" s="10"/>
    </row>
    <row r="717" spans="1:13">
      <c r="A717" s="10" t="s">
        <v>2315</v>
      </c>
      <c r="B717" s="10" t="s">
        <v>718</v>
      </c>
      <c r="C717" s="10" t="s">
        <v>719</v>
      </c>
      <c r="D717" s="10" t="s">
        <v>720</v>
      </c>
      <c r="E717" s="11">
        <v>5899</v>
      </c>
      <c r="F717" s="10"/>
      <c r="G717" s="10" t="s">
        <v>44</v>
      </c>
      <c r="H717" s="11"/>
      <c r="I717" s="10"/>
      <c r="J717" s="10"/>
      <c r="K717" s="10"/>
      <c r="L717" s="10"/>
      <c r="M717" s="10"/>
    </row>
    <row r="718" spans="1:13">
      <c r="A718" s="10" t="s">
        <v>2369</v>
      </c>
      <c r="B718" s="10" t="s">
        <v>1198</v>
      </c>
      <c r="C718" s="10" t="s">
        <v>1199</v>
      </c>
      <c r="D718" s="10" t="s">
        <v>1200</v>
      </c>
      <c r="E718" s="11">
        <v>6067</v>
      </c>
      <c r="F718" s="10" t="s">
        <v>1201</v>
      </c>
      <c r="G718" s="10" t="s">
        <v>44</v>
      </c>
      <c r="H718" s="11"/>
      <c r="I718" s="10"/>
      <c r="J718" s="10"/>
      <c r="K718" s="10"/>
      <c r="L718" s="10"/>
      <c r="M718" s="10"/>
    </row>
    <row r="719" spans="1:13">
      <c r="A719" s="10" t="s">
        <v>2400</v>
      </c>
      <c r="B719" s="10" t="s">
        <v>1495</v>
      </c>
      <c r="C719" s="10" t="s">
        <v>1496</v>
      </c>
      <c r="D719" s="10" t="s">
        <v>1200</v>
      </c>
      <c r="E719" s="11">
        <v>6067</v>
      </c>
      <c r="F719" s="10" t="s">
        <v>1201</v>
      </c>
      <c r="G719" s="10" t="s">
        <v>44</v>
      </c>
      <c r="H719" s="11"/>
      <c r="I719" s="10"/>
      <c r="J719" s="10"/>
      <c r="K719" s="10"/>
      <c r="L719" s="10"/>
      <c r="M719" s="10"/>
    </row>
    <row r="720" spans="1:13">
      <c r="A720" s="10" t="s">
        <v>2415</v>
      </c>
      <c r="B720" s="10" t="s">
        <v>1562</v>
      </c>
      <c r="C720" s="10" t="s">
        <v>1563</v>
      </c>
      <c r="D720" s="10" t="s">
        <v>1575</v>
      </c>
      <c r="E720" s="11">
        <v>6175</v>
      </c>
      <c r="F720" s="10"/>
      <c r="G720" s="10" t="s">
        <v>44</v>
      </c>
      <c r="H720" s="11"/>
      <c r="I720" s="10"/>
      <c r="J720" s="10"/>
      <c r="K720" s="10" t="s">
        <v>1576</v>
      </c>
      <c r="L720" s="10"/>
      <c r="M720" s="10"/>
    </row>
    <row r="721" spans="1:13">
      <c r="A721" s="10" t="s">
        <v>2451</v>
      </c>
      <c r="B721" s="10" t="s">
        <v>1778</v>
      </c>
      <c r="C721" s="10" t="s">
        <v>1779</v>
      </c>
      <c r="D721" s="10" t="s">
        <v>1575</v>
      </c>
      <c r="E721" s="11">
        <v>6175</v>
      </c>
      <c r="F721" s="10"/>
      <c r="G721" s="10" t="s">
        <v>44</v>
      </c>
      <c r="H721" s="11"/>
      <c r="I721" s="10"/>
      <c r="J721" s="10"/>
      <c r="K721" s="10" t="s">
        <v>1576</v>
      </c>
      <c r="L721" s="10"/>
      <c r="M721" s="10"/>
    </row>
    <row r="722" spans="1:13">
      <c r="A722" s="10" t="s">
        <v>2415</v>
      </c>
      <c r="B722" s="10" t="s">
        <v>1562</v>
      </c>
      <c r="C722" s="10" t="s">
        <v>1563</v>
      </c>
      <c r="D722" s="10" t="s">
        <v>1577</v>
      </c>
      <c r="E722" s="11">
        <v>6178</v>
      </c>
      <c r="F722" s="10"/>
      <c r="G722" s="10" t="s">
        <v>44</v>
      </c>
      <c r="H722" s="11"/>
      <c r="I722" s="10"/>
      <c r="J722" s="10"/>
      <c r="K722" s="10" t="s">
        <v>1578</v>
      </c>
      <c r="L722" s="10"/>
      <c r="M722" s="10"/>
    </row>
    <row r="723" spans="1:13">
      <c r="A723" s="10" t="s">
        <v>2363</v>
      </c>
      <c r="B723" s="10" t="s">
        <v>1130</v>
      </c>
      <c r="C723" s="10" t="s">
        <v>1131</v>
      </c>
      <c r="D723" s="10" t="s">
        <v>1160</v>
      </c>
      <c r="E723" s="11">
        <v>6242</v>
      </c>
      <c r="F723" s="10" t="s">
        <v>1161</v>
      </c>
      <c r="G723" s="10" t="s">
        <v>44</v>
      </c>
      <c r="H723" s="11"/>
      <c r="I723" s="10"/>
      <c r="J723" s="10"/>
      <c r="K723" s="10" t="s">
        <v>1162</v>
      </c>
      <c r="L723" s="10"/>
      <c r="M723" s="10"/>
    </row>
    <row r="724" spans="1:13">
      <c r="A724" s="10" t="s">
        <v>2363</v>
      </c>
      <c r="B724" s="10" t="s">
        <v>1130</v>
      </c>
      <c r="C724" s="10" t="s">
        <v>1131</v>
      </c>
      <c r="D724" s="10" t="s">
        <v>1163</v>
      </c>
      <c r="E724" s="11">
        <v>6244</v>
      </c>
      <c r="F724" s="10" t="s">
        <v>1164</v>
      </c>
      <c r="G724" s="10" t="s">
        <v>44</v>
      </c>
      <c r="H724" s="11"/>
      <c r="I724" s="10"/>
      <c r="J724" s="10"/>
      <c r="K724" s="10"/>
      <c r="L724" s="10"/>
      <c r="M724" s="10"/>
    </row>
    <row r="725" spans="1:13">
      <c r="A725" s="10" t="s">
        <v>2316</v>
      </c>
      <c r="B725" s="10" t="s">
        <v>276</v>
      </c>
      <c r="C725" s="10" t="s">
        <v>721</v>
      </c>
      <c r="D725" s="10" t="s">
        <v>732</v>
      </c>
      <c r="E725" s="11">
        <v>6894</v>
      </c>
      <c r="F725" s="10" t="s">
        <v>733</v>
      </c>
      <c r="G725" s="10" t="s">
        <v>44</v>
      </c>
      <c r="H725" s="11"/>
      <c r="I725" s="10"/>
      <c r="J725" s="10"/>
      <c r="K725" s="10" t="s">
        <v>734</v>
      </c>
      <c r="L725" s="10"/>
      <c r="M725" s="10"/>
    </row>
    <row r="726" spans="1:13">
      <c r="A726" s="10" t="s">
        <v>2324</v>
      </c>
      <c r="B726" s="10" t="s">
        <v>807</v>
      </c>
      <c r="C726" s="10" t="s">
        <v>808</v>
      </c>
      <c r="D726" s="10" t="s">
        <v>827</v>
      </c>
      <c r="E726" s="11">
        <v>6973</v>
      </c>
      <c r="F726" s="10"/>
      <c r="G726" s="10" t="s">
        <v>44</v>
      </c>
      <c r="H726" s="11"/>
      <c r="I726" s="10"/>
      <c r="J726" s="10"/>
      <c r="K726" s="10" t="s">
        <v>828</v>
      </c>
      <c r="L726" s="10"/>
      <c r="M726" s="10" t="s">
        <v>5433</v>
      </c>
    </row>
    <row r="727" spans="1:13">
      <c r="A727" s="10" t="s">
        <v>2318</v>
      </c>
      <c r="B727" s="10" t="s">
        <v>277</v>
      </c>
      <c r="C727" s="10" t="s">
        <v>742</v>
      </c>
      <c r="D727" s="10" t="s">
        <v>753</v>
      </c>
      <c r="E727" s="11">
        <v>7930</v>
      </c>
      <c r="F727" s="10" t="s">
        <v>754</v>
      </c>
      <c r="G727" s="10" t="s">
        <v>44</v>
      </c>
      <c r="H727" s="11"/>
      <c r="I727" s="10"/>
      <c r="J727" s="10"/>
      <c r="K727" s="10" t="s">
        <v>755</v>
      </c>
      <c r="L727" s="10"/>
      <c r="M727" s="10"/>
    </row>
    <row r="728" spans="1:13">
      <c r="A728" s="10" t="s">
        <v>2374</v>
      </c>
      <c r="B728" s="10" t="s">
        <v>1219</v>
      </c>
      <c r="C728" s="10" t="s">
        <v>1220</v>
      </c>
      <c r="D728" s="10" t="s">
        <v>1226</v>
      </c>
      <c r="E728" s="11">
        <v>8408</v>
      </c>
      <c r="F728" s="10" t="s">
        <v>862</v>
      </c>
      <c r="G728" s="10" t="s">
        <v>44</v>
      </c>
      <c r="H728" s="11"/>
      <c r="I728" s="10"/>
      <c r="J728" s="10"/>
      <c r="K728" s="10" t="s">
        <v>1227</v>
      </c>
      <c r="L728" s="10"/>
      <c r="M728" s="10" t="s">
        <v>5434</v>
      </c>
    </row>
    <row r="729" spans="1:13">
      <c r="A729" s="10" t="s">
        <v>2374</v>
      </c>
      <c r="B729" s="10" t="s">
        <v>1219</v>
      </c>
      <c r="C729" s="10" t="s">
        <v>1220</v>
      </c>
      <c r="D729" s="10" t="s">
        <v>1228</v>
      </c>
      <c r="E729" s="11">
        <v>8409</v>
      </c>
      <c r="F729" s="10" t="s">
        <v>862</v>
      </c>
      <c r="G729" s="10" t="s">
        <v>44</v>
      </c>
      <c r="H729" s="11"/>
      <c r="I729" s="10"/>
      <c r="J729" s="10"/>
      <c r="K729" s="10"/>
      <c r="L729" s="10"/>
      <c r="M729" s="10" t="s">
        <v>5435</v>
      </c>
    </row>
    <row r="730" spans="1:13">
      <c r="A730" s="10" t="s">
        <v>2374</v>
      </c>
      <c r="B730" s="10" t="s">
        <v>1219</v>
      </c>
      <c r="C730" s="10" t="s">
        <v>1220</v>
      </c>
      <c r="D730" s="10" t="s">
        <v>1229</v>
      </c>
      <c r="E730" s="11">
        <v>8410</v>
      </c>
      <c r="F730" s="10" t="s">
        <v>862</v>
      </c>
      <c r="G730" s="10" t="s">
        <v>44</v>
      </c>
      <c r="H730" s="11"/>
      <c r="I730" s="10"/>
      <c r="J730" s="10"/>
      <c r="K730" s="10"/>
      <c r="L730" s="10"/>
      <c r="M730" s="10"/>
    </row>
    <row r="731" spans="1:13">
      <c r="A731" s="10" t="s">
        <v>2374</v>
      </c>
      <c r="B731" s="10" t="s">
        <v>1219</v>
      </c>
      <c r="C731" s="10" t="s">
        <v>1220</v>
      </c>
      <c r="D731" s="10" t="s">
        <v>1230</v>
      </c>
      <c r="E731" s="11">
        <v>8411</v>
      </c>
      <c r="F731" s="10" t="s">
        <v>862</v>
      </c>
      <c r="G731" s="10" t="s">
        <v>44</v>
      </c>
      <c r="H731" s="11"/>
      <c r="I731" s="10"/>
      <c r="J731" s="10"/>
      <c r="K731" s="10"/>
      <c r="L731" s="10"/>
      <c r="M731" s="10" t="s">
        <v>5436</v>
      </c>
    </row>
    <row r="732" spans="1:13">
      <c r="A732" s="10" t="s">
        <v>2318</v>
      </c>
      <c r="B732" s="10" t="s">
        <v>277</v>
      </c>
      <c r="C732" s="10" t="s">
        <v>742</v>
      </c>
      <c r="D732" s="10" t="s">
        <v>756</v>
      </c>
      <c r="E732" s="11">
        <v>8524</v>
      </c>
      <c r="F732" s="10" t="s">
        <v>754</v>
      </c>
      <c r="G732" s="10" t="s">
        <v>44</v>
      </c>
      <c r="H732" s="11"/>
      <c r="I732" s="10"/>
      <c r="J732" s="10"/>
      <c r="K732" s="10" t="s">
        <v>757</v>
      </c>
      <c r="L732" s="10"/>
      <c r="M732" s="10"/>
    </row>
    <row r="733" spans="1:13">
      <c r="A733" s="10" t="s">
        <v>2318</v>
      </c>
      <c r="B733" s="10" t="s">
        <v>277</v>
      </c>
      <c r="C733" s="10" t="s">
        <v>742</v>
      </c>
      <c r="D733" s="10" t="s">
        <v>758</v>
      </c>
      <c r="E733" s="11">
        <v>8525</v>
      </c>
      <c r="F733" s="10" t="s">
        <v>754</v>
      </c>
      <c r="G733" s="10" t="s">
        <v>44</v>
      </c>
      <c r="H733" s="11"/>
      <c r="I733" s="10"/>
      <c r="J733" s="10"/>
      <c r="K733" s="10" t="s">
        <v>759</v>
      </c>
      <c r="L733" s="10"/>
      <c r="M733" s="10" t="s">
        <v>5437</v>
      </c>
    </row>
    <row r="734" spans="1:13">
      <c r="A734" s="10" t="s">
        <v>2318</v>
      </c>
      <c r="B734" s="10" t="s">
        <v>277</v>
      </c>
      <c r="C734" s="10" t="s">
        <v>742</v>
      </c>
      <c r="D734" s="10" t="s">
        <v>760</v>
      </c>
      <c r="E734" s="11">
        <v>8526</v>
      </c>
      <c r="F734" s="10" t="s">
        <v>754</v>
      </c>
      <c r="G734" s="10" t="s">
        <v>44</v>
      </c>
      <c r="H734" s="11"/>
      <c r="I734" s="10"/>
      <c r="J734" s="10"/>
      <c r="K734" s="10" t="s">
        <v>761</v>
      </c>
      <c r="L734" s="10"/>
      <c r="M734" s="10"/>
    </row>
    <row r="735" spans="1:13">
      <c r="A735" s="10" t="s">
        <v>2348</v>
      </c>
      <c r="B735" s="10" t="s">
        <v>286</v>
      </c>
      <c r="C735" s="10" t="s">
        <v>76</v>
      </c>
      <c r="D735" s="10" t="s">
        <v>1024</v>
      </c>
      <c r="E735" s="11">
        <v>8530</v>
      </c>
      <c r="F735" s="10" t="s">
        <v>644</v>
      </c>
      <c r="G735" s="10" t="s">
        <v>44</v>
      </c>
      <c r="H735" s="11"/>
      <c r="I735" s="10"/>
      <c r="J735" s="10"/>
      <c r="K735" s="10"/>
      <c r="L735" s="10"/>
      <c r="M735" s="10"/>
    </row>
    <row r="736" spans="1:13">
      <c r="A736" s="10" t="s">
        <v>2348</v>
      </c>
      <c r="B736" s="10" t="s">
        <v>286</v>
      </c>
      <c r="C736" s="10" t="s">
        <v>76</v>
      </c>
      <c r="D736" s="10" t="s">
        <v>1025</v>
      </c>
      <c r="E736" s="11">
        <v>8531</v>
      </c>
      <c r="F736" s="10" t="s">
        <v>644</v>
      </c>
      <c r="G736" s="10" t="s">
        <v>44</v>
      </c>
      <c r="H736" s="11"/>
      <c r="I736" s="10"/>
      <c r="J736" s="10"/>
      <c r="K736" s="10"/>
      <c r="L736" s="10"/>
      <c r="M736" s="10"/>
    </row>
    <row r="737" spans="1:13">
      <c r="A737" s="10" t="s">
        <v>2348</v>
      </c>
      <c r="B737" s="10" t="s">
        <v>286</v>
      </c>
      <c r="C737" s="10" t="s">
        <v>76</v>
      </c>
      <c r="D737" s="10" t="s">
        <v>1026</v>
      </c>
      <c r="E737" s="11">
        <v>8532</v>
      </c>
      <c r="F737" s="10" t="s">
        <v>644</v>
      </c>
      <c r="G737" s="10" t="s">
        <v>44</v>
      </c>
      <c r="H737" s="11"/>
      <c r="I737" s="10"/>
      <c r="J737" s="10"/>
      <c r="K737" s="10"/>
      <c r="L737" s="10"/>
      <c r="M737" s="10"/>
    </row>
    <row r="738" spans="1:13">
      <c r="A738" s="10" t="s">
        <v>2348</v>
      </c>
      <c r="B738" s="10" t="s">
        <v>286</v>
      </c>
      <c r="C738" s="10" t="s">
        <v>76</v>
      </c>
      <c r="D738" s="10" t="s">
        <v>1027</v>
      </c>
      <c r="E738" s="11">
        <v>8533</v>
      </c>
      <c r="F738" s="10" t="s">
        <v>644</v>
      </c>
      <c r="G738" s="10" t="s">
        <v>44</v>
      </c>
      <c r="H738" s="11"/>
      <c r="I738" s="10"/>
      <c r="J738" s="10"/>
      <c r="K738" s="10"/>
      <c r="L738" s="10"/>
      <c r="M738" s="10"/>
    </row>
    <row r="739" spans="1:13">
      <c r="A739" s="10" t="s">
        <v>2326</v>
      </c>
      <c r="B739" s="10" t="s">
        <v>288</v>
      </c>
      <c r="C739" s="10" t="s">
        <v>845</v>
      </c>
      <c r="D739" s="10" t="s">
        <v>868</v>
      </c>
      <c r="E739" s="11">
        <v>10221</v>
      </c>
      <c r="F739" s="10"/>
      <c r="G739" s="10" t="s">
        <v>44</v>
      </c>
      <c r="H739" s="11"/>
      <c r="I739" s="10"/>
      <c r="J739" s="10"/>
      <c r="K739" s="10"/>
      <c r="L739" s="10"/>
      <c r="M739" s="10"/>
    </row>
    <row r="740" spans="1:13">
      <c r="A740" s="10" t="s">
        <v>2374</v>
      </c>
      <c r="B740" s="10" t="s">
        <v>1219</v>
      </c>
      <c r="C740" s="10" t="s">
        <v>1220</v>
      </c>
      <c r="D740" s="10" t="s">
        <v>868</v>
      </c>
      <c r="E740" s="11">
        <v>10221</v>
      </c>
      <c r="F740" s="10"/>
      <c r="G740" s="10" t="s">
        <v>44</v>
      </c>
      <c r="H740" s="11"/>
      <c r="I740" s="10"/>
      <c r="J740" s="10"/>
      <c r="K740" s="10"/>
      <c r="L740" s="10"/>
      <c r="M740" s="10"/>
    </row>
    <row r="741" spans="1:13">
      <c r="A741" s="10" t="s">
        <v>2499</v>
      </c>
      <c r="B741" s="10" t="s">
        <v>336</v>
      </c>
      <c r="C741" s="10" t="s">
        <v>5438</v>
      </c>
      <c r="D741" t="s">
        <v>249</v>
      </c>
      <c r="E741" s="9">
        <v>4448</v>
      </c>
      <c r="G741" s="10" t="s">
        <v>44</v>
      </c>
      <c r="H741" s="9">
        <v>16132393</v>
      </c>
      <c r="J741">
        <v>5411</v>
      </c>
      <c r="M741" t="s">
        <v>5439</v>
      </c>
    </row>
    <row r="742" spans="1:13">
      <c r="A742" s="10" t="s">
        <v>2484</v>
      </c>
      <c r="B742" s="10" t="s">
        <v>342</v>
      </c>
      <c r="C742" t="s">
        <v>5440</v>
      </c>
      <c r="D742" t="s">
        <v>247</v>
      </c>
      <c r="E742" s="9">
        <v>3742</v>
      </c>
      <c r="G742" s="10" t="s">
        <v>44</v>
      </c>
      <c r="H742" s="11">
        <v>10146183</v>
      </c>
      <c r="K742" t="s">
        <v>5441</v>
      </c>
      <c r="M742" t="s">
        <v>5442</v>
      </c>
    </row>
    <row r="743" spans="1:13">
      <c r="A743" s="10" t="s">
        <v>5443</v>
      </c>
      <c r="B743" s="10" t="s">
        <v>4398</v>
      </c>
      <c r="C743" s="10" t="s">
        <v>5444</v>
      </c>
      <c r="D743" t="s">
        <v>244</v>
      </c>
      <c r="E743" s="9">
        <v>3740</v>
      </c>
      <c r="G743" s="10" t="s">
        <v>44</v>
      </c>
      <c r="H743" s="9"/>
    </row>
    <row r="744" spans="1:13">
      <c r="A744" s="10" t="s">
        <v>2467</v>
      </c>
      <c r="B744" s="10" t="s">
        <v>332</v>
      </c>
      <c r="C744" t="s">
        <v>2714</v>
      </c>
      <c r="D744" t="s">
        <v>2714</v>
      </c>
      <c r="E744" s="9">
        <v>1647</v>
      </c>
      <c r="G744" s="10" t="s">
        <v>44</v>
      </c>
      <c r="H744" s="9">
        <v>5462471</v>
      </c>
      <c r="I744" t="s">
        <v>5445</v>
      </c>
      <c r="K744" t="s">
        <v>5446</v>
      </c>
      <c r="M744" t="s">
        <v>5447</v>
      </c>
    </row>
    <row r="745" spans="1:13">
      <c r="A745" s="10" t="s">
        <v>2415</v>
      </c>
      <c r="B745" s="10" t="s">
        <v>1562</v>
      </c>
      <c r="C745" t="s">
        <v>49</v>
      </c>
      <c r="D745" s="4" t="s">
        <v>49</v>
      </c>
      <c r="E745" s="9">
        <v>616</v>
      </c>
      <c r="G745" s="10" t="s">
        <v>44</v>
      </c>
      <c r="H745" s="9">
        <v>16133800</v>
      </c>
      <c r="M745" t="s">
        <v>5448</v>
      </c>
    </row>
    <row r="746" spans="1:13">
      <c r="A746" s="10" t="s">
        <v>2443</v>
      </c>
      <c r="B746" s="10" t="s">
        <v>1735</v>
      </c>
      <c r="C746" s="4" t="s">
        <v>522</v>
      </c>
      <c r="D746" s="4" t="s">
        <v>522</v>
      </c>
      <c r="E746" s="9">
        <v>2007</v>
      </c>
      <c r="G746" s="10" t="s">
        <v>44</v>
      </c>
      <c r="H746" s="9"/>
      <c r="K746" t="s">
        <v>5449</v>
      </c>
    </row>
    <row r="747" spans="1:13">
      <c r="A747" s="10" t="s">
        <v>2373</v>
      </c>
      <c r="B747" s="10" t="s">
        <v>1217</v>
      </c>
      <c r="C747" t="s">
        <v>122</v>
      </c>
      <c r="D747" s="4" t="s">
        <v>482</v>
      </c>
      <c r="E747" s="9">
        <v>3593</v>
      </c>
      <c r="G747" s="10" t="s">
        <v>44</v>
      </c>
      <c r="H747" s="9">
        <v>16133243</v>
      </c>
    </row>
    <row r="748" spans="1:13">
      <c r="A748" s="10" t="s">
        <v>5443</v>
      </c>
      <c r="B748" s="10" t="s">
        <v>4398</v>
      </c>
      <c r="C748" s="10" t="s">
        <v>5444</v>
      </c>
      <c r="D748" t="s">
        <v>244</v>
      </c>
      <c r="E748" s="9">
        <v>3741</v>
      </c>
      <c r="G748" s="10" t="s">
        <v>44</v>
      </c>
      <c r="H748" s="9"/>
    </row>
    <row r="749" spans="1:13">
      <c r="A749" s="10" t="s">
        <v>2363</v>
      </c>
      <c r="B749" s="10" t="s">
        <v>1130</v>
      </c>
      <c r="C749" t="s">
        <v>5450</v>
      </c>
      <c r="D749" s="4" t="s">
        <v>475</v>
      </c>
      <c r="E749" s="9">
        <v>1048</v>
      </c>
      <c r="G749" s="10" t="s">
        <v>44</v>
      </c>
      <c r="H749" s="9"/>
      <c r="K749" t="s">
        <v>5451</v>
      </c>
    </row>
    <row r="750" spans="1:13">
      <c r="A750" s="10" t="s">
        <v>2381</v>
      </c>
      <c r="B750" s="10" t="s">
        <v>305</v>
      </c>
      <c r="C750" s="4" t="s">
        <v>579</v>
      </c>
      <c r="D750" s="4" t="s">
        <v>579</v>
      </c>
      <c r="E750" s="9">
        <v>1175</v>
      </c>
      <c r="G750" s="10" t="s">
        <v>44</v>
      </c>
      <c r="H750" s="9">
        <v>657181</v>
      </c>
      <c r="J750">
        <v>5025</v>
      </c>
      <c r="K750" t="s">
        <v>5452</v>
      </c>
      <c r="M750" t="s">
        <v>5453</v>
      </c>
    </row>
    <row r="751" spans="1:13">
      <c r="A751" s="10" t="s">
        <v>2463</v>
      </c>
      <c r="B751" s="10" t="s">
        <v>1854</v>
      </c>
      <c r="C751" t="s">
        <v>5454</v>
      </c>
      <c r="D751" t="s">
        <v>5454</v>
      </c>
      <c r="E751" s="9">
        <v>5311318</v>
      </c>
      <c r="G751" s="10" t="s">
        <v>44</v>
      </c>
      <c r="H751" s="9">
        <v>5311318</v>
      </c>
      <c r="M751" t="s">
        <v>5455</v>
      </c>
    </row>
    <row r="752" spans="1:13">
      <c r="A752" s="10" t="s">
        <v>2390</v>
      </c>
      <c r="B752" s="10" t="s">
        <v>1381</v>
      </c>
      <c r="C752" s="10" t="s">
        <v>1382</v>
      </c>
      <c r="D752" s="10" t="s">
        <v>1395</v>
      </c>
      <c r="E752" s="11">
        <v>722</v>
      </c>
      <c r="F752" s="10"/>
      <c r="G752" s="10" t="s">
        <v>1100</v>
      </c>
      <c r="H752" s="11">
        <v>9750</v>
      </c>
      <c r="I752" s="10" t="s">
        <v>1396</v>
      </c>
      <c r="J752" s="10"/>
      <c r="K752" s="10"/>
      <c r="L752" s="10" t="s">
        <v>1397</v>
      </c>
      <c r="M752" s="10" t="s">
        <v>1398</v>
      </c>
    </row>
    <row r="753" spans="1:13">
      <c r="A753" s="10" t="s">
        <v>2417</v>
      </c>
      <c r="B753" s="10" t="s">
        <v>308</v>
      </c>
      <c r="C753" s="10" t="s">
        <v>1586</v>
      </c>
      <c r="D753" s="192" t="s">
        <v>1587</v>
      </c>
      <c r="E753" s="11">
        <v>1593</v>
      </c>
      <c r="F753" s="10"/>
      <c r="G753" s="10" t="s">
        <v>1100</v>
      </c>
      <c r="H753" s="11">
        <v>92135</v>
      </c>
      <c r="I753" s="10" t="s">
        <v>1588</v>
      </c>
      <c r="J753" s="10"/>
      <c r="K753" s="10" t="s">
        <v>1589</v>
      </c>
      <c r="L753" s="10" t="s">
        <v>1590</v>
      </c>
      <c r="M753" s="10" t="s">
        <v>1591</v>
      </c>
    </row>
    <row r="754" spans="1:13">
      <c r="A754" s="10" t="s">
        <v>2488</v>
      </c>
      <c r="B754" s="10" t="s">
        <v>2079</v>
      </c>
      <c r="C754" s="10" t="s">
        <v>2080</v>
      </c>
      <c r="D754" s="192" t="s">
        <v>2081</v>
      </c>
      <c r="E754" s="11">
        <v>1908</v>
      </c>
      <c r="F754" s="10"/>
      <c r="G754" s="10" t="s">
        <v>1100</v>
      </c>
      <c r="H754" s="11">
        <v>656745</v>
      </c>
      <c r="I754" s="10" t="s">
        <v>2082</v>
      </c>
      <c r="J754" s="10"/>
      <c r="K754" s="10"/>
      <c r="L754" s="10" t="s">
        <v>2083</v>
      </c>
      <c r="M754" s="10" t="s">
        <v>2084</v>
      </c>
    </row>
    <row r="755" spans="1:13">
      <c r="A755" s="10" t="s">
        <v>2404</v>
      </c>
      <c r="B755" s="10" t="s">
        <v>1512</v>
      </c>
      <c r="C755" s="192" t="s">
        <v>1513</v>
      </c>
      <c r="D755" s="192" t="s">
        <v>1514</v>
      </c>
      <c r="E755" s="11">
        <v>2921</v>
      </c>
      <c r="F755" s="10"/>
      <c r="G755" s="10" t="s">
        <v>1100</v>
      </c>
      <c r="H755" s="11">
        <v>644260</v>
      </c>
      <c r="I755" s="10" t="s">
        <v>1515</v>
      </c>
      <c r="J755" s="10"/>
      <c r="K755" s="10" t="s">
        <v>1516</v>
      </c>
      <c r="L755" s="10" t="s">
        <v>1517</v>
      </c>
      <c r="M755" s="10" t="s">
        <v>1518</v>
      </c>
    </row>
    <row r="756" spans="1:13">
      <c r="A756" s="10" t="s">
        <v>2399</v>
      </c>
      <c r="B756" s="10" t="s">
        <v>1483</v>
      </c>
      <c r="C756" s="10" t="s">
        <v>1484</v>
      </c>
      <c r="D756" s="192" t="s">
        <v>1490</v>
      </c>
      <c r="E756" s="11">
        <v>2936</v>
      </c>
      <c r="F756" s="10"/>
      <c r="G756" s="10" t="s">
        <v>1100</v>
      </c>
      <c r="H756" s="11">
        <v>56947016</v>
      </c>
      <c r="I756" s="10" t="s">
        <v>1491</v>
      </c>
      <c r="J756" s="10"/>
      <c r="K756" s="10" t="s">
        <v>1492</v>
      </c>
      <c r="L756" s="10" t="s">
        <v>1493</v>
      </c>
      <c r="M756" s="10" t="s">
        <v>1494</v>
      </c>
    </row>
    <row r="757" spans="1:13">
      <c r="A757" s="10" t="s">
        <v>2359</v>
      </c>
      <c r="B757" s="10" t="s">
        <v>297</v>
      </c>
      <c r="C757" s="192" t="s">
        <v>1084</v>
      </c>
      <c r="D757" s="192" t="s">
        <v>1099</v>
      </c>
      <c r="E757" s="11">
        <v>6499</v>
      </c>
      <c r="F757" s="10"/>
      <c r="G757" s="10" t="s">
        <v>1100</v>
      </c>
      <c r="H757" s="11">
        <v>125468</v>
      </c>
      <c r="I757" s="10" t="s">
        <v>1101</v>
      </c>
      <c r="J757" s="10"/>
      <c r="K757" s="10" t="s">
        <v>1102</v>
      </c>
      <c r="L757" s="10" t="s">
        <v>1103</v>
      </c>
      <c r="M757" s="10" t="s">
        <v>1104</v>
      </c>
    </row>
    <row r="758" spans="1:13">
      <c r="A758" s="10" t="s">
        <v>2359</v>
      </c>
      <c r="B758" s="10" t="s">
        <v>297</v>
      </c>
      <c r="C758" s="10" t="s">
        <v>1084</v>
      </c>
      <c r="D758" s="10" t="s">
        <v>1105</v>
      </c>
      <c r="E758" s="11">
        <v>6500</v>
      </c>
      <c r="F758" s="10"/>
      <c r="G758" s="10" t="s">
        <v>1100</v>
      </c>
      <c r="H758" s="11">
        <v>81326</v>
      </c>
      <c r="I758" s="10" t="s">
        <v>1106</v>
      </c>
      <c r="J758" s="10"/>
      <c r="K758" s="10"/>
      <c r="L758" s="10" t="s">
        <v>1107</v>
      </c>
      <c r="M758" s="10" t="s">
        <v>1108</v>
      </c>
    </row>
    <row r="759" spans="1:13">
      <c r="A759" s="10" t="s">
        <v>2360</v>
      </c>
      <c r="B759" s="10" t="s">
        <v>298</v>
      </c>
      <c r="C759" s="10" t="s">
        <v>1109</v>
      </c>
      <c r="D759" s="192" t="s">
        <v>1105</v>
      </c>
      <c r="E759" s="11">
        <v>6500</v>
      </c>
      <c r="F759" s="10"/>
      <c r="G759" s="10" t="s">
        <v>1100</v>
      </c>
      <c r="H759" s="11">
        <v>81326</v>
      </c>
      <c r="I759" s="10" t="s">
        <v>1106</v>
      </c>
      <c r="J759" s="10"/>
      <c r="K759" s="10"/>
      <c r="L759" s="10" t="s">
        <v>1107</v>
      </c>
      <c r="M759" s="10" t="s">
        <v>1108</v>
      </c>
    </row>
    <row r="760" spans="1:13">
      <c r="A760" s="10" t="s">
        <v>2517</v>
      </c>
      <c r="B760" s="10" t="s">
        <v>2200</v>
      </c>
      <c r="C760" s="10" t="s">
        <v>2201</v>
      </c>
      <c r="D760" s="10" t="s">
        <v>2207</v>
      </c>
      <c r="E760" s="11">
        <v>9630</v>
      </c>
      <c r="F760" s="10"/>
      <c r="G760" s="10" t="s">
        <v>1100</v>
      </c>
      <c r="H760" s="11">
        <v>444266</v>
      </c>
      <c r="I760" s="10" t="s">
        <v>2208</v>
      </c>
      <c r="J760" s="10"/>
      <c r="K760" s="10"/>
      <c r="L760" s="10" t="s">
        <v>5456</v>
      </c>
      <c r="M760" s="10" t="s">
        <v>2209</v>
      </c>
    </row>
    <row r="761" spans="1:13">
      <c r="A761" s="10" t="s">
        <v>2465</v>
      </c>
      <c r="B761" s="10" t="s">
        <v>330</v>
      </c>
      <c r="C761" t="s">
        <v>5457</v>
      </c>
      <c r="D761" t="s">
        <v>2711</v>
      </c>
      <c r="E761" s="9">
        <v>1611</v>
      </c>
      <c r="G761" s="10" t="s">
        <v>1100</v>
      </c>
      <c r="H761" s="9">
        <v>123924</v>
      </c>
      <c r="I761" t="s">
        <v>5458</v>
      </c>
      <c r="K761" t="s">
        <v>2712</v>
      </c>
      <c r="L761" t="s">
        <v>5459</v>
      </c>
      <c r="M761" t="s">
        <v>5460</v>
      </c>
    </row>
    <row r="762" spans="1:13">
      <c r="A762" s="10" t="s">
        <v>2342</v>
      </c>
      <c r="B762" s="10" t="s">
        <v>282</v>
      </c>
      <c r="C762" t="s">
        <v>2689</v>
      </c>
      <c r="D762" t="s">
        <v>2689</v>
      </c>
      <c r="E762" s="9">
        <v>733</v>
      </c>
      <c r="G762" s="10" t="s">
        <v>1100</v>
      </c>
      <c r="H762" s="9">
        <v>5311501</v>
      </c>
      <c r="I762" t="s">
        <v>5461</v>
      </c>
      <c r="K762" t="s">
        <v>5462</v>
      </c>
      <c r="L762" t="s">
        <v>5463</v>
      </c>
      <c r="M762" t="s">
        <v>5464</v>
      </c>
    </row>
    <row r="763" spans="1:13">
      <c r="A763" s="10" t="s">
        <v>2435</v>
      </c>
      <c r="B763" s="10" t="s">
        <v>313</v>
      </c>
      <c r="C763" s="1" t="s">
        <v>443</v>
      </c>
      <c r="D763" s="3" t="s">
        <v>443</v>
      </c>
      <c r="E763" s="9">
        <v>6161</v>
      </c>
      <c r="G763" s="10" t="s">
        <v>1100</v>
      </c>
      <c r="H763" s="9">
        <v>51529932</v>
      </c>
      <c r="I763" t="s">
        <v>5465</v>
      </c>
      <c r="K763" t="s">
        <v>5466</v>
      </c>
      <c r="L763" t="s">
        <v>5467</v>
      </c>
      <c r="M763" t="s">
        <v>5468</v>
      </c>
    </row>
    <row r="764" spans="1:13">
      <c r="A764" s="10" t="s">
        <v>2341</v>
      </c>
      <c r="B764" s="10" t="s">
        <v>281</v>
      </c>
      <c r="C764" t="s">
        <v>5469</v>
      </c>
      <c r="D764" s="4" t="s">
        <v>457</v>
      </c>
      <c r="E764" s="9">
        <v>730</v>
      </c>
      <c r="G764" s="10" t="s">
        <v>1100</v>
      </c>
      <c r="H764" s="9">
        <v>104895</v>
      </c>
      <c r="I764" t="s">
        <v>5470</v>
      </c>
      <c r="K764" t="s">
        <v>5471</v>
      </c>
      <c r="L764" t="s">
        <v>5472</v>
      </c>
      <c r="M764" t="s">
        <v>5473</v>
      </c>
    </row>
    <row r="765" spans="1:13">
      <c r="A765" s="10" t="s">
        <v>2383</v>
      </c>
      <c r="B765" s="10" t="s">
        <v>1273</v>
      </c>
      <c r="C765" s="3" t="s">
        <v>485</v>
      </c>
      <c r="D765" s="3" t="s">
        <v>485</v>
      </c>
      <c r="E765" s="193" t="s">
        <v>486</v>
      </c>
      <c r="G765" s="10" t="s">
        <v>1100</v>
      </c>
      <c r="H765" s="9">
        <v>24996872</v>
      </c>
      <c r="L765" t="s">
        <v>5474</v>
      </c>
      <c r="M765" t="s">
        <v>5475</v>
      </c>
    </row>
    <row r="766" spans="1:13">
      <c r="A766" s="10" t="s">
        <v>2494</v>
      </c>
      <c r="B766" s="10" t="s">
        <v>2090</v>
      </c>
      <c r="C766" s="4" t="s">
        <v>553</v>
      </c>
      <c r="D766" s="4" t="s">
        <v>553</v>
      </c>
      <c r="E766" s="9">
        <v>1895</v>
      </c>
      <c r="G766" s="10" t="s">
        <v>1100</v>
      </c>
      <c r="H766" s="9">
        <v>6435378</v>
      </c>
      <c r="I766" t="s">
        <v>5476</v>
      </c>
      <c r="J766">
        <v>4972</v>
      </c>
      <c r="K766" t="s">
        <v>5477</v>
      </c>
      <c r="L766" t="s">
        <v>5478</v>
      </c>
      <c r="M766" t="s">
        <v>5479</v>
      </c>
    </row>
    <row r="767" spans="1:13">
      <c r="A767" s="10" t="s">
        <v>2311</v>
      </c>
      <c r="B767" s="10" t="s">
        <v>274</v>
      </c>
      <c r="C767" t="s">
        <v>5480</v>
      </c>
      <c r="D767" s="4" t="s">
        <v>446</v>
      </c>
      <c r="E767" s="9">
        <v>536</v>
      </c>
      <c r="G767" s="10" t="s">
        <v>1100</v>
      </c>
      <c r="H767" s="9">
        <v>3779</v>
      </c>
      <c r="I767" t="s">
        <v>5481</v>
      </c>
      <c r="J767">
        <v>4201</v>
      </c>
      <c r="K767" t="s">
        <v>5482</v>
      </c>
      <c r="L767" t="s">
        <v>5483</v>
      </c>
      <c r="M767" t="s">
        <v>5484</v>
      </c>
    </row>
    <row r="768" spans="1:13">
      <c r="A768" s="10" t="s">
        <v>2393</v>
      </c>
      <c r="B768" s="10" t="s">
        <v>1441</v>
      </c>
      <c r="C768" s="4" t="s">
        <v>5485</v>
      </c>
      <c r="D768" s="4" t="s">
        <v>490</v>
      </c>
      <c r="E768" s="193" t="s">
        <v>491</v>
      </c>
      <c r="G768" s="10" t="s">
        <v>1100</v>
      </c>
      <c r="H768" s="9">
        <v>446916</v>
      </c>
      <c r="I768" t="s">
        <v>5486</v>
      </c>
      <c r="L768" t="s">
        <v>5487</v>
      </c>
      <c r="M768" t="s">
        <v>5488</v>
      </c>
    </row>
    <row r="769" spans="1:13">
      <c r="A769" s="10" t="s">
        <v>2376</v>
      </c>
      <c r="B769" s="10" t="s">
        <v>300</v>
      </c>
      <c r="C769" t="s">
        <v>5489</v>
      </c>
      <c r="D769" s="4" t="s">
        <v>433</v>
      </c>
      <c r="E769" s="9">
        <v>5867</v>
      </c>
      <c r="G769" s="10" t="s">
        <v>1100</v>
      </c>
      <c r="H769" s="9">
        <v>178024</v>
      </c>
      <c r="I769" t="s">
        <v>5490</v>
      </c>
      <c r="J769">
        <v>7682</v>
      </c>
      <c r="K769" t="s">
        <v>5491</v>
      </c>
      <c r="L769" t="s">
        <v>5492</v>
      </c>
      <c r="M769" t="s">
        <v>5493</v>
      </c>
    </row>
    <row r="770" spans="1:13">
      <c r="A770" s="10" t="s">
        <v>2361</v>
      </c>
      <c r="B770" s="10" t="s">
        <v>299</v>
      </c>
      <c r="C770" s="4" t="s">
        <v>5494</v>
      </c>
      <c r="D770" s="4" t="s">
        <v>460</v>
      </c>
      <c r="E770" s="9">
        <v>6490</v>
      </c>
      <c r="G770" s="10" t="s">
        <v>1100</v>
      </c>
      <c r="H770" s="9">
        <v>57522038</v>
      </c>
      <c r="I770" t="s">
        <v>5495</v>
      </c>
      <c r="K770" t="s">
        <v>5496</v>
      </c>
      <c r="L770" t="s">
        <v>5497</v>
      </c>
      <c r="M770" t="s">
        <v>5498</v>
      </c>
    </row>
    <row r="771" spans="1:13">
      <c r="A771" s="10" t="s">
        <v>2518</v>
      </c>
      <c r="B771" s="10" t="s">
        <v>2210</v>
      </c>
      <c r="C771" s="1" t="s">
        <v>5499</v>
      </c>
      <c r="D771" s="3" t="s">
        <v>568</v>
      </c>
      <c r="E771" s="9">
        <v>1888</v>
      </c>
      <c r="G771" s="10" t="s">
        <v>1100</v>
      </c>
      <c r="H771" s="9">
        <v>5311493</v>
      </c>
      <c r="I771" s="1" t="s">
        <v>5500</v>
      </c>
      <c r="K771" t="s">
        <v>5501</v>
      </c>
      <c r="L771" t="s">
        <v>5502</v>
      </c>
      <c r="M771" t="s">
        <v>5503</v>
      </c>
    </row>
    <row r="772" spans="1:13">
      <c r="A772" s="10" t="s">
        <v>2399</v>
      </c>
      <c r="B772" s="10" t="s">
        <v>1483</v>
      </c>
      <c r="C772" s="4" t="s">
        <v>497</v>
      </c>
      <c r="D772" s="4" t="s">
        <v>497</v>
      </c>
      <c r="E772" s="9">
        <v>2919</v>
      </c>
      <c r="G772" s="10" t="s">
        <v>1100</v>
      </c>
      <c r="H772" s="9">
        <v>5722</v>
      </c>
      <c r="I772" t="s">
        <v>5504</v>
      </c>
      <c r="J772">
        <v>5096</v>
      </c>
      <c r="K772" t="s">
        <v>5505</v>
      </c>
      <c r="L772" t="s">
        <v>5506</v>
      </c>
      <c r="M772" t="s">
        <v>5507</v>
      </c>
    </row>
    <row r="773" spans="1:13">
      <c r="A773" s="10" t="s">
        <v>2493</v>
      </c>
      <c r="B773" s="10" t="s">
        <v>341</v>
      </c>
      <c r="C773" t="s">
        <v>5593</v>
      </c>
      <c r="D773" s="4" t="s">
        <v>5594</v>
      </c>
      <c r="E773" s="9">
        <v>5456</v>
      </c>
      <c r="G773" s="10" t="s">
        <v>1100</v>
      </c>
      <c r="H773">
        <v>73755121</v>
      </c>
      <c r="I773" t="s">
        <v>5595</v>
      </c>
      <c r="K773" t="s">
        <v>5596</v>
      </c>
      <c r="L773" t="s">
        <v>5597</v>
      </c>
      <c r="M773" t="s">
        <v>5598</v>
      </c>
    </row>
    <row r="774" spans="1:13">
      <c r="A774" s="10" t="s">
        <v>5599</v>
      </c>
      <c r="B774" s="10" t="s">
        <v>3864</v>
      </c>
      <c r="C774" t="s">
        <v>5600</v>
      </c>
      <c r="D774" t="s">
        <v>5600</v>
      </c>
      <c r="E774" s="9">
        <v>631</v>
      </c>
      <c r="G774" s="10" t="s">
        <v>44</v>
      </c>
      <c r="I774" t="s">
        <v>5600</v>
      </c>
      <c r="K774" t="s">
        <v>5601</v>
      </c>
    </row>
    <row r="775" spans="1:13">
      <c r="A775" s="10" t="s">
        <v>2518</v>
      </c>
      <c r="B775" s="10" t="s">
        <v>2210</v>
      </c>
      <c r="C775" s="4" t="s">
        <v>5602</v>
      </c>
      <c r="D775" s="4" t="s">
        <v>5603</v>
      </c>
      <c r="E775" s="9">
        <v>4483</v>
      </c>
      <c r="G775" s="10" t="s">
        <v>601</v>
      </c>
      <c r="H775">
        <v>445049</v>
      </c>
      <c r="I775" t="s">
        <v>5604</v>
      </c>
      <c r="K775" t="s">
        <v>5605</v>
      </c>
      <c r="L775" t="s">
        <v>5606</v>
      </c>
      <c r="M775" t="s">
        <v>5607</v>
      </c>
    </row>
    <row r="776" spans="1:13">
      <c r="A776" s="10" t="s">
        <v>5608</v>
      </c>
      <c r="B776" s="10" t="s">
        <v>4864</v>
      </c>
      <c r="C776" t="s">
        <v>5609</v>
      </c>
      <c r="D776" s="4" t="s">
        <v>5609</v>
      </c>
      <c r="E776" s="9">
        <v>70678714</v>
      </c>
      <c r="G776" s="10" t="s">
        <v>44</v>
      </c>
      <c r="H776" s="9">
        <v>70678714</v>
      </c>
      <c r="L776" t="s">
        <v>5610</v>
      </c>
      <c r="M776" t="s">
        <v>5611</v>
      </c>
    </row>
    <row r="777" spans="1:13">
      <c r="A777" s="10" t="s">
        <v>2343</v>
      </c>
      <c r="B777" s="10" t="s">
        <v>292</v>
      </c>
      <c r="C777" t="s">
        <v>5609</v>
      </c>
      <c r="D777" s="4" t="s">
        <v>5609</v>
      </c>
      <c r="E777" s="9">
        <v>70678714</v>
      </c>
      <c r="G777" s="10" t="s">
        <v>44</v>
      </c>
      <c r="H777" s="9">
        <v>70678714</v>
      </c>
      <c r="L777" t="s">
        <v>5610</v>
      </c>
      <c r="M777" t="s">
        <v>5611</v>
      </c>
    </row>
    <row r="778" spans="1:13">
      <c r="A778" s="10" t="s">
        <v>5612</v>
      </c>
      <c r="B778" s="10" t="s">
        <v>4346</v>
      </c>
      <c r="C778" t="s">
        <v>5613</v>
      </c>
      <c r="D778" s="4" t="s">
        <v>5613</v>
      </c>
      <c r="E778" s="9">
        <v>56649300</v>
      </c>
      <c r="G778" s="10" t="s">
        <v>1100</v>
      </c>
      <c r="H778" s="9">
        <v>56649300</v>
      </c>
      <c r="K778" t="s">
        <v>3253</v>
      </c>
      <c r="L778" t="s">
        <v>5614</v>
      </c>
      <c r="M778" t="s">
        <v>5615</v>
      </c>
    </row>
    <row r="779" spans="1:13">
      <c r="A779" s="10" t="s">
        <v>2378</v>
      </c>
      <c r="B779" s="10" t="s">
        <v>302</v>
      </c>
      <c r="C779" t="s">
        <v>5616</v>
      </c>
      <c r="D779" t="s">
        <v>5616</v>
      </c>
      <c r="E779" s="9">
        <v>16133831</v>
      </c>
      <c r="G779" s="10" t="s">
        <v>44</v>
      </c>
      <c r="H779" s="9">
        <v>16133831</v>
      </c>
      <c r="L779" t="s">
        <v>5617</v>
      </c>
      <c r="M779" t="s">
        <v>5618</v>
      </c>
    </row>
    <row r="780" spans="1:13">
      <c r="A780" s="10" t="s">
        <v>2379</v>
      </c>
      <c r="B780" t="s">
        <v>303</v>
      </c>
      <c r="C780" t="s">
        <v>5619</v>
      </c>
      <c r="D780" t="s">
        <v>5619</v>
      </c>
      <c r="E780" s="9">
        <v>90488756</v>
      </c>
      <c r="G780" s="10" t="s">
        <v>44</v>
      </c>
      <c r="H780" s="9">
        <v>90488756</v>
      </c>
      <c r="L780" t="s">
        <v>5620</v>
      </c>
      <c r="M780" t="s">
        <v>5621</v>
      </c>
    </row>
    <row r="781" spans="1:13" ht="51">
      <c r="A781" s="10" t="s">
        <v>2420</v>
      </c>
      <c r="B781" s="10" t="s">
        <v>307</v>
      </c>
      <c r="C781" t="s">
        <v>5622</v>
      </c>
      <c r="D781" s="4" t="s">
        <v>5535</v>
      </c>
      <c r="E781" s="9">
        <v>4025</v>
      </c>
      <c r="G781" s="10" t="s">
        <v>1100</v>
      </c>
      <c r="H781" s="9">
        <v>126688</v>
      </c>
      <c r="I781" s="243" t="s">
        <v>5623</v>
      </c>
      <c r="L781" t="s">
        <v>5624</v>
      </c>
      <c r="M781" t="s">
        <v>5625</v>
      </c>
    </row>
    <row r="782" spans="1:13" ht="136">
      <c r="A782" s="10" t="s">
        <v>2478</v>
      </c>
      <c r="B782" s="10" t="s">
        <v>2001</v>
      </c>
      <c r="C782" t="s">
        <v>5626</v>
      </c>
      <c r="D782" s="4" t="s">
        <v>5627</v>
      </c>
      <c r="E782" s="9">
        <v>139034458</v>
      </c>
      <c r="G782" s="10" t="s">
        <v>1100</v>
      </c>
      <c r="H782" s="9">
        <v>139034458</v>
      </c>
      <c r="I782" s="243" t="s">
        <v>5628</v>
      </c>
      <c r="L782" s="243" t="s">
        <v>5629</v>
      </c>
      <c r="M782" s="243" t="s">
        <v>5630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INFO</vt:lpstr>
      <vt:lpstr>Metadata</vt:lpstr>
      <vt:lpstr>Bouvier-GEMTA</vt:lpstr>
      <vt:lpstr>Inoue-NanoBiT-G</vt:lpstr>
      <vt:lpstr>Inoue-TGFa</vt:lpstr>
      <vt:lpstr>Lambert-RGB-GDP_Efficacy</vt:lpstr>
      <vt:lpstr>Lambert-RGB-GDP_Econst</vt:lpstr>
      <vt:lpstr>Martemyanov-FreeGβγ-Nluc</vt:lpstr>
      <vt:lpstr>Roth-TRUPATH</vt:lpstr>
      <vt:lpstr>GtoPdb</vt:lpstr>
      <vt:lpstr>Fig4a-Gq</vt:lpstr>
      <vt:lpstr>Fig4b-Econst</vt:lpstr>
      <vt:lpstr>Fig4cd_CouplComp</vt:lpstr>
      <vt:lpstr>Inoue-TGFa_Cutoff</vt:lpstr>
      <vt:lpstr>Inoue-TGFa-NotUsed</vt:lpstr>
      <vt:lpstr>Martemyanov-FreeGβγ-NotUsed</vt:lpstr>
      <vt:lpstr>B-Ligands</vt:lpstr>
      <vt:lpstr>I-Ligands</vt:lpstr>
      <vt:lpstr>DroplistTerms</vt:lpstr>
      <vt:lpstr>RecNamesAll</vt:lpstr>
      <vt:lpstr>LigandIDs</vt:lpstr>
      <vt:lpstr>GtoPdb!NewFile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Gloriam</dc:creator>
  <cp:lastModifiedBy>Gáspár Pándy-Szekeres</cp:lastModifiedBy>
  <dcterms:created xsi:type="dcterms:W3CDTF">2020-02-19T09:48:46Z</dcterms:created>
  <dcterms:modified xsi:type="dcterms:W3CDTF">2026-09-12T05:11:28Z</dcterms:modified>
</cp:coreProperties>
</file>